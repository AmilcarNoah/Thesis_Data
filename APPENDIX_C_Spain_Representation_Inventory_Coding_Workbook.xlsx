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lcar\Desktop\files\"/>
    </mc:Choice>
  </mc:AlternateContent>
  <xr:revisionPtr revIDLastSave="0" documentId="13_ncr:1_{37CE30AD-FA64-43BD-9FB3-E6B9ADC2946B}" xr6:coauthVersionLast="47" xr6:coauthVersionMax="47" xr10:uidLastSave="{00000000-0000-0000-0000-000000000000}"/>
  <bookViews>
    <workbookView xWindow="-108" yWindow="-108" windowWidth="23256" windowHeight="12576" tabRatio="500" activeTab="4" xr2:uid="{00000000-000D-0000-FFFF-FFFF00000000}"/>
  </bookViews>
  <sheets>
    <sheet name="README" sheetId="2" r:id="rId1"/>
    <sheet name="Map_Register" sheetId="3" r:id="rId2"/>
    <sheet name="Spain_Border" sheetId="5" r:id="rId3"/>
    <sheet name="Spain_Military" sheetId="7" r:id="rId4"/>
    <sheet name="Spain_Toponym" sheetId="6" r:id="rId5"/>
    <sheet name="Spain_Culture" sheetId="4" r:id="rId6"/>
    <sheet name="Summary" sheetId="1" r:id="rId7"/>
    <sheet name="Lists" sheetId="8" state="hidden" r:id="rId8"/>
  </sheets>
  <definedNames>
    <definedName name="_xlnm._FilterDatabase" localSheetId="2" hidden="1">Spain_Border!$A$1:$O$101</definedName>
    <definedName name="_xlnm._FilterDatabase" localSheetId="5" hidden="1">Spain_Culture!$A$1:$P$503</definedName>
    <definedName name="_xlnm._FilterDatabase" localSheetId="3" hidden="1">Spain_Military!$A$1:$O$26</definedName>
    <definedName name="_xlnm._FilterDatabase" localSheetId="4" hidden="1">Spain_Toponym!$A$1:$Q$1833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04" i="7" l="1"/>
  <c r="A504" i="7"/>
  <c r="D503" i="7"/>
  <c r="A503" i="7"/>
  <c r="D502" i="7"/>
  <c r="A502" i="7"/>
  <c r="D501" i="7"/>
  <c r="A501" i="7"/>
  <c r="D500" i="7"/>
  <c r="A500" i="7"/>
  <c r="D499" i="7"/>
  <c r="A499" i="7"/>
  <c r="D498" i="7"/>
  <c r="A498" i="7"/>
  <c r="D497" i="7"/>
  <c r="A497" i="7"/>
  <c r="D496" i="7"/>
  <c r="A496" i="7"/>
  <c r="D495" i="7"/>
  <c r="A495" i="7"/>
  <c r="D494" i="7"/>
  <c r="A494" i="7"/>
  <c r="D493" i="7"/>
  <c r="A493" i="7"/>
  <c r="D492" i="7"/>
  <c r="A492" i="7"/>
  <c r="D491" i="7"/>
  <c r="A491" i="7"/>
  <c r="D490" i="7"/>
  <c r="A490" i="7"/>
  <c r="D489" i="7"/>
  <c r="A489" i="7"/>
  <c r="D488" i="7"/>
  <c r="A488" i="7"/>
  <c r="D487" i="7"/>
  <c r="A487" i="7"/>
  <c r="D486" i="7"/>
  <c r="A486" i="7"/>
  <c r="D485" i="7"/>
  <c r="A485" i="7"/>
  <c r="D484" i="7"/>
  <c r="A484" i="7"/>
  <c r="D483" i="7"/>
  <c r="A483" i="7"/>
  <c r="D482" i="7"/>
  <c r="A482" i="7"/>
  <c r="D481" i="7"/>
  <c r="A481" i="7"/>
  <c r="D480" i="7"/>
  <c r="A480" i="7"/>
  <c r="D479" i="7"/>
  <c r="A479" i="7"/>
  <c r="D478" i="7"/>
  <c r="A478" i="7"/>
  <c r="D477" i="7"/>
  <c r="A477" i="7"/>
  <c r="D476" i="7"/>
  <c r="A476" i="7"/>
  <c r="D475" i="7"/>
  <c r="A475" i="7"/>
  <c r="D474" i="7"/>
  <c r="A474" i="7"/>
  <c r="D473" i="7"/>
  <c r="A473" i="7"/>
  <c r="D472" i="7"/>
  <c r="A472" i="7"/>
  <c r="D471" i="7"/>
  <c r="A471" i="7"/>
  <c r="D470" i="7"/>
  <c r="A470" i="7"/>
  <c r="D469" i="7"/>
  <c r="A469" i="7"/>
  <c r="D468" i="7"/>
  <c r="A468" i="7"/>
  <c r="D467" i="7"/>
  <c r="A467" i="7"/>
  <c r="D466" i="7"/>
  <c r="A466" i="7"/>
  <c r="D465" i="7"/>
  <c r="A465" i="7"/>
  <c r="D464" i="7"/>
  <c r="A464" i="7"/>
  <c r="D463" i="7"/>
  <c r="A463" i="7"/>
  <c r="D462" i="7"/>
  <c r="A462" i="7"/>
  <c r="D461" i="7"/>
  <c r="A461" i="7"/>
  <c r="D460" i="7"/>
  <c r="A460" i="7"/>
  <c r="D459" i="7"/>
  <c r="A459" i="7"/>
  <c r="D458" i="7"/>
  <c r="A458" i="7"/>
  <c r="D457" i="7"/>
  <c r="A457" i="7"/>
  <c r="D456" i="7"/>
  <c r="A456" i="7"/>
  <c r="D455" i="7"/>
  <c r="A455" i="7"/>
  <c r="D454" i="7"/>
  <c r="A454" i="7"/>
  <c r="D453" i="7"/>
  <c r="A453" i="7"/>
  <c r="D452" i="7"/>
  <c r="A452" i="7"/>
  <c r="D451" i="7"/>
  <c r="A451" i="7"/>
  <c r="D450" i="7"/>
  <c r="A450" i="7"/>
  <c r="D449" i="7"/>
  <c r="A449" i="7"/>
  <c r="D448" i="7"/>
  <c r="A448" i="7"/>
  <c r="D447" i="7"/>
  <c r="A447" i="7"/>
  <c r="D446" i="7"/>
  <c r="A446" i="7"/>
  <c r="D445" i="7"/>
  <c r="A445" i="7"/>
  <c r="D444" i="7"/>
  <c r="A444" i="7"/>
  <c r="D443" i="7"/>
  <c r="A443" i="7"/>
  <c r="D442" i="7"/>
  <c r="A442" i="7"/>
  <c r="D441" i="7"/>
  <c r="A441" i="7"/>
  <c r="D440" i="7"/>
  <c r="A440" i="7"/>
  <c r="D439" i="7"/>
  <c r="A439" i="7"/>
  <c r="D438" i="7"/>
  <c r="A438" i="7"/>
  <c r="D437" i="7"/>
  <c r="A437" i="7"/>
  <c r="D436" i="7"/>
  <c r="A436" i="7"/>
  <c r="D435" i="7"/>
  <c r="A435" i="7"/>
  <c r="D434" i="7"/>
  <c r="A434" i="7"/>
  <c r="D433" i="7"/>
  <c r="A433" i="7"/>
  <c r="D432" i="7"/>
  <c r="A432" i="7"/>
  <c r="D431" i="7"/>
  <c r="A431" i="7"/>
  <c r="D430" i="7"/>
  <c r="A430" i="7"/>
  <c r="D429" i="7"/>
  <c r="A429" i="7"/>
  <c r="D428" i="7"/>
  <c r="A428" i="7"/>
  <c r="D427" i="7"/>
  <c r="A427" i="7"/>
  <c r="D426" i="7"/>
  <c r="A426" i="7"/>
  <c r="D425" i="7"/>
  <c r="A425" i="7"/>
  <c r="D424" i="7"/>
  <c r="A424" i="7"/>
  <c r="D423" i="7"/>
  <c r="A423" i="7"/>
  <c r="D422" i="7"/>
  <c r="A422" i="7"/>
  <c r="D421" i="7"/>
  <c r="A421" i="7"/>
  <c r="D420" i="7"/>
  <c r="A420" i="7"/>
  <c r="D419" i="7"/>
  <c r="A419" i="7"/>
  <c r="D418" i="7"/>
  <c r="A418" i="7"/>
  <c r="D417" i="7"/>
  <c r="A417" i="7"/>
  <c r="D416" i="7"/>
  <c r="A416" i="7"/>
  <c r="D415" i="7"/>
  <c r="A415" i="7"/>
  <c r="D414" i="7"/>
  <c r="A414" i="7"/>
  <c r="D413" i="7"/>
  <c r="A413" i="7"/>
  <c r="D412" i="7"/>
  <c r="A412" i="7"/>
  <c r="D411" i="7"/>
  <c r="A411" i="7"/>
  <c r="D410" i="7"/>
  <c r="A410" i="7"/>
  <c r="D409" i="7"/>
  <c r="A409" i="7"/>
  <c r="D408" i="7"/>
  <c r="A408" i="7"/>
  <c r="D407" i="7"/>
  <c r="A407" i="7"/>
  <c r="D406" i="7"/>
  <c r="A406" i="7"/>
  <c r="D405" i="7"/>
  <c r="A405" i="7"/>
  <c r="D404" i="7"/>
  <c r="A404" i="7"/>
  <c r="D403" i="7"/>
  <c r="A403" i="7"/>
  <c r="D402" i="7"/>
  <c r="A402" i="7"/>
  <c r="D401" i="7"/>
  <c r="A401" i="7"/>
  <c r="D400" i="7"/>
  <c r="A400" i="7"/>
  <c r="D399" i="7"/>
  <c r="A399" i="7"/>
  <c r="D398" i="7"/>
  <c r="A398" i="7"/>
  <c r="D397" i="7"/>
  <c r="A397" i="7"/>
  <c r="D396" i="7"/>
  <c r="A396" i="7"/>
  <c r="D395" i="7"/>
  <c r="A395" i="7"/>
  <c r="D394" i="7"/>
  <c r="A394" i="7"/>
  <c r="D393" i="7"/>
  <c r="A393" i="7"/>
  <c r="D392" i="7"/>
  <c r="A392" i="7"/>
  <c r="D391" i="7"/>
  <c r="A391" i="7"/>
  <c r="D390" i="7"/>
  <c r="A390" i="7"/>
  <c r="D389" i="7"/>
  <c r="A389" i="7"/>
  <c r="D388" i="7"/>
  <c r="A388" i="7"/>
  <c r="D387" i="7"/>
  <c r="A387" i="7"/>
  <c r="D386" i="7"/>
  <c r="A386" i="7"/>
  <c r="D385" i="7"/>
  <c r="A385" i="7"/>
  <c r="D384" i="7"/>
  <c r="A384" i="7"/>
  <c r="D383" i="7"/>
  <c r="A383" i="7"/>
  <c r="D382" i="7"/>
  <c r="A382" i="7"/>
  <c r="D381" i="7"/>
  <c r="A381" i="7"/>
  <c r="D380" i="7"/>
  <c r="A380" i="7"/>
  <c r="D379" i="7"/>
  <c r="A379" i="7"/>
  <c r="D378" i="7"/>
  <c r="A378" i="7"/>
  <c r="D377" i="7"/>
  <c r="A377" i="7"/>
  <c r="D376" i="7"/>
  <c r="A376" i="7"/>
  <c r="D375" i="7"/>
  <c r="A375" i="7"/>
  <c r="D374" i="7"/>
  <c r="A374" i="7"/>
  <c r="D373" i="7"/>
  <c r="A373" i="7"/>
  <c r="D372" i="7"/>
  <c r="A372" i="7"/>
  <c r="D371" i="7"/>
  <c r="A371" i="7"/>
  <c r="D370" i="7"/>
  <c r="A370" i="7"/>
  <c r="D369" i="7"/>
  <c r="A369" i="7"/>
  <c r="D368" i="7"/>
  <c r="A368" i="7"/>
  <c r="D367" i="7"/>
  <c r="A367" i="7"/>
  <c r="D366" i="7"/>
  <c r="A366" i="7"/>
  <c r="D365" i="7"/>
  <c r="A365" i="7"/>
  <c r="D364" i="7"/>
  <c r="A364" i="7"/>
  <c r="D363" i="7"/>
  <c r="A363" i="7"/>
  <c r="D362" i="7"/>
  <c r="A362" i="7"/>
  <c r="D361" i="7"/>
  <c r="A361" i="7"/>
  <c r="D360" i="7"/>
  <c r="A360" i="7"/>
  <c r="D359" i="7"/>
  <c r="A359" i="7"/>
  <c r="D358" i="7"/>
  <c r="A358" i="7"/>
  <c r="D357" i="7"/>
  <c r="A357" i="7"/>
  <c r="D356" i="7"/>
  <c r="A356" i="7"/>
  <c r="D355" i="7"/>
  <c r="A355" i="7"/>
  <c r="D354" i="7"/>
  <c r="A354" i="7"/>
  <c r="D353" i="7"/>
  <c r="A353" i="7"/>
  <c r="D352" i="7"/>
  <c r="A352" i="7"/>
  <c r="D351" i="7"/>
  <c r="A351" i="7"/>
  <c r="D350" i="7"/>
  <c r="A350" i="7"/>
  <c r="D349" i="7"/>
  <c r="A349" i="7"/>
  <c r="D348" i="7"/>
  <c r="A348" i="7"/>
  <c r="D347" i="7"/>
  <c r="A347" i="7"/>
  <c r="D346" i="7"/>
  <c r="A346" i="7"/>
  <c r="D345" i="7"/>
  <c r="A345" i="7"/>
  <c r="D344" i="7"/>
  <c r="A344" i="7"/>
  <c r="D343" i="7"/>
  <c r="A343" i="7"/>
  <c r="D342" i="7"/>
  <c r="A342" i="7"/>
  <c r="D341" i="7"/>
  <c r="A341" i="7"/>
  <c r="D340" i="7"/>
  <c r="A340" i="7"/>
  <c r="D339" i="7"/>
  <c r="A339" i="7"/>
  <c r="D338" i="7"/>
  <c r="A338" i="7"/>
  <c r="D337" i="7"/>
  <c r="A337" i="7"/>
  <c r="D336" i="7"/>
  <c r="A336" i="7"/>
  <c r="D335" i="7"/>
  <c r="A335" i="7"/>
  <c r="D334" i="7"/>
  <c r="A334" i="7"/>
  <c r="D333" i="7"/>
  <c r="A333" i="7"/>
  <c r="D332" i="7"/>
  <c r="A332" i="7"/>
  <c r="D331" i="7"/>
  <c r="A331" i="7"/>
  <c r="D330" i="7"/>
  <c r="A330" i="7"/>
  <c r="D329" i="7"/>
  <c r="A329" i="7"/>
  <c r="D328" i="7"/>
  <c r="A328" i="7"/>
  <c r="D327" i="7"/>
  <c r="A327" i="7"/>
  <c r="D326" i="7"/>
  <c r="A326" i="7"/>
  <c r="D325" i="7"/>
  <c r="A325" i="7"/>
  <c r="D324" i="7"/>
  <c r="A324" i="7"/>
  <c r="D323" i="7"/>
  <c r="A323" i="7"/>
  <c r="D322" i="7"/>
  <c r="A322" i="7"/>
  <c r="D321" i="7"/>
  <c r="A321" i="7"/>
  <c r="D320" i="7"/>
  <c r="A320" i="7"/>
  <c r="D319" i="7"/>
  <c r="A319" i="7"/>
  <c r="D318" i="7"/>
  <c r="A318" i="7"/>
  <c r="D317" i="7"/>
  <c r="A317" i="7"/>
  <c r="D316" i="7"/>
  <c r="A316" i="7"/>
  <c r="D315" i="7"/>
  <c r="A315" i="7"/>
  <c r="D314" i="7"/>
  <c r="A314" i="7"/>
  <c r="D313" i="7"/>
  <c r="A313" i="7"/>
  <c r="D312" i="7"/>
  <c r="A312" i="7"/>
  <c r="D311" i="7"/>
  <c r="A311" i="7"/>
  <c r="D310" i="7"/>
  <c r="A310" i="7"/>
  <c r="D309" i="7"/>
  <c r="A309" i="7"/>
  <c r="D308" i="7"/>
  <c r="A308" i="7"/>
  <c r="D307" i="7"/>
  <c r="A307" i="7"/>
  <c r="D306" i="7"/>
  <c r="A306" i="7"/>
  <c r="D305" i="7"/>
  <c r="A305" i="7"/>
  <c r="D304" i="7"/>
  <c r="A304" i="7"/>
  <c r="D303" i="7"/>
  <c r="A303" i="7"/>
  <c r="D302" i="7"/>
  <c r="A302" i="7"/>
  <c r="D301" i="7"/>
  <c r="A301" i="7"/>
  <c r="D300" i="7"/>
  <c r="A300" i="7"/>
  <c r="D299" i="7"/>
  <c r="A299" i="7"/>
  <c r="D298" i="7"/>
  <c r="A298" i="7"/>
  <c r="D297" i="7"/>
  <c r="A297" i="7"/>
  <c r="D296" i="7"/>
  <c r="A296" i="7"/>
  <c r="D295" i="7"/>
  <c r="A295" i="7"/>
  <c r="D294" i="7"/>
  <c r="A294" i="7"/>
  <c r="D293" i="7"/>
  <c r="A293" i="7"/>
  <c r="D292" i="7"/>
  <c r="A292" i="7"/>
  <c r="D291" i="7"/>
  <c r="A291" i="7"/>
  <c r="D290" i="7"/>
  <c r="A290" i="7"/>
  <c r="D289" i="7"/>
  <c r="A289" i="7"/>
  <c r="D288" i="7"/>
  <c r="A288" i="7"/>
  <c r="D287" i="7"/>
  <c r="A287" i="7"/>
  <c r="D286" i="7"/>
  <c r="A286" i="7"/>
  <c r="D285" i="7"/>
  <c r="A285" i="7"/>
  <c r="D284" i="7"/>
  <c r="A284" i="7"/>
  <c r="D283" i="7"/>
  <c r="A283" i="7"/>
  <c r="D282" i="7"/>
  <c r="A282" i="7"/>
  <c r="D281" i="7"/>
  <c r="A281" i="7"/>
  <c r="D280" i="7"/>
  <c r="A280" i="7"/>
  <c r="D279" i="7"/>
  <c r="A279" i="7"/>
  <c r="D278" i="7"/>
  <c r="A278" i="7"/>
  <c r="D277" i="7"/>
  <c r="A277" i="7"/>
  <c r="D276" i="7"/>
  <c r="A276" i="7"/>
  <c r="D275" i="7"/>
  <c r="A275" i="7"/>
  <c r="D274" i="7"/>
  <c r="A274" i="7"/>
  <c r="D273" i="7"/>
  <c r="A273" i="7"/>
  <c r="D272" i="7"/>
  <c r="A272" i="7"/>
  <c r="D271" i="7"/>
  <c r="A271" i="7"/>
  <c r="D270" i="7"/>
  <c r="A270" i="7"/>
  <c r="D269" i="7"/>
  <c r="A269" i="7"/>
  <c r="D268" i="7"/>
  <c r="A268" i="7"/>
  <c r="D267" i="7"/>
  <c r="A267" i="7"/>
  <c r="D266" i="7"/>
  <c r="A266" i="7"/>
  <c r="D265" i="7"/>
  <c r="A265" i="7"/>
  <c r="D264" i="7"/>
  <c r="A264" i="7"/>
  <c r="D263" i="7"/>
  <c r="A263" i="7"/>
  <c r="D262" i="7"/>
  <c r="A262" i="7"/>
  <c r="D261" i="7"/>
  <c r="A261" i="7"/>
  <c r="D260" i="7"/>
  <c r="A260" i="7"/>
  <c r="D259" i="7"/>
  <c r="A259" i="7"/>
  <c r="D258" i="7"/>
  <c r="A258" i="7"/>
  <c r="D257" i="7"/>
  <c r="A257" i="7"/>
  <c r="D256" i="7"/>
  <c r="A256" i="7"/>
  <c r="D255" i="7"/>
  <c r="A255" i="7"/>
  <c r="D254" i="7"/>
  <c r="A254" i="7"/>
  <c r="D253" i="7"/>
  <c r="A253" i="7"/>
  <c r="D252" i="7"/>
  <c r="A252" i="7"/>
  <c r="D251" i="7"/>
  <c r="A251" i="7"/>
  <c r="D250" i="7"/>
  <c r="A250" i="7"/>
  <c r="D249" i="7"/>
  <c r="A249" i="7"/>
  <c r="D248" i="7"/>
  <c r="A248" i="7"/>
  <c r="D247" i="7"/>
  <c r="A247" i="7"/>
  <c r="D246" i="7"/>
  <c r="A246" i="7"/>
  <c r="D245" i="7"/>
  <c r="A245" i="7"/>
  <c r="D244" i="7"/>
  <c r="A244" i="7"/>
  <c r="D243" i="7"/>
  <c r="A243" i="7"/>
  <c r="D242" i="7"/>
  <c r="A242" i="7"/>
  <c r="D241" i="7"/>
  <c r="A241" i="7"/>
  <c r="D240" i="7"/>
  <c r="A240" i="7"/>
  <c r="D239" i="7"/>
  <c r="A239" i="7"/>
  <c r="D238" i="7"/>
  <c r="A238" i="7"/>
  <c r="D237" i="7"/>
  <c r="A237" i="7"/>
  <c r="D236" i="7"/>
  <c r="A236" i="7"/>
  <c r="D235" i="7"/>
  <c r="A235" i="7"/>
  <c r="D234" i="7"/>
  <c r="A234" i="7"/>
  <c r="D233" i="7"/>
  <c r="A233" i="7"/>
  <c r="D232" i="7"/>
  <c r="A232" i="7"/>
  <c r="D231" i="7"/>
  <c r="A231" i="7"/>
  <c r="D230" i="7"/>
  <c r="A230" i="7"/>
  <c r="D229" i="7"/>
  <c r="A229" i="7"/>
  <c r="D228" i="7"/>
  <c r="A228" i="7"/>
  <c r="D227" i="7"/>
  <c r="A227" i="7"/>
  <c r="D226" i="7"/>
  <c r="A226" i="7"/>
  <c r="D225" i="7"/>
  <c r="A225" i="7"/>
  <c r="D224" i="7"/>
  <c r="A224" i="7"/>
  <c r="D223" i="7"/>
  <c r="A223" i="7"/>
  <c r="D222" i="7"/>
  <c r="A222" i="7"/>
  <c r="D221" i="7"/>
  <c r="A221" i="7"/>
  <c r="D220" i="7"/>
  <c r="A220" i="7"/>
  <c r="D219" i="7"/>
  <c r="A219" i="7"/>
  <c r="D218" i="7"/>
  <c r="A218" i="7"/>
  <c r="D217" i="7"/>
  <c r="A217" i="7"/>
  <c r="D216" i="7"/>
  <c r="A216" i="7"/>
  <c r="D215" i="7"/>
  <c r="A215" i="7"/>
  <c r="D214" i="7"/>
  <c r="A214" i="7"/>
  <c r="D213" i="7"/>
  <c r="A213" i="7"/>
  <c r="D212" i="7"/>
  <c r="A212" i="7"/>
  <c r="D211" i="7"/>
  <c r="A211" i="7"/>
  <c r="D210" i="7"/>
  <c r="A210" i="7"/>
  <c r="D209" i="7"/>
  <c r="A209" i="7"/>
  <c r="D208" i="7"/>
  <c r="A208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A9" i="7"/>
  <c r="D8" i="7"/>
  <c r="A8" i="7"/>
  <c r="D7" i="7"/>
  <c r="A7" i="7"/>
  <c r="D6" i="7"/>
  <c r="A6" i="7"/>
  <c r="D5" i="7"/>
  <c r="A5" i="7"/>
  <c r="D4" i="7"/>
  <c r="A4" i="7"/>
  <c r="D3" i="7"/>
  <c r="A3" i="7"/>
  <c r="D2" i="7"/>
  <c r="A2" i="7"/>
  <c r="D1833" i="6"/>
  <c r="A1833" i="6"/>
  <c r="D1832" i="6"/>
  <c r="A1832" i="6"/>
  <c r="D1831" i="6"/>
  <c r="A1831" i="6"/>
  <c r="D1830" i="6"/>
  <c r="A1830" i="6"/>
  <c r="D1829" i="6"/>
  <c r="A1829" i="6"/>
  <c r="D1828" i="6"/>
  <c r="A1828" i="6"/>
  <c r="D1827" i="6"/>
  <c r="A1827" i="6"/>
  <c r="D1826" i="6"/>
  <c r="A1826" i="6"/>
  <c r="D1825" i="6"/>
  <c r="A1825" i="6"/>
  <c r="D1824" i="6"/>
  <c r="A1824" i="6"/>
  <c r="D1823" i="6"/>
  <c r="A1823" i="6"/>
  <c r="D1822" i="6"/>
  <c r="A1822" i="6"/>
  <c r="D1821" i="6"/>
  <c r="A1821" i="6"/>
  <c r="D1820" i="6"/>
  <c r="A1820" i="6"/>
  <c r="D1819" i="6"/>
  <c r="A1819" i="6"/>
  <c r="D1818" i="6"/>
  <c r="A1818" i="6"/>
  <c r="D1817" i="6"/>
  <c r="A1817" i="6"/>
  <c r="D1816" i="6"/>
  <c r="A1816" i="6"/>
  <c r="D1815" i="6"/>
  <c r="A1815" i="6"/>
  <c r="D1814" i="6"/>
  <c r="A1814" i="6"/>
  <c r="D1813" i="6"/>
  <c r="A1813" i="6"/>
  <c r="D1812" i="6"/>
  <c r="A1812" i="6"/>
  <c r="D1811" i="6"/>
  <c r="A1811" i="6"/>
  <c r="D1810" i="6"/>
  <c r="A1810" i="6"/>
  <c r="D1809" i="6"/>
  <c r="A1809" i="6"/>
  <c r="D1808" i="6"/>
  <c r="A1808" i="6"/>
  <c r="D1807" i="6"/>
  <c r="A1807" i="6"/>
  <c r="D1806" i="6"/>
  <c r="A1806" i="6"/>
  <c r="D1805" i="6"/>
  <c r="A1805" i="6"/>
  <c r="D1804" i="6"/>
  <c r="A1804" i="6"/>
  <c r="D1803" i="6"/>
  <c r="A1803" i="6"/>
  <c r="D1802" i="6"/>
  <c r="A1802" i="6"/>
  <c r="D1801" i="6"/>
  <c r="A1801" i="6"/>
  <c r="D1800" i="6"/>
  <c r="A1800" i="6"/>
  <c r="D1799" i="6"/>
  <c r="A1799" i="6"/>
  <c r="D1798" i="6"/>
  <c r="A1798" i="6"/>
  <c r="D1797" i="6"/>
  <c r="A1797" i="6"/>
  <c r="D1796" i="6"/>
  <c r="A1796" i="6"/>
  <c r="D1795" i="6"/>
  <c r="A1795" i="6"/>
  <c r="D1794" i="6"/>
  <c r="A1794" i="6"/>
  <c r="D1793" i="6"/>
  <c r="A1793" i="6"/>
  <c r="D1792" i="6"/>
  <c r="A1792" i="6"/>
  <c r="D1791" i="6"/>
  <c r="A1791" i="6"/>
  <c r="D1790" i="6"/>
  <c r="A1790" i="6"/>
  <c r="D1789" i="6"/>
  <c r="A1789" i="6"/>
  <c r="D1788" i="6"/>
  <c r="A1788" i="6"/>
  <c r="D1787" i="6"/>
  <c r="A1787" i="6"/>
  <c r="D1786" i="6"/>
  <c r="A1786" i="6"/>
  <c r="D1785" i="6"/>
  <c r="A1785" i="6"/>
  <c r="D1784" i="6"/>
  <c r="A1784" i="6"/>
  <c r="D1783" i="6"/>
  <c r="A1783" i="6"/>
  <c r="D1782" i="6"/>
  <c r="A1782" i="6"/>
  <c r="D1781" i="6"/>
  <c r="A1781" i="6"/>
  <c r="D1780" i="6"/>
  <c r="A1780" i="6"/>
  <c r="D1779" i="6"/>
  <c r="A1779" i="6"/>
  <c r="D1778" i="6"/>
  <c r="A1778" i="6"/>
  <c r="D1777" i="6"/>
  <c r="A1777" i="6"/>
  <c r="D1776" i="6"/>
  <c r="A1776" i="6"/>
  <c r="D1775" i="6"/>
  <c r="A1775" i="6"/>
  <c r="D1774" i="6"/>
  <c r="A1774" i="6"/>
  <c r="D1773" i="6"/>
  <c r="A1773" i="6"/>
  <c r="D1772" i="6"/>
  <c r="A1772" i="6"/>
  <c r="D1771" i="6"/>
  <c r="A1771" i="6"/>
  <c r="D1770" i="6"/>
  <c r="A1770" i="6"/>
  <c r="D1769" i="6"/>
  <c r="A1769" i="6"/>
  <c r="D1768" i="6"/>
  <c r="A1768" i="6"/>
  <c r="D1767" i="6"/>
  <c r="A1767" i="6"/>
  <c r="D1766" i="6"/>
  <c r="A1766" i="6"/>
  <c r="D1765" i="6"/>
  <c r="A1765" i="6"/>
  <c r="D1764" i="6"/>
  <c r="A1764" i="6"/>
  <c r="D1763" i="6"/>
  <c r="A1763" i="6"/>
  <c r="D1762" i="6"/>
  <c r="A1762" i="6"/>
  <c r="D1761" i="6"/>
  <c r="A1761" i="6"/>
  <c r="D1760" i="6"/>
  <c r="A1760" i="6"/>
  <c r="D1759" i="6"/>
  <c r="A1759" i="6"/>
  <c r="D1758" i="6"/>
  <c r="A1758" i="6"/>
  <c r="D1757" i="6"/>
  <c r="A1757" i="6"/>
  <c r="D1756" i="6"/>
  <c r="A1756" i="6"/>
  <c r="D1755" i="6"/>
  <c r="A1755" i="6"/>
  <c r="D1754" i="6"/>
  <c r="A1754" i="6"/>
  <c r="D1753" i="6"/>
  <c r="A1753" i="6"/>
  <c r="D1752" i="6"/>
  <c r="A1752" i="6"/>
  <c r="D1751" i="6"/>
  <c r="A1751" i="6"/>
  <c r="D1750" i="6"/>
  <c r="A1750" i="6"/>
  <c r="D1749" i="6"/>
  <c r="A1749" i="6"/>
  <c r="D1748" i="6"/>
  <c r="A1748" i="6"/>
  <c r="D1747" i="6"/>
  <c r="A1747" i="6"/>
  <c r="D1746" i="6"/>
  <c r="A1746" i="6"/>
  <c r="D1745" i="6"/>
  <c r="A1745" i="6"/>
  <c r="D1744" i="6"/>
  <c r="A1744" i="6"/>
  <c r="D1743" i="6"/>
  <c r="A1743" i="6"/>
  <c r="D1742" i="6"/>
  <c r="A1742" i="6"/>
  <c r="D1741" i="6"/>
  <c r="A1741" i="6"/>
  <c r="D1740" i="6"/>
  <c r="A1740" i="6"/>
  <c r="D1739" i="6"/>
  <c r="A1739" i="6"/>
  <c r="D1738" i="6"/>
  <c r="A1738" i="6"/>
  <c r="D1737" i="6"/>
  <c r="A1737" i="6"/>
  <c r="D1736" i="6"/>
  <c r="A1736" i="6"/>
  <c r="D1735" i="6"/>
  <c r="A1735" i="6"/>
  <c r="D1734" i="6"/>
  <c r="A1734" i="6"/>
  <c r="D1733" i="6"/>
  <c r="A1733" i="6"/>
  <c r="D1732" i="6"/>
  <c r="A1732" i="6"/>
  <c r="D1731" i="6"/>
  <c r="A1731" i="6"/>
  <c r="D1730" i="6"/>
  <c r="A1730" i="6"/>
  <c r="D1729" i="6"/>
  <c r="A1729" i="6"/>
  <c r="D1728" i="6"/>
  <c r="A1728" i="6"/>
  <c r="D1727" i="6"/>
  <c r="A1727" i="6"/>
  <c r="D1726" i="6"/>
  <c r="A1726" i="6"/>
  <c r="D1725" i="6"/>
  <c r="A1725" i="6"/>
  <c r="D1724" i="6"/>
  <c r="A1724" i="6"/>
  <c r="D1723" i="6"/>
  <c r="A1723" i="6"/>
  <c r="D1722" i="6"/>
  <c r="A1722" i="6"/>
  <c r="D1721" i="6"/>
  <c r="A1721" i="6"/>
  <c r="D1720" i="6"/>
  <c r="A1720" i="6"/>
  <c r="D1719" i="6"/>
  <c r="A1719" i="6"/>
  <c r="D1718" i="6"/>
  <c r="A1718" i="6"/>
  <c r="D1717" i="6"/>
  <c r="A1717" i="6"/>
  <c r="D1716" i="6"/>
  <c r="A1716" i="6"/>
  <c r="D1715" i="6"/>
  <c r="A1715" i="6"/>
  <c r="D1714" i="6"/>
  <c r="A1714" i="6"/>
  <c r="D1713" i="6"/>
  <c r="A1713" i="6"/>
  <c r="D1712" i="6"/>
  <c r="A1712" i="6"/>
  <c r="D1711" i="6"/>
  <c r="A1711" i="6"/>
  <c r="D1710" i="6"/>
  <c r="A1710" i="6"/>
  <c r="D1709" i="6"/>
  <c r="A1709" i="6"/>
  <c r="D1708" i="6"/>
  <c r="A1708" i="6"/>
  <c r="D1707" i="6"/>
  <c r="A1707" i="6"/>
  <c r="D1706" i="6"/>
  <c r="A1706" i="6"/>
  <c r="D1705" i="6"/>
  <c r="A1705" i="6"/>
  <c r="D1704" i="6"/>
  <c r="A1704" i="6"/>
  <c r="D1703" i="6"/>
  <c r="A1703" i="6"/>
  <c r="D1702" i="6"/>
  <c r="A1702" i="6"/>
  <c r="D1701" i="6"/>
  <c r="A1701" i="6"/>
  <c r="D1700" i="6"/>
  <c r="A1700" i="6"/>
  <c r="D1699" i="6"/>
  <c r="A1699" i="6"/>
  <c r="D1698" i="6"/>
  <c r="A1698" i="6"/>
  <c r="D1697" i="6"/>
  <c r="A1697" i="6"/>
  <c r="D1696" i="6"/>
  <c r="A1696" i="6"/>
  <c r="D1695" i="6"/>
  <c r="A1695" i="6"/>
  <c r="D1694" i="6"/>
  <c r="A1694" i="6"/>
  <c r="D1693" i="6"/>
  <c r="A1693" i="6"/>
  <c r="D1692" i="6"/>
  <c r="A1692" i="6"/>
  <c r="D1691" i="6"/>
  <c r="A1691" i="6"/>
  <c r="D1690" i="6"/>
  <c r="A1690" i="6"/>
  <c r="D1689" i="6"/>
  <c r="A1689" i="6"/>
  <c r="D1688" i="6"/>
  <c r="A1688" i="6"/>
  <c r="D1687" i="6"/>
  <c r="A1687" i="6"/>
  <c r="D1686" i="6"/>
  <c r="A1686" i="6"/>
  <c r="D1685" i="6"/>
  <c r="A1685" i="6"/>
  <c r="D1684" i="6"/>
  <c r="A1684" i="6"/>
  <c r="D1683" i="6"/>
  <c r="A1683" i="6"/>
  <c r="D1682" i="6"/>
  <c r="A1682" i="6"/>
  <c r="D1681" i="6"/>
  <c r="A1681" i="6"/>
  <c r="D1680" i="6"/>
  <c r="A1680" i="6"/>
  <c r="D1679" i="6"/>
  <c r="A1679" i="6"/>
  <c r="D1678" i="6"/>
  <c r="A1678" i="6"/>
  <c r="D1677" i="6"/>
  <c r="A1677" i="6"/>
  <c r="D1676" i="6"/>
  <c r="A1676" i="6"/>
  <c r="D1675" i="6"/>
  <c r="A1675" i="6"/>
  <c r="D1674" i="6"/>
  <c r="A1674" i="6"/>
  <c r="D1673" i="6"/>
  <c r="A1673" i="6"/>
  <c r="D1672" i="6"/>
  <c r="A1672" i="6"/>
  <c r="D1671" i="6"/>
  <c r="A1671" i="6"/>
  <c r="D1670" i="6"/>
  <c r="A1670" i="6"/>
  <c r="D1669" i="6"/>
  <c r="A1669" i="6"/>
  <c r="D1668" i="6"/>
  <c r="A1668" i="6"/>
  <c r="D1667" i="6"/>
  <c r="A1667" i="6"/>
  <c r="D1666" i="6"/>
  <c r="A1666" i="6"/>
  <c r="D1665" i="6"/>
  <c r="A1665" i="6"/>
  <c r="D1664" i="6"/>
  <c r="A1664" i="6"/>
  <c r="D1663" i="6"/>
  <c r="A1663" i="6"/>
  <c r="D1662" i="6"/>
  <c r="A1662" i="6"/>
  <c r="D1661" i="6"/>
  <c r="A1661" i="6"/>
  <c r="D1660" i="6"/>
  <c r="A1660" i="6"/>
  <c r="D1659" i="6"/>
  <c r="A1659" i="6"/>
  <c r="D1658" i="6"/>
  <c r="A1658" i="6"/>
  <c r="D1657" i="6"/>
  <c r="A1657" i="6"/>
  <c r="D1656" i="6"/>
  <c r="A1656" i="6"/>
  <c r="D1655" i="6"/>
  <c r="A1655" i="6"/>
  <c r="D1654" i="6"/>
  <c r="A1654" i="6"/>
  <c r="D1653" i="6"/>
  <c r="A1653" i="6"/>
  <c r="D1652" i="6"/>
  <c r="A1652" i="6"/>
  <c r="D1651" i="6"/>
  <c r="A1651" i="6"/>
  <c r="D1650" i="6"/>
  <c r="A1650" i="6"/>
  <c r="D1649" i="6"/>
  <c r="A1649" i="6"/>
  <c r="D1648" i="6"/>
  <c r="A1648" i="6"/>
  <c r="D1647" i="6"/>
  <c r="A1647" i="6"/>
  <c r="D1646" i="6"/>
  <c r="A1646" i="6"/>
  <c r="D1645" i="6"/>
  <c r="A1645" i="6"/>
  <c r="D1644" i="6"/>
  <c r="A1644" i="6"/>
  <c r="D1643" i="6"/>
  <c r="A1643" i="6"/>
  <c r="D1642" i="6"/>
  <c r="A1642" i="6"/>
  <c r="D1641" i="6"/>
  <c r="A1641" i="6"/>
  <c r="D1640" i="6"/>
  <c r="A1640" i="6"/>
  <c r="D1639" i="6"/>
  <c r="A1639" i="6"/>
  <c r="D1638" i="6"/>
  <c r="A1638" i="6"/>
  <c r="D1637" i="6"/>
  <c r="A1637" i="6"/>
  <c r="D1636" i="6"/>
  <c r="A1636" i="6"/>
  <c r="D1635" i="6"/>
  <c r="A1635" i="6"/>
  <c r="D1634" i="6"/>
  <c r="A1634" i="6"/>
  <c r="D1633" i="6"/>
  <c r="A1633" i="6"/>
  <c r="D1632" i="6"/>
  <c r="A1632" i="6"/>
  <c r="D1631" i="6"/>
  <c r="A1631" i="6"/>
  <c r="D1630" i="6"/>
  <c r="A1630" i="6"/>
  <c r="D1629" i="6"/>
  <c r="A1629" i="6"/>
  <c r="D1628" i="6"/>
  <c r="A1628" i="6"/>
  <c r="D1627" i="6"/>
  <c r="A1627" i="6"/>
  <c r="D1626" i="6"/>
  <c r="A1626" i="6"/>
  <c r="D1625" i="6"/>
  <c r="A1625" i="6"/>
  <c r="D1624" i="6"/>
  <c r="A1624" i="6"/>
  <c r="D1623" i="6"/>
  <c r="A1623" i="6"/>
  <c r="D1622" i="6"/>
  <c r="A1622" i="6"/>
  <c r="D1621" i="6"/>
  <c r="A1621" i="6"/>
  <c r="D1620" i="6"/>
  <c r="A1620" i="6"/>
  <c r="D1619" i="6"/>
  <c r="A1619" i="6"/>
  <c r="D1618" i="6"/>
  <c r="A1618" i="6"/>
  <c r="D1617" i="6"/>
  <c r="A1617" i="6"/>
  <c r="D1616" i="6"/>
  <c r="A1616" i="6"/>
  <c r="D1615" i="6"/>
  <c r="A1615" i="6"/>
  <c r="D1614" i="6"/>
  <c r="A1614" i="6"/>
  <c r="D1613" i="6"/>
  <c r="A1613" i="6"/>
  <c r="D1612" i="6"/>
  <c r="A1612" i="6"/>
  <c r="D1611" i="6"/>
  <c r="A1611" i="6"/>
  <c r="D1610" i="6"/>
  <c r="A1610" i="6"/>
  <c r="D1609" i="6"/>
  <c r="A1609" i="6"/>
  <c r="D1608" i="6"/>
  <c r="A1608" i="6"/>
  <c r="D1607" i="6"/>
  <c r="A1607" i="6"/>
  <c r="D1606" i="6"/>
  <c r="A1606" i="6"/>
  <c r="D1605" i="6"/>
  <c r="A1605" i="6"/>
  <c r="D1604" i="6"/>
  <c r="A1604" i="6"/>
  <c r="D1603" i="6"/>
  <c r="A1603" i="6"/>
  <c r="D1602" i="6"/>
  <c r="A1602" i="6"/>
  <c r="D1601" i="6"/>
  <c r="A1601" i="6"/>
  <c r="D1600" i="6"/>
  <c r="A1600" i="6"/>
  <c r="D1599" i="6"/>
  <c r="A1599" i="6"/>
  <c r="D1598" i="6"/>
  <c r="A1598" i="6"/>
  <c r="D1597" i="6"/>
  <c r="A1597" i="6"/>
  <c r="D1596" i="6"/>
  <c r="A1596" i="6"/>
  <c r="D1595" i="6"/>
  <c r="A1595" i="6"/>
  <c r="D1594" i="6"/>
  <c r="A1594" i="6"/>
  <c r="D1593" i="6"/>
  <c r="A1593" i="6"/>
  <c r="D1592" i="6"/>
  <c r="A1592" i="6"/>
  <c r="D1591" i="6"/>
  <c r="A1591" i="6"/>
  <c r="D1590" i="6"/>
  <c r="A1590" i="6"/>
  <c r="D1589" i="6"/>
  <c r="A1589" i="6"/>
  <c r="D1588" i="6"/>
  <c r="A1588" i="6"/>
  <c r="D1587" i="6"/>
  <c r="A1587" i="6"/>
  <c r="D1586" i="6"/>
  <c r="A1586" i="6"/>
  <c r="D1585" i="6"/>
  <c r="A1585" i="6"/>
  <c r="D1584" i="6"/>
  <c r="A1584" i="6"/>
  <c r="D1583" i="6"/>
  <c r="A1583" i="6"/>
  <c r="D1582" i="6"/>
  <c r="A1582" i="6"/>
  <c r="D1581" i="6"/>
  <c r="A1581" i="6"/>
  <c r="D1580" i="6"/>
  <c r="A1580" i="6"/>
  <c r="D1579" i="6"/>
  <c r="A1579" i="6"/>
  <c r="D1578" i="6"/>
  <c r="A1578" i="6"/>
  <c r="D1577" i="6"/>
  <c r="A1577" i="6"/>
  <c r="D1576" i="6"/>
  <c r="A1576" i="6"/>
  <c r="D1575" i="6"/>
  <c r="A1575" i="6"/>
  <c r="D1574" i="6"/>
  <c r="A1574" i="6"/>
  <c r="D1573" i="6"/>
  <c r="A1573" i="6"/>
  <c r="D1572" i="6"/>
  <c r="A1572" i="6"/>
  <c r="D1571" i="6"/>
  <c r="A1571" i="6"/>
  <c r="D1570" i="6"/>
  <c r="A1570" i="6"/>
  <c r="D1569" i="6"/>
  <c r="A1569" i="6"/>
  <c r="D1568" i="6"/>
  <c r="A1568" i="6"/>
  <c r="D1567" i="6"/>
  <c r="A1567" i="6"/>
  <c r="D1566" i="6"/>
  <c r="A1566" i="6"/>
  <c r="D1565" i="6"/>
  <c r="A1565" i="6"/>
  <c r="D1564" i="6"/>
  <c r="A1564" i="6"/>
  <c r="D1563" i="6"/>
  <c r="A1563" i="6"/>
  <c r="D1562" i="6"/>
  <c r="A1562" i="6"/>
  <c r="D1561" i="6"/>
  <c r="A1561" i="6"/>
  <c r="D1560" i="6"/>
  <c r="A1560" i="6"/>
  <c r="D1559" i="6"/>
  <c r="A1559" i="6"/>
  <c r="D1558" i="6"/>
  <c r="A1558" i="6"/>
  <c r="D1557" i="6"/>
  <c r="A1557" i="6"/>
  <c r="D1556" i="6"/>
  <c r="A1556" i="6"/>
  <c r="D1555" i="6"/>
  <c r="A1555" i="6"/>
  <c r="D1554" i="6"/>
  <c r="A1554" i="6"/>
  <c r="D1553" i="6"/>
  <c r="A1553" i="6"/>
  <c r="D1552" i="6"/>
  <c r="A1552" i="6"/>
  <c r="D1551" i="6"/>
  <c r="A1551" i="6"/>
  <c r="D1550" i="6"/>
  <c r="A1550" i="6"/>
  <c r="D1549" i="6"/>
  <c r="A1549" i="6"/>
  <c r="D1548" i="6"/>
  <c r="A1548" i="6"/>
  <c r="D1547" i="6"/>
  <c r="A1547" i="6"/>
  <c r="D1546" i="6"/>
  <c r="A1546" i="6"/>
  <c r="D1545" i="6"/>
  <c r="A1545" i="6"/>
  <c r="D1544" i="6"/>
  <c r="A1544" i="6"/>
  <c r="D1543" i="6"/>
  <c r="A1543" i="6"/>
  <c r="D1542" i="6"/>
  <c r="A1542" i="6"/>
  <c r="D1541" i="6"/>
  <c r="A1541" i="6"/>
  <c r="D1540" i="6"/>
  <c r="A1540" i="6"/>
  <c r="D1539" i="6"/>
  <c r="A1539" i="6"/>
  <c r="D1538" i="6"/>
  <c r="A1538" i="6"/>
  <c r="D1537" i="6"/>
  <c r="A1537" i="6"/>
  <c r="D1536" i="6"/>
  <c r="A1536" i="6"/>
  <c r="D1535" i="6"/>
  <c r="A1535" i="6"/>
  <c r="D1534" i="6"/>
  <c r="A1534" i="6"/>
  <c r="D1533" i="6"/>
  <c r="A1533" i="6"/>
  <c r="D1532" i="6"/>
  <c r="A1532" i="6"/>
  <c r="D1531" i="6"/>
  <c r="A1531" i="6"/>
  <c r="D1530" i="6"/>
  <c r="A1530" i="6"/>
  <c r="D1529" i="6"/>
  <c r="A1529" i="6"/>
  <c r="D1528" i="6"/>
  <c r="A1528" i="6"/>
  <c r="D1527" i="6"/>
  <c r="A1527" i="6"/>
  <c r="D1526" i="6"/>
  <c r="A1526" i="6"/>
  <c r="D1525" i="6"/>
  <c r="A1525" i="6"/>
  <c r="D1524" i="6"/>
  <c r="A1524" i="6"/>
  <c r="D1523" i="6"/>
  <c r="A1523" i="6"/>
  <c r="D1522" i="6"/>
  <c r="A1522" i="6"/>
  <c r="D1521" i="6"/>
  <c r="A1521" i="6"/>
  <c r="D1520" i="6"/>
  <c r="A1520" i="6"/>
  <c r="D1519" i="6"/>
  <c r="A1519" i="6"/>
  <c r="D1518" i="6"/>
  <c r="A1518" i="6"/>
  <c r="D1517" i="6"/>
  <c r="A1517" i="6"/>
  <c r="D1516" i="6"/>
  <c r="A1516" i="6"/>
  <c r="D1515" i="6"/>
  <c r="A1515" i="6"/>
  <c r="D1514" i="6"/>
  <c r="A1514" i="6"/>
  <c r="D1513" i="6"/>
  <c r="A1513" i="6"/>
  <c r="D1512" i="6"/>
  <c r="A1512" i="6"/>
  <c r="D1511" i="6"/>
  <c r="A1511" i="6"/>
  <c r="D1510" i="6"/>
  <c r="A1510" i="6"/>
  <c r="D1509" i="6"/>
  <c r="A1509" i="6"/>
  <c r="D1508" i="6"/>
  <c r="A1508" i="6"/>
  <c r="D1507" i="6"/>
  <c r="A1507" i="6"/>
  <c r="D1506" i="6"/>
  <c r="A1506" i="6"/>
  <c r="D1505" i="6"/>
  <c r="A1505" i="6"/>
  <c r="D1504" i="6"/>
  <c r="A1504" i="6"/>
  <c r="D1503" i="6"/>
  <c r="A1503" i="6"/>
  <c r="D1502" i="6"/>
  <c r="A1502" i="6"/>
  <c r="D1501" i="6"/>
  <c r="A1501" i="6"/>
  <c r="D1500" i="6"/>
  <c r="A1500" i="6"/>
  <c r="D1499" i="6"/>
  <c r="A1499" i="6"/>
  <c r="D1498" i="6"/>
  <c r="A1498" i="6"/>
  <c r="D1497" i="6"/>
  <c r="A1497" i="6"/>
  <c r="D1496" i="6"/>
  <c r="A1496" i="6"/>
  <c r="D1495" i="6"/>
  <c r="A1495" i="6"/>
  <c r="D1494" i="6"/>
  <c r="A1494" i="6"/>
  <c r="D1493" i="6"/>
  <c r="A1493" i="6"/>
  <c r="D1492" i="6"/>
  <c r="A1492" i="6"/>
  <c r="D1491" i="6"/>
  <c r="A1491" i="6"/>
  <c r="D1490" i="6"/>
  <c r="A1490" i="6"/>
  <c r="D1489" i="6"/>
  <c r="A1489" i="6"/>
  <c r="D1488" i="6"/>
  <c r="A1488" i="6"/>
  <c r="D1487" i="6"/>
  <c r="A1487" i="6"/>
  <c r="D1486" i="6"/>
  <c r="A1486" i="6"/>
  <c r="D1485" i="6"/>
  <c r="A1485" i="6"/>
  <c r="D1484" i="6"/>
  <c r="A1484" i="6"/>
  <c r="D1483" i="6"/>
  <c r="A1483" i="6"/>
  <c r="D1482" i="6"/>
  <c r="A1482" i="6"/>
  <c r="D1481" i="6"/>
  <c r="A1481" i="6"/>
  <c r="D1480" i="6"/>
  <c r="A1480" i="6"/>
  <c r="D1479" i="6"/>
  <c r="A1479" i="6"/>
  <c r="D1478" i="6"/>
  <c r="A1478" i="6"/>
  <c r="D1477" i="6"/>
  <c r="A1477" i="6"/>
  <c r="D1476" i="6"/>
  <c r="A1476" i="6"/>
  <c r="D1475" i="6"/>
  <c r="A1475" i="6"/>
  <c r="D1474" i="6"/>
  <c r="A1474" i="6"/>
  <c r="D1473" i="6"/>
  <c r="A1473" i="6"/>
  <c r="D1472" i="6"/>
  <c r="A1472" i="6"/>
  <c r="D1471" i="6"/>
  <c r="A1471" i="6"/>
  <c r="D1470" i="6"/>
  <c r="A1470" i="6"/>
  <c r="D1469" i="6"/>
  <c r="A1469" i="6"/>
  <c r="D1468" i="6"/>
  <c r="A1468" i="6"/>
  <c r="D1467" i="6"/>
  <c r="A1467" i="6"/>
  <c r="D1466" i="6"/>
  <c r="A1466" i="6"/>
  <c r="D1465" i="6"/>
  <c r="A1465" i="6"/>
  <c r="D1464" i="6"/>
  <c r="A1464" i="6"/>
  <c r="D1463" i="6"/>
  <c r="A1463" i="6"/>
  <c r="D1462" i="6"/>
  <c r="A1462" i="6"/>
  <c r="D1461" i="6"/>
  <c r="A1461" i="6"/>
  <c r="D1460" i="6"/>
  <c r="A1460" i="6"/>
  <c r="D1459" i="6"/>
  <c r="A1459" i="6"/>
  <c r="D1458" i="6"/>
  <c r="A1458" i="6"/>
  <c r="D1457" i="6"/>
  <c r="A1457" i="6"/>
  <c r="D1456" i="6"/>
  <c r="A1456" i="6"/>
  <c r="D1455" i="6"/>
  <c r="A1455" i="6"/>
  <c r="D1454" i="6"/>
  <c r="A1454" i="6"/>
  <c r="D1453" i="6"/>
  <c r="A1453" i="6"/>
  <c r="D1452" i="6"/>
  <c r="A1452" i="6"/>
  <c r="D1451" i="6"/>
  <c r="A1451" i="6"/>
  <c r="D1450" i="6"/>
  <c r="A1450" i="6"/>
  <c r="D1449" i="6"/>
  <c r="A1449" i="6"/>
  <c r="D1448" i="6"/>
  <c r="A1448" i="6"/>
  <c r="D1447" i="6"/>
  <c r="A1447" i="6"/>
  <c r="D1446" i="6"/>
  <c r="A1446" i="6"/>
  <c r="D1445" i="6"/>
  <c r="A1445" i="6"/>
  <c r="D1444" i="6"/>
  <c r="A1444" i="6"/>
  <c r="D1443" i="6"/>
  <c r="A1443" i="6"/>
  <c r="D1442" i="6"/>
  <c r="A1442" i="6"/>
  <c r="D1441" i="6"/>
  <c r="A1441" i="6"/>
  <c r="D1440" i="6"/>
  <c r="A1440" i="6"/>
  <c r="D1439" i="6"/>
  <c r="A1439" i="6"/>
  <c r="D1438" i="6"/>
  <c r="A1438" i="6"/>
  <c r="D1437" i="6"/>
  <c r="A1437" i="6"/>
  <c r="D1436" i="6"/>
  <c r="A1436" i="6"/>
  <c r="D1435" i="6"/>
  <c r="A1435" i="6"/>
  <c r="D1434" i="6"/>
  <c r="A1434" i="6"/>
  <c r="D1433" i="6"/>
  <c r="A1433" i="6"/>
  <c r="D1432" i="6"/>
  <c r="A1432" i="6"/>
  <c r="D1431" i="6"/>
  <c r="A1431" i="6"/>
  <c r="D1430" i="6"/>
  <c r="A1430" i="6"/>
  <c r="D1429" i="6"/>
  <c r="A1429" i="6"/>
  <c r="D1428" i="6"/>
  <c r="A1428" i="6"/>
  <c r="D1427" i="6"/>
  <c r="A1427" i="6"/>
  <c r="D1426" i="6"/>
  <c r="A1426" i="6"/>
  <c r="D1425" i="6"/>
  <c r="A1425" i="6"/>
  <c r="D1424" i="6"/>
  <c r="A1424" i="6"/>
  <c r="D1423" i="6"/>
  <c r="A1423" i="6"/>
  <c r="D1422" i="6"/>
  <c r="A1422" i="6"/>
  <c r="D1421" i="6"/>
  <c r="A1421" i="6"/>
  <c r="D1420" i="6"/>
  <c r="A1420" i="6"/>
  <c r="D1419" i="6"/>
  <c r="A1419" i="6"/>
  <c r="D1418" i="6"/>
  <c r="A1418" i="6"/>
  <c r="D1417" i="6"/>
  <c r="A1417" i="6"/>
  <c r="D1416" i="6"/>
  <c r="A1416" i="6"/>
  <c r="D1415" i="6"/>
  <c r="A1415" i="6"/>
  <c r="D1414" i="6"/>
  <c r="A1414" i="6"/>
  <c r="D1413" i="6"/>
  <c r="A1413" i="6"/>
  <c r="D1412" i="6"/>
  <c r="A1412" i="6"/>
  <c r="D1411" i="6"/>
  <c r="A1411" i="6"/>
  <c r="D1410" i="6"/>
  <c r="A1410" i="6"/>
  <c r="D1409" i="6"/>
  <c r="A1409" i="6"/>
  <c r="D1408" i="6"/>
  <c r="A1408" i="6"/>
  <c r="D1407" i="6"/>
  <c r="A1407" i="6"/>
  <c r="D1406" i="6"/>
  <c r="A1406" i="6"/>
  <c r="D1405" i="6"/>
  <c r="A1405" i="6"/>
  <c r="D1404" i="6"/>
  <c r="A1404" i="6"/>
  <c r="D1403" i="6"/>
  <c r="A1403" i="6"/>
  <c r="D1402" i="6"/>
  <c r="A1402" i="6"/>
  <c r="D1401" i="6"/>
  <c r="A1401" i="6"/>
  <c r="D1400" i="6"/>
  <c r="A1400" i="6"/>
  <c r="D1399" i="6"/>
  <c r="A1399" i="6"/>
  <c r="D1398" i="6"/>
  <c r="A1398" i="6"/>
  <c r="D1397" i="6"/>
  <c r="A1397" i="6"/>
  <c r="D1396" i="6"/>
  <c r="A1396" i="6"/>
  <c r="D1395" i="6"/>
  <c r="A1395" i="6"/>
  <c r="D1394" i="6"/>
  <c r="A1394" i="6"/>
  <c r="D1393" i="6"/>
  <c r="A1393" i="6"/>
  <c r="D1392" i="6"/>
  <c r="A1392" i="6"/>
  <c r="D1391" i="6"/>
  <c r="A1391" i="6"/>
  <c r="D1390" i="6"/>
  <c r="A1390" i="6"/>
  <c r="D1389" i="6"/>
  <c r="A1389" i="6"/>
  <c r="D1388" i="6"/>
  <c r="A1388" i="6"/>
  <c r="D1387" i="6"/>
  <c r="A1387" i="6"/>
  <c r="D1386" i="6"/>
  <c r="A1386" i="6"/>
  <c r="D1385" i="6"/>
  <c r="A1385" i="6"/>
  <c r="D1384" i="6"/>
  <c r="A1384" i="6"/>
  <c r="D1383" i="6"/>
  <c r="A1383" i="6"/>
  <c r="D1382" i="6"/>
  <c r="A1382" i="6"/>
  <c r="D1381" i="6"/>
  <c r="A1381" i="6"/>
  <c r="D1380" i="6"/>
  <c r="A1380" i="6"/>
  <c r="D1379" i="6"/>
  <c r="A1379" i="6"/>
  <c r="D1378" i="6"/>
  <c r="A1378" i="6"/>
  <c r="D1377" i="6"/>
  <c r="A1377" i="6"/>
  <c r="D1376" i="6"/>
  <c r="A1376" i="6"/>
  <c r="D1375" i="6"/>
  <c r="A1375" i="6"/>
  <c r="D1374" i="6"/>
  <c r="A1374" i="6"/>
  <c r="D1373" i="6"/>
  <c r="A1373" i="6"/>
  <c r="D1372" i="6"/>
  <c r="A1372" i="6"/>
  <c r="D1371" i="6"/>
  <c r="A1371" i="6"/>
  <c r="D1370" i="6"/>
  <c r="A1370" i="6"/>
  <c r="D1369" i="6"/>
  <c r="A1369" i="6"/>
  <c r="D1368" i="6"/>
  <c r="A1368" i="6"/>
  <c r="D1367" i="6"/>
  <c r="A1367" i="6"/>
  <c r="D1366" i="6"/>
  <c r="A1366" i="6"/>
  <c r="D1365" i="6"/>
  <c r="A1365" i="6"/>
  <c r="D1364" i="6"/>
  <c r="A1364" i="6"/>
  <c r="D1363" i="6"/>
  <c r="A1363" i="6"/>
  <c r="D1362" i="6"/>
  <c r="A1362" i="6"/>
  <c r="D1361" i="6"/>
  <c r="A1361" i="6"/>
  <c r="D1360" i="6"/>
  <c r="A1360" i="6"/>
  <c r="D1359" i="6"/>
  <c r="A1359" i="6"/>
  <c r="D1358" i="6"/>
  <c r="A1358" i="6"/>
  <c r="D1357" i="6"/>
  <c r="A1357" i="6"/>
  <c r="D1356" i="6"/>
  <c r="A1356" i="6"/>
  <c r="D1355" i="6"/>
  <c r="A1355" i="6"/>
  <c r="D1354" i="6"/>
  <c r="A1354" i="6"/>
  <c r="D1353" i="6"/>
  <c r="A1353" i="6"/>
  <c r="D1352" i="6"/>
  <c r="A1352" i="6"/>
  <c r="D1351" i="6"/>
  <c r="A1351" i="6"/>
  <c r="D1350" i="6"/>
  <c r="A1350" i="6"/>
  <c r="D1349" i="6"/>
  <c r="A1349" i="6"/>
  <c r="D1348" i="6"/>
  <c r="A1348" i="6"/>
  <c r="D1347" i="6"/>
  <c r="A1347" i="6"/>
  <c r="D1346" i="6"/>
  <c r="A1346" i="6"/>
  <c r="D1345" i="6"/>
  <c r="A1345" i="6"/>
  <c r="D1344" i="6"/>
  <c r="A1344" i="6"/>
  <c r="D1343" i="6"/>
  <c r="A1343" i="6"/>
  <c r="D1342" i="6"/>
  <c r="A1342" i="6"/>
  <c r="D1341" i="6"/>
  <c r="A1341" i="6"/>
  <c r="D1340" i="6"/>
  <c r="A1340" i="6"/>
  <c r="D1339" i="6"/>
  <c r="A1339" i="6"/>
  <c r="D1338" i="6"/>
  <c r="A1338" i="6"/>
  <c r="D1337" i="6"/>
  <c r="A1337" i="6"/>
  <c r="D1336" i="6"/>
  <c r="A1336" i="6"/>
  <c r="D1335" i="6"/>
  <c r="A1335" i="6"/>
  <c r="D1334" i="6"/>
  <c r="A1334" i="6"/>
  <c r="D1333" i="6"/>
  <c r="A1333" i="6"/>
  <c r="D1332" i="6"/>
  <c r="A1332" i="6"/>
  <c r="D1331" i="6"/>
  <c r="A1331" i="6"/>
  <c r="D1330" i="6"/>
  <c r="A1330" i="6"/>
  <c r="D1329" i="6"/>
  <c r="A1329" i="6"/>
  <c r="D1328" i="6"/>
  <c r="A1328" i="6"/>
  <c r="D1327" i="6"/>
  <c r="A1327" i="6"/>
  <c r="D1326" i="6"/>
  <c r="A1326" i="6"/>
  <c r="D1325" i="6"/>
  <c r="A1325" i="6"/>
  <c r="D1324" i="6"/>
  <c r="A1324" i="6"/>
  <c r="D1323" i="6"/>
  <c r="A1323" i="6"/>
  <c r="D1322" i="6"/>
  <c r="A1322" i="6"/>
  <c r="D1321" i="6"/>
  <c r="A1321" i="6"/>
  <c r="D1320" i="6"/>
  <c r="A1320" i="6"/>
  <c r="D1319" i="6"/>
  <c r="A1319" i="6"/>
  <c r="D1318" i="6"/>
  <c r="A1318" i="6"/>
  <c r="D1317" i="6"/>
  <c r="A1317" i="6"/>
  <c r="D1316" i="6"/>
  <c r="A1316" i="6"/>
  <c r="D1315" i="6"/>
  <c r="A1315" i="6"/>
  <c r="D1314" i="6"/>
  <c r="A1314" i="6"/>
  <c r="D1313" i="6"/>
  <c r="A1313" i="6"/>
  <c r="D1312" i="6"/>
  <c r="A1312" i="6"/>
  <c r="D1311" i="6"/>
  <c r="A1311" i="6"/>
  <c r="D1310" i="6"/>
  <c r="A1310" i="6"/>
  <c r="D1309" i="6"/>
  <c r="A1309" i="6"/>
  <c r="D1308" i="6"/>
  <c r="A1308" i="6"/>
  <c r="D1307" i="6"/>
  <c r="A1307" i="6"/>
  <c r="D1306" i="6"/>
  <c r="A1306" i="6"/>
  <c r="D1305" i="6"/>
  <c r="A1305" i="6"/>
  <c r="D1304" i="6"/>
  <c r="A1304" i="6"/>
  <c r="D1303" i="6"/>
  <c r="A1303" i="6"/>
  <c r="D1302" i="6"/>
  <c r="A1302" i="6"/>
  <c r="D1301" i="6"/>
  <c r="A1301" i="6"/>
  <c r="D1300" i="6"/>
  <c r="A1300" i="6"/>
  <c r="D1299" i="6"/>
  <c r="A1299" i="6"/>
  <c r="D1298" i="6"/>
  <c r="A1298" i="6"/>
  <c r="D1297" i="6"/>
  <c r="A1297" i="6"/>
  <c r="D1296" i="6"/>
  <c r="A1296" i="6"/>
  <c r="D1295" i="6"/>
  <c r="A1295" i="6"/>
  <c r="D1294" i="6"/>
  <c r="A1294" i="6"/>
  <c r="D1293" i="6"/>
  <c r="A1293" i="6"/>
  <c r="D1292" i="6"/>
  <c r="A1292" i="6"/>
  <c r="D1291" i="6"/>
  <c r="A1291" i="6"/>
  <c r="D1290" i="6"/>
  <c r="A1290" i="6"/>
  <c r="D1289" i="6"/>
  <c r="A1289" i="6"/>
  <c r="D1288" i="6"/>
  <c r="A1288" i="6"/>
  <c r="D1287" i="6"/>
  <c r="A1287" i="6"/>
  <c r="D1286" i="6"/>
  <c r="A1286" i="6"/>
  <c r="D1285" i="6"/>
  <c r="A1285" i="6"/>
  <c r="D1284" i="6"/>
  <c r="A1284" i="6"/>
  <c r="D1283" i="6"/>
  <c r="A1283" i="6"/>
  <c r="D1282" i="6"/>
  <c r="A1282" i="6"/>
  <c r="D1281" i="6"/>
  <c r="A1281" i="6"/>
  <c r="D1280" i="6"/>
  <c r="A1280" i="6"/>
  <c r="D1279" i="6"/>
  <c r="A1279" i="6"/>
  <c r="D1278" i="6"/>
  <c r="A1278" i="6"/>
  <c r="D1277" i="6"/>
  <c r="A1277" i="6"/>
  <c r="D1276" i="6"/>
  <c r="A1276" i="6"/>
  <c r="D1275" i="6"/>
  <c r="A1275" i="6"/>
  <c r="D1274" i="6"/>
  <c r="A1274" i="6"/>
  <c r="D1273" i="6"/>
  <c r="A1273" i="6"/>
  <c r="D1272" i="6"/>
  <c r="A1272" i="6"/>
  <c r="D1271" i="6"/>
  <c r="A1271" i="6"/>
  <c r="D1270" i="6"/>
  <c r="A1270" i="6"/>
  <c r="D1269" i="6"/>
  <c r="A1269" i="6"/>
  <c r="D1268" i="6"/>
  <c r="A1268" i="6"/>
  <c r="D1267" i="6"/>
  <c r="A1267" i="6"/>
  <c r="D1266" i="6"/>
  <c r="A1266" i="6"/>
  <c r="D1265" i="6"/>
  <c r="A1265" i="6"/>
  <c r="D1264" i="6"/>
  <c r="A1264" i="6"/>
  <c r="D1263" i="6"/>
  <c r="A1263" i="6"/>
  <c r="D1262" i="6"/>
  <c r="A1262" i="6"/>
  <c r="D1261" i="6"/>
  <c r="A1261" i="6"/>
  <c r="D1260" i="6"/>
  <c r="A1260" i="6"/>
  <c r="D1259" i="6"/>
  <c r="A1259" i="6"/>
  <c r="D1258" i="6"/>
  <c r="A1258" i="6"/>
  <c r="D1257" i="6"/>
  <c r="A1257" i="6"/>
  <c r="D1256" i="6"/>
  <c r="A1256" i="6"/>
  <c r="D1255" i="6"/>
  <c r="A1255" i="6"/>
  <c r="D1254" i="6"/>
  <c r="A1254" i="6"/>
  <c r="D1253" i="6"/>
  <c r="A1253" i="6"/>
  <c r="D1252" i="6"/>
  <c r="A1252" i="6"/>
  <c r="D1251" i="6"/>
  <c r="A1251" i="6"/>
  <c r="D1250" i="6"/>
  <c r="A1250" i="6"/>
  <c r="D1249" i="6"/>
  <c r="A1249" i="6"/>
  <c r="D1248" i="6"/>
  <c r="A1248" i="6"/>
  <c r="D1247" i="6"/>
  <c r="A1247" i="6"/>
  <c r="D1246" i="6"/>
  <c r="A1246" i="6"/>
  <c r="D1245" i="6"/>
  <c r="A1245" i="6"/>
  <c r="D1244" i="6"/>
  <c r="A1244" i="6"/>
  <c r="D1243" i="6"/>
  <c r="A1243" i="6"/>
  <c r="D1242" i="6"/>
  <c r="A1242" i="6"/>
  <c r="D1241" i="6"/>
  <c r="A1241" i="6"/>
  <c r="D1240" i="6"/>
  <c r="A1240" i="6"/>
  <c r="D1239" i="6"/>
  <c r="A1239" i="6"/>
  <c r="D1238" i="6"/>
  <c r="A1238" i="6"/>
  <c r="D1237" i="6"/>
  <c r="A1237" i="6"/>
  <c r="D1236" i="6"/>
  <c r="A1236" i="6"/>
  <c r="D1235" i="6"/>
  <c r="A1235" i="6"/>
  <c r="D1234" i="6"/>
  <c r="A1234" i="6"/>
  <c r="D1233" i="6"/>
  <c r="A1233" i="6"/>
  <c r="D1232" i="6"/>
  <c r="A1232" i="6"/>
  <c r="D1231" i="6"/>
  <c r="A1231" i="6"/>
  <c r="D1230" i="6"/>
  <c r="A1230" i="6"/>
  <c r="D1229" i="6"/>
  <c r="A1229" i="6"/>
  <c r="D1228" i="6"/>
  <c r="A1228" i="6"/>
  <c r="D1227" i="6"/>
  <c r="A1227" i="6"/>
  <c r="D1226" i="6"/>
  <c r="A1226" i="6"/>
  <c r="D1225" i="6"/>
  <c r="A1225" i="6"/>
  <c r="D1224" i="6"/>
  <c r="A1224" i="6"/>
  <c r="D1223" i="6"/>
  <c r="A1223" i="6"/>
  <c r="D1222" i="6"/>
  <c r="A1222" i="6"/>
  <c r="D1221" i="6"/>
  <c r="A1221" i="6"/>
  <c r="D1220" i="6"/>
  <c r="A1220" i="6"/>
  <c r="D1219" i="6"/>
  <c r="A1219" i="6"/>
  <c r="D1218" i="6"/>
  <c r="A1218" i="6"/>
  <c r="D1217" i="6"/>
  <c r="A1217" i="6"/>
  <c r="D1216" i="6"/>
  <c r="A1216" i="6"/>
  <c r="D1215" i="6"/>
  <c r="A1215" i="6"/>
  <c r="D1214" i="6"/>
  <c r="A1214" i="6"/>
  <c r="D1213" i="6"/>
  <c r="A1213" i="6"/>
  <c r="D1212" i="6"/>
  <c r="A1212" i="6"/>
  <c r="D1211" i="6"/>
  <c r="A1211" i="6"/>
  <c r="D1210" i="6"/>
  <c r="A1210" i="6"/>
  <c r="D1209" i="6"/>
  <c r="A1209" i="6"/>
  <c r="D1208" i="6"/>
  <c r="A1208" i="6"/>
  <c r="D1207" i="6"/>
  <c r="A1207" i="6"/>
  <c r="D1206" i="6"/>
  <c r="A1206" i="6"/>
  <c r="D1205" i="6"/>
  <c r="A1205" i="6"/>
  <c r="D1204" i="6"/>
  <c r="A1204" i="6"/>
  <c r="D1203" i="6"/>
  <c r="A1203" i="6"/>
  <c r="D1202" i="6"/>
  <c r="A1202" i="6"/>
  <c r="D1201" i="6"/>
  <c r="A1201" i="6"/>
  <c r="D1200" i="6"/>
  <c r="A1200" i="6"/>
  <c r="D1199" i="6"/>
  <c r="A1199" i="6"/>
  <c r="D1198" i="6"/>
  <c r="A1198" i="6"/>
  <c r="D1197" i="6"/>
  <c r="A1197" i="6"/>
  <c r="D1196" i="6"/>
  <c r="A1196" i="6"/>
  <c r="D1195" i="6"/>
  <c r="A1195" i="6"/>
  <c r="D1194" i="6"/>
  <c r="A1194" i="6"/>
  <c r="D1193" i="6"/>
  <c r="A1193" i="6"/>
  <c r="D1192" i="6"/>
  <c r="A1192" i="6"/>
  <c r="D1191" i="6"/>
  <c r="A1191" i="6"/>
  <c r="D1190" i="6"/>
  <c r="A1190" i="6"/>
  <c r="D1189" i="6"/>
  <c r="A1189" i="6"/>
  <c r="D1188" i="6"/>
  <c r="A1188" i="6"/>
  <c r="D1187" i="6"/>
  <c r="A1187" i="6"/>
  <c r="D1186" i="6"/>
  <c r="A1186" i="6"/>
  <c r="D1185" i="6"/>
  <c r="A1185" i="6"/>
  <c r="D1184" i="6"/>
  <c r="A1184" i="6"/>
  <c r="D1183" i="6"/>
  <c r="A1183" i="6"/>
  <c r="D1182" i="6"/>
  <c r="A1182" i="6"/>
  <c r="D1181" i="6"/>
  <c r="A1181" i="6"/>
  <c r="D1180" i="6"/>
  <c r="A1180" i="6"/>
  <c r="D1179" i="6"/>
  <c r="A1179" i="6"/>
  <c r="D1178" i="6"/>
  <c r="A1178" i="6"/>
  <c r="D1177" i="6"/>
  <c r="A1177" i="6"/>
  <c r="D1176" i="6"/>
  <c r="A1176" i="6"/>
  <c r="D1175" i="6"/>
  <c r="A1175" i="6"/>
  <c r="D1174" i="6"/>
  <c r="A1174" i="6"/>
  <c r="D1173" i="6"/>
  <c r="A1173" i="6"/>
  <c r="D1172" i="6"/>
  <c r="A1172" i="6"/>
  <c r="D1171" i="6"/>
  <c r="A1171" i="6"/>
  <c r="D1170" i="6"/>
  <c r="A1170" i="6"/>
  <c r="D1169" i="6"/>
  <c r="A1169" i="6"/>
  <c r="D1168" i="6"/>
  <c r="A1168" i="6"/>
  <c r="D1167" i="6"/>
  <c r="A1167" i="6"/>
  <c r="D1166" i="6"/>
  <c r="A1166" i="6"/>
  <c r="D1165" i="6"/>
  <c r="A1165" i="6"/>
  <c r="D1164" i="6"/>
  <c r="A1164" i="6"/>
  <c r="D1163" i="6"/>
  <c r="A1163" i="6"/>
  <c r="D1162" i="6"/>
  <c r="A1162" i="6"/>
  <c r="D1161" i="6"/>
  <c r="A1161" i="6"/>
  <c r="D1160" i="6"/>
  <c r="A1160" i="6"/>
  <c r="D1159" i="6"/>
  <c r="A1159" i="6"/>
  <c r="D1158" i="6"/>
  <c r="A1158" i="6"/>
  <c r="D1157" i="6"/>
  <c r="A1157" i="6"/>
  <c r="D1156" i="6"/>
  <c r="A1156" i="6"/>
  <c r="D1155" i="6"/>
  <c r="A1155" i="6"/>
  <c r="D1154" i="6"/>
  <c r="A1154" i="6"/>
  <c r="D1153" i="6"/>
  <c r="A1153" i="6"/>
  <c r="D1152" i="6"/>
  <c r="A1152" i="6"/>
  <c r="D1151" i="6"/>
  <c r="A1151" i="6"/>
  <c r="D1150" i="6"/>
  <c r="A1150" i="6"/>
  <c r="D1149" i="6"/>
  <c r="A1149" i="6"/>
  <c r="D1148" i="6"/>
  <c r="A1148" i="6"/>
  <c r="D1147" i="6"/>
  <c r="A1147" i="6"/>
  <c r="D1146" i="6"/>
  <c r="A1146" i="6"/>
  <c r="D1145" i="6"/>
  <c r="A1145" i="6"/>
  <c r="D1144" i="6"/>
  <c r="A1144" i="6"/>
  <c r="D1143" i="6"/>
  <c r="A1143" i="6"/>
  <c r="D1142" i="6"/>
  <c r="A1142" i="6"/>
  <c r="D1141" i="6"/>
  <c r="A1141" i="6"/>
  <c r="D1140" i="6"/>
  <c r="A1140" i="6"/>
  <c r="D1139" i="6"/>
  <c r="A1139" i="6"/>
  <c r="D1138" i="6"/>
  <c r="A1138" i="6"/>
  <c r="D1137" i="6"/>
  <c r="A1137" i="6"/>
  <c r="D1136" i="6"/>
  <c r="A1136" i="6"/>
  <c r="D1135" i="6"/>
  <c r="A1135" i="6"/>
  <c r="D1134" i="6"/>
  <c r="A1134" i="6"/>
  <c r="D1133" i="6"/>
  <c r="A1133" i="6"/>
  <c r="D1132" i="6"/>
  <c r="A1132" i="6"/>
  <c r="D1131" i="6"/>
  <c r="A1131" i="6"/>
  <c r="D1130" i="6"/>
  <c r="A1130" i="6"/>
  <c r="D1129" i="6"/>
  <c r="A1129" i="6"/>
  <c r="D1128" i="6"/>
  <c r="A1128" i="6"/>
  <c r="D1127" i="6"/>
  <c r="A1127" i="6"/>
  <c r="D1126" i="6"/>
  <c r="A1126" i="6"/>
  <c r="D1125" i="6"/>
  <c r="A1125" i="6"/>
  <c r="D1124" i="6"/>
  <c r="A1124" i="6"/>
  <c r="D1123" i="6"/>
  <c r="A1123" i="6"/>
  <c r="D1122" i="6"/>
  <c r="A1122" i="6"/>
  <c r="D1121" i="6"/>
  <c r="A1121" i="6"/>
  <c r="D1120" i="6"/>
  <c r="A1120" i="6"/>
  <c r="D1119" i="6"/>
  <c r="A1119" i="6"/>
  <c r="D1118" i="6"/>
  <c r="A1118" i="6"/>
  <c r="D1117" i="6"/>
  <c r="A1117" i="6"/>
  <c r="D1116" i="6"/>
  <c r="A1116" i="6"/>
  <c r="D1115" i="6"/>
  <c r="A1115" i="6"/>
  <c r="D1114" i="6"/>
  <c r="A1114" i="6"/>
  <c r="D1113" i="6"/>
  <c r="A1113" i="6"/>
  <c r="D1112" i="6"/>
  <c r="A1112" i="6"/>
  <c r="D1111" i="6"/>
  <c r="A1111" i="6"/>
  <c r="D1110" i="6"/>
  <c r="A1110" i="6"/>
  <c r="D1109" i="6"/>
  <c r="A1109" i="6"/>
  <c r="D1108" i="6"/>
  <c r="A1108" i="6"/>
  <c r="D1107" i="6"/>
  <c r="A1107" i="6"/>
  <c r="D1106" i="6"/>
  <c r="A1106" i="6"/>
  <c r="D1105" i="6"/>
  <c r="A1105" i="6"/>
  <c r="D1104" i="6"/>
  <c r="A1104" i="6"/>
  <c r="D1103" i="6"/>
  <c r="A1103" i="6"/>
  <c r="D1102" i="6"/>
  <c r="A1102" i="6"/>
  <c r="D1101" i="6"/>
  <c r="A1101" i="6"/>
  <c r="D1100" i="6"/>
  <c r="A1100" i="6"/>
  <c r="D1099" i="6"/>
  <c r="A1099" i="6"/>
  <c r="D1098" i="6"/>
  <c r="A1098" i="6"/>
  <c r="D1097" i="6"/>
  <c r="A1097" i="6"/>
  <c r="D1096" i="6"/>
  <c r="A1096" i="6"/>
  <c r="D1095" i="6"/>
  <c r="A1095" i="6"/>
  <c r="D1094" i="6"/>
  <c r="A1094" i="6"/>
  <c r="D1093" i="6"/>
  <c r="A1093" i="6"/>
  <c r="D1092" i="6"/>
  <c r="A1092" i="6"/>
  <c r="D1091" i="6"/>
  <c r="A1091" i="6"/>
  <c r="D1090" i="6"/>
  <c r="A1090" i="6"/>
  <c r="D1089" i="6"/>
  <c r="A1089" i="6"/>
  <c r="D1088" i="6"/>
  <c r="A1088" i="6"/>
  <c r="D1087" i="6"/>
  <c r="A1087" i="6"/>
  <c r="D1086" i="6"/>
  <c r="A1086" i="6"/>
  <c r="D1085" i="6"/>
  <c r="A1085" i="6"/>
  <c r="D1084" i="6"/>
  <c r="A1084" i="6"/>
  <c r="D1083" i="6"/>
  <c r="A1083" i="6"/>
  <c r="D1082" i="6"/>
  <c r="A1082" i="6"/>
  <c r="D1081" i="6"/>
  <c r="A1081" i="6"/>
  <c r="D1080" i="6"/>
  <c r="A1080" i="6"/>
  <c r="D1079" i="6"/>
  <c r="A1079" i="6"/>
  <c r="D1078" i="6"/>
  <c r="A1078" i="6"/>
  <c r="D1077" i="6"/>
  <c r="A1077" i="6"/>
  <c r="D1076" i="6"/>
  <c r="A1076" i="6"/>
  <c r="D1075" i="6"/>
  <c r="A1075" i="6"/>
  <c r="D1074" i="6"/>
  <c r="A1074" i="6"/>
  <c r="D1073" i="6"/>
  <c r="A1073" i="6"/>
  <c r="D1072" i="6"/>
  <c r="A1072" i="6"/>
  <c r="D1071" i="6"/>
  <c r="A1071" i="6"/>
  <c r="D1070" i="6"/>
  <c r="A1070" i="6"/>
  <c r="D1069" i="6"/>
  <c r="A1069" i="6"/>
  <c r="D1068" i="6"/>
  <c r="A1068" i="6"/>
  <c r="D1067" i="6"/>
  <c r="A1067" i="6"/>
  <c r="D1066" i="6"/>
  <c r="A1066" i="6"/>
  <c r="D1065" i="6"/>
  <c r="A1065" i="6"/>
  <c r="D1064" i="6"/>
  <c r="A1064" i="6"/>
  <c r="D1063" i="6"/>
  <c r="A1063" i="6"/>
  <c r="D1062" i="6"/>
  <c r="A1062" i="6"/>
  <c r="D1061" i="6"/>
  <c r="A1061" i="6"/>
  <c r="D1060" i="6"/>
  <c r="A1060" i="6"/>
  <c r="D1059" i="6"/>
  <c r="A1059" i="6"/>
  <c r="D1058" i="6"/>
  <c r="A1058" i="6"/>
  <c r="D1057" i="6"/>
  <c r="A1057" i="6"/>
  <c r="D1056" i="6"/>
  <c r="A1056" i="6"/>
  <c r="D1055" i="6"/>
  <c r="A1055" i="6"/>
  <c r="D1054" i="6"/>
  <c r="A1054" i="6"/>
  <c r="D1053" i="6"/>
  <c r="A1053" i="6"/>
  <c r="D1052" i="6"/>
  <c r="A1052" i="6"/>
  <c r="D1051" i="6"/>
  <c r="A1051" i="6"/>
  <c r="D1050" i="6"/>
  <c r="A1050" i="6"/>
  <c r="D1049" i="6"/>
  <c r="A1049" i="6"/>
  <c r="D1048" i="6"/>
  <c r="A1048" i="6"/>
  <c r="D1047" i="6"/>
  <c r="A1047" i="6"/>
  <c r="D1046" i="6"/>
  <c r="A1046" i="6"/>
  <c r="D1045" i="6"/>
  <c r="A1045" i="6"/>
  <c r="D1044" i="6"/>
  <c r="A1044" i="6"/>
  <c r="D1043" i="6"/>
  <c r="A1043" i="6"/>
  <c r="D1042" i="6"/>
  <c r="A1042" i="6"/>
  <c r="D1041" i="6"/>
  <c r="A1041" i="6"/>
  <c r="D1040" i="6"/>
  <c r="A1040" i="6"/>
  <c r="D1039" i="6"/>
  <c r="A1039" i="6"/>
  <c r="D1038" i="6"/>
  <c r="A1038" i="6"/>
  <c r="D1037" i="6"/>
  <c r="A1037" i="6"/>
  <c r="D1036" i="6"/>
  <c r="A1036" i="6"/>
  <c r="D1035" i="6"/>
  <c r="A1035" i="6"/>
  <c r="D1034" i="6"/>
  <c r="A1034" i="6"/>
  <c r="D1033" i="6"/>
  <c r="A1033" i="6"/>
  <c r="D1032" i="6"/>
  <c r="A1032" i="6"/>
  <c r="D1031" i="6"/>
  <c r="A1031" i="6"/>
  <c r="D1030" i="6"/>
  <c r="A1030" i="6"/>
  <c r="D1029" i="6"/>
  <c r="A1029" i="6"/>
  <c r="D1028" i="6"/>
  <c r="A1028" i="6"/>
  <c r="D1027" i="6"/>
  <c r="A1027" i="6"/>
  <c r="D1026" i="6"/>
  <c r="A1026" i="6"/>
  <c r="D1025" i="6"/>
  <c r="A1025" i="6"/>
  <c r="D1024" i="6"/>
  <c r="A1024" i="6"/>
  <c r="D1023" i="6"/>
  <c r="A1023" i="6"/>
  <c r="D1022" i="6"/>
  <c r="A1022" i="6"/>
  <c r="D1021" i="6"/>
  <c r="A1021" i="6"/>
  <c r="D1020" i="6"/>
  <c r="A1020" i="6"/>
  <c r="D1019" i="6"/>
  <c r="A1019" i="6"/>
  <c r="D1018" i="6"/>
  <c r="A1018" i="6"/>
  <c r="D1017" i="6"/>
  <c r="A1017" i="6"/>
  <c r="D1016" i="6"/>
  <c r="A1016" i="6"/>
  <c r="D1015" i="6"/>
  <c r="A1015" i="6"/>
  <c r="D1014" i="6"/>
  <c r="A1014" i="6"/>
  <c r="D1013" i="6"/>
  <c r="A1013" i="6"/>
  <c r="D1012" i="6"/>
  <c r="A1012" i="6"/>
  <c r="D1011" i="6"/>
  <c r="A1011" i="6"/>
  <c r="D1010" i="6"/>
  <c r="A1010" i="6"/>
  <c r="D1009" i="6"/>
  <c r="A1009" i="6"/>
  <c r="D1008" i="6"/>
  <c r="A1008" i="6"/>
  <c r="D1007" i="6"/>
  <c r="A1007" i="6"/>
  <c r="D1006" i="6"/>
  <c r="A1006" i="6"/>
  <c r="D1005" i="6"/>
  <c r="A1005" i="6"/>
  <c r="D1004" i="6"/>
  <c r="A1004" i="6"/>
  <c r="D1003" i="6"/>
  <c r="A1003" i="6"/>
  <c r="D1002" i="6"/>
  <c r="A1002" i="6"/>
  <c r="D1001" i="6"/>
  <c r="A1001" i="6"/>
  <c r="D1000" i="6"/>
  <c r="A1000" i="6"/>
  <c r="D999" i="6"/>
  <c r="A999" i="6"/>
  <c r="D998" i="6"/>
  <c r="A998" i="6"/>
  <c r="D997" i="6"/>
  <c r="A997" i="6"/>
  <c r="D996" i="6"/>
  <c r="A996" i="6"/>
  <c r="D995" i="6"/>
  <c r="A995" i="6"/>
  <c r="D994" i="6"/>
  <c r="A994" i="6"/>
  <c r="D993" i="6"/>
  <c r="A993" i="6"/>
  <c r="D992" i="6"/>
  <c r="A992" i="6"/>
  <c r="D991" i="6"/>
  <c r="A991" i="6"/>
  <c r="D990" i="6"/>
  <c r="A990" i="6"/>
  <c r="D989" i="6"/>
  <c r="A989" i="6"/>
  <c r="D988" i="6"/>
  <c r="A988" i="6"/>
  <c r="D987" i="6"/>
  <c r="A987" i="6"/>
  <c r="D986" i="6"/>
  <c r="A986" i="6"/>
  <c r="D985" i="6"/>
  <c r="A985" i="6"/>
  <c r="D984" i="6"/>
  <c r="A984" i="6"/>
  <c r="D983" i="6"/>
  <c r="A983" i="6"/>
  <c r="D982" i="6"/>
  <c r="A982" i="6"/>
  <c r="D981" i="6"/>
  <c r="A981" i="6"/>
  <c r="D980" i="6"/>
  <c r="A980" i="6"/>
  <c r="D979" i="6"/>
  <c r="A979" i="6"/>
  <c r="D978" i="6"/>
  <c r="A978" i="6"/>
  <c r="D977" i="6"/>
  <c r="A977" i="6"/>
  <c r="D976" i="6"/>
  <c r="A976" i="6"/>
  <c r="D975" i="6"/>
  <c r="A975" i="6"/>
  <c r="D974" i="6"/>
  <c r="A974" i="6"/>
  <c r="D973" i="6"/>
  <c r="A973" i="6"/>
  <c r="D972" i="6"/>
  <c r="A972" i="6"/>
  <c r="D971" i="6"/>
  <c r="A971" i="6"/>
  <c r="D970" i="6"/>
  <c r="A970" i="6"/>
  <c r="D969" i="6"/>
  <c r="A969" i="6"/>
  <c r="D968" i="6"/>
  <c r="A968" i="6"/>
  <c r="D967" i="6"/>
  <c r="A967" i="6"/>
  <c r="D966" i="6"/>
  <c r="A966" i="6"/>
  <c r="D965" i="6"/>
  <c r="A965" i="6"/>
  <c r="D964" i="6"/>
  <c r="A964" i="6"/>
  <c r="D963" i="6"/>
  <c r="A963" i="6"/>
  <c r="D962" i="6"/>
  <c r="A962" i="6"/>
  <c r="D961" i="6"/>
  <c r="A961" i="6"/>
  <c r="D960" i="6"/>
  <c r="A960" i="6"/>
  <c r="D959" i="6"/>
  <c r="A959" i="6"/>
  <c r="D958" i="6"/>
  <c r="A958" i="6"/>
  <c r="D957" i="6"/>
  <c r="A957" i="6"/>
  <c r="D956" i="6"/>
  <c r="A956" i="6"/>
  <c r="D955" i="6"/>
  <c r="A955" i="6"/>
  <c r="D954" i="6"/>
  <c r="A954" i="6"/>
  <c r="D953" i="6"/>
  <c r="A953" i="6"/>
  <c r="D952" i="6"/>
  <c r="A952" i="6"/>
  <c r="D951" i="6"/>
  <c r="A951" i="6"/>
  <c r="D950" i="6"/>
  <c r="A950" i="6"/>
  <c r="D949" i="6"/>
  <c r="A949" i="6"/>
  <c r="D948" i="6"/>
  <c r="A948" i="6"/>
  <c r="D947" i="6"/>
  <c r="A947" i="6"/>
  <c r="D946" i="6"/>
  <c r="A946" i="6"/>
  <c r="D945" i="6"/>
  <c r="A945" i="6"/>
  <c r="D944" i="6"/>
  <c r="A944" i="6"/>
  <c r="D943" i="6"/>
  <c r="A943" i="6"/>
  <c r="D942" i="6"/>
  <c r="A942" i="6"/>
  <c r="D941" i="6"/>
  <c r="A941" i="6"/>
  <c r="D940" i="6"/>
  <c r="A940" i="6"/>
  <c r="D939" i="6"/>
  <c r="A939" i="6"/>
  <c r="D938" i="6"/>
  <c r="A938" i="6"/>
  <c r="D937" i="6"/>
  <c r="A937" i="6"/>
  <c r="D936" i="6"/>
  <c r="A936" i="6"/>
  <c r="D935" i="6"/>
  <c r="A935" i="6"/>
  <c r="D934" i="6"/>
  <c r="A934" i="6"/>
  <c r="D933" i="6"/>
  <c r="A933" i="6"/>
  <c r="D932" i="6"/>
  <c r="A932" i="6"/>
  <c r="D931" i="6"/>
  <c r="A931" i="6"/>
  <c r="D930" i="6"/>
  <c r="A930" i="6"/>
  <c r="D929" i="6"/>
  <c r="A929" i="6"/>
  <c r="D928" i="6"/>
  <c r="A928" i="6"/>
  <c r="D927" i="6"/>
  <c r="A927" i="6"/>
  <c r="D926" i="6"/>
  <c r="A926" i="6"/>
  <c r="D925" i="6"/>
  <c r="A925" i="6"/>
  <c r="D924" i="6"/>
  <c r="A924" i="6"/>
  <c r="D923" i="6"/>
  <c r="A923" i="6"/>
  <c r="D922" i="6"/>
  <c r="A922" i="6"/>
  <c r="D921" i="6"/>
  <c r="A921" i="6"/>
  <c r="D920" i="6"/>
  <c r="A920" i="6"/>
  <c r="D919" i="6"/>
  <c r="A919" i="6"/>
  <c r="D918" i="6"/>
  <c r="A918" i="6"/>
  <c r="D917" i="6"/>
  <c r="A917" i="6"/>
  <c r="D916" i="6"/>
  <c r="A916" i="6"/>
  <c r="D915" i="6"/>
  <c r="A915" i="6"/>
  <c r="D914" i="6"/>
  <c r="A914" i="6"/>
  <c r="D913" i="6"/>
  <c r="A913" i="6"/>
  <c r="D912" i="6"/>
  <c r="A912" i="6"/>
  <c r="D911" i="6"/>
  <c r="A911" i="6"/>
  <c r="D910" i="6"/>
  <c r="A910" i="6"/>
  <c r="D909" i="6"/>
  <c r="A909" i="6"/>
  <c r="D908" i="6"/>
  <c r="A908" i="6"/>
  <c r="D907" i="6"/>
  <c r="A907" i="6"/>
  <c r="D906" i="6"/>
  <c r="A906" i="6"/>
  <c r="D905" i="6"/>
  <c r="A905" i="6"/>
  <c r="D904" i="6"/>
  <c r="A904" i="6"/>
  <c r="D903" i="6"/>
  <c r="A903" i="6"/>
  <c r="D902" i="6"/>
  <c r="A902" i="6"/>
  <c r="D901" i="6"/>
  <c r="A901" i="6"/>
  <c r="D900" i="6"/>
  <c r="A900" i="6"/>
  <c r="D899" i="6"/>
  <c r="A899" i="6"/>
  <c r="D898" i="6"/>
  <c r="A898" i="6"/>
  <c r="D897" i="6"/>
  <c r="A897" i="6"/>
  <c r="D896" i="6"/>
  <c r="A896" i="6"/>
  <c r="D895" i="6"/>
  <c r="A895" i="6"/>
  <c r="D894" i="6"/>
  <c r="A894" i="6"/>
  <c r="D893" i="6"/>
  <c r="A893" i="6"/>
  <c r="D892" i="6"/>
  <c r="A892" i="6"/>
  <c r="D891" i="6"/>
  <c r="A891" i="6"/>
  <c r="D890" i="6"/>
  <c r="A890" i="6"/>
  <c r="D889" i="6"/>
  <c r="A889" i="6"/>
  <c r="D888" i="6"/>
  <c r="A888" i="6"/>
  <c r="D887" i="6"/>
  <c r="A887" i="6"/>
  <c r="D886" i="6"/>
  <c r="A886" i="6"/>
  <c r="D885" i="6"/>
  <c r="A885" i="6"/>
  <c r="D884" i="6"/>
  <c r="A884" i="6"/>
  <c r="D883" i="6"/>
  <c r="A883" i="6"/>
  <c r="D882" i="6"/>
  <c r="A882" i="6"/>
  <c r="D881" i="6"/>
  <c r="A881" i="6"/>
  <c r="D880" i="6"/>
  <c r="A880" i="6"/>
  <c r="D879" i="6"/>
  <c r="A879" i="6"/>
  <c r="D878" i="6"/>
  <c r="A878" i="6"/>
  <c r="D877" i="6"/>
  <c r="A877" i="6"/>
  <c r="D876" i="6"/>
  <c r="A876" i="6"/>
  <c r="D875" i="6"/>
  <c r="A875" i="6"/>
  <c r="D874" i="6"/>
  <c r="A874" i="6"/>
  <c r="D873" i="6"/>
  <c r="A873" i="6"/>
  <c r="D872" i="6"/>
  <c r="A872" i="6"/>
  <c r="D871" i="6"/>
  <c r="A871" i="6"/>
  <c r="D870" i="6"/>
  <c r="A870" i="6"/>
  <c r="D869" i="6"/>
  <c r="A869" i="6"/>
  <c r="D868" i="6"/>
  <c r="A868" i="6"/>
  <c r="D867" i="6"/>
  <c r="A867" i="6"/>
  <c r="D866" i="6"/>
  <c r="A866" i="6"/>
  <c r="D865" i="6"/>
  <c r="A865" i="6"/>
  <c r="D864" i="6"/>
  <c r="A864" i="6"/>
  <c r="D863" i="6"/>
  <c r="A863" i="6"/>
  <c r="D862" i="6"/>
  <c r="A862" i="6"/>
  <c r="D861" i="6"/>
  <c r="A861" i="6"/>
  <c r="D860" i="6"/>
  <c r="A860" i="6"/>
  <c r="D859" i="6"/>
  <c r="A859" i="6"/>
  <c r="D858" i="6"/>
  <c r="A858" i="6"/>
  <c r="D857" i="6"/>
  <c r="A857" i="6"/>
  <c r="D856" i="6"/>
  <c r="A856" i="6"/>
  <c r="D855" i="6"/>
  <c r="A855" i="6"/>
  <c r="D854" i="6"/>
  <c r="A854" i="6"/>
  <c r="D853" i="6"/>
  <c r="A853" i="6"/>
  <c r="D852" i="6"/>
  <c r="A852" i="6"/>
  <c r="D851" i="6"/>
  <c r="A851" i="6"/>
  <c r="D850" i="6"/>
  <c r="A850" i="6"/>
  <c r="D849" i="6"/>
  <c r="A849" i="6"/>
  <c r="D848" i="6"/>
  <c r="A848" i="6"/>
  <c r="D847" i="6"/>
  <c r="A847" i="6"/>
  <c r="D846" i="6"/>
  <c r="A846" i="6"/>
  <c r="D845" i="6"/>
  <c r="A845" i="6"/>
  <c r="D844" i="6"/>
  <c r="A844" i="6"/>
  <c r="D843" i="6"/>
  <c r="A843" i="6"/>
  <c r="D842" i="6"/>
  <c r="A842" i="6"/>
  <c r="D841" i="6"/>
  <c r="A841" i="6"/>
  <c r="D840" i="6"/>
  <c r="A840" i="6"/>
  <c r="D839" i="6"/>
  <c r="A839" i="6"/>
  <c r="D838" i="6"/>
  <c r="A838" i="6"/>
  <c r="D837" i="6"/>
  <c r="A837" i="6"/>
  <c r="D836" i="6"/>
  <c r="A836" i="6"/>
  <c r="D835" i="6"/>
  <c r="A835" i="6"/>
  <c r="D834" i="6"/>
  <c r="A834" i="6"/>
  <c r="D833" i="6"/>
  <c r="A833" i="6"/>
  <c r="D832" i="6"/>
  <c r="A832" i="6"/>
  <c r="D831" i="6"/>
  <c r="A831" i="6"/>
  <c r="D830" i="6"/>
  <c r="A830" i="6"/>
  <c r="D829" i="6"/>
  <c r="A829" i="6"/>
  <c r="D828" i="6"/>
  <c r="A828" i="6"/>
  <c r="D827" i="6"/>
  <c r="A827" i="6"/>
  <c r="D826" i="6"/>
  <c r="A826" i="6"/>
  <c r="D825" i="6"/>
  <c r="A825" i="6"/>
  <c r="D824" i="6"/>
  <c r="A824" i="6"/>
  <c r="D823" i="6"/>
  <c r="A823" i="6"/>
  <c r="D822" i="6"/>
  <c r="A822" i="6"/>
  <c r="D821" i="6"/>
  <c r="A821" i="6"/>
  <c r="D820" i="6"/>
  <c r="A820" i="6"/>
  <c r="D819" i="6"/>
  <c r="A819" i="6"/>
  <c r="D818" i="6"/>
  <c r="A818" i="6"/>
  <c r="D817" i="6"/>
  <c r="A817" i="6"/>
  <c r="D816" i="6"/>
  <c r="A816" i="6"/>
  <c r="D815" i="6"/>
  <c r="A815" i="6"/>
  <c r="D814" i="6"/>
  <c r="A814" i="6"/>
  <c r="D813" i="6"/>
  <c r="A813" i="6"/>
  <c r="D812" i="6"/>
  <c r="A812" i="6"/>
  <c r="D811" i="6"/>
  <c r="A811" i="6"/>
  <c r="D810" i="6"/>
  <c r="A810" i="6"/>
  <c r="D809" i="6"/>
  <c r="A809" i="6"/>
  <c r="D808" i="6"/>
  <c r="A808" i="6"/>
  <c r="D807" i="6"/>
  <c r="A807" i="6"/>
  <c r="D806" i="6"/>
  <c r="A806" i="6"/>
  <c r="D805" i="6"/>
  <c r="A805" i="6"/>
  <c r="D804" i="6"/>
  <c r="A804" i="6"/>
  <c r="D803" i="6"/>
  <c r="A803" i="6"/>
  <c r="D802" i="6"/>
  <c r="A802" i="6"/>
  <c r="D801" i="6"/>
  <c r="A801" i="6"/>
  <c r="D800" i="6"/>
  <c r="A800" i="6"/>
  <c r="D799" i="6"/>
  <c r="A799" i="6"/>
  <c r="D798" i="6"/>
  <c r="A798" i="6"/>
  <c r="D797" i="6"/>
  <c r="A797" i="6"/>
  <c r="D796" i="6"/>
  <c r="A796" i="6"/>
  <c r="D795" i="6"/>
  <c r="A795" i="6"/>
  <c r="D794" i="6"/>
  <c r="A794" i="6"/>
  <c r="D793" i="6"/>
  <c r="A793" i="6"/>
  <c r="D792" i="6"/>
  <c r="A792" i="6"/>
  <c r="D791" i="6"/>
  <c r="A791" i="6"/>
  <c r="D790" i="6"/>
  <c r="A790" i="6"/>
  <c r="D789" i="6"/>
  <c r="A789" i="6"/>
  <c r="D788" i="6"/>
  <c r="A788" i="6"/>
  <c r="D787" i="6"/>
  <c r="A787" i="6"/>
  <c r="D786" i="6"/>
  <c r="A786" i="6"/>
  <c r="D785" i="6"/>
  <c r="A785" i="6"/>
  <c r="D784" i="6"/>
  <c r="A784" i="6"/>
  <c r="D783" i="6"/>
  <c r="A783" i="6"/>
  <c r="D782" i="6"/>
  <c r="A782" i="6"/>
  <c r="D781" i="6"/>
  <c r="A781" i="6"/>
  <c r="D780" i="6"/>
  <c r="A780" i="6"/>
  <c r="D779" i="6"/>
  <c r="A779" i="6"/>
  <c r="D778" i="6"/>
  <c r="A778" i="6"/>
  <c r="D777" i="6"/>
  <c r="A777" i="6"/>
  <c r="D776" i="6"/>
  <c r="A776" i="6"/>
  <c r="D775" i="6"/>
  <c r="A775" i="6"/>
  <c r="D774" i="6"/>
  <c r="A774" i="6"/>
  <c r="D773" i="6"/>
  <c r="A773" i="6"/>
  <c r="D772" i="6"/>
  <c r="A772" i="6"/>
  <c r="D771" i="6"/>
  <c r="A771" i="6"/>
  <c r="D770" i="6"/>
  <c r="A770" i="6"/>
  <c r="D769" i="6"/>
  <c r="A769" i="6"/>
  <c r="D768" i="6"/>
  <c r="A768" i="6"/>
  <c r="D767" i="6"/>
  <c r="A767" i="6"/>
  <c r="D766" i="6"/>
  <c r="A766" i="6"/>
  <c r="D765" i="6"/>
  <c r="A765" i="6"/>
  <c r="D764" i="6"/>
  <c r="A764" i="6"/>
  <c r="D763" i="6"/>
  <c r="A763" i="6"/>
  <c r="D762" i="6"/>
  <c r="A762" i="6"/>
  <c r="D761" i="6"/>
  <c r="A761" i="6"/>
  <c r="D760" i="6"/>
  <c r="A760" i="6"/>
  <c r="D759" i="6"/>
  <c r="A759" i="6"/>
  <c r="D758" i="6"/>
  <c r="A758" i="6"/>
  <c r="D757" i="6"/>
  <c r="A757" i="6"/>
  <c r="D756" i="6"/>
  <c r="A756" i="6"/>
  <c r="D755" i="6"/>
  <c r="A755" i="6"/>
  <c r="D754" i="6"/>
  <c r="A754" i="6"/>
  <c r="D753" i="6"/>
  <c r="A753" i="6"/>
  <c r="D752" i="6"/>
  <c r="A752" i="6"/>
  <c r="D751" i="6"/>
  <c r="A751" i="6"/>
  <c r="D750" i="6"/>
  <c r="A750" i="6"/>
  <c r="D749" i="6"/>
  <c r="A749" i="6"/>
  <c r="D748" i="6"/>
  <c r="A748" i="6"/>
  <c r="D747" i="6"/>
  <c r="A747" i="6"/>
  <c r="D746" i="6"/>
  <c r="A746" i="6"/>
  <c r="D745" i="6"/>
  <c r="A745" i="6"/>
  <c r="D744" i="6"/>
  <c r="A744" i="6"/>
  <c r="D743" i="6"/>
  <c r="A743" i="6"/>
  <c r="D742" i="6"/>
  <c r="A742" i="6"/>
  <c r="D741" i="6"/>
  <c r="A741" i="6"/>
  <c r="D740" i="6"/>
  <c r="A740" i="6"/>
  <c r="D739" i="6"/>
  <c r="A739" i="6"/>
  <c r="D738" i="6"/>
  <c r="A738" i="6"/>
  <c r="D737" i="6"/>
  <c r="A737" i="6"/>
  <c r="D736" i="6"/>
  <c r="A736" i="6"/>
  <c r="D735" i="6"/>
  <c r="A735" i="6"/>
  <c r="D734" i="6"/>
  <c r="A734" i="6"/>
  <c r="D733" i="6"/>
  <c r="A733" i="6"/>
  <c r="D732" i="6"/>
  <c r="A732" i="6"/>
  <c r="D731" i="6"/>
  <c r="A731" i="6"/>
  <c r="D730" i="6"/>
  <c r="A730" i="6"/>
  <c r="D729" i="6"/>
  <c r="A729" i="6"/>
  <c r="D728" i="6"/>
  <c r="A728" i="6"/>
  <c r="D727" i="6"/>
  <c r="A727" i="6"/>
  <c r="D726" i="6"/>
  <c r="A726" i="6"/>
  <c r="D725" i="6"/>
  <c r="A725" i="6"/>
  <c r="D724" i="6"/>
  <c r="A724" i="6"/>
  <c r="D723" i="6"/>
  <c r="A723" i="6"/>
  <c r="D722" i="6"/>
  <c r="A722" i="6"/>
  <c r="D721" i="6"/>
  <c r="A721" i="6"/>
  <c r="D720" i="6"/>
  <c r="A720" i="6"/>
  <c r="D719" i="6"/>
  <c r="A719" i="6"/>
  <c r="D718" i="6"/>
  <c r="A718" i="6"/>
  <c r="D717" i="6"/>
  <c r="A717" i="6"/>
  <c r="D716" i="6"/>
  <c r="A716" i="6"/>
  <c r="D715" i="6"/>
  <c r="A715" i="6"/>
  <c r="D714" i="6"/>
  <c r="A714" i="6"/>
  <c r="D713" i="6"/>
  <c r="A713" i="6"/>
  <c r="D712" i="6"/>
  <c r="A712" i="6"/>
  <c r="D711" i="6"/>
  <c r="A711" i="6"/>
  <c r="D710" i="6"/>
  <c r="A710" i="6"/>
  <c r="D709" i="6"/>
  <c r="A709" i="6"/>
  <c r="D708" i="6"/>
  <c r="A708" i="6"/>
  <c r="D707" i="6"/>
  <c r="A707" i="6"/>
  <c r="D706" i="6"/>
  <c r="A706" i="6"/>
  <c r="D705" i="6"/>
  <c r="A705" i="6"/>
  <c r="D704" i="6"/>
  <c r="A704" i="6"/>
  <c r="D703" i="6"/>
  <c r="A703" i="6"/>
  <c r="D702" i="6"/>
  <c r="A702" i="6"/>
  <c r="D701" i="6"/>
  <c r="A701" i="6"/>
  <c r="D700" i="6"/>
  <c r="A700" i="6"/>
  <c r="D699" i="6"/>
  <c r="A699" i="6"/>
  <c r="D698" i="6"/>
  <c r="A698" i="6"/>
  <c r="D697" i="6"/>
  <c r="A697" i="6"/>
  <c r="D696" i="6"/>
  <c r="A696" i="6"/>
  <c r="D695" i="6"/>
  <c r="A695" i="6"/>
  <c r="D694" i="6"/>
  <c r="A694" i="6"/>
  <c r="D693" i="6"/>
  <c r="A693" i="6"/>
  <c r="D692" i="6"/>
  <c r="A692" i="6"/>
  <c r="D691" i="6"/>
  <c r="A691" i="6"/>
  <c r="D690" i="6"/>
  <c r="A690" i="6"/>
  <c r="D689" i="6"/>
  <c r="A689" i="6"/>
  <c r="D688" i="6"/>
  <c r="A688" i="6"/>
  <c r="D687" i="6"/>
  <c r="A687" i="6"/>
  <c r="D686" i="6"/>
  <c r="A686" i="6"/>
  <c r="D685" i="6"/>
  <c r="A685" i="6"/>
  <c r="D684" i="6"/>
  <c r="A684" i="6"/>
  <c r="D683" i="6"/>
  <c r="A683" i="6"/>
  <c r="D682" i="6"/>
  <c r="A682" i="6"/>
  <c r="D681" i="6"/>
  <c r="A681" i="6"/>
  <c r="D680" i="6"/>
  <c r="A680" i="6"/>
  <c r="D679" i="6"/>
  <c r="A679" i="6"/>
  <c r="D678" i="6"/>
  <c r="A678" i="6"/>
  <c r="D677" i="6"/>
  <c r="A677" i="6"/>
  <c r="D676" i="6"/>
  <c r="A676" i="6"/>
  <c r="D675" i="6"/>
  <c r="A675" i="6"/>
  <c r="D674" i="6"/>
  <c r="A674" i="6"/>
  <c r="D673" i="6"/>
  <c r="A673" i="6"/>
  <c r="D672" i="6"/>
  <c r="A672" i="6"/>
  <c r="D671" i="6"/>
  <c r="A671" i="6"/>
  <c r="D670" i="6"/>
  <c r="A670" i="6"/>
  <c r="D669" i="6"/>
  <c r="A669" i="6"/>
  <c r="D668" i="6"/>
  <c r="A668" i="6"/>
  <c r="D667" i="6"/>
  <c r="A667" i="6"/>
  <c r="D666" i="6"/>
  <c r="A666" i="6"/>
  <c r="D665" i="6"/>
  <c r="A665" i="6"/>
  <c r="D664" i="6"/>
  <c r="A664" i="6"/>
  <c r="D663" i="6"/>
  <c r="A663" i="6"/>
  <c r="D662" i="6"/>
  <c r="A662" i="6"/>
  <c r="D661" i="6"/>
  <c r="A661" i="6"/>
  <c r="D660" i="6"/>
  <c r="A660" i="6"/>
  <c r="D659" i="6"/>
  <c r="A659" i="6"/>
  <c r="D658" i="6"/>
  <c r="A658" i="6"/>
  <c r="D657" i="6"/>
  <c r="A657" i="6"/>
  <c r="D656" i="6"/>
  <c r="A656" i="6"/>
  <c r="D655" i="6"/>
  <c r="A655" i="6"/>
  <c r="D654" i="6"/>
  <c r="A654" i="6"/>
  <c r="D653" i="6"/>
  <c r="A653" i="6"/>
  <c r="D652" i="6"/>
  <c r="A652" i="6"/>
  <c r="D651" i="6"/>
  <c r="A651" i="6"/>
  <c r="D650" i="6"/>
  <c r="A650" i="6"/>
  <c r="D649" i="6"/>
  <c r="A649" i="6"/>
  <c r="D648" i="6"/>
  <c r="A648" i="6"/>
  <c r="D647" i="6"/>
  <c r="A647" i="6"/>
  <c r="D646" i="6"/>
  <c r="A646" i="6"/>
  <c r="D645" i="6"/>
  <c r="A645" i="6"/>
  <c r="D644" i="6"/>
  <c r="A644" i="6"/>
  <c r="D643" i="6"/>
  <c r="A643" i="6"/>
  <c r="D642" i="6"/>
  <c r="A642" i="6"/>
  <c r="D641" i="6"/>
  <c r="A641" i="6"/>
  <c r="D640" i="6"/>
  <c r="A640" i="6"/>
  <c r="D639" i="6"/>
  <c r="A639" i="6"/>
  <c r="D638" i="6"/>
  <c r="A638" i="6"/>
  <c r="D637" i="6"/>
  <c r="A637" i="6"/>
  <c r="D636" i="6"/>
  <c r="A636" i="6"/>
  <c r="D635" i="6"/>
  <c r="A635" i="6"/>
  <c r="D634" i="6"/>
  <c r="A634" i="6"/>
  <c r="D633" i="6"/>
  <c r="A633" i="6"/>
  <c r="D632" i="6"/>
  <c r="A632" i="6"/>
  <c r="D631" i="6"/>
  <c r="A631" i="6"/>
  <c r="D630" i="6"/>
  <c r="A630" i="6"/>
  <c r="D629" i="6"/>
  <c r="A629" i="6"/>
  <c r="D628" i="6"/>
  <c r="A628" i="6"/>
  <c r="D627" i="6"/>
  <c r="A627" i="6"/>
  <c r="D626" i="6"/>
  <c r="A626" i="6"/>
  <c r="D625" i="6"/>
  <c r="A625" i="6"/>
  <c r="D624" i="6"/>
  <c r="A624" i="6"/>
  <c r="D623" i="6"/>
  <c r="A623" i="6"/>
  <c r="D622" i="6"/>
  <c r="A622" i="6"/>
  <c r="D621" i="6"/>
  <c r="A621" i="6"/>
  <c r="D620" i="6"/>
  <c r="A620" i="6"/>
  <c r="D619" i="6"/>
  <c r="A619" i="6"/>
  <c r="D618" i="6"/>
  <c r="A618" i="6"/>
  <c r="D617" i="6"/>
  <c r="A617" i="6"/>
  <c r="D616" i="6"/>
  <c r="A616" i="6"/>
  <c r="D615" i="6"/>
  <c r="A615" i="6"/>
  <c r="D614" i="6"/>
  <c r="A614" i="6"/>
  <c r="D613" i="6"/>
  <c r="A613" i="6"/>
  <c r="D612" i="6"/>
  <c r="A612" i="6"/>
  <c r="D611" i="6"/>
  <c r="A611" i="6"/>
  <c r="D610" i="6"/>
  <c r="A610" i="6"/>
  <c r="D609" i="6"/>
  <c r="A609" i="6"/>
  <c r="D608" i="6"/>
  <c r="A608" i="6"/>
  <c r="D607" i="6"/>
  <c r="A607" i="6"/>
  <c r="D606" i="6"/>
  <c r="A606" i="6"/>
  <c r="D605" i="6"/>
  <c r="A605" i="6"/>
  <c r="D604" i="6"/>
  <c r="A604" i="6"/>
  <c r="D603" i="6"/>
  <c r="A603" i="6"/>
  <c r="D602" i="6"/>
  <c r="A602" i="6"/>
  <c r="D601" i="6"/>
  <c r="A601" i="6"/>
  <c r="D600" i="6"/>
  <c r="A600" i="6"/>
  <c r="D599" i="6"/>
  <c r="A599" i="6"/>
  <c r="D598" i="6"/>
  <c r="A598" i="6"/>
  <c r="D597" i="6"/>
  <c r="A597" i="6"/>
  <c r="D596" i="6"/>
  <c r="A596" i="6"/>
  <c r="D595" i="6"/>
  <c r="A595" i="6"/>
  <c r="D594" i="6"/>
  <c r="A594" i="6"/>
  <c r="D593" i="6"/>
  <c r="A593" i="6"/>
  <c r="D592" i="6"/>
  <c r="A592" i="6"/>
  <c r="D591" i="6"/>
  <c r="A591" i="6"/>
  <c r="D590" i="6"/>
  <c r="A590" i="6"/>
  <c r="D589" i="6"/>
  <c r="A589" i="6"/>
  <c r="D588" i="6"/>
  <c r="A588" i="6"/>
  <c r="D587" i="6"/>
  <c r="A587" i="6"/>
  <c r="D586" i="6"/>
  <c r="A586" i="6"/>
  <c r="D585" i="6"/>
  <c r="A585" i="6"/>
  <c r="D584" i="6"/>
  <c r="A584" i="6"/>
  <c r="D583" i="6"/>
  <c r="A583" i="6"/>
  <c r="D582" i="6"/>
  <c r="A582" i="6"/>
  <c r="D581" i="6"/>
  <c r="A581" i="6"/>
  <c r="D580" i="6"/>
  <c r="A580" i="6"/>
  <c r="D579" i="6"/>
  <c r="A579" i="6"/>
  <c r="D578" i="6"/>
  <c r="A578" i="6"/>
  <c r="D577" i="6"/>
  <c r="A577" i="6"/>
  <c r="D576" i="6"/>
  <c r="A576" i="6"/>
  <c r="D575" i="6"/>
  <c r="A575" i="6"/>
  <c r="D574" i="6"/>
  <c r="A574" i="6"/>
  <c r="D573" i="6"/>
  <c r="A573" i="6"/>
  <c r="D572" i="6"/>
  <c r="A572" i="6"/>
  <c r="D571" i="6"/>
  <c r="A571" i="6"/>
  <c r="D570" i="6"/>
  <c r="A570" i="6"/>
  <c r="D569" i="6"/>
  <c r="A569" i="6"/>
  <c r="D568" i="6"/>
  <c r="A568" i="6"/>
  <c r="D567" i="6"/>
  <c r="A567" i="6"/>
  <c r="D566" i="6"/>
  <c r="A566" i="6"/>
  <c r="D565" i="6"/>
  <c r="A565" i="6"/>
  <c r="D564" i="6"/>
  <c r="A564" i="6"/>
  <c r="D563" i="6"/>
  <c r="A563" i="6"/>
  <c r="D562" i="6"/>
  <c r="A562" i="6"/>
  <c r="D561" i="6"/>
  <c r="A561" i="6"/>
  <c r="D560" i="6"/>
  <c r="A560" i="6"/>
  <c r="D559" i="6"/>
  <c r="A559" i="6"/>
  <c r="D558" i="6"/>
  <c r="A558" i="6"/>
  <c r="D557" i="6"/>
  <c r="A557" i="6"/>
  <c r="D556" i="6"/>
  <c r="A556" i="6"/>
  <c r="D555" i="6"/>
  <c r="A555" i="6"/>
  <c r="D554" i="6"/>
  <c r="A554" i="6"/>
  <c r="D553" i="6"/>
  <c r="A553" i="6"/>
  <c r="D552" i="6"/>
  <c r="A552" i="6"/>
  <c r="D551" i="6"/>
  <c r="A551" i="6"/>
  <c r="D550" i="6"/>
  <c r="A550" i="6"/>
  <c r="D549" i="6"/>
  <c r="A549" i="6"/>
  <c r="D548" i="6"/>
  <c r="A548" i="6"/>
  <c r="D547" i="6"/>
  <c r="A547" i="6"/>
  <c r="D546" i="6"/>
  <c r="A546" i="6"/>
  <c r="D545" i="6"/>
  <c r="A545" i="6"/>
  <c r="D544" i="6"/>
  <c r="A544" i="6"/>
  <c r="D543" i="6"/>
  <c r="A543" i="6"/>
  <c r="D542" i="6"/>
  <c r="A542" i="6"/>
  <c r="D541" i="6"/>
  <c r="A541" i="6"/>
  <c r="D540" i="6"/>
  <c r="A540" i="6"/>
  <c r="D539" i="6"/>
  <c r="A539" i="6"/>
  <c r="D538" i="6"/>
  <c r="A538" i="6"/>
  <c r="D537" i="6"/>
  <c r="A537" i="6"/>
  <c r="D536" i="6"/>
  <c r="A536" i="6"/>
  <c r="D535" i="6"/>
  <c r="A535" i="6"/>
  <c r="D534" i="6"/>
  <c r="A534" i="6"/>
  <c r="D533" i="6"/>
  <c r="A533" i="6"/>
  <c r="D532" i="6"/>
  <c r="A532" i="6"/>
  <c r="D531" i="6"/>
  <c r="A531" i="6"/>
  <c r="D530" i="6"/>
  <c r="A530" i="6"/>
  <c r="D529" i="6"/>
  <c r="A529" i="6"/>
  <c r="D528" i="6"/>
  <c r="A528" i="6"/>
  <c r="D527" i="6"/>
  <c r="A527" i="6"/>
  <c r="D526" i="6"/>
  <c r="A526" i="6"/>
  <c r="D525" i="6"/>
  <c r="A525" i="6"/>
  <c r="D524" i="6"/>
  <c r="A524" i="6"/>
  <c r="D523" i="6"/>
  <c r="A523" i="6"/>
  <c r="D522" i="6"/>
  <c r="A522" i="6"/>
  <c r="D521" i="6"/>
  <c r="A521" i="6"/>
  <c r="D520" i="6"/>
  <c r="A520" i="6"/>
  <c r="D519" i="6"/>
  <c r="A519" i="6"/>
  <c r="D518" i="6"/>
  <c r="A518" i="6"/>
  <c r="D517" i="6"/>
  <c r="A517" i="6"/>
  <c r="D516" i="6"/>
  <c r="A516" i="6"/>
  <c r="D515" i="6"/>
  <c r="A515" i="6"/>
  <c r="D514" i="6"/>
  <c r="A514" i="6"/>
  <c r="D513" i="6"/>
  <c r="A513" i="6"/>
  <c r="D512" i="6"/>
  <c r="A512" i="6"/>
  <c r="D511" i="6"/>
  <c r="A511" i="6"/>
  <c r="D510" i="6"/>
  <c r="A510" i="6"/>
  <c r="D509" i="6"/>
  <c r="A509" i="6"/>
  <c r="D508" i="6"/>
  <c r="A508" i="6"/>
  <c r="D507" i="6"/>
  <c r="A507" i="6"/>
  <c r="D506" i="6"/>
  <c r="A506" i="6"/>
  <c r="D505" i="6"/>
  <c r="A505" i="6"/>
  <c r="D504" i="6"/>
  <c r="A504" i="6"/>
  <c r="D503" i="6"/>
  <c r="A503" i="6"/>
  <c r="D502" i="6"/>
  <c r="A502" i="6"/>
  <c r="D501" i="6"/>
  <c r="A501" i="6"/>
  <c r="D500" i="6"/>
  <c r="A500" i="6"/>
  <c r="D499" i="6"/>
  <c r="A499" i="6"/>
  <c r="D498" i="6"/>
  <c r="A498" i="6"/>
  <c r="D497" i="6"/>
  <c r="A497" i="6"/>
  <c r="D496" i="6"/>
  <c r="A496" i="6"/>
  <c r="D495" i="6"/>
  <c r="A495" i="6"/>
  <c r="D494" i="6"/>
  <c r="A494" i="6"/>
  <c r="D493" i="6"/>
  <c r="A493" i="6"/>
  <c r="D492" i="6"/>
  <c r="A492" i="6"/>
  <c r="D491" i="6"/>
  <c r="A491" i="6"/>
  <c r="D490" i="6"/>
  <c r="A490" i="6"/>
  <c r="D489" i="6"/>
  <c r="A489" i="6"/>
  <c r="D488" i="6"/>
  <c r="A488" i="6"/>
  <c r="D487" i="6"/>
  <c r="A487" i="6"/>
  <c r="D486" i="6"/>
  <c r="A486" i="6"/>
  <c r="D485" i="6"/>
  <c r="A485" i="6"/>
  <c r="D484" i="6"/>
  <c r="A484" i="6"/>
  <c r="D483" i="6"/>
  <c r="A483" i="6"/>
  <c r="D482" i="6"/>
  <c r="A482" i="6"/>
  <c r="D481" i="6"/>
  <c r="A481" i="6"/>
  <c r="D480" i="6"/>
  <c r="A480" i="6"/>
  <c r="D479" i="6"/>
  <c r="A479" i="6"/>
  <c r="D478" i="6"/>
  <c r="A478" i="6"/>
  <c r="D477" i="6"/>
  <c r="A477" i="6"/>
  <c r="D476" i="6"/>
  <c r="A476" i="6"/>
  <c r="D475" i="6"/>
  <c r="A475" i="6"/>
  <c r="D474" i="6"/>
  <c r="A474" i="6"/>
  <c r="D473" i="6"/>
  <c r="A473" i="6"/>
  <c r="D472" i="6"/>
  <c r="A472" i="6"/>
  <c r="D471" i="6"/>
  <c r="A471" i="6"/>
  <c r="D470" i="6"/>
  <c r="A470" i="6"/>
  <c r="D469" i="6"/>
  <c r="A469" i="6"/>
  <c r="D468" i="6"/>
  <c r="A468" i="6"/>
  <c r="D467" i="6"/>
  <c r="A467" i="6"/>
  <c r="D466" i="6"/>
  <c r="A466" i="6"/>
  <c r="D465" i="6"/>
  <c r="A465" i="6"/>
  <c r="D464" i="6"/>
  <c r="A464" i="6"/>
  <c r="D463" i="6"/>
  <c r="A463" i="6"/>
  <c r="D462" i="6"/>
  <c r="A462" i="6"/>
  <c r="D461" i="6"/>
  <c r="A461" i="6"/>
  <c r="D460" i="6"/>
  <c r="A460" i="6"/>
  <c r="D459" i="6"/>
  <c r="A459" i="6"/>
  <c r="D458" i="6"/>
  <c r="A458" i="6"/>
  <c r="D457" i="6"/>
  <c r="A457" i="6"/>
  <c r="D456" i="6"/>
  <c r="A456" i="6"/>
  <c r="D455" i="6"/>
  <c r="A455" i="6"/>
  <c r="D454" i="6"/>
  <c r="A454" i="6"/>
  <c r="D453" i="6"/>
  <c r="A453" i="6"/>
  <c r="D452" i="6"/>
  <c r="A452" i="6"/>
  <c r="D451" i="6"/>
  <c r="A451" i="6"/>
  <c r="D450" i="6"/>
  <c r="A450" i="6"/>
  <c r="D449" i="6"/>
  <c r="A449" i="6"/>
  <c r="D448" i="6"/>
  <c r="A448" i="6"/>
  <c r="D447" i="6"/>
  <c r="A447" i="6"/>
  <c r="D446" i="6"/>
  <c r="A446" i="6"/>
  <c r="D445" i="6"/>
  <c r="A445" i="6"/>
  <c r="D444" i="6"/>
  <c r="A444" i="6"/>
  <c r="D443" i="6"/>
  <c r="A443" i="6"/>
  <c r="D442" i="6"/>
  <c r="A442" i="6"/>
  <c r="D441" i="6"/>
  <c r="A441" i="6"/>
  <c r="D440" i="6"/>
  <c r="A440" i="6"/>
  <c r="D439" i="6"/>
  <c r="A439" i="6"/>
  <c r="D438" i="6"/>
  <c r="A438" i="6"/>
  <c r="D437" i="6"/>
  <c r="A437" i="6"/>
  <c r="D436" i="6"/>
  <c r="A436" i="6"/>
  <c r="D435" i="6"/>
  <c r="A435" i="6"/>
  <c r="D434" i="6"/>
  <c r="A434" i="6"/>
  <c r="D433" i="6"/>
  <c r="A433" i="6"/>
  <c r="D432" i="6"/>
  <c r="A432" i="6"/>
  <c r="D431" i="6"/>
  <c r="A431" i="6"/>
  <c r="D430" i="6"/>
  <c r="A430" i="6"/>
  <c r="D429" i="6"/>
  <c r="A429" i="6"/>
  <c r="D428" i="6"/>
  <c r="A428" i="6"/>
  <c r="D427" i="6"/>
  <c r="A427" i="6"/>
  <c r="D426" i="6"/>
  <c r="A426" i="6"/>
  <c r="D425" i="6"/>
  <c r="A425" i="6"/>
  <c r="D424" i="6"/>
  <c r="A424" i="6"/>
  <c r="D423" i="6"/>
  <c r="A423" i="6"/>
  <c r="D422" i="6"/>
  <c r="A422" i="6"/>
  <c r="D421" i="6"/>
  <c r="A421" i="6"/>
  <c r="D420" i="6"/>
  <c r="A420" i="6"/>
  <c r="D419" i="6"/>
  <c r="A419" i="6"/>
  <c r="D418" i="6"/>
  <c r="A418" i="6"/>
  <c r="D417" i="6"/>
  <c r="A417" i="6"/>
  <c r="D416" i="6"/>
  <c r="A416" i="6"/>
  <c r="D415" i="6"/>
  <c r="A415" i="6"/>
  <c r="D414" i="6"/>
  <c r="A414" i="6"/>
  <c r="D413" i="6"/>
  <c r="A413" i="6"/>
  <c r="D412" i="6"/>
  <c r="A412" i="6"/>
  <c r="D411" i="6"/>
  <c r="A411" i="6"/>
  <c r="D410" i="6"/>
  <c r="A410" i="6"/>
  <c r="D409" i="6"/>
  <c r="A409" i="6"/>
  <c r="D408" i="6"/>
  <c r="A408" i="6"/>
  <c r="D407" i="6"/>
  <c r="A407" i="6"/>
  <c r="D406" i="6"/>
  <c r="A406" i="6"/>
  <c r="D405" i="6"/>
  <c r="A405" i="6"/>
  <c r="D404" i="6"/>
  <c r="A404" i="6"/>
  <c r="D403" i="6"/>
  <c r="A403" i="6"/>
  <c r="D402" i="6"/>
  <c r="A402" i="6"/>
  <c r="D401" i="6"/>
  <c r="A401" i="6"/>
  <c r="D400" i="6"/>
  <c r="A400" i="6"/>
  <c r="D399" i="6"/>
  <c r="A399" i="6"/>
  <c r="D398" i="6"/>
  <c r="A398" i="6"/>
  <c r="D397" i="6"/>
  <c r="A397" i="6"/>
  <c r="D396" i="6"/>
  <c r="A396" i="6"/>
  <c r="D395" i="6"/>
  <c r="A395" i="6"/>
  <c r="D394" i="6"/>
  <c r="A394" i="6"/>
  <c r="D393" i="6"/>
  <c r="A393" i="6"/>
  <c r="D392" i="6"/>
  <c r="A392" i="6"/>
  <c r="D391" i="6"/>
  <c r="A391" i="6"/>
  <c r="D390" i="6"/>
  <c r="A390" i="6"/>
  <c r="D389" i="6"/>
  <c r="A389" i="6"/>
  <c r="D388" i="6"/>
  <c r="A388" i="6"/>
  <c r="D387" i="6"/>
  <c r="A387" i="6"/>
  <c r="D386" i="6"/>
  <c r="A386" i="6"/>
  <c r="D385" i="6"/>
  <c r="A385" i="6"/>
  <c r="D384" i="6"/>
  <c r="A384" i="6"/>
  <c r="D383" i="6"/>
  <c r="A383" i="6"/>
  <c r="D382" i="6"/>
  <c r="A382" i="6"/>
  <c r="D381" i="6"/>
  <c r="A381" i="6"/>
  <c r="D380" i="6"/>
  <c r="A380" i="6"/>
  <c r="D379" i="6"/>
  <c r="A379" i="6"/>
  <c r="D378" i="6"/>
  <c r="A378" i="6"/>
  <c r="D377" i="6"/>
  <c r="A377" i="6"/>
  <c r="D376" i="6"/>
  <c r="A376" i="6"/>
  <c r="D375" i="6"/>
  <c r="A375" i="6"/>
  <c r="D374" i="6"/>
  <c r="A374" i="6"/>
  <c r="D373" i="6"/>
  <c r="A373" i="6"/>
  <c r="D372" i="6"/>
  <c r="A372" i="6"/>
  <c r="D371" i="6"/>
  <c r="A371" i="6"/>
  <c r="D370" i="6"/>
  <c r="A370" i="6"/>
  <c r="D369" i="6"/>
  <c r="A369" i="6"/>
  <c r="D368" i="6"/>
  <c r="A368" i="6"/>
  <c r="D367" i="6"/>
  <c r="A367" i="6"/>
  <c r="D366" i="6"/>
  <c r="A366" i="6"/>
  <c r="D365" i="6"/>
  <c r="A365" i="6"/>
  <c r="D364" i="6"/>
  <c r="A364" i="6"/>
  <c r="D363" i="6"/>
  <c r="A363" i="6"/>
  <c r="D362" i="6"/>
  <c r="A362" i="6"/>
  <c r="D361" i="6"/>
  <c r="A361" i="6"/>
  <c r="D360" i="6"/>
  <c r="A360" i="6"/>
  <c r="D359" i="6"/>
  <c r="A359" i="6"/>
  <c r="D358" i="6"/>
  <c r="A358" i="6"/>
  <c r="D357" i="6"/>
  <c r="A357" i="6"/>
  <c r="D356" i="6"/>
  <c r="A356" i="6"/>
  <c r="D355" i="6"/>
  <c r="A355" i="6"/>
  <c r="D354" i="6"/>
  <c r="A354" i="6"/>
  <c r="D353" i="6"/>
  <c r="A353" i="6"/>
  <c r="D352" i="6"/>
  <c r="A352" i="6"/>
  <c r="D351" i="6"/>
  <c r="A351" i="6"/>
  <c r="D350" i="6"/>
  <c r="A350" i="6"/>
  <c r="D349" i="6"/>
  <c r="A349" i="6"/>
  <c r="D348" i="6"/>
  <c r="A348" i="6"/>
  <c r="D347" i="6"/>
  <c r="A347" i="6"/>
  <c r="D346" i="6"/>
  <c r="A346" i="6"/>
  <c r="D345" i="6"/>
  <c r="A345" i="6"/>
  <c r="D344" i="6"/>
  <c r="A344" i="6"/>
  <c r="D343" i="6"/>
  <c r="A343" i="6"/>
  <c r="D342" i="6"/>
  <c r="A342" i="6"/>
  <c r="D341" i="6"/>
  <c r="A341" i="6"/>
  <c r="D340" i="6"/>
  <c r="A340" i="6"/>
  <c r="D339" i="6"/>
  <c r="A339" i="6"/>
  <c r="D338" i="6"/>
  <c r="A338" i="6"/>
  <c r="D337" i="6"/>
  <c r="A337" i="6"/>
  <c r="D336" i="6"/>
  <c r="A336" i="6"/>
  <c r="D335" i="6"/>
  <c r="A335" i="6"/>
  <c r="D334" i="6"/>
  <c r="A334" i="6"/>
  <c r="D333" i="6"/>
  <c r="A333" i="6"/>
  <c r="D332" i="6"/>
  <c r="A332" i="6"/>
  <c r="D331" i="6"/>
  <c r="A331" i="6"/>
  <c r="D330" i="6"/>
  <c r="A330" i="6"/>
  <c r="D329" i="6"/>
  <c r="A329" i="6"/>
  <c r="D328" i="6"/>
  <c r="A328" i="6"/>
  <c r="D327" i="6"/>
  <c r="A327" i="6"/>
  <c r="D326" i="6"/>
  <c r="A326" i="6"/>
  <c r="D325" i="6"/>
  <c r="A325" i="6"/>
  <c r="D324" i="6"/>
  <c r="A324" i="6"/>
  <c r="D323" i="6"/>
  <c r="A323" i="6"/>
  <c r="D322" i="6"/>
  <c r="A322" i="6"/>
  <c r="D321" i="6"/>
  <c r="A321" i="6"/>
  <c r="D320" i="6"/>
  <c r="A320" i="6"/>
  <c r="D319" i="6"/>
  <c r="A319" i="6"/>
  <c r="D318" i="6"/>
  <c r="A318" i="6"/>
  <c r="D317" i="6"/>
  <c r="A317" i="6"/>
  <c r="D316" i="6"/>
  <c r="A316" i="6"/>
  <c r="D315" i="6"/>
  <c r="A315" i="6"/>
  <c r="D314" i="6"/>
  <c r="A314" i="6"/>
  <c r="D313" i="6"/>
  <c r="A313" i="6"/>
  <c r="D312" i="6"/>
  <c r="A312" i="6"/>
  <c r="D311" i="6"/>
  <c r="A311" i="6"/>
  <c r="D310" i="6"/>
  <c r="A310" i="6"/>
  <c r="D309" i="6"/>
  <c r="A309" i="6"/>
  <c r="D308" i="6"/>
  <c r="A308" i="6"/>
  <c r="D307" i="6"/>
  <c r="A307" i="6"/>
  <c r="D306" i="6"/>
  <c r="A306" i="6"/>
  <c r="D305" i="6"/>
  <c r="A305" i="6"/>
  <c r="D304" i="6"/>
  <c r="A304" i="6"/>
  <c r="D303" i="6"/>
  <c r="A303" i="6"/>
  <c r="D302" i="6"/>
  <c r="A302" i="6"/>
  <c r="D301" i="6"/>
  <c r="A301" i="6"/>
  <c r="D300" i="6"/>
  <c r="A300" i="6"/>
  <c r="D299" i="6"/>
  <c r="A299" i="6"/>
  <c r="D298" i="6"/>
  <c r="A298" i="6"/>
  <c r="D297" i="6"/>
  <c r="A297" i="6"/>
  <c r="D296" i="6"/>
  <c r="A296" i="6"/>
  <c r="D295" i="6"/>
  <c r="A295" i="6"/>
  <c r="D294" i="6"/>
  <c r="A294" i="6"/>
  <c r="D293" i="6"/>
  <c r="A293" i="6"/>
  <c r="D292" i="6"/>
  <c r="A292" i="6"/>
  <c r="D291" i="6"/>
  <c r="A291" i="6"/>
  <c r="D290" i="6"/>
  <c r="A290" i="6"/>
  <c r="D289" i="6"/>
  <c r="A289" i="6"/>
  <c r="D288" i="6"/>
  <c r="A288" i="6"/>
  <c r="D287" i="6"/>
  <c r="A287" i="6"/>
  <c r="D286" i="6"/>
  <c r="A286" i="6"/>
  <c r="D285" i="6"/>
  <c r="A285" i="6"/>
  <c r="D284" i="6"/>
  <c r="A284" i="6"/>
  <c r="D283" i="6"/>
  <c r="A283" i="6"/>
  <c r="D282" i="6"/>
  <c r="A282" i="6"/>
  <c r="D281" i="6"/>
  <c r="A281" i="6"/>
  <c r="D280" i="6"/>
  <c r="A280" i="6"/>
  <c r="D279" i="6"/>
  <c r="A279" i="6"/>
  <c r="D278" i="6"/>
  <c r="A278" i="6"/>
  <c r="D277" i="6"/>
  <c r="A277" i="6"/>
  <c r="D276" i="6"/>
  <c r="A276" i="6"/>
  <c r="D275" i="6"/>
  <c r="A275" i="6"/>
  <c r="D274" i="6"/>
  <c r="A274" i="6"/>
  <c r="D273" i="6"/>
  <c r="A273" i="6"/>
  <c r="D272" i="6"/>
  <c r="A272" i="6"/>
  <c r="D271" i="6"/>
  <c r="A271" i="6"/>
  <c r="D270" i="6"/>
  <c r="A270" i="6"/>
  <c r="D269" i="6"/>
  <c r="A269" i="6"/>
  <c r="D268" i="6"/>
  <c r="A268" i="6"/>
  <c r="D267" i="6"/>
  <c r="A267" i="6"/>
  <c r="D266" i="6"/>
  <c r="A266" i="6"/>
  <c r="D265" i="6"/>
  <c r="A265" i="6"/>
  <c r="D264" i="6"/>
  <c r="A264" i="6"/>
  <c r="D263" i="6"/>
  <c r="A263" i="6"/>
  <c r="D262" i="6"/>
  <c r="A262" i="6"/>
  <c r="D261" i="6"/>
  <c r="A261" i="6"/>
  <c r="D260" i="6"/>
  <c r="A260" i="6"/>
  <c r="D259" i="6"/>
  <c r="A259" i="6"/>
  <c r="D258" i="6"/>
  <c r="A258" i="6"/>
  <c r="D257" i="6"/>
  <c r="A257" i="6"/>
  <c r="D256" i="6"/>
  <c r="A256" i="6"/>
  <c r="D255" i="6"/>
  <c r="A255" i="6"/>
  <c r="D254" i="6"/>
  <c r="A254" i="6"/>
  <c r="D253" i="6"/>
  <c r="A253" i="6"/>
  <c r="D252" i="6"/>
  <c r="A252" i="6"/>
  <c r="D251" i="6"/>
  <c r="A251" i="6"/>
  <c r="D250" i="6"/>
  <c r="A250" i="6"/>
  <c r="D249" i="6"/>
  <c r="A249" i="6"/>
  <c r="D248" i="6"/>
  <c r="A248" i="6"/>
  <c r="D247" i="6"/>
  <c r="A247" i="6"/>
  <c r="D246" i="6"/>
  <c r="A246" i="6"/>
  <c r="D245" i="6"/>
  <c r="A245" i="6"/>
  <c r="D244" i="6"/>
  <c r="A244" i="6"/>
  <c r="D243" i="6"/>
  <c r="A243" i="6"/>
  <c r="D242" i="6"/>
  <c r="A242" i="6"/>
  <c r="D241" i="6"/>
  <c r="A241" i="6"/>
  <c r="D240" i="6"/>
  <c r="A240" i="6"/>
  <c r="D239" i="6"/>
  <c r="A239" i="6"/>
  <c r="D238" i="6"/>
  <c r="A238" i="6"/>
  <c r="D237" i="6"/>
  <c r="A237" i="6"/>
  <c r="D236" i="6"/>
  <c r="A236" i="6"/>
  <c r="D235" i="6"/>
  <c r="A235" i="6"/>
  <c r="D234" i="6"/>
  <c r="A234" i="6"/>
  <c r="D233" i="6"/>
  <c r="A233" i="6"/>
  <c r="D232" i="6"/>
  <c r="A232" i="6"/>
  <c r="D231" i="6"/>
  <c r="A231" i="6"/>
  <c r="D230" i="6"/>
  <c r="A230" i="6"/>
  <c r="D229" i="6"/>
  <c r="A229" i="6"/>
  <c r="D228" i="6"/>
  <c r="A228" i="6"/>
  <c r="D227" i="6"/>
  <c r="A227" i="6"/>
  <c r="D226" i="6"/>
  <c r="A226" i="6"/>
  <c r="D225" i="6"/>
  <c r="A225" i="6"/>
  <c r="D224" i="6"/>
  <c r="A224" i="6"/>
  <c r="D223" i="6"/>
  <c r="A223" i="6"/>
  <c r="D222" i="6"/>
  <c r="A222" i="6"/>
  <c r="D221" i="6"/>
  <c r="A221" i="6"/>
  <c r="D220" i="6"/>
  <c r="A220" i="6"/>
  <c r="D219" i="6"/>
  <c r="A219" i="6"/>
  <c r="D218" i="6"/>
  <c r="A218" i="6"/>
  <c r="D217" i="6"/>
  <c r="A217" i="6"/>
  <c r="D216" i="6"/>
  <c r="A216" i="6"/>
  <c r="D215" i="6"/>
  <c r="A215" i="6"/>
  <c r="D214" i="6"/>
  <c r="A214" i="6"/>
  <c r="D213" i="6"/>
  <c r="A213" i="6"/>
  <c r="D212" i="6"/>
  <c r="A212" i="6"/>
  <c r="D211" i="6"/>
  <c r="A211" i="6"/>
  <c r="D210" i="6"/>
  <c r="A210" i="6"/>
  <c r="D209" i="6"/>
  <c r="A209" i="6"/>
  <c r="D208" i="6"/>
  <c r="A208" i="6"/>
  <c r="D207" i="6"/>
  <c r="A207" i="6"/>
  <c r="D206" i="6"/>
  <c r="A206" i="6"/>
  <c r="D205" i="6"/>
  <c r="A205" i="6"/>
  <c r="D204" i="6"/>
  <c r="A204" i="6"/>
  <c r="D203" i="6"/>
  <c r="A203" i="6"/>
  <c r="D202" i="6"/>
  <c r="A202" i="6"/>
  <c r="D201" i="6"/>
  <c r="A201" i="6"/>
  <c r="D200" i="6"/>
  <c r="A200" i="6"/>
  <c r="D199" i="6"/>
  <c r="A199" i="6"/>
  <c r="D198" i="6"/>
  <c r="A198" i="6"/>
  <c r="D197" i="6"/>
  <c r="A197" i="6"/>
  <c r="D196" i="6"/>
  <c r="A196" i="6"/>
  <c r="D195" i="6"/>
  <c r="A195" i="6"/>
  <c r="D194" i="6"/>
  <c r="A194" i="6"/>
  <c r="D193" i="6"/>
  <c r="A193" i="6"/>
  <c r="D192" i="6"/>
  <c r="A192" i="6"/>
  <c r="D191" i="6"/>
  <c r="A191" i="6"/>
  <c r="D190" i="6"/>
  <c r="A190" i="6"/>
  <c r="D189" i="6"/>
  <c r="A189" i="6"/>
  <c r="D188" i="6"/>
  <c r="A188" i="6"/>
  <c r="D187" i="6"/>
  <c r="A187" i="6"/>
  <c r="D186" i="6"/>
  <c r="A186" i="6"/>
  <c r="D185" i="6"/>
  <c r="A185" i="6"/>
  <c r="D184" i="6"/>
  <c r="A184" i="6"/>
  <c r="D183" i="6"/>
  <c r="A183" i="6"/>
  <c r="D182" i="6"/>
  <c r="A182" i="6"/>
  <c r="D181" i="6"/>
  <c r="A181" i="6"/>
  <c r="D180" i="6"/>
  <c r="A180" i="6"/>
  <c r="D179" i="6"/>
  <c r="A179" i="6"/>
  <c r="D178" i="6"/>
  <c r="A178" i="6"/>
  <c r="D177" i="6"/>
  <c r="A177" i="6"/>
  <c r="D176" i="6"/>
  <c r="A176" i="6"/>
  <c r="D175" i="6"/>
  <c r="A175" i="6"/>
  <c r="D174" i="6"/>
  <c r="A174" i="6"/>
  <c r="D173" i="6"/>
  <c r="A173" i="6"/>
  <c r="D172" i="6"/>
  <c r="A172" i="6"/>
  <c r="D171" i="6"/>
  <c r="A171" i="6"/>
  <c r="D170" i="6"/>
  <c r="A170" i="6"/>
  <c r="D169" i="6"/>
  <c r="A169" i="6"/>
  <c r="D168" i="6"/>
  <c r="A168" i="6"/>
  <c r="D167" i="6"/>
  <c r="A167" i="6"/>
  <c r="D166" i="6"/>
  <c r="A166" i="6"/>
  <c r="D165" i="6"/>
  <c r="A165" i="6"/>
  <c r="D164" i="6"/>
  <c r="A164" i="6"/>
  <c r="D163" i="6"/>
  <c r="A163" i="6"/>
  <c r="D162" i="6"/>
  <c r="A162" i="6"/>
  <c r="D161" i="6"/>
  <c r="A161" i="6"/>
  <c r="D160" i="6"/>
  <c r="A160" i="6"/>
  <c r="D159" i="6"/>
  <c r="A159" i="6"/>
  <c r="D158" i="6"/>
  <c r="A158" i="6"/>
  <c r="D157" i="6"/>
  <c r="A157" i="6"/>
  <c r="D156" i="6"/>
  <c r="A156" i="6"/>
  <c r="D155" i="6"/>
  <c r="A155" i="6"/>
  <c r="D154" i="6"/>
  <c r="A154" i="6"/>
  <c r="D153" i="6"/>
  <c r="A153" i="6"/>
  <c r="D152" i="6"/>
  <c r="A152" i="6"/>
  <c r="D151" i="6"/>
  <c r="A151" i="6"/>
  <c r="D150" i="6"/>
  <c r="A150" i="6"/>
  <c r="D149" i="6"/>
  <c r="A149" i="6"/>
  <c r="D148" i="6"/>
  <c r="A148" i="6"/>
  <c r="D147" i="6"/>
  <c r="A147" i="6"/>
  <c r="D146" i="6"/>
  <c r="A146" i="6"/>
  <c r="D145" i="6"/>
  <c r="A145" i="6"/>
  <c r="D144" i="6"/>
  <c r="A144" i="6"/>
  <c r="D143" i="6"/>
  <c r="A143" i="6"/>
  <c r="D142" i="6"/>
  <c r="A142" i="6"/>
  <c r="D141" i="6"/>
  <c r="A141" i="6"/>
  <c r="D140" i="6"/>
  <c r="A140" i="6"/>
  <c r="D139" i="6"/>
  <c r="A139" i="6"/>
  <c r="D138" i="6"/>
  <c r="A138" i="6"/>
  <c r="D137" i="6"/>
  <c r="A137" i="6"/>
  <c r="D136" i="6"/>
  <c r="A136" i="6"/>
  <c r="D135" i="6"/>
  <c r="A135" i="6"/>
  <c r="D134" i="6"/>
  <c r="A134" i="6"/>
  <c r="D133" i="6"/>
  <c r="A133" i="6"/>
  <c r="D132" i="6"/>
  <c r="A132" i="6"/>
  <c r="D131" i="6"/>
  <c r="A131" i="6"/>
  <c r="D130" i="6"/>
  <c r="A130" i="6"/>
  <c r="D129" i="6"/>
  <c r="A129" i="6"/>
  <c r="D128" i="6"/>
  <c r="A128" i="6"/>
  <c r="D127" i="6"/>
  <c r="A127" i="6"/>
  <c r="D126" i="6"/>
  <c r="A126" i="6"/>
  <c r="D125" i="6"/>
  <c r="A125" i="6"/>
  <c r="D124" i="6"/>
  <c r="A124" i="6"/>
  <c r="D123" i="6"/>
  <c r="A123" i="6"/>
  <c r="D122" i="6"/>
  <c r="A122" i="6"/>
  <c r="D121" i="6"/>
  <c r="A121" i="6"/>
  <c r="D120" i="6"/>
  <c r="A120" i="6"/>
  <c r="D119" i="6"/>
  <c r="A119" i="6"/>
  <c r="D118" i="6"/>
  <c r="A118" i="6"/>
  <c r="D117" i="6"/>
  <c r="A117" i="6"/>
  <c r="D116" i="6"/>
  <c r="A116" i="6"/>
  <c r="D115" i="6"/>
  <c r="A115" i="6"/>
  <c r="D114" i="6"/>
  <c r="A114" i="6"/>
  <c r="D113" i="6"/>
  <c r="A113" i="6"/>
  <c r="D112" i="6"/>
  <c r="A112" i="6"/>
  <c r="D111" i="6"/>
  <c r="A111" i="6"/>
  <c r="D110" i="6"/>
  <c r="A110" i="6"/>
  <c r="D109" i="6"/>
  <c r="A109" i="6"/>
  <c r="D108" i="6"/>
  <c r="A108" i="6"/>
  <c r="D107" i="6"/>
  <c r="A107" i="6"/>
  <c r="D106" i="6"/>
  <c r="A106" i="6"/>
  <c r="D105" i="6"/>
  <c r="A105" i="6"/>
  <c r="D104" i="6"/>
  <c r="A104" i="6"/>
  <c r="D103" i="6"/>
  <c r="A103" i="6"/>
  <c r="D102" i="6"/>
  <c r="A102" i="6"/>
  <c r="D101" i="6"/>
  <c r="A101" i="6"/>
  <c r="D100" i="6"/>
  <c r="A100" i="6"/>
  <c r="D99" i="6"/>
  <c r="A99" i="6"/>
  <c r="D98" i="6"/>
  <c r="A98" i="6"/>
  <c r="D97" i="6"/>
  <c r="A97" i="6"/>
  <c r="D96" i="6"/>
  <c r="A96" i="6"/>
  <c r="D95" i="6"/>
  <c r="A95" i="6"/>
  <c r="D94" i="6"/>
  <c r="A94" i="6"/>
  <c r="D93" i="6"/>
  <c r="A93" i="6"/>
  <c r="D92" i="6"/>
  <c r="A92" i="6"/>
  <c r="D91" i="6"/>
  <c r="A91" i="6"/>
  <c r="D90" i="6"/>
  <c r="A90" i="6"/>
  <c r="D89" i="6"/>
  <c r="A89" i="6"/>
  <c r="D88" i="6"/>
  <c r="A88" i="6"/>
  <c r="D87" i="6"/>
  <c r="A87" i="6"/>
  <c r="D86" i="6"/>
  <c r="A86" i="6"/>
  <c r="D85" i="6"/>
  <c r="A85" i="6"/>
  <c r="D84" i="6"/>
  <c r="A84" i="6"/>
  <c r="D83" i="6"/>
  <c r="A83" i="6"/>
  <c r="D82" i="6"/>
  <c r="A82" i="6"/>
  <c r="D81" i="6"/>
  <c r="A81" i="6"/>
  <c r="D80" i="6"/>
  <c r="A80" i="6"/>
  <c r="D79" i="6"/>
  <c r="A79" i="6"/>
  <c r="D78" i="6"/>
  <c r="A78" i="6"/>
  <c r="D77" i="6"/>
  <c r="A77" i="6"/>
  <c r="D76" i="6"/>
  <c r="A76" i="6"/>
  <c r="D75" i="6"/>
  <c r="A75" i="6"/>
  <c r="D74" i="6"/>
  <c r="A74" i="6"/>
  <c r="D73" i="6"/>
  <c r="A73" i="6"/>
  <c r="D72" i="6"/>
  <c r="A72" i="6"/>
  <c r="D71" i="6"/>
  <c r="A71" i="6"/>
  <c r="D70" i="6"/>
  <c r="A70" i="6"/>
  <c r="D69" i="6"/>
  <c r="A69" i="6"/>
  <c r="D68" i="6"/>
  <c r="A68" i="6"/>
  <c r="D67" i="6"/>
  <c r="A67" i="6"/>
  <c r="D66" i="6"/>
  <c r="A66" i="6"/>
  <c r="D65" i="6"/>
  <c r="A65" i="6"/>
  <c r="D64" i="6"/>
  <c r="A64" i="6"/>
  <c r="D63" i="6"/>
  <c r="A63" i="6"/>
  <c r="D62" i="6"/>
  <c r="A62" i="6"/>
  <c r="D61" i="6"/>
  <c r="A61" i="6"/>
  <c r="D60" i="6"/>
  <c r="A60" i="6"/>
  <c r="D59" i="6"/>
  <c r="A59" i="6"/>
  <c r="D58" i="6"/>
  <c r="A58" i="6"/>
  <c r="D57" i="6"/>
  <c r="A57" i="6"/>
  <c r="D56" i="6"/>
  <c r="A56" i="6"/>
  <c r="D55" i="6"/>
  <c r="A55" i="6"/>
  <c r="D54" i="6"/>
  <c r="A54" i="6"/>
  <c r="D53" i="6"/>
  <c r="A53" i="6"/>
  <c r="D52" i="6"/>
  <c r="A52" i="6"/>
  <c r="D51" i="6"/>
  <c r="A51" i="6"/>
  <c r="D50" i="6"/>
  <c r="A50" i="6"/>
  <c r="D49" i="6"/>
  <c r="A49" i="6"/>
  <c r="D48" i="6"/>
  <c r="A48" i="6"/>
  <c r="D47" i="6"/>
  <c r="A47" i="6"/>
  <c r="D46" i="6"/>
  <c r="A46" i="6"/>
  <c r="D45" i="6"/>
  <c r="A45" i="6"/>
  <c r="D44" i="6"/>
  <c r="A44" i="6"/>
  <c r="D43" i="6"/>
  <c r="A43" i="6"/>
  <c r="D42" i="6"/>
  <c r="A42" i="6"/>
  <c r="D41" i="6"/>
  <c r="A41" i="6"/>
  <c r="D40" i="6"/>
  <c r="A40" i="6"/>
  <c r="D39" i="6"/>
  <c r="A39" i="6"/>
  <c r="D38" i="6"/>
  <c r="A38" i="6"/>
  <c r="D37" i="6"/>
  <c r="A37" i="6"/>
  <c r="D36" i="6"/>
  <c r="A36" i="6"/>
  <c r="D35" i="6"/>
  <c r="A35" i="6"/>
  <c r="D34" i="6"/>
  <c r="A34" i="6"/>
  <c r="D33" i="6"/>
  <c r="A33" i="6"/>
  <c r="D32" i="6"/>
  <c r="A32" i="6"/>
  <c r="D31" i="6"/>
  <c r="A31" i="6"/>
  <c r="D30" i="6"/>
  <c r="A30" i="6"/>
  <c r="D29" i="6"/>
  <c r="A29" i="6"/>
  <c r="D28" i="6"/>
  <c r="A28" i="6"/>
  <c r="D27" i="6"/>
  <c r="A27" i="6"/>
  <c r="D26" i="6"/>
  <c r="A26" i="6"/>
  <c r="D25" i="6"/>
  <c r="A25" i="6"/>
  <c r="D24" i="6"/>
  <c r="A24" i="6"/>
  <c r="D23" i="6"/>
  <c r="A23" i="6"/>
  <c r="D22" i="6"/>
  <c r="A22" i="6"/>
  <c r="D21" i="6"/>
  <c r="A21" i="6"/>
  <c r="D20" i="6"/>
  <c r="A20" i="6"/>
  <c r="D19" i="6"/>
  <c r="A19" i="6"/>
  <c r="D18" i="6"/>
  <c r="A18" i="6"/>
  <c r="D17" i="6"/>
  <c r="A17" i="6"/>
  <c r="D16" i="6"/>
  <c r="A16" i="6"/>
  <c r="D15" i="6"/>
  <c r="A15" i="6"/>
  <c r="D14" i="6"/>
  <c r="A14" i="6"/>
  <c r="D13" i="6"/>
  <c r="A13" i="6"/>
  <c r="D12" i="6"/>
  <c r="A12" i="6"/>
  <c r="D11" i="6"/>
  <c r="A11" i="6"/>
  <c r="D10" i="6"/>
  <c r="A10" i="6"/>
  <c r="D9" i="6"/>
  <c r="A9" i="6"/>
  <c r="D8" i="6"/>
  <c r="A8" i="6"/>
  <c r="D7" i="6"/>
  <c r="A7" i="6"/>
  <c r="D6" i="6"/>
  <c r="A6" i="6"/>
  <c r="D5" i="6"/>
  <c r="A5" i="6"/>
  <c r="D4" i="6"/>
  <c r="A4" i="6"/>
  <c r="D3" i="6"/>
  <c r="A3" i="6"/>
  <c r="D2" i="6"/>
  <c r="A2" i="6"/>
  <c r="D518" i="5"/>
  <c r="A518" i="5"/>
  <c r="D517" i="5"/>
  <c r="A517" i="5"/>
  <c r="D516" i="5"/>
  <c r="A516" i="5"/>
  <c r="D515" i="5"/>
  <c r="A515" i="5"/>
  <c r="D514" i="5"/>
  <c r="A514" i="5"/>
  <c r="D513" i="5"/>
  <c r="A513" i="5"/>
  <c r="D512" i="5"/>
  <c r="A512" i="5"/>
  <c r="D511" i="5"/>
  <c r="A511" i="5"/>
  <c r="D510" i="5"/>
  <c r="A510" i="5"/>
  <c r="D509" i="5"/>
  <c r="A509" i="5"/>
  <c r="D508" i="5"/>
  <c r="A508" i="5"/>
  <c r="D507" i="5"/>
  <c r="A507" i="5"/>
  <c r="D506" i="5"/>
  <c r="A506" i="5"/>
  <c r="D505" i="5"/>
  <c r="A505" i="5"/>
  <c r="D504" i="5"/>
  <c r="A504" i="5"/>
  <c r="D503" i="5"/>
  <c r="A503" i="5"/>
  <c r="D502" i="5"/>
  <c r="A502" i="5"/>
  <c r="D501" i="5"/>
  <c r="A501" i="5"/>
  <c r="D500" i="5"/>
  <c r="A500" i="5"/>
  <c r="D499" i="5"/>
  <c r="A499" i="5"/>
  <c r="D498" i="5"/>
  <c r="A498" i="5"/>
  <c r="D497" i="5"/>
  <c r="A497" i="5"/>
  <c r="D496" i="5"/>
  <c r="A496" i="5"/>
  <c r="D495" i="5"/>
  <c r="A495" i="5"/>
  <c r="D494" i="5"/>
  <c r="A494" i="5"/>
  <c r="D493" i="5"/>
  <c r="A493" i="5"/>
  <c r="D492" i="5"/>
  <c r="A492" i="5"/>
  <c r="D491" i="5"/>
  <c r="A491" i="5"/>
  <c r="D490" i="5"/>
  <c r="A490" i="5"/>
  <c r="D489" i="5"/>
  <c r="A489" i="5"/>
  <c r="D488" i="5"/>
  <c r="A488" i="5"/>
  <c r="D487" i="5"/>
  <c r="A487" i="5"/>
  <c r="D486" i="5"/>
  <c r="A486" i="5"/>
  <c r="D485" i="5"/>
  <c r="A485" i="5"/>
  <c r="D484" i="5"/>
  <c r="A484" i="5"/>
  <c r="D483" i="5"/>
  <c r="A483" i="5"/>
  <c r="D482" i="5"/>
  <c r="A482" i="5"/>
  <c r="D481" i="5"/>
  <c r="A481" i="5"/>
  <c r="D480" i="5"/>
  <c r="A480" i="5"/>
  <c r="D479" i="5"/>
  <c r="A479" i="5"/>
  <c r="D478" i="5"/>
  <c r="A478" i="5"/>
  <c r="D477" i="5"/>
  <c r="A477" i="5"/>
  <c r="D476" i="5"/>
  <c r="A476" i="5"/>
  <c r="D475" i="5"/>
  <c r="A475" i="5"/>
  <c r="D474" i="5"/>
  <c r="A474" i="5"/>
  <c r="D473" i="5"/>
  <c r="A473" i="5"/>
  <c r="D472" i="5"/>
  <c r="A472" i="5"/>
  <c r="D471" i="5"/>
  <c r="A471" i="5"/>
  <c r="D470" i="5"/>
  <c r="A470" i="5"/>
  <c r="D469" i="5"/>
  <c r="A469" i="5"/>
  <c r="D468" i="5"/>
  <c r="A468" i="5"/>
  <c r="D467" i="5"/>
  <c r="A467" i="5"/>
  <c r="D466" i="5"/>
  <c r="A466" i="5"/>
  <c r="D465" i="5"/>
  <c r="A465" i="5"/>
  <c r="D464" i="5"/>
  <c r="A464" i="5"/>
  <c r="D463" i="5"/>
  <c r="A463" i="5"/>
  <c r="D462" i="5"/>
  <c r="A462" i="5"/>
  <c r="D461" i="5"/>
  <c r="A461" i="5"/>
  <c r="D460" i="5"/>
  <c r="A460" i="5"/>
  <c r="D459" i="5"/>
  <c r="A459" i="5"/>
  <c r="D458" i="5"/>
  <c r="A458" i="5"/>
  <c r="D457" i="5"/>
  <c r="A457" i="5"/>
  <c r="D456" i="5"/>
  <c r="A456" i="5"/>
  <c r="D455" i="5"/>
  <c r="A455" i="5"/>
  <c r="D454" i="5"/>
  <c r="A454" i="5"/>
  <c r="D453" i="5"/>
  <c r="A453" i="5"/>
  <c r="D452" i="5"/>
  <c r="A452" i="5"/>
  <c r="D451" i="5"/>
  <c r="A451" i="5"/>
  <c r="D450" i="5"/>
  <c r="A450" i="5"/>
  <c r="D449" i="5"/>
  <c r="A449" i="5"/>
  <c r="D448" i="5"/>
  <c r="A448" i="5"/>
  <c r="D447" i="5"/>
  <c r="A447" i="5"/>
  <c r="D446" i="5"/>
  <c r="A446" i="5"/>
  <c r="D445" i="5"/>
  <c r="A445" i="5"/>
  <c r="D444" i="5"/>
  <c r="A444" i="5"/>
  <c r="D443" i="5"/>
  <c r="A443" i="5"/>
  <c r="D442" i="5"/>
  <c r="A442" i="5"/>
  <c r="D441" i="5"/>
  <c r="A441" i="5"/>
  <c r="D440" i="5"/>
  <c r="A440" i="5"/>
  <c r="D439" i="5"/>
  <c r="A439" i="5"/>
  <c r="D438" i="5"/>
  <c r="A438" i="5"/>
  <c r="D437" i="5"/>
  <c r="A437" i="5"/>
  <c r="D436" i="5"/>
  <c r="A436" i="5"/>
  <c r="D435" i="5"/>
  <c r="A435" i="5"/>
  <c r="D434" i="5"/>
  <c r="A434" i="5"/>
  <c r="D433" i="5"/>
  <c r="A433" i="5"/>
  <c r="D432" i="5"/>
  <c r="A432" i="5"/>
  <c r="D431" i="5"/>
  <c r="A431" i="5"/>
  <c r="D430" i="5"/>
  <c r="A430" i="5"/>
  <c r="D429" i="5"/>
  <c r="A429" i="5"/>
  <c r="D428" i="5"/>
  <c r="A428" i="5"/>
  <c r="D427" i="5"/>
  <c r="A427" i="5"/>
  <c r="D426" i="5"/>
  <c r="A426" i="5"/>
  <c r="D425" i="5"/>
  <c r="A425" i="5"/>
  <c r="D424" i="5"/>
  <c r="A424" i="5"/>
  <c r="D423" i="5"/>
  <c r="A423" i="5"/>
  <c r="D422" i="5"/>
  <c r="A422" i="5"/>
  <c r="D421" i="5"/>
  <c r="A421" i="5"/>
  <c r="D420" i="5"/>
  <c r="A420" i="5"/>
  <c r="D419" i="5"/>
  <c r="A419" i="5"/>
  <c r="D418" i="5"/>
  <c r="A418" i="5"/>
  <c r="D417" i="5"/>
  <c r="A417" i="5"/>
  <c r="D416" i="5"/>
  <c r="A416" i="5"/>
  <c r="D415" i="5"/>
  <c r="A415" i="5"/>
  <c r="D414" i="5"/>
  <c r="A414" i="5"/>
  <c r="D413" i="5"/>
  <c r="A413" i="5"/>
  <c r="D412" i="5"/>
  <c r="A412" i="5"/>
  <c r="D411" i="5"/>
  <c r="A411" i="5"/>
  <c r="D410" i="5"/>
  <c r="A410" i="5"/>
  <c r="D409" i="5"/>
  <c r="A409" i="5"/>
  <c r="D408" i="5"/>
  <c r="A408" i="5"/>
  <c r="D407" i="5"/>
  <c r="A407" i="5"/>
  <c r="D406" i="5"/>
  <c r="A406" i="5"/>
  <c r="D405" i="5"/>
  <c r="A405" i="5"/>
  <c r="D404" i="5"/>
  <c r="A404" i="5"/>
  <c r="D403" i="5"/>
  <c r="A403" i="5"/>
  <c r="D402" i="5"/>
  <c r="A402" i="5"/>
  <c r="D401" i="5"/>
  <c r="A401" i="5"/>
  <c r="D400" i="5"/>
  <c r="A400" i="5"/>
  <c r="D399" i="5"/>
  <c r="A399" i="5"/>
  <c r="D398" i="5"/>
  <c r="A398" i="5"/>
  <c r="D397" i="5"/>
  <c r="A397" i="5"/>
  <c r="D396" i="5"/>
  <c r="A396" i="5"/>
  <c r="D395" i="5"/>
  <c r="A395" i="5"/>
  <c r="D394" i="5"/>
  <c r="A394" i="5"/>
  <c r="D393" i="5"/>
  <c r="A393" i="5"/>
  <c r="D392" i="5"/>
  <c r="A392" i="5"/>
  <c r="D391" i="5"/>
  <c r="A391" i="5"/>
  <c r="D390" i="5"/>
  <c r="A390" i="5"/>
  <c r="D389" i="5"/>
  <c r="A389" i="5"/>
  <c r="D388" i="5"/>
  <c r="A388" i="5"/>
  <c r="D387" i="5"/>
  <c r="A387" i="5"/>
  <c r="D386" i="5"/>
  <c r="A386" i="5"/>
  <c r="D385" i="5"/>
  <c r="A385" i="5"/>
  <c r="D384" i="5"/>
  <c r="A384" i="5"/>
  <c r="D383" i="5"/>
  <c r="A383" i="5"/>
  <c r="D382" i="5"/>
  <c r="A382" i="5"/>
  <c r="D381" i="5"/>
  <c r="A381" i="5"/>
  <c r="D380" i="5"/>
  <c r="A380" i="5"/>
  <c r="D379" i="5"/>
  <c r="A379" i="5"/>
  <c r="D378" i="5"/>
  <c r="A378" i="5"/>
  <c r="D377" i="5"/>
  <c r="A377" i="5"/>
  <c r="D376" i="5"/>
  <c r="A376" i="5"/>
  <c r="D375" i="5"/>
  <c r="A375" i="5"/>
  <c r="D374" i="5"/>
  <c r="A374" i="5"/>
  <c r="D373" i="5"/>
  <c r="A373" i="5"/>
  <c r="D372" i="5"/>
  <c r="A372" i="5"/>
  <c r="D371" i="5"/>
  <c r="A371" i="5"/>
  <c r="D370" i="5"/>
  <c r="A370" i="5"/>
  <c r="D369" i="5"/>
  <c r="A369" i="5"/>
  <c r="D368" i="5"/>
  <c r="A368" i="5"/>
  <c r="D367" i="5"/>
  <c r="A367" i="5"/>
  <c r="D366" i="5"/>
  <c r="A366" i="5"/>
  <c r="D365" i="5"/>
  <c r="A365" i="5"/>
  <c r="D364" i="5"/>
  <c r="A364" i="5"/>
  <c r="D363" i="5"/>
  <c r="A363" i="5"/>
  <c r="D362" i="5"/>
  <c r="A362" i="5"/>
  <c r="D361" i="5"/>
  <c r="A361" i="5"/>
  <c r="D360" i="5"/>
  <c r="A360" i="5"/>
  <c r="D359" i="5"/>
  <c r="A359" i="5"/>
  <c r="D358" i="5"/>
  <c r="A358" i="5"/>
  <c r="D357" i="5"/>
  <c r="A357" i="5"/>
  <c r="D356" i="5"/>
  <c r="A356" i="5"/>
  <c r="D355" i="5"/>
  <c r="A355" i="5"/>
  <c r="D354" i="5"/>
  <c r="A354" i="5"/>
  <c r="D353" i="5"/>
  <c r="A353" i="5"/>
  <c r="D352" i="5"/>
  <c r="A352" i="5"/>
  <c r="D351" i="5"/>
  <c r="A351" i="5"/>
  <c r="D350" i="5"/>
  <c r="A350" i="5"/>
  <c r="D349" i="5"/>
  <c r="A349" i="5"/>
  <c r="D348" i="5"/>
  <c r="A348" i="5"/>
  <c r="D347" i="5"/>
  <c r="A347" i="5"/>
  <c r="D346" i="5"/>
  <c r="A346" i="5"/>
  <c r="D345" i="5"/>
  <c r="A345" i="5"/>
  <c r="D344" i="5"/>
  <c r="A344" i="5"/>
  <c r="D343" i="5"/>
  <c r="A343" i="5"/>
  <c r="D342" i="5"/>
  <c r="A342" i="5"/>
  <c r="D341" i="5"/>
  <c r="A341" i="5"/>
  <c r="D340" i="5"/>
  <c r="A340" i="5"/>
  <c r="D339" i="5"/>
  <c r="A339" i="5"/>
  <c r="D338" i="5"/>
  <c r="A338" i="5"/>
  <c r="D337" i="5"/>
  <c r="A337" i="5"/>
  <c r="D336" i="5"/>
  <c r="A336" i="5"/>
  <c r="D335" i="5"/>
  <c r="A335" i="5"/>
  <c r="D334" i="5"/>
  <c r="A334" i="5"/>
  <c r="D333" i="5"/>
  <c r="A333" i="5"/>
  <c r="D332" i="5"/>
  <c r="A332" i="5"/>
  <c r="D331" i="5"/>
  <c r="A331" i="5"/>
  <c r="D330" i="5"/>
  <c r="A330" i="5"/>
  <c r="D329" i="5"/>
  <c r="A329" i="5"/>
  <c r="D328" i="5"/>
  <c r="A328" i="5"/>
  <c r="D327" i="5"/>
  <c r="A327" i="5"/>
  <c r="D326" i="5"/>
  <c r="A326" i="5"/>
  <c r="D325" i="5"/>
  <c r="A325" i="5"/>
  <c r="D324" i="5"/>
  <c r="A324" i="5"/>
  <c r="D323" i="5"/>
  <c r="A323" i="5"/>
  <c r="D322" i="5"/>
  <c r="A322" i="5"/>
  <c r="D321" i="5"/>
  <c r="A321" i="5"/>
  <c r="D320" i="5"/>
  <c r="A320" i="5"/>
  <c r="D319" i="5"/>
  <c r="A319" i="5"/>
  <c r="D318" i="5"/>
  <c r="A318" i="5"/>
  <c r="D317" i="5"/>
  <c r="A317" i="5"/>
  <c r="D316" i="5"/>
  <c r="A316" i="5"/>
  <c r="D315" i="5"/>
  <c r="A315" i="5"/>
  <c r="D314" i="5"/>
  <c r="A314" i="5"/>
  <c r="D313" i="5"/>
  <c r="A313" i="5"/>
  <c r="D312" i="5"/>
  <c r="A312" i="5"/>
  <c r="D311" i="5"/>
  <c r="A311" i="5"/>
  <c r="D310" i="5"/>
  <c r="A310" i="5"/>
  <c r="D309" i="5"/>
  <c r="A309" i="5"/>
  <c r="D308" i="5"/>
  <c r="A308" i="5"/>
  <c r="D307" i="5"/>
  <c r="A307" i="5"/>
  <c r="D306" i="5"/>
  <c r="A306" i="5"/>
  <c r="D305" i="5"/>
  <c r="A305" i="5"/>
  <c r="D304" i="5"/>
  <c r="A304" i="5"/>
  <c r="D303" i="5"/>
  <c r="A303" i="5"/>
  <c r="D302" i="5"/>
  <c r="A302" i="5"/>
  <c r="D301" i="5"/>
  <c r="A301" i="5"/>
  <c r="D300" i="5"/>
  <c r="A300" i="5"/>
  <c r="D299" i="5"/>
  <c r="A299" i="5"/>
  <c r="D298" i="5"/>
  <c r="A298" i="5"/>
  <c r="D297" i="5"/>
  <c r="A297" i="5"/>
  <c r="D296" i="5"/>
  <c r="A296" i="5"/>
  <c r="D295" i="5"/>
  <c r="A295" i="5"/>
  <c r="D294" i="5"/>
  <c r="A294" i="5"/>
  <c r="D293" i="5"/>
  <c r="A293" i="5"/>
  <c r="D292" i="5"/>
  <c r="A292" i="5"/>
  <c r="D291" i="5"/>
  <c r="A291" i="5"/>
  <c r="D290" i="5"/>
  <c r="A290" i="5"/>
  <c r="D289" i="5"/>
  <c r="A289" i="5"/>
  <c r="D288" i="5"/>
  <c r="A288" i="5"/>
  <c r="D287" i="5"/>
  <c r="A287" i="5"/>
  <c r="D286" i="5"/>
  <c r="A286" i="5"/>
  <c r="D285" i="5"/>
  <c r="A285" i="5"/>
  <c r="D284" i="5"/>
  <c r="A284" i="5"/>
  <c r="D283" i="5"/>
  <c r="A283" i="5"/>
  <c r="D282" i="5"/>
  <c r="A282" i="5"/>
  <c r="D281" i="5"/>
  <c r="A281" i="5"/>
  <c r="D280" i="5"/>
  <c r="A280" i="5"/>
  <c r="D279" i="5"/>
  <c r="A279" i="5"/>
  <c r="D278" i="5"/>
  <c r="A278" i="5"/>
  <c r="D277" i="5"/>
  <c r="A277" i="5"/>
  <c r="D276" i="5"/>
  <c r="A276" i="5"/>
  <c r="D275" i="5"/>
  <c r="A275" i="5"/>
  <c r="D274" i="5"/>
  <c r="A274" i="5"/>
  <c r="D273" i="5"/>
  <c r="A273" i="5"/>
  <c r="D272" i="5"/>
  <c r="A272" i="5"/>
  <c r="D271" i="5"/>
  <c r="A271" i="5"/>
  <c r="D270" i="5"/>
  <c r="A270" i="5"/>
  <c r="D269" i="5"/>
  <c r="A269" i="5"/>
  <c r="D268" i="5"/>
  <c r="A268" i="5"/>
  <c r="D267" i="5"/>
  <c r="A267" i="5"/>
  <c r="D266" i="5"/>
  <c r="A266" i="5"/>
  <c r="D265" i="5"/>
  <c r="A265" i="5"/>
  <c r="D264" i="5"/>
  <c r="A264" i="5"/>
  <c r="D263" i="5"/>
  <c r="A263" i="5"/>
  <c r="D262" i="5"/>
  <c r="A262" i="5"/>
  <c r="D261" i="5"/>
  <c r="A261" i="5"/>
  <c r="D260" i="5"/>
  <c r="A260" i="5"/>
  <c r="D259" i="5"/>
  <c r="A259" i="5"/>
  <c r="D258" i="5"/>
  <c r="A258" i="5"/>
  <c r="D257" i="5"/>
  <c r="A257" i="5"/>
  <c r="D256" i="5"/>
  <c r="A256" i="5"/>
  <c r="D255" i="5"/>
  <c r="A255" i="5"/>
  <c r="D254" i="5"/>
  <c r="A254" i="5"/>
  <c r="D253" i="5"/>
  <c r="A253" i="5"/>
  <c r="D252" i="5"/>
  <c r="A252" i="5"/>
  <c r="D251" i="5"/>
  <c r="A251" i="5"/>
  <c r="D250" i="5"/>
  <c r="A250" i="5"/>
  <c r="D249" i="5"/>
  <c r="A249" i="5"/>
  <c r="D248" i="5"/>
  <c r="A248" i="5"/>
  <c r="D247" i="5"/>
  <c r="A247" i="5"/>
  <c r="D246" i="5"/>
  <c r="A246" i="5"/>
  <c r="D245" i="5"/>
  <c r="A245" i="5"/>
  <c r="D244" i="5"/>
  <c r="A244" i="5"/>
  <c r="D243" i="5"/>
  <c r="A243" i="5"/>
  <c r="D242" i="5"/>
  <c r="A242" i="5"/>
  <c r="D241" i="5"/>
  <c r="A241" i="5"/>
  <c r="D240" i="5"/>
  <c r="A240" i="5"/>
  <c r="D239" i="5"/>
  <c r="A239" i="5"/>
  <c r="D238" i="5"/>
  <c r="A238" i="5"/>
  <c r="D237" i="5"/>
  <c r="A237" i="5"/>
  <c r="D236" i="5"/>
  <c r="A236" i="5"/>
  <c r="D235" i="5"/>
  <c r="A235" i="5"/>
  <c r="D234" i="5"/>
  <c r="A234" i="5"/>
  <c r="D233" i="5"/>
  <c r="A233" i="5"/>
  <c r="D232" i="5"/>
  <c r="A232" i="5"/>
  <c r="D231" i="5"/>
  <c r="A231" i="5"/>
  <c r="D230" i="5"/>
  <c r="A230" i="5"/>
  <c r="D229" i="5"/>
  <c r="A229" i="5"/>
  <c r="D228" i="5"/>
  <c r="A228" i="5"/>
  <c r="D227" i="5"/>
  <c r="A227" i="5"/>
  <c r="D226" i="5"/>
  <c r="A226" i="5"/>
  <c r="D225" i="5"/>
  <c r="A225" i="5"/>
  <c r="D224" i="5"/>
  <c r="A224" i="5"/>
  <c r="D223" i="5"/>
  <c r="A223" i="5"/>
  <c r="D222" i="5"/>
  <c r="A222" i="5"/>
  <c r="D61" i="5"/>
  <c r="A61" i="5"/>
  <c r="D60" i="5"/>
  <c r="A60" i="5"/>
  <c r="D59" i="5"/>
  <c r="A59" i="5"/>
  <c r="D58" i="5"/>
  <c r="A58" i="5"/>
  <c r="D57" i="5"/>
  <c r="A57" i="5"/>
  <c r="D56" i="5"/>
  <c r="A56" i="5"/>
  <c r="D55" i="5"/>
  <c r="A55" i="5"/>
  <c r="D54" i="5"/>
  <c r="A54" i="5"/>
  <c r="D53" i="5"/>
  <c r="A53" i="5"/>
  <c r="D52" i="5"/>
  <c r="A52" i="5"/>
  <c r="D51" i="5"/>
  <c r="A51" i="5"/>
  <c r="D50" i="5"/>
  <c r="A50" i="5"/>
  <c r="D49" i="5"/>
  <c r="A49" i="5"/>
  <c r="D48" i="5"/>
  <c r="A48" i="5"/>
  <c r="D47" i="5"/>
  <c r="A47" i="5"/>
  <c r="D46" i="5"/>
  <c r="A46" i="5"/>
  <c r="D45" i="5"/>
  <c r="A45" i="5"/>
  <c r="D44" i="5"/>
  <c r="A44" i="5"/>
  <c r="D43" i="5"/>
  <c r="A43" i="5"/>
  <c r="D42" i="5"/>
  <c r="A42" i="5"/>
  <c r="D41" i="5"/>
  <c r="A41" i="5"/>
  <c r="D40" i="5"/>
  <c r="A40" i="5"/>
  <c r="D39" i="5"/>
  <c r="A39" i="5"/>
  <c r="D38" i="5"/>
  <c r="A38" i="5"/>
  <c r="D37" i="5"/>
  <c r="A37" i="5"/>
  <c r="D36" i="5"/>
  <c r="A36" i="5"/>
  <c r="D35" i="5"/>
  <c r="A35" i="5"/>
  <c r="D34" i="5"/>
  <c r="A34" i="5"/>
  <c r="D33" i="5"/>
  <c r="A33" i="5"/>
  <c r="D32" i="5"/>
  <c r="A32" i="5"/>
  <c r="D31" i="5"/>
  <c r="A31" i="5"/>
  <c r="D30" i="5"/>
  <c r="A30" i="5"/>
  <c r="D29" i="5"/>
  <c r="A29" i="5"/>
  <c r="D28" i="5"/>
  <c r="A28" i="5"/>
  <c r="D27" i="5"/>
  <c r="A27" i="5"/>
  <c r="D26" i="5"/>
  <c r="A26" i="5"/>
  <c r="D25" i="5"/>
  <c r="A25" i="5"/>
  <c r="D24" i="5"/>
  <c r="A24" i="5"/>
  <c r="D23" i="5"/>
  <c r="A23" i="5"/>
  <c r="D22" i="5"/>
  <c r="A22" i="5"/>
  <c r="D21" i="5"/>
  <c r="A21" i="5"/>
  <c r="D20" i="5"/>
  <c r="A20" i="5"/>
  <c r="D19" i="5"/>
  <c r="A19" i="5"/>
  <c r="D18" i="5"/>
  <c r="A18" i="5"/>
  <c r="D17" i="5"/>
  <c r="A17" i="5"/>
  <c r="D16" i="5"/>
  <c r="A16" i="5"/>
  <c r="D15" i="5"/>
  <c r="A15" i="5"/>
  <c r="D14" i="5"/>
  <c r="A14" i="5"/>
  <c r="D13" i="5"/>
  <c r="A13" i="5"/>
  <c r="D12" i="5"/>
  <c r="A12" i="5"/>
  <c r="D11" i="5"/>
  <c r="A11" i="5"/>
  <c r="D10" i="5"/>
  <c r="A10" i="5"/>
  <c r="D9" i="5"/>
  <c r="A9" i="5"/>
  <c r="D8" i="5"/>
  <c r="A8" i="5"/>
  <c r="D7" i="5"/>
  <c r="A7" i="5"/>
  <c r="D6" i="5"/>
  <c r="A6" i="5"/>
  <c r="D5" i="5"/>
  <c r="A5" i="5"/>
  <c r="D4" i="5"/>
  <c r="A4" i="5"/>
  <c r="D3" i="5"/>
  <c r="A3" i="5"/>
  <c r="D2" i="5"/>
  <c r="A2" i="5"/>
  <c r="D503" i="4"/>
  <c r="A503" i="4"/>
  <c r="A502" i="4"/>
  <c r="A501" i="4"/>
  <c r="A500" i="4"/>
  <c r="A499" i="4"/>
  <c r="D498" i="4"/>
  <c r="A498" i="4"/>
  <c r="D497" i="4"/>
  <c r="A497" i="4"/>
  <c r="D496" i="4"/>
  <c r="A496" i="4"/>
  <c r="D495" i="4"/>
  <c r="A495" i="4"/>
  <c r="D494" i="4"/>
  <c r="A494" i="4"/>
  <c r="D493" i="4"/>
  <c r="A493" i="4"/>
  <c r="D492" i="4"/>
  <c r="A492" i="4"/>
  <c r="D491" i="4"/>
  <c r="A491" i="4"/>
  <c r="D490" i="4"/>
  <c r="A490" i="4"/>
  <c r="D489" i="4"/>
  <c r="A489" i="4"/>
  <c r="D488" i="4"/>
  <c r="A488" i="4"/>
  <c r="D487" i="4"/>
  <c r="A487" i="4"/>
  <c r="D486" i="4"/>
  <c r="A486" i="4"/>
  <c r="D485" i="4"/>
  <c r="A485" i="4"/>
  <c r="D484" i="4"/>
  <c r="A484" i="4"/>
  <c r="D483" i="4"/>
  <c r="A483" i="4"/>
  <c r="D482" i="4"/>
  <c r="A482" i="4"/>
  <c r="D481" i="4"/>
  <c r="A481" i="4"/>
  <c r="D480" i="4"/>
  <c r="A480" i="4"/>
  <c r="D479" i="4"/>
  <c r="A479" i="4"/>
  <c r="D478" i="4"/>
  <c r="A478" i="4"/>
  <c r="D477" i="4"/>
  <c r="A477" i="4"/>
  <c r="D476" i="4"/>
  <c r="A476" i="4"/>
  <c r="D475" i="4"/>
  <c r="A475" i="4"/>
  <c r="D474" i="4"/>
  <c r="A474" i="4"/>
  <c r="D473" i="4"/>
  <c r="A473" i="4"/>
  <c r="D472" i="4"/>
  <c r="A472" i="4"/>
  <c r="D471" i="4"/>
  <c r="A471" i="4"/>
  <c r="D470" i="4"/>
  <c r="A470" i="4"/>
  <c r="D469" i="4"/>
  <c r="A469" i="4"/>
  <c r="D468" i="4"/>
  <c r="A468" i="4"/>
  <c r="D467" i="4"/>
  <c r="A467" i="4"/>
  <c r="D466" i="4"/>
  <c r="A466" i="4"/>
  <c r="D465" i="4"/>
  <c r="A465" i="4"/>
  <c r="D464" i="4"/>
  <c r="A464" i="4"/>
  <c r="D463" i="4"/>
  <c r="A463" i="4"/>
  <c r="D462" i="4"/>
  <c r="A462" i="4"/>
  <c r="D461" i="4"/>
  <c r="A461" i="4"/>
  <c r="D460" i="4"/>
  <c r="A460" i="4"/>
  <c r="D459" i="4"/>
  <c r="A459" i="4"/>
  <c r="D458" i="4"/>
  <c r="A458" i="4"/>
  <c r="D457" i="4"/>
  <c r="A457" i="4"/>
  <c r="D456" i="4"/>
  <c r="A456" i="4"/>
  <c r="D455" i="4"/>
  <c r="A455" i="4"/>
  <c r="D454" i="4"/>
  <c r="A454" i="4"/>
  <c r="D453" i="4"/>
  <c r="A453" i="4"/>
  <c r="D452" i="4"/>
  <c r="A452" i="4"/>
  <c r="D451" i="4"/>
  <c r="A451" i="4"/>
  <c r="D450" i="4"/>
  <c r="A450" i="4"/>
  <c r="D449" i="4"/>
  <c r="A449" i="4"/>
  <c r="D448" i="4"/>
  <c r="A448" i="4"/>
  <c r="D447" i="4"/>
  <c r="A447" i="4"/>
  <c r="D446" i="4"/>
  <c r="A446" i="4"/>
  <c r="D445" i="4"/>
  <c r="A445" i="4"/>
  <c r="D444" i="4"/>
  <c r="A444" i="4"/>
  <c r="D443" i="4"/>
  <c r="A443" i="4"/>
  <c r="D442" i="4"/>
  <c r="A442" i="4"/>
  <c r="D441" i="4"/>
  <c r="A441" i="4"/>
  <c r="D440" i="4"/>
  <c r="A440" i="4"/>
  <c r="D439" i="4"/>
  <c r="A439" i="4"/>
  <c r="D438" i="4"/>
  <c r="A438" i="4"/>
  <c r="D437" i="4"/>
  <c r="A437" i="4"/>
  <c r="D436" i="4"/>
  <c r="A436" i="4"/>
  <c r="D435" i="4"/>
  <c r="A435" i="4"/>
  <c r="D434" i="4"/>
  <c r="A434" i="4"/>
  <c r="D433" i="4"/>
  <c r="A433" i="4"/>
  <c r="D432" i="4"/>
  <c r="A432" i="4"/>
  <c r="D431" i="4"/>
  <c r="A431" i="4"/>
  <c r="D430" i="4"/>
  <c r="A430" i="4"/>
  <c r="D429" i="4"/>
  <c r="A429" i="4"/>
  <c r="D428" i="4"/>
  <c r="A428" i="4"/>
  <c r="D427" i="4"/>
  <c r="A427" i="4"/>
  <c r="D426" i="4"/>
  <c r="A426" i="4"/>
  <c r="D425" i="4"/>
  <c r="A425" i="4"/>
  <c r="D424" i="4"/>
  <c r="A424" i="4"/>
  <c r="D423" i="4"/>
  <c r="A423" i="4"/>
  <c r="D422" i="4"/>
  <c r="A422" i="4"/>
  <c r="D421" i="4"/>
  <c r="A421" i="4"/>
  <c r="D420" i="4"/>
  <c r="A420" i="4"/>
  <c r="D419" i="4"/>
  <c r="A419" i="4"/>
  <c r="D418" i="4"/>
  <c r="A418" i="4"/>
  <c r="D417" i="4"/>
  <c r="A417" i="4"/>
  <c r="D416" i="4"/>
  <c r="A416" i="4"/>
  <c r="D415" i="4"/>
  <c r="A415" i="4"/>
  <c r="D414" i="4"/>
  <c r="A414" i="4"/>
  <c r="D413" i="4"/>
  <c r="A413" i="4"/>
  <c r="D412" i="4"/>
  <c r="A412" i="4"/>
  <c r="D411" i="4"/>
  <c r="A411" i="4"/>
  <c r="D410" i="4"/>
  <c r="A410" i="4"/>
  <c r="D409" i="4"/>
  <c r="A409" i="4"/>
  <c r="D408" i="4"/>
  <c r="A408" i="4"/>
  <c r="D407" i="4"/>
  <c r="A407" i="4"/>
  <c r="D406" i="4"/>
  <c r="A406" i="4"/>
  <c r="D405" i="4"/>
  <c r="A405" i="4"/>
  <c r="D404" i="4"/>
  <c r="A404" i="4"/>
  <c r="D403" i="4"/>
  <c r="A403" i="4"/>
  <c r="D402" i="4"/>
  <c r="A402" i="4"/>
  <c r="D401" i="4"/>
  <c r="A401" i="4"/>
  <c r="D400" i="4"/>
  <c r="A400" i="4"/>
  <c r="D399" i="4"/>
  <c r="A399" i="4"/>
  <c r="D398" i="4"/>
  <c r="A398" i="4"/>
  <c r="D397" i="4"/>
  <c r="A397" i="4"/>
  <c r="D396" i="4"/>
  <c r="A396" i="4"/>
  <c r="D395" i="4"/>
  <c r="A395" i="4"/>
  <c r="D394" i="4"/>
  <c r="A394" i="4"/>
  <c r="D393" i="4"/>
  <c r="A393" i="4"/>
  <c r="D392" i="4"/>
  <c r="A392" i="4"/>
  <c r="D391" i="4"/>
  <c r="A391" i="4"/>
  <c r="D390" i="4"/>
  <c r="A390" i="4"/>
  <c r="D389" i="4"/>
  <c r="A389" i="4"/>
  <c r="D388" i="4"/>
  <c r="A388" i="4"/>
  <c r="D387" i="4"/>
  <c r="A387" i="4"/>
  <c r="D386" i="4"/>
  <c r="A386" i="4"/>
  <c r="D385" i="4"/>
  <c r="A385" i="4"/>
  <c r="D384" i="4"/>
  <c r="A384" i="4"/>
  <c r="D383" i="4"/>
  <c r="A383" i="4"/>
  <c r="D382" i="4"/>
  <c r="A382" i="4"/>
  <c r="D381" i="4"/>
  <c r="A381" i="4"/>
  <c r="D380" i="4"/>
  <c r="A380" i="4"/>
  <c r="D379" i="4"/>
  <c r="A379" i="4"/>
  <c r="D378" i="4"/>
  <c r="A378" i="4"/>
  <c r="D377" i="4"/>
  <c r="A377" i="4"/>
  <c r="D376" i="4"/>
  <c r="A376" i="4"/>
  <c r="D375" i="4"/>
  <c r="A375" i="4"/>
  <c r="D374" i="4"/>
  <c r="A374" i="4"/>
  <c r="D373" i="4"/>
  <c r="A373" i="4"/>
  <c r="D372" i="4"/>
  <c r="A372" i="4"/>
  <c r="D371" i="4"/>
  <c r="A371" i="4"/>
  <c r="D370" i="4"/>
  <c r="A370" i="4"/>
  <c r="D369" i="4"/>
  <c r="A369" i="4"/>
  <c r="D368" i="4"/>
  <c r="A368" i="4"/>
  <c r="D367" i="4"/>
  <c r="A367" i="4"/>
  <c r="D366" i="4"/>
  <c r="A366" i="4"/>
  <c r="D365" i="4"/>
  <c r="A365" i="4"/>
  <c r="D364" i="4"/>
  <c r="A364" i="4"/>
  <c r="D363" i="4"/>
  <c r="A363" i="4"/>
  <c r="D362" i="4"/>
  <c r="A362" i="4"/>
  <c r="D361" i="4"/>
  <c r="A361" i="4"/>
  <c r="D360" i="4"/>
  <c r="A360" i="4"/>
  <c r="D359" i="4"/>
  <c r="A359" i="4"/>
  <c r="D358" i="4"/>
  <c r="A358" i="4"/>
  <c r="D357" i="4"/>
  <c r="A357" i="4"/>
  <c r="D356" i="4"/>
  <c r="A356" i="4"/>
  <c r="D355" i="4"/>
  <c r="A355" i="4"/>
  <c r="D354" i="4"/>
  <c r="A354" i="4"/>
  <c r="D353" i="4"/>
  <c r="A353" i="4"/>
  <c r="D352" i="4"/>
  <c r="A352" i="4"/>
  <c r="D351" i="4"/>
  <c r="A351" i="4"/>
  <c r="D350" i="4"/>
  <c r="A350" i="4"/>
  <c r="D349" i="4"/>
  <c r="A349" i="4"/>
  <c r="D348" i="4"/>
  <c r="A348" i="4"/>
  <c r="D347" i="4"/>
  <c r="A347" i="4"/>
  <c r="D346" i="4"/>
  <c r="A346" i="4"/>
  <c r="D345" i="4"/>
  <c r="A345" i="4"/>
  <c r="D344" i="4"/>
  <c r="A344" i="4"/>
  <c r="D343" i="4"/>
  <c r="A343" i="4"/>
  <c r="D342" i="4"/>
  <c r="A342" i="4"/>
  <c r="D341" i="4"/>
  <c r="A341" i="4"/>
  <c r="D340" i="4"/>
  <c r="A340" i="4"/>
  <c r="D339" i="4"/>
  <c r="A339" i="4"/>
  <c r="D338" i="4"/>
  <c r="A338" i="4"/>
  <c r="D337" i="4"/>
  <c r="A337" i="4"/>
  <c r="D336" i="4"/>
  <c r="A336" i="4"/>
  <c r="D335" i="4"/>
  <c r="A335" i="4"/>
  <c r="D334" i="4"/>
  <c r="A334" i="4"/>
  <c r="D333" i="4"/>
  <c r="A333" i="4"/>
  <c r="D332" i="4"/>
  <c r="A332" i="4"/>
  <c r="D331" i="4"/>
  <c r="A331" i="4"/>
  <c r="D330" i="4"/>
  <c r="A330" i="4"/>
  <c r="D329" i="4"/>
  <c r="A329" i="4"/>
  <c r="D328" i="4"/>
  <c r="A328" i="4"/>
  <c r="D327" i="4"/>
  <c r="A327" i="4"/>
  <c r="D326" i="4"/>
  <c r="A326" i="4"/>
  <c r="D325" i="4"/>
  <c r="A325" i="4"/>
  <c r="D324" i="4"/>
  <c r="A324" i="4"/>
  <c r="D323" i="4"/>
  <c r="A323" i="4"/>
  <c r="D322" i="4"/>
  <c r="A322" i="4"/>
  <c r="D321" i="4"/>
  <c r="A321" i="4"/>
  <c r="D320" i="4"/>
  <c r="A320" i="4"/>
  <c r="D319" i="4"/>
  <c r="A319" i="4"/>
  <c r="D318" i="4"/>
  <c r="A318" i="4"/>
  <c r="D317" i="4"/>
  <c r="A317" i="4"/>
  <c r="D316" i="4"/>
  <c r="A316" i="4"/>
  <c r="D315" i="4"/>
  <c r="A315" i="4"/>
  <c r="D314" i="4"/>
  <c r="A314" i="4"/>
  <c r="D313" i="4"/>
  <c r="A313" i="4"/>
  <c r="D312" i="4"/>
  <c r="A312" i="4"/>
  <c r="D311" i="4"/>
  <c r="A311" i="4"/>
  <c r="D310" i="4"/>
  <c r="A310" i="4"/>
  <c r="D309" i="4"/>
  <c r="A309" i="4"/>
  <c r="D308" i="4"/>
  <c r="A308" i="4"/>
  <c r="D307" i="4"/>
  <c r="A307" i="4"/>
  <c r="D306" i="4"/>
  <c r="A306" i="4"/>
  <c r="D305" i="4"/>
  <c r="A305" i="4"/>
  <c r="D304" i="4"/>
  <c r="A304" i="4"/>
  <c r="D303" i="4"/>
  <c r="A303" i="4"/>
  <c r="D302" i="4"/>
  <c r="A302" i="4"/>
  <c r="D301" i="4"/>
  <c r="A301" i="4"/>
  <c r="D300" i="4"/>
  <c r="A300" i="4"/>
  <c r="D299" i="4"/>
  <c r="A299" i="4"/>
  <c r="D298" i="4"/>
  <c r="A298" i="4"/>
  <c r="D297" i="4"/>
  <c r="A297" i="4"/>
  <c r="D296" i="4"/>
  <c r="A296" i="4"/>
  <c r="D295" i="4"/>
  <c r="A295" i="4"/>
  <c r="D294" i="4"/>
  <c r="A294" i="4"/>
  <c r="D293" i="4"/>
  <c r="A293" i="4"/>
  <c r="D292" i="4"/>
  <c r="A292" i="4"/>
  <c r="D291" i="4"/>
  <c r="A291" i="4"/>
  <c r="D290" i="4"/>
  <c r="A290" i="4"/>
  <c r="D289" i="4"/>
  <c r="A289" i="4"/>
  <c r="D288" i="4"/>
  <c r="A288" i="4"/>
  <c r="D287" i="4"/>
  <c r="A287" i="4"/>
  <c r="D286" i="4"/>
  <c r="A286" i="4"/>
  <c r="D285" i="4"/>
  <c r="A285" i="4"/>
  <c r="D284" i="4"/>
  <c r="A284" i="4"/>
  <c r="D283" i="4"/>
  <c r="A283" i="4"/>
  <c r="D282" i="4"/>
  <c r="A282" i="4"/>
  <c r="D281" i="4"/>
  <c r="A281" i="4"/>
  <c r="D280" i="4"/>
  <c r="A280" i="4"/>
  <c r="D279" i="4"/>
  <c r="A279" i="4"/>
  <c r="D278" i="4"/>
  <c r="A278" i="4"/>
  <c r="D277" i="4"/>
  <c r="A277" i="4"/>
  <c r="D276" i="4"/>
  <c r="A276" i="4"/>
  <c r="D275" i="4"/>
  <c r="A275" i="4"/>
  <c r="D274" i="4"/>
  <c r="A274" i="4"/>
  <c r="D273" i="4"/>
  <c r="A273" i="4"/>
  <c r="D272" i="4"/>
  <c r="A272" i="4"/>
  <c r="D271" i="4"/>
  <c r="A271" i="4"/>
  <c r="D270" i="4"/>
  <c r="A270" i="4"/>
  <c r="D269" i="4"/>
  <c r="A269" i="4"/>
  <c r="D268" i="4"/>
  <c r="A268" i="4"/>
  <c r="D267" i="4"/>
  <c r="A267" i="4"/>
  <c r="D266" i="4"/>
  <c r="A266" i="4"/>
  <c r="D265" i="4"/>
  <c r="A265" i="4"/>
  <c r="D264" i="4"/>
  <c r="A264" i="4"/>
  <c r="D263" i="4"/>
  <c r="A263" i="4"/>
  <c r="D262" i="4"/>
  <c r="A262" i="4"/>
  <c r="D261" i="4"/>
  <c r="A261" i="4"/>
  <c r="D260" i="4"/>
  <c r="A260" i="4"/>
  <c r="D259" i="4"/>
  <c r="A259" i="4"/>
  <c r="D258" i="4"/>
  <c r="A258" i="4"/>
  <c r="D257" i="4"/>
  <c r="A257" i="4"/>
  <c r="D256" i="4"/>
  <c r="A256" i="4"/>
  <c r="D255" i="4"/>
  <c r="A255" i="4"/>
  <c r="D254" i="4"/>
  <c r="A254" i="4"/>
  <c r="D253" i="4"/>
  <c r="A253" i="4"/>
  <c r="D252" i="4"/>
  <c r="A252" i="4"/>
  <c r="D251" i="4"/>
  <c r="A251" i="4"/>
  <c r="D250" i="4"/>
  <c r="A250" i="4"/>
  <c r="D249" i="4"/>
  <c r="A249" i="4"/>
  <c r="D248" i="4"/>
  <c r="A248" i="4"/>
  <c r="D247" i="4"/>
  <c r="A247" i="4"/>
  <c r="D246" i="4"/>
  <c r="A246" i="4"/>
  <c r="D245" i="4"/>
  <c r="A245" i="4"/>
  <c r="D244" i="4"/>
  <c r="A244" i="4"/>
  <c r="D243" i="4"/>
  <c r="A243" i="4"/>
  <c r="D242" i="4"/>
  <c r="A242" i="4"/>
  <c r="D241" i="4"/>
  <c r="A241" i="4"/>
  <c r="D240" i="4"/>
  <c r="A240" i="4"/>
  <c r="D239" i="4"/>
  <c r="A239" i="4"/>
  <c r="D238" i="4"/>
  <c r="A238" i="4"/>
  <c r="D237" i="4"/>
  <c r="A237" i="4"/>
  <c r="D236" i="4"/>
  <c r="A236" i="4"/>
  <c r="D235" i="4"/>
  <c r="A235" i="4"/>
  <c r="D234" i="4"/>
  <c r="A234" i="4"/>
  <c r="D233" i="4"/>
  <c r="A233" i="4"/>
  <c r="D232" i="4"/>
  <c r="A232" i="4"/>
  <c r="D231" i="4"/>
  <c r="A231" i="4"/>
  <c r="D230" i="4"/>
  <c r="A230" i="4"/>
  <c r="D229" i="4"/>
  <c r="A229" i="4"/>
  <c r="D228" i="4"/>
  <c r="A228" i="4"/>
  <c r="D227" i="4"/>
  <c r="A227" i="4"/>
  <c r="D226" i="4"/>
  <c r="A226" i="4"/>
  <c r="D225" i="4"/>
  <c r="A225" i="4"/>
  <c r="D224" i="4"/>
  <c r="A224" i="4"/>
  <c r="D223" i="4"/>
  <c r="A223" i="4"/>
  <c r="D222" i="4"/>
  <c r="A222" i="4"/>
  <c r="D221" i="4"/>
  <c r="A221" i="4"/>
  <c r="D220" i="4"/>
  <c r="A220" i="4"/>
  <c r="D219" i="4"/>
  <c r="A219" i="4"/>
  <c r="D218" i="4"/>
  <c r="A218" i="4"/>
  <c r="D217" i="4"/>
  <c r="A217" i="4"/>
  <c r="D216" i="4"/>
  <c r="A216" i="4"/>
  <c r="D215" i="4"/>
  <c r="A215" i="4"/>
  <c r="D214" i="4"/>
  <c r="A214" i="4"/>
  <c r="D213" i="4"/>
  <c r="A213" i="4"/>
  <c r="D212" i="4"/>
  <c r="A212" i="4"/>
  <c r="D211" i="4"/>
  <c r="A211" i="4"/>
  <c r="D210" i="4"/>
  <c r="A210" i="4"/>
  <c r="D209" i="4"/>
  <c r="A209" i="4"/>
  <c r="D208" i="4"/>
  <c r="A208" i="4"/>
  <c r="D207" i="4"/>
  <c r="A207" i="4"/>
  <c r="D206" i="4"/>
  <c r="A206" i="4"/>
  <c r="D205" i="4"/>
  <c r="A205" i="4"/>
  <c r="D204" i="4"/>
  <c r="A204" i="4"/>
  <c r="D203" i="4"/>
  <c r="A203" i="4"/>
  <c r="D202" i="4"/>
  <c r="A202" i="4"/>
  <c r="D201" i="4"/>
  <c r="A201" i="4"/>
  <c r="D200" i="4"/>
  <c r="A200" i="4"/>
  <c r="D199" i="4"/>
  <c r="A199" i="4"/>
  <c r="D198" i="4"/>
  <c r="A198" i="4"/>
  <c r="D197" i="4"/>
  <c r="A197" i="4"/>
  <c r="D196" i="4"/>
  <c r="A196" i="4"/>
  <c r="D195" i="4"/>
  <c r="A195" i="4"/>
  <c r="D194" i="4"/>
  <c r="A194" i="4"/>
  <c r="D193" i="4"/>
  <c r="A193" i="4"/>
  <c r="D192" i="4"/>
  <c r="A192" i="4"/>
  <c r="D191" i="4"/>
  <c r="A191" i="4"/>
  <c r="D190" i="4"/>
  <c r="A190" i="4"/>
  <c r="D189" i="4"/>
  <c r="A189" i="4"/>
  <c r="D188" i="4"/>
  <c r="A188" i="4"/>
  <c r="D187" i="4"/>
  <c r="A187" i="4"/>
  <c r="D186" i="4"/>
  <c r="A186" i="4"/>
  <c r="D185" i="4"/>
  <c r="A185" i="4"/>
  <c r="D184" i="4"/>
  <c r="A184" i="4"/>
  <c r="D183" i="4"/>
  <c r="A183" i="4"/>
  <c r="D182" i="4"/>
  <c r="A182" i="4"/>
  <c r="D181" i="4"/>
  <c r="A181" i="4"/>
  <c r="D180" i="4"/>
  <c r="A180" i="4"/>
  <c r="D179" i="4"/>
  <c r="A179" i="4"/>
  <c r="D178" i="4"/>
  <c r="A178" i="4"/>
  <c r="D177" i="4"/>
  <c r="A177" i="4"/>
  <c r="D176" i="4"/>
  <c r="A176" i="4"/>
  <c r="D175" i="4"/>
  <c r="A175" i="4"/>
  <c r="D174" i="4"/>
  <c r="A174" i="4"/>
  <c r="D173" i="4"/>
  <c r="A173" i="4"/>
  <c r="D172" i="4"/>
  <c r="A172" i="4"/>
  <c r="D171" i="4"/>
  <c r="A171" i="4"/>
  <c r="D170" i="4"/>
  <c r="A170" i="4"/>
  <c r="D169" i="4"/>
  <c r="A169" i="4"/>
  <c r="D168" i="4"/>
  <c r="A168" i="4"/>
  <c r="D167" i="4"/>
  <c r="A167" i="4"/>
  <c r="D166" i="4"/>
  <c r="A166" i="4"/>
  <c r="D165" i="4"/>
  <c r="A165" i="4"/>
  <c r="D164" i="4"/>
  <c r="A164" i="4"/>
  <c r="D163" i="4"/>
  <c r="A163" i="4"/>
  <c r="D162" i="4"/>
  <c r="A162" i="4"/>
  <c r="D161" i="4"/>
  <c r="A161" i="4"/>
  <c r="D160" i="4"/>
  <c r="A160" i="4"/>
  <c r="D159" i="4"/>
  <c r="A159" i="4"/>
  <c r="D158" i="4"/>
  <c r="A158" i="4"/>
  <c r="D157" i="4"/>
  <c r="A157" i="4"/>
  <c r="D156" i="4"/>
  <c r="A156" i="4"/>
  <c r="D155" i="4"/>
  <c r="A155" i="4"/>
  <c r="D154" i="4"/>
  <c r="A154" i="4"/>
  <c r="D153" i="4"/>
  <c r="A153" i="4"/>
  <c r="D152" i="4"/>
  <c r="A152" i="4"/>
  <c r="D151" i="4"/>
  <c r="A151" i="4"/>
  <c r="D150" i="4"/>
  <c r="A150" i="4"/>
  <c r="D149" i="4"/>
  <c r="A149" i="4"/>
  <c r="D148" i="4"/>
  <c r="A148" i="4"/>
  <c r="D147" i="4"/>
  <c r="A147" i="4"/>
  <c r="D146" i="4"/>
  <c r="A146" i="4"/>
  <c r="D145" i="4"/>
  <c r="A145" i="4"/>
  <c r="D144" i="4"/>
  <c r="A144" i="4"/>
  <c r="D143" i="4"/>
  <c r="A143" i="4"/>
  <c r="D142" i="4"/>
  <c r="A142" i="4"/>
  <c r="D141" i="4"/>
  <c r="A141" i="4"/>
  <c r="D140" i="4"/>
  <c r="A140" i="4"/>
  <c r="D139" i="4"/>
  <c r="A139" i="4"/>
  <c r="D138" i="4"/>
  <c r="A138" i="4"/>
  <c r="D137" i="4"/>
  <c r="A137" i="4"/>
  <c r="D136" i="4"/>
  <c r="A136" i="4"/>
  <c r="D135" i="4"/>
  <c r="A135" i="4"/>
  <c r="D134" i="4"/>
  <c r="A134" i="4"/>
  <c r="D133" i="4"/>
  <c r="A133" i="4"/>
  <c r="D132" i="4"/>
  <c r="A132" i="4"/>
  <c r="D131" i="4"/>
  <c r="A131" i="4"/>
  <c r="D130" i="4"/>
  <c r="A130" i="4"/>
  <c r="D129" i="4"/>
  <c r="A129" i="4"/>
  <c r="D128" i="4"/>
  <c r="A128" i="4"/>
  <c r="D127" i="4"/>
  <c r="A127" i="4"/>
  <c r="D126" i="4"/>
  <c r="A126" i="4"/>
  <c r="D125" i="4"/>
  <c r="A125" i="4"/>
  <c r="D124" i="4"/>
  <c r="A124" i="4"/>
  <c r="D123" i="4"/>
  <c r="A123" i="4"/>
  <c r="D122" i="4"/>
  <c r="A122" i="4"/>
  <c r="D121" i="4"/>
  <c r="A121" i="4"/>
  <c r="D120" i="4"/>
  <c r="A120" i="4"/>
  <c r="D119" i="4"/>
  <c r="A119" i="4"/>
  <c r="D118" i="4"/>
  <c r="A118" i="4"/>
  <c r="D117" i="4"/>
  <c r="A117" i="4"/>
  <c r="D116" i="4"/>
  <c r="A116" i="4"/>
  <c r="D115" i="4"/>
  <c r="A115" i="4"/>
  <c r="D114" i="4"/>
  <c r="A114" i="4"/>
  <c r="D113" i="4"/>
  <c r="A113" i="4"/>
  <c r="D112" i="4"/>
  <c r="A112" i="4"/>
  <c r="D111" i="4"/>
  <c r="A111" i="4"/>
  <c r="D110" i="4"/>
  <c r="A110" i="4"/>
  <c r="D109" i="4"/>
  <c r="A109" i="4"/>
  <c r="D108" i="4"/>
  <c r="A108" i="4"/>
  <c r="D107" i="4"/>
  <c r="A107" i="4"/>
  <c r="D106" i="4"/>
  <c r="A106" i="4"/>
  <c r="D105" i="4"/>
  <c r="A105" i="4"/>
  <c r="D104" i="4"/>
  <c r="A104" i="4"/>
  <c r="D103" i="4"/>
  <c r="A103" i="4"/>
  <c r="D102" i="4"/>
  <c r="A102" i="4"/>
  <c r="D101" i="4"/>
  <c r="A101" i="4"/>
  <c r="D100" i="4"/>
  <c r="A100" i="4"/>
  <c r="D99" i="4"/>
  <c r="A99" i="4"/>
  <c r="D98" i="4"/>
  <c r="A98" i="4"/>
  <c r="D97" i="4"/>
  <c r="A97" i="4"/>
  <c r="D96" i="4"/>
  <c r="A96" i="4"/>
  <c r="D95" i="4"/>
  <c r="A95" i="4"/>
  <c r="D94" i="4"/>
  <c r="A94" i="4"/>
  <c r="D93" i="4"/>
  <c r="A93" i="4"/>
  <c r="D92" i="4"/>
  <c r="A92" i="4"/>
  <c r="D91" i="4"/>
  <c r="A91" i="4"/>
  <c r="D90" i="4"/>
  <c r="A90" i="4"/>
  <c r="D89" i="4"/>
  <c r="A89" i="4"/>
  <c r="D88" i="4"/>
  <c r="A88" i="4"/>
  <c r="D87" i="4"/>
  <c r="A87" i="4"/>
  <c r="D86" i="4"/>
  <c r="A86" i="4"/>
  <c r="D85" i="4"/>
  <c r="A85" i="4"/>
  <c r="D84" i="4"/>
  <c r="A84" i="4"/>
  <c r="D83" i="4"/>
  <c r="A83" i="4"/>
  <c r="D82" i="4"/>
  <c r="A82" i="4"/>
  <c r="D81" i="4"/>
  <c r="A81" i="4"/>
  <c r="D80" i="4"/>
  <c r="A80" i="4"/>
  <c r="D79" i="4"/>
  <c r="A79" i="4"/>
  <c r="D78" i="4"/>
  <c r="A78" i="4"/>
  <c r="D77" i="4"/>
  <c r="A77" i="4"/>
  <c r="D76" i="4"/>
  <c r="A76" i="4"/>
  <c r="D75" i="4"/>
  <c r="A75" i="4"/>
  <c r="D74" i="4"/>
  <c r="A74" i="4"/>
  <c r="D73" i="4"/>
  <c r="A73" i="4"/>
  <c r="D72" i="4"/>
  <c r="A72" i="4"/>
  <c r="D71" i="4"/>
  <c r="A71" i="4"/>
  <c r="D70" i="4"/>
  <c r="A70" i="4"/>
  <c r="D69" i="4"/>
  <c r="A69" i="4"/>
  <c r="D68" i="4"/>
  <c r="A68" i="4"/>
  <c r="D67" i="4"/>
  <c r="A67" i="4"/>
  <c r="D66" i="4"/>
  <c r="A66" i="4"/>
  <c r="D65" i="4"/>
  <c r="A65" i="4"/>
  <c r="D64" i="4"/>
  <c r="A64" i="4"/>
  <c r="D63" i="4"/>
  <c r="A63" i="4"/>
  <c r="D62" i="4"/>
  <c r="A62" i="4"/>
  <c r="D61" i="4"/>
  <c r="A61" i="4"/>
  <c r="D60" i="4"/>
  <c r="A60" i="4"/>
  <c r="D59" i="4"/>
  <c r="A59" i="4"/>
  <c r="D58" i="4"/>
  <c r="A58" i="4"/>
  <c r="D57" i="4"/>
  <c r="A57" i="4"/>
  <c r="D56" i="4"/>
  <c r="A56" i="4"/>
  <c r="D55" i="4"/>
  <c r="A55" i="4"/>
  <c r="D54" i="4"/>
  <c r="A54" i="4"/>
  <c r="D53" i="4"/>
  <c r="A53" i="4"/>
  <c r="D52" i="4"/>
  <c r="A52" i="4"/>
  <c r="D51" i="4"/>
  <c r="A51" i="4"/>
  <c r="D50" i="4"/>
  <c r="A50" i="4"/>
  <c r="D49" i="4"/>
  <c r="A49" i="4"/>
  <c r="D48" i="4"/>
  <c r="A48" i="4"/>
  <c r="D47" i="4"/>
  <c r="A47" i="4"/>
  <c r="D46" i="4"/>
  <c r="A46" i="4"/>
  <c r="D45" i="4"/>
  <c r="A45" i="4"/>
  <c r="D44" i="4"/>
  <c r="A44" i="4"/>
  <c r="D43" i="4"/>
  <c r="A43" i="4"/>
  <c r="D42" i="4"/>
  <c r="A42" i="4"/>
  <c r="D41" i="4"/>
  <c r="A41" i="4"/>
  <c r="D40" i="4"/>
  <c r="A40" i="4"/>
  <c r="D39" i="4"/>
  <c r="A39" i="4"/>
  <c r="D38" i="4"/>
  <c r="A38" i="4"/>
  <c r="D37" i="4"/>
  <c r="A37" i="4"/>
  <c r="D36" i="4"/>
  <c r="A36" i="4"/>
  <c r="D35" i="4"/>
  <c r="A35" i="4"/>
  <c r="D34" i="4"/>
  <c r="A34" i="4"/>
  <c r="D33" i="4"/>
  <c r="A33" i="4"/>
  <c r="D32" i="4"/>
  <c r="A32" i="4"/>
  <c r="D31" i="4"/>
  <c r="A31" i="4"/>
  <c r="D30" i="4"/>
  <c r="A30" i="4"/>
  <c r="D29" i="4"/>
  <c r="A29" i="4"/>
  <c r="D28" i="4"/>
  <c r="A28" i="4"/>
  <c r="D27" i="4"/>
  <c r="A27" i="4"/>
  <c r="D26" i="4"/>
  <c r="A26" i="4"/>
  <c r="D25" i="4"/>
  <c r="A25" i="4"/>
  <c r="D24" i="4"/>
  <c r="A24" i="4"/>
  <c r="D23" i="4"/>
  <c r="A23" i="4"/>
  <c r="D22" i="4"/>
  <c r="A22" i="4"/>
  <c r="D21" i="4"/>
  <c r="A21" i="4"/>
  <c r="D20" i="4"/>
  <c r="A20" i="4"/>
  <c r="D19" i="4"/>
  <c r="A19" i="4"/>
  <c r="D18" i="4"/>
  <c r="A18" i="4"/>
  <c r="D17" i="4"/>
  <c r="A17" i="4"/>
  <c r="D16" i="4"/>
  <c r="A16" i="4"/>
  <c r="D15" i="4"/>
  <c r="A15" i="4"/>
  <c r="D14" i="4"/>
  <c r="A14" i="4"/>
  <c r="D13" i="4"/>
  <c r="A13" i="4"/>
  <c r="D12" i="4"/>
  <c r="A12" i="4"/>
  <c r="D11" i="4"/>
  <c r="A11" i="4"/>
  <c r="D10" i="4"/>
  <c r="A10" i="4"/>
  <c r="D9" i="4"/>
  <c r="A9" i="4"/>
  <c r="D8" i="4"/>
  <c r="A8" i="4"/>
  <c r="D7" i="4"/>
  <c r="A7" i="4"/>
  <c r="D6" i="4"/>
  <c r="A6" i="4"/>
  <c r="D5" i="4"/>
  <c r="A5" i="4"/>
  <c r="D4" i="4"/>
  <c r="A4" i="4"/>
  <c r="D3" i="4"/>
  <c r="A3" i="4"/>
  <c r="D2" i="4"/>
  <c r="A2" i="4"/>
  <c r="C36" i="1"/>
  <c r="B36" i="1"/>
  <c r="A36" i="1"/>
  <c r="C35" i="1"/>
  <c r="B35" i="1"/>
  <c r="A35" i="1"/>
  <c r="C34" i="1"/>
  <c r="B34" i="1"/>
  <c r="A34" i="1"/>
  <c r="C33" i="1"/>
  <c r="B33" i="1"/>
  <c r="A33" i="1"/>
  <c r="E26" i="1"/>
  <c r="D26" i="1"/>
  <c r="C26" i="1"/>
  <c r="E25" i="1"/>
  <c r="D25" i="1"/>
  <c r="C25" i="1"/>
  <c r="E24" i="1"/>
  <c r="D24" i="1"/>
  <c r="C24" i="1"/>
  <c r="E23" i="1"/>
  <c r="E27" i="1" s="1"/>
  <c r="D23" i="1"/>
  <c r="D27" i="1" s="1"/>
  <c r="C23" i="1"/>
  <c r="E10" i="1"/>
  <c r="B26" i="1" s="1"/>
  <c r="D10" i="1"/>
  <c r="C18" i="1" s="1"/>
  <c r="C10" i="1"/>
  <c r="B18" i="1" s="1"/>
  <c r="D18" i="1" s="1"/>
  <c r="B10" i="1"/>
  <c r="E9" i="1"/>
  <c r="B25" i="1" s="1"/>
  <c r="D9" i="1"/>
  <c r="C17" i="1" s="1"/>
  <c r="C9" i="1"/>
  <c r="B17" i="1" s="1"/>
  <c r="D17" i="1" s="1"/>
  <c r="B9" i="1"/>
  <c r="E8" i="1"/>
  <c r="B24" i="1" s="1"/>
  <c r="D8" i="1"/>
  <c r="C16" i="1" s="1"/>
  <c r="C8" i="1"/>
  <c r="B16" i="1" s="1"/>
  <c r="D16" i="1" s="1"/>
  <c r="B8" i="1"/>
  <c r="E7" i="1"/>
  <c r="D7" i="1"/>
  <c r="C7" i="1"/>
  <c r="B7" i="1"/>
  <c r="C27" i="1" l="1"/>
  <c r="E36" i="1"/>
  <c r="F36" i="1"/>
  <c r="D36" i="1"/>
  <c r="F35" i="1"/>
  <c r="E35" i="1"/>
  <c r="D35" i="1"/>
  <c r="F34" i="1"/>
  <c r="E34" i="1"/>
  <c r="D34" i="1"/>
  <c r="F33" i="1"/>
  <c r="E33" i="1"/>
  <c r="D33" i="1"/>
  <c r="F10" i="1"/>
  <c r="H10" i="1"/>
  <c r="G10" i="1"/>
  <c r="G9" i="1"/>
  <c r="H9" i="1"/>
  <c r="F9" i="1"/>
  <c r="F8" i="1"/>
  <c r="G8" i="1"/>
  <c r="H8" i="1"/>
  <c r="E11" i="1"/>
  <c r="B23" i="1"/>
  <c r="B27" i="1" s="1"/>
  <c r="C15" i="1"/>
  <c r="C19" i="1" s="1"/>
  <c r="D11" i="1"/>
  <c r="B15" i="1"/>
  <c r="C11" i="1"/>
  <c r="F43" i="1" s="1"/>
  <c r="B11" i="1"/>
  <c r="H7" i="1"/>
  <c r="G7" i="1"/>
  <c r="F7" i="1"/>
  <c r="F37" i="1" l="1"/>
  <c r="G33" i="1"/>
  <c r="D37" i="1"/>
  <c r="G37" i="1" s="1"/>
  <c r="D15" i="1"/>
  <c r="B19" i="1"/>
  <c r="D19" i="1" s="1"/>
  <c r="G11" i="1"/>
  <c r="F41" i="1" s="1"/>
  <c r="H11" i="1"/>
  <c r="F42" i="1" s="1"/>
  <c r="F40" i="1"/>
  <c r="E37" i="1"/>
  <c r="G35" i="1"/>
  <c r="G36" i="1"/>
  <c r="G34" i="1"/>
</calcChain>
</file>

<file path=xl/sharedStrings.xml><?xml version="1.0" encoding="utf-8"?>
<sst xmlns="http://schemas.openxmlformats.org/spreadsheetml/2006/main" count="24327" uniqueCount="2577">
  <si>
    <t>Spain Representation Inventory — Summary of Coding Results</t>
  </si>
  <si>
    <t>National Mapping Agency: IGN  |  Auto-summarized from the Coding_Records sheets (Table 7 instrument, Section 3.5). Figures recalculate automatically as records are added.</t>
  </si>
  <si>
    <t>Note: 'Present' totals include emphasized features (Code beginning "Present"); 'Absent' totals include minor spelling/case variants (Code beginning "Absent"); 'Other/Unclear' captures any remaining codes (e.g. "outside sheet extent").</t>
  </si>
  <si>
    <t>1. Overall Coding Results by Category</t>
  </si>
  <si>
    <t>Category</t>
  </si>
  <si>
    <t>Total Records</t>
  </si>
  <si>
    <t>Present</t>
  </si>
  <si>
    <t>Present
(Emphasized)</t>
  </si>
  <si>
    <t>Absent</t>
  </si>
  <si>
    <t>Other /
Unclear</t>
  </si>
  <si>
    <t>% Present</t>
  </si>
  <si>
    <t>% Absent</t>
  </si>
  <si>
    <t>Culture</t>
  </si>
  <si>
    <t>Border</t>
  </si>
  <si>
    <t>Military</t>
  </si>
  <si>
    <t>Toponym</t>
  </si>
  <si>
    <t>TOTAL</t>
  </si>
  <si>
    <t>2. Visual Emphasis Analysis (share of Present features that are emphasized)</t>
  </si>
  <si>
    <t>Present (Total,
incl. emphasized)</t>
  </si>
  <si>
    <t>% of Present
Emphasized</t>
  </si>
  <si>
    <t>3. Absence-Reason Flag Analysis (basis coded for Absent features)</t>
  </si>
  <si>
    <t>Absent
Total</t>
  </si>
  <si>
    <t>Rendering-Stage
Omission (Yes)</t>
  </si>
  <si>
    <t>Specification
Gap (Yes)</t>
  </si>
  <si>
    <t>Generalization-
Attributed (Yes)</t>
  </si>
  <si>
    <t>Note: a record may carry more than one flag, so flag counts need not sum to the Absent total; N/A and blank entries are excluded from these counts.</t>
  </si>
  <si>
    <t>4. Coding Coverage by Map Sample</t>
  </si>
  <si>
    <t>Map ID</t>
  </si>
  <si>
    <t>Area / Context</t>
  </si>
  <si>
    <t>Sheet Type</t>
  </si>
  <si>
    <t>Headline Figures</t>
  </si>
  <si>
    <t>Total coded features (all categories)</t>
  </si>
  <si>
    <t>Overall % Present (incl. emphasized)</t>
  </si>
  <si>
    <t>Overall % Absent</t>
  </si>
  <si>
    <t>Overall % of Present features visually emphasized</t>
  </si>
  <si>
    <t xml:space="preserve">Representation Inventory for Coding Workbook </t>
  </si>
  <si>
    <t>This workbook implements the recording instrument defined in Table 7 of the methodology (Section 3.5).</t>
  </si>
  <si>
    <t>One row in Coding_Records = one feature record, produced by the coding sequence in Section 3.5 (omission, inclusion, visual emphasis).</t>
  </si>
  <si>
    <t xml:space="preserve">How to use: (1) complete Map_Register sheet numbers in Step 1.1; (2) enter records in Coding_Records </t>
  </si>
  <si>
    <t>Sheet_Type fills automatically from Map_Register when a Map_ID is selected. Record_ID numbers itself when NMA is entered.</t>
  </si>
  <si>
    <t xml:space="preserve">Coding reminders: default to Present when ambiguous, and record the reasoning in Justification. </t>
  </si>
  <si>
    <t>Field definitions (verbatim from Table 7)</t>
  </si>
  <si>
    <t>Field</t>
  </si>
  <si>
    <t>Values</t>
  </si>
  <si>
    <t>Purpose</t>
  </si>
  <si>
    <t>Record_ID</t>
  </si>
  <si>
    <t>Sequential reference number</t>
  </si>
  <si>
    <t>Unique identifier for each record</t>
  </si>
  <si>
    <t>NMA</t>
  </si>
  <si>
    <t>BEV / NLS-FI / IGN</t>
  </si>
  <si>
    <t>Identify the NMA</t>
  </si>
  <si>
    <t>Map_ID</t>
  </si>
  <si>
    <t>NMA–Sequence</t>
  </si>
  <si>
    <t>Links to specific map sample</t>
  </si>
  <si>
    <t>Military / Border / Cultural / Toponym</t>
  </si>
  <si>
    <t>Thematic category of the feature</t>
  </si>
  <si>
    <t>Feature_Type</t>
  </si>
  <si>
    <t>Classification within category</t>
  </si>
  <si>
    <t>Documents the specific feature type</t>
  </si>
  <si>
    <t>Code</t>
  </si>
  <si>
    <t xml:space="preserve">Absent / Present / Present (Emphasized) </t>
  </si>
  <si>
    <t>Primary coding result</t>
  </si>
  <si>
    <t>RenderingStage_Flag</t>
  </si>
  <si>
    <t>Yes / N/A</t>
  </si>
  <si>
    <t xml:space="preserve">Y: feature confirmed in INSPIRE dataset but absent from map (rendering-stage omission). N/A: INSPIRE dataset not applicable.; NULL : In INSPIRE dataset but not omitted </t>
  </si>
  <si>
    <t>Specification_Flag</t>
  </si>
  <si>
    <t>Yes / No</t>
  </si>
  <si>
    <t>Yes: feature class not provided for in the NMA’s published legend/product specification; absence reflects an agenecies representational scheme</t>
  </si>
  <si>
    <t>Generalization_Flag</t>
  </si>
  <si>
    <t>Yes: absence possibly attributable to scale-appropriate generalization; flagged for Phase 3 contextualization</t>
  </si>
  <si>
    <t>Justification</t>
  </si>
  <si>
    <t>Text</t>
  </si>
  <si>
    <t>Written rationale for coding decision; notes basis for any flag or ambiguous decision</t>
  </si>
  <si>
    <t>Feature_Count</t>
  </si>
  <si>
    <t>Number</t>
  </si>
  <si>
    <t>Number of instances of this feature type included on the sample (Inclusion only)</t>
  </si>
  <si>
    <t>Emphasis_Variable</t>
  </si>
  <si>
    <t>Size / Value / Color / Typographic weight / Position / Line style / N/A</t>
  </si>
  <si>
    <t>Variable through which emphasis is achieved; N/A for Absent or Present (not emphasized)</t>
  </si>
  <si>
    <t>Reference_Source</t>
  </si>
  <si>
    <t>Citation of external source</t>
  </si>
  <si>
    <t>Documents basis for absent coding or reference cross-check</t>
  </si>
  <si>
    <t>Sheet_Type</t>
  </si>
  <si>
    <t>Series Sheet Number</t>
  </si>
  <si>
    <t>Date Published</t>
  </si>
  <si>
    <t>Source / URL</t>
  </si>
  <si>
    <t>IGN-01</t>
  </si>
  <si>
    <t>IGN</t>
  </si>
  <si>
    <t>Border Region</t>
  </si>
  <si>
    <t>Campo de Gibraltar (contested international boundary)</t>
  </si>
  <si>
    <t>https://centrodedescargas.cnig.es/CentroDescargas/mtn50-raster</t>
  </si>
  <si>
    <t>IGN-02</t>
  </si>
  <si>
    <t>Cultural Heritage Area</t>
  </si>
  <si>
    <t>Sevilla region (Cathedral, Alcázar, Archivo de Indias UNESCO WHS)</t>
  </si>
  <si>
    <t>IGN-03</t>
  </si>
  <si>
    <t>Military Zone</t>
  </si>
  <si>
    <t>Cádiz, Andalusia</t>
  </si>
  <si>
    <t>IGN-04</t>
  </si>
  <si>
    <t>Toponym Labels</t>
  </si>
  <si>
    <t>Navarra / Gipuzkoa Region</t>
  </si>
  <si>
    <t xml:space="preserve">Sheet_Type </t>
  </si>
  <si>
    <t>FID</t>
  </si>
  <si>
    <t>Name(If Available)</t>
  </si>
  <si>
    <t>Bertin_Variable</t>
  </si>
  <si>
    <t>Cultural</t>
  </si>
  <si>
    <t>Conjunto histórico</t>
  </si>
  <si>
    <t>Conjunto Histórico de Sevilla</t>
  </si>
  <si>
    <t>Yes</t>
  </si>
  <si>
    <t>No</t>
  </si>
  <si>
    <t>no label or symbol found</t>
  </si>
  <si>
    <t>https://centrodedescargas.cnig.es/CentroDescargas/detalleArchivo?sec=12165696</t>
  </si>
  <si>
    <t>Monumento</t>
  </si>
  <si>
    <t>Monte Gurugú</t>
  </si>
  <si>
    <t xml:space="preserve">green area, no monument symbol </t>
  </si>
  <si>
    <t>https://centrodedescargas.cnig.es/CentroDescargas/detalleArchivo?sec=12165697</t>
  </si>
  <si>
    <t>Estatua de Bécquer</t>
  </si>
  <si>
    <t>statue seems to be small</t>
  </si>
  <si>
    <t>https://centrodedescargas.cnig.es/CentroDescargas/detalleArchivo?sec=12165698</t>
  </si>
  <si>
    <t>Airbus</t>
  </si>
  <si>
    <t xml:space="preserve">most likely due to size </t>
  </si>
  <si>
    <t>https://centrodedescargas.cnig.es/CentroDescargas/detalleArchivo?sec=12165699</t>
  </si>
  <si>
    <t>Monumento a Simón Bolívar</t>
  </si>
  <si>
    <t>statue monument</t>
  </si>
  <si>
    <t>https://centrodedescargas.cnig.es/CentroDescargas/detalleArchivo?sec=12165700</t>
  </si>
  <si>
    <t>Monumento a Juan Sebastián Elcano</t>
  </si>
  <si>
    <t xml:space="preserve"> most likely due to size ; since it’s a small monument(statue)</t>
  </si>
  <si>
    <t>https://centrodedescargas.cnig.es/CentroDescargas/detalleArchivo?sec=12165701</t>
  </si>
  <si>
    <t>Triunfo del Corazón de María</t>
  </si>
  <si>
    <t>https://centrodedescargas.cnig.es/CentroDescargas/detalleArchivo?sec=12165702</t>
  </si>
  <si>
    <t>Monumento a Juan Manuel Rodríguez Ojeda</t>
  </si>
  <si>
    <t>size</t>
  </si>
  <si>
    <t>https://centrodedescargas.cnig.es/CentroDescargas/detalleArchivo?sec=12165703</t>
  </si>
  <si>
    <t>Cohete Ariane 4</t>
  </si>
  <si>
    <t>https://centrodedescargas.cnig.es/CentroDescargas/detalleArchivo?sec=12165704</t>
  </si>
  <si>
    <t>Antena Instituto de Astrofísica de Canarias Expo 92</t>
  </si>
  <si>
    <t>https://centrodedescargas.cnig.es/CentroDescargas/detalleArchivo?sec=12165705</t>
  </si>
  <si>
    <t>Avión Saeta</t>
  </si>
  <si>
    <t xml:space="preserve"> </t>
  </si>
  <si>
    <t>historic wall</t>
  </si>
  <si>
    <t>https://centrodedescargas.cnig.es/CentroDescargas/detalleArchivo?sec=12165706</t>
  </si>
  <si>
    <t>Monumento al Sagrado Corazón de Jesús</t>
  </si>
  <si>
    <t xml:space="preserve">empty space, no symbol for monument </t>
  </si>
  <si>
    <t>https://centrodedescargas.cnig.es/CentroDescargas/detalleArchivo?sec=12165707</t>
  </si>
  <si>
    <t>Lugar del Fusilamiento de Blas Infante</t>
  </si>
  <si>
    <t>https://centrodedescargas.cnig.es/CentroDescargas/detalleArchivo?sec=12165708</t>
  </si>
  <si>
    <t>Monumento a Cristóbal Colón</t>
  </si>
  <si>
    <t>https://centrodedescargas.cnig.es/CentroDescargas/detalleArchivo?sec=12165709</t>
  </si>
  <si>
    <t>Estatua Aníbal González</t>
  </si>
  <si>
    <t>https://centrodedescargas.cnig.es/CentroDescargas/detalleArchivo?sec=12165710</t>
  </si>
  <si>
    <t>Monumento al Cid Campeador</t>
  </si>
  <si>
    <t>https://centrodedescargas.cnig.es/CentroDescargas/detalleArchivo?sec=12165711</t>
  </si>
  <si>
    <t>Piedra Llorosa</t>
  </si>
  <si>
    <t>https://centrodedescargas.cnig.es/CentroDescargas/detalleArchivo?sec=12165712</t>
  </si>
  <si>
    <t>Réplica del Giraldillo</t>
  </si>
  <si>
    <t>https://centrodedescargas.cnig.es/CentroDescargas/detalleArchivo?sec=12165713</t>
  </si>
  <si>
    <t>Monumento a la Inmaculada Concepción</t>
  </si>
  <si>
    <t>https://centrodedescargas.cnig.es/CentroDescargas/detalleArchivo?sec=12165714</t>
  </si>
  <si>
    <t>Muralla</t>
  </si>
  <si>
    <t>Muralla de la Macarena</t>
  </si>
  <si>
    <t>https://centrodedescargas.cnig.es/CentroDescargas/detalleArchivo?sec=12165715</t>
  </si>
  <si>
    <t>Murallas de San Juan</t>
  </si>
  <si>
    <t>historical wall</t>
  </si>
  <si>
    <t>https://centrodedescargas.cnig.es/CentroDescargas/detalleArchivo?sec=12165716</t>
  </si>
  <si>
    <t>Fortaleza/castillo</t>
  </si>
  <si>
    <t>Castillo de Alcalá de Guadaíra</t>
  </si>
  <si>
    <t>castle symbolized by historic walls</t>
  </si>
  <si>
    <t>https://centrodedescargas.cnig.es/CentroDescargas/detalleArchivo?sec=12165717</t>
  </si>
  <si>
    <t>Restos arqueológicos</t>
  </si>
  <si>
    <t>Dolmen de Montelirio</t>
  </si>
  <si>
    <t>archeological site</t>
  </si>
  <si>
    <t>https://centrodedescargas.cnig.es/CentroDescargas/detalleArchivo?sec=12165718</t>
  </si>
  <si>
    <t>Yacimiento Arqueológico del Carambolo</t>
  </si>
  <si>
    <t>archaeological remains</t>
  </si>
  <si>
    <t>https://centrodedescargas.cnig.es/CentroDescargas/detalleArchivo?sec=12165719</t>
  </si>
  <si>
    <t>Dolmen de Matarrubilla</t>
  </si>
  <si>
    <t>https://centrodedescargas.cnig.es/CentroDescargas/detalleArchivo?sec=12165720</t>
  </si>
  <si>
    <t>Dolmen de la Pastora</t>
  </si>
  <si>
    <t>https://centrodedescargas.cnig.es/CentroDescargas/detalleArchivo?sec=12165721</t>
  </si>
  <si>
    <t>Conjunto Arqueológico de Itálica</t>
  </si>
  <si>
    <t xml:space="preserve">archaeological remains; label presen </t>
  </si>
  <si>
    <t>https://centrodedescargas.cnig.es/CentroDescargas/detalleArchivo?sec=12165722</t>
  </si>
  <si>
    <t>Muralla de Itálica</t>
  </si>
  <si>
    <t>https://centrodedescargas.cnig.es/CentroDescargas/detalleArchivo?sec=12165723</t>
  </si>
  <si>
    <t>Monumento a Andalucía</t>
  </si>
  <si>
    <t>https://centrodedescargas.cnig.es/CentroDescargas/detalleArchivo?sec=12165724</t>
  </si>
  <si>
    <t>Casa de Cañada Honda</t>
  </si>
  <si>
    <t>arch site</t>
  </si>
  <si>
    <t>https://centrodedescargas.cnig.es/CentroDescargas/detalleArchivo?sec=12165725</t>
  </si>
  <si>
    <t>Casa del Planetario</t>
  </si>
  <si>
    <t>https://centrodedescargas.cnig.es/CentroDescargas/detalleArchivo?sec=12165726</t>
  </si>
  <si>
    <t>Estatua a El Bombita</t>
  </si>
  <si>
    <t>https://centrodedescargas.cnig.es/CentroDescargas/detalleArchivo?sec=12165727</t>
  </si>
  <si>
    <t>Monumento a los Marineros Voluntarios</t>
  </si>
  <si>
    <t>https://centrodedescargas.cnig.es/CentroDescargas/detalleArchivo?sec=12165728</t>
  </si>
  <si>
    <t>El Lápiz</t>
  </si>
  <si>
    <t>https://centrodedescargas.cnig.es/CentroDescargas/detalleArchivo?sec=12165729</t>
  </si>
  <si>
    <t>Monumento Columnas de Hércules</t>
  </si>
  <si>
    <t>https://centrodedescargas.cnig.es/CentroDescargas/detalleArchivo?sec=12165730</t>
  </si>
  <si>
    <t>Estatua San Juan Bautista de la Salle</t>
  </si>
  <si>
    <t>https://centrodedescargas.cnig.es/CentroDescargas/detalleArchivo?sec=12165731</t>
  </si>
  <si>
    <t>Atomium</t>
  </si>
  <si>
    <t>https://centrodedescargas.cnig.es/CentroDescargas/detalleArchivo?sec=12165732</t>
  </si>
  <si>
    <t>Monumento a Santa Ángela de la Cruz</t>
  </si>
  <si>
    <t>https://centrodedescargas.cnig.es/CentroDescargas/detalleArchivo?sec=12165733</t>
  </si>
  <si>
    <t>Puerta del Perdón</t>
  </si>
  <si>
    <t>part of building</t>
  </si>
  <si>
    <t>https://centrodedescargas.cnig.es/CentroDescargas/detalleArchivo?sec=12165734</t>
  </si>
  <si>
    <t>Museo</t>
  </si>
  <si>
    <t>Centro Cerámica Triana</t>
  </si>
  <si>
    <t xml:space="preserve"> location falls on a generalized building rendered as general building ; but no indication of it being a museum </t>
  </si>
  <si>
    <t>https://centrodedescargas.cnig.es/CentroDescargas/detalleArchivo?sec=12165735</t>
  </si>
  <si>
    <t>Teatro Romano de Itálica</t>
  </si>
  <si>
    <t>https://centrodedescargas.cnig.es/CentroDescargas/detalleArchivo?sec=12165736</t>
  </si>
  <si>
    <t>Museo Casa de Murillo</t>
  </si>
  <si>
    <t>symbolized as builing with emphasized red hue compared to surroundings</t>
  </si>
  <si>
    <t>https://centrodedescargas.cnig.es/CentroDescargas/detalleArchivo?sec=12165737</t>
  </si>
  <si>
    <t>Museo de Artes y Costumbres Populares de Sevilla</t>
  </si>
  <si>
    <t>museum symbolized as general building</t>
  </si>
  <si>
    <t>https://centrodedescargas.cnig.es/CentroDescargas/detalleArchivo?sec=12165738</t>
  </si>
  <si>
    <t>Museo Arqueológico de Sevilla</t>
  </si>
  <si>
    <t>Present (Emphasized)</t>
  </si>
  <si>
    <t>symbolized as building with brigh red hue compared to surroundings; with label</t>
  </si>
  <si>
    <t>Hue, Value</t>
  </si>
  <si>
    <t>https://centrodedescargas.cnig.es/CentroDescargas/detalleArchivo?sec=12165739</t>
  </si>
  <si>
    <t>Antiquarium</t>
  </si>
  <si>
    <t>symbolized as general building</t>
  </si>
  <si>
    <t>https://centrodedescargas.cnig.es/CentroDescargas/detalleArchivo?sec=12165740</t>
  </si>
  <si>
    <t>Museo Histórico Militar de Sevilla</t>
  </si>
  <si>
    <t>https://centrodedescargas.cnig.es/CentroDescargas/detalleArchivo?sec=12165741</t>
  </si>
  <si>
    <t>Casa de la Ciencia</t>
  </si>
  <si>
    <t>symblized as general building</t>
  </si>
  <si>
    <t>https://centrodedescargas.cnig.es/CentroDescargas/detalleArchivo?sec=12165742</t>
  </si>
  <si>
    <t>Museo del Baile Flamenco</t>
  </si>
  <si>
    <t>https://centrodedescargas.cnig.es/CentroDescargas/detalleArchivo?sec=12165743</t>
  </si>
  <si>
    <t>Centro Andaluz de Arte Contemporáneo</t>
  </si>
  <si>
    <t>symbolized as singular building ; red hue emphasized to surroundings</t>
  </si>
  <si>
    <t>https://centrodedescargas.cnig.es/CentroDescargas/detalleArchivo?sec=12165744</t>
  </si>
  <si>
    <t>Centro del Mudéjar</t>
  </si>
  <si>
    <t>aggregated to building section</t>
  </si>
  <si>
    <t>https://centrodedescargas.cnig.es/CentroDescargas/detalleArchivo?sec=12165745</t>
  </si>
  <si>
    <t>Museo de Bellas Artes de Sevilla</t>
  </si>
  <si>
    <t>singular building ; bright red hue</t>
  </si>
  <si>
    <t>https://centrodedescargas.cnig.es/CentroDescargas/detalleArchivo?sec=12165746</t>
  </si>
  <si>
    <t>CaixaForum Sevilla</t>
  </si>
  <si>
    <t>general building</t>
  </si>
  <si>
    <t>https://centrodedescargas.cnig.es/CentroDescargas/detalleArchivo?sec=12165747</t>
  </si>
  <si>
    <t>Museo Catedralicio</t>
  </si>
  <si>
    <t>building with black outline and red hue emphasized to other surounding buildings</t>
  </si>
  <si>
    <t>https://centrodedescargas.cnig.es/CentroDescargas/detalleArchivo?sec=12165748</t>
  </si>
  <si>
    <t>Murallas de Sevilla</t>
  </si>
  <si>
    <t>ancient wall</t>
  </si>
  <si>
    <t>https://centrodedescargas.cnig.es/CentroDescargas/detalleArchivo?sec=12165749</t>
  </si>
  <si>
    <t>Centro cultural</t>
  </si>
  <si>
    <t>Centro Cívico Monasterio San Jerónimo</t>
  </si>
  <si>
    <t>singular building; red hue emphasized</t>
  </si>
  <si>
    <t>https://centrodedescargas.cnig.es/CentroDescargas/detalleArchivo?sec=12165750</t>
  </si>
  <si>
    <t>Centro Cívico Blas Infante</t>
  </si>
  <si>
    <t>https://centrodedescargas.cnig.es/CentroDescargas/detalleArchivo?sec=12165751</t>
  </si>
  <si>
    <t>Centro Cívico de Torreblanca</t>
  </si>
  <si>
    <t>https://centrodedescargas.cnig.es/CentroDescargas/detalleArchivo?sec=12165752</t>
  </si>
  <si>
    <t>Centro Cívico de Olivares</t>
  </si>
  <si>
    <t>https://centrodedescargas.cnig.es/CentroDescargas/detalleArchivo?sec=12165753</t>
  </si>
  <si>
    <t>Castillo de San Jorge#Castillo de la Inquisición</t>
  </si>
  <si>
    <t>https://centrodedescargas.cnig.es/CentroDescargas/detalleArchivo?sec=12165754</t>
  </si>
  <si>
    <t>https://centrodedescargas.cnig.es/CentroDescargas/detalleArchivo?sec=12165755</t>
  </si>
  <si>
    <t>close to other features</t>
  </si>
  <si>
    <t>https://centrodedescargas.cnig.es/CentroDescargas/detalleArchivo?sec=12165756</t>
  </si>
  <si>
    <t>https://centrodedescargas.cnig.es/CentroDescargas/detalleArchivo?sec=12165757</t>
  </si>
  <si>
    <t>Fundación Tres Culturas</t>
  </si>
  <si>
    <t>https://centrodedescargas.cnig.es/CentroDescargas/detalleArchivo?sec=12165758</t>
  </si>
  <si>
    <t>Estatua Hermanos Reyes</t>
  </si>
  <si>
    <t>https://centrodedescargas.cnig.es/CentroDescargas/detalleArchivo?sec=12165759</t>
  </si>
  <si>
    <t>Puerta de la Concepción</t>
  </si>
  <si>
    <t>https://centrodedescargas.cnig.es/CentroDescargas/detalleArchivo?sec=12165760</t>
  </si>
  <si>
    <t>Virgen de Belén</t>
  </si>
  <si>
    <t>https://centrodedescargas.cnig.es/CentroDescargas/detalleArchivo?sec=12165761</t>
  </si>
  <si>
    <t>Monumento a Gustavo Adolfo Bécquer</t>
  </si>
  <si>
    <t>https://centrodedescargas.cnig.es/CentroDescargas/detalleArchivo?sec=12165762</t>
  </si>
  <si>
    <t>Columnas Alameda de Hércules</t>
  </si>
  <si>
    <t>https://centrodedescargas.cnig.es/CentroDescargas/detalleArchivo?sec=12165763</t>
  </si>
  <si>
    <t>Museo Marítimo de la Torre del Oro</t>
  </si>
  <si>
    <t>observation tower'</t>
  </si>
  <si>
    <t>https://centrodedescargas.cnig.es/CentroDescargas/detalleArchivo?sec=12165764</t>
  </si>
  <si>
    <t>Monumento a la Tolerancia</t>
  </si>
  <si>
    <t>https://centrodedescargas.cnig.es/CentroDescargas/detalleArchivo?sec=12165765</t>
  </si>
  <si>
    <t>Monumento a María Auxiliadora</t>
  </si>
  <si>
    <t>https://centrodedescargas.cnig.es/CentroDescargas/detalleArchivo?sec=12165766</t>
  </si>
  <si>
    <t>Monumento a Juanito Valderrama</t>
  </si>
  <si>
    <t>https://centrodedescargas.cnig.es/CentroDescargas/detalleArchivo?sec=12165767</t>
  </si>
  <si>
    <t>Centro Cívico Entreparques</t>
  </si>
  <si>
    <t>https://centrodedescargas.cnig.es/CentroDescargas/detalleArchivo?sec=12165768</t>
  </si>
  <si>
    <t>Pozo de la Arboledilla</t>
  </si>
  <si>
    <t>https://centrodedescargas.cnig.es/CentroDescargas/detalleArchivo?sec=12165769</t>
  </si>
  <si>
    <t>Anfiteatro Romano de Itálica</t>
  </si>
  <si>
    <t>https://centrodedescargas.cnig.es/CentroDescargas/detalleArchivo?sec=12165770</t>
  </si>
  <si>
    <t>Monumento a Fray Bartolomé de las Casas</t>
  </si>
  <si>
    <t>https://centrodedescargas.cnig.es/CentroDescargas/detalleArchivo?sec=12165771</t>
  </si>
  <si>
    <t>Puerta del León</t>
  </si>
  <si>
    <t>general building; part of ancient/historical wall</t>
  </si>
  <si>
    <t>https://centrodedescargas.cnig.es/CentroDescargas/detalleArchivo?sec=12165772</t>
  </si>
  <si>
    <t>Templo de Trajano</t>
  </si>
  <si>
    <t>https://centrodedescargas.cnig.es/CentroDescargas/detalleArchivo?sec=12165773</t>
  </si>
  <si>
    <t>Monumento a San Juan Bosco</t>
  </si>
  <si>
    <t>https://centrodedescargas.cnig.es/CentroDescargas/detalleArchivo?sec=12165774</t>
  </si>
  <si>
    <t>Glorieta Olímpica</t>
  </si>
  <si>
    <t xml:space="preserve">size, no monument symbol </t>
  </si>
  <si>
    <t>https://centrodedescargas.cnig.es/CentroDescargas/detalleArchivo?sec=12165775</t>
  </si>
  <si>
    <t>Caídos por España</t>
  </si>
  <si>
    <t>https://centrodedescargas.cnig.es/CentroDescargas/detalleArchivo?sec=12165776</t>
  </si>
  <si>
    <t>Avión Azor</t>
  </si>
  <si>
    <t>https://centrodedescargas.cnig.es/CentroDescargas/detalleArchivo?sec=12165777</t>
  </si>
  <si>
    <t>Arco de la Plata o de Mañara</t>
  </si>
  <si>
    <t>observation tower</t>
  </si>
  <si>
    <t>https://centrodedescargas.cnig.es/CentroDescargas/detalleArchivo?sec=12165778</t>
  </si>
  <si>
    <t>Estatua del Torero Juan Antonio Ruiz Espartaco</t>
  </si>
  <si>
    <t>https://centrodedescargas.cnig.es/CentroDescargas/detalleArchivo?sec=12165779</t>
  </si>
  <si>
    <t>Monumento a la Virgen de Cuatrovitas</t>
  </si>
  <si>
    <t>https://centrodedescargas.cnig.es/CentroDescargas/detalleArchivo?sec=12165780</t>
  </si>
  <si>
    <t>Monumento a Pepe Luis Vázquez</t>
  </si>
  <si>
    <t>https://centrodedescargas.cnig.es/CentroDescargas/detalleArchivo?sec=12165781</t>
  </si>
  <si>
    <t>Monumento a Don Juan Tenorio</t>
  </si>
  <si>
    <t>https://centrodedescargas.cnig.es/CentroDescargas/detalleArchivo?sec=12165782</t>
  </si>
  <si>
    <t>Monumento a Rodrigo de Triana</t>
  </si>
  <si>
    <t>https://centrodedescargas.cnig.es/CentroDescargas/detalleArchivo?sec=12165783</t>
  </si>
  <si>
    <t>Museo de La Rinconada, Colecciones Arqueológicas y Paleontológicas en memoria de Francisco Sousa</t>
  </si>
  <si>
    <t>https://centrodedescargas.cnig.es/CentroDescargas/detalleArchivo?sec=12165784</t>
  </si>
  <si>
    <t>Casa de los Pájaros</t>
  </si>
  <si>
    <t>https://centrodedescargas.cnig.es/CentroDescargas/detalleArchivo?sec=12165785</t>
  </si>
  <si>
    <t>Monumento al Toreo</t>
  </si>
  <si>
    <t>monument symbolized as an arena</t>
  </si>
  <si>
    <t>https://centrodedescargas.cnig.es/CentroDescargas/detalleArchivo?sec=12165786</t>
  </si>
  <si>
    <t>Monumento a Colón#El Huevo de Colón</t>
  </si>
  <si>
    <t>https://centrodedescargas.cnig.es/CentroDescargas/detalleArchivo?sec=12165787</t>
  </si>
  <si>
    <t>Monumento a la alfarería y la soleá</t>
  </si>
  <si>
    <t>https://centrodedescargas.cnig.es/CentroDescargas/detalleArchivo?sec=12165788</t>
  </si>
  <si>
    <t>Centro Cultural de la Villa</t>
  </si>
  <si>
    <t>https://centrodedescargas.cnig.es/CentroDescargas/detalleArchivo?sec=12165789</t>
  </si>
  <si>
    <t>Puerta de la Macarena</t>
  </si>
  <si>
    <t>part of historical/ancient wall; singular building ; red hue; no label</t>
  </si>
  <si>
    <t>Hue</t>
  </si>
  <si>
    <t>https://centrodedescargas.cnig.es/CentroDescargas/detalleArchivo?sec=12165790</t>
  </si>
  <si>
    <t>Monumento a la Constitución de 1978</t>
  </si>
  <si>
    <t>https://centrodedescargas.cnig.es/CentroDescargas/detalleArchivo?sec=12165791</t>
  </si>
  <si>
    <t>Estatua a la Torta de Aceite</t>
  </si>
  <si>
    <t>https://centrodedescargas.cnig.es/CentroDescargas/detalleArchivo?sec=12165792</t>
  </si>
  <si>
    <t>Monumento a Trajano</t>
  </si>
  <si>
    <t>https://centrodedescargas.cnig.es/CentroDescargas/detalleArchivo?sec=12165793</t>
  </si>
  <si>
    <t>Escudo de Castilleja de la Cuesta</t>
  </si>
  <si>
    <t>https://centrodedescargas.cnig.es/CentroDescargas/detalleArchivo?sec=12165794</t>
  </si>
  <si>
    <t>Monumento a Clara Campoamor</t>
  </si>
  <si>
    <t>https://centrodedescargas.cnig.es/CentroDescargas/detalleArchivo?sec=12165795</t>
  </si>
  <si>
    <t>Monumento a Daoíz</t>
  </si>
  <si>
    <t>https://centrodedescargas.cnig.es/CentroDescargas/detalleArchivo?sec=12165796</t>
  </si>
  <si>
    <t>Monumento a Curro Romero</t>
  </si>
  <si>
    <t>near other features; size</t>
  </si>
  <si>
    <t>https://centrodedescargas.cnig.es/CentroDescargas/detalleArchivo?sec=12165797</t>
  </si>
  <si>
    <t>Patrimonium Hispalense. Colección Municipal de Sevilla</t>
  </si>
  <si>
    <t>https://centrodedescargas.cnig.es/CentroDescargas/detalleArchivo?sec=12165798</t>
  </si>
  <si>
    <t>Monumento Miguel de Cervantes</t>
  </si>
  <si>
    <t>https://centrodedescargas.cnig.es/CentroDescargas/detalleArchivo?sec=12165799</t>
  </si>
  <si>
    <t>Busto de Blas Infante</t>
  </si>
  <si>
    <t>https://centrodedescargas.cnig.es/CentroDescargas/detalleArchivo?sec=12165800</t>
  </si>
  <si>
    <t>Monumento a la Condesa de Barcelona</t>
  </si>
  <si>
    <t>https://centrodedescargas.cnig.es/CentroDescargas/detalleArchivo?sec=12165801</t>
  </si>
  <si>
    <t>Monumento a la Virgen del Rocio</t>
  </si>
  <si>
    <t>other features close by ; size</t>
  </si>
  <si>
    <t>https://centrodedescargas.cnig.es/CentroDescargas/detalleArchivo?sec=12165802</t>
  </si>
  <si>
    <t>Postigo del Aceite</t>
  </si>
  <si>
    <t>feature dense area</t>
  </si>
  <si>
    <t>https://centrodedescargas.cnig.es/CentroDescargas/detalleArchivo?sec=12165803</t>
  </si>
  <si>
    <t>https://centrodedescargas.cnig.es/CentroDescargas/detalleArchivo?sec=12165804</t>
  </si>
  <si>
    <t>Estatua del Explorador</t>
  </si>
  <si>
    <t>features close by</t>
  </si>
  <si>
    <t>https://centrodedescargas.cnig.es/CentroDescargas/detalleArchivo?sec=12165805</t>
  </si>
  <si>
    <t>Termas Mayores</t>
  </si>
  <si>
    <t>https://centrodedescargas.cnig.es/CentroDescargas/detalleArchivo?sec=12165806</t>
  </si>
  <si>
    <t>Busto Félix Rodríguez de la Fuente</t>
  </si>
  <si>
    <t>https://centrodedescargas.cnig.es/CentroDescargas/detalleArchivo?sec=12165807</t>
  </si>
  <si>
    <t>Monumento a Pastora Imperio</t>
  </si>
  <si>
    <t>https://centrodedescargas.cnig.es/CentroDescargas/detalleArchivo?sec=12165808</t>
  </si>
  <si>
    <t>Estatua de Trajano</t>
  </si>
  <si>
    <t>https://centrodedescargas.cnig.es/CentroDescargas/detalleArchivo?sec=12165809</t>
  </si>
  <si>
    <t>Monumento a Mercedes de Velilla</t>
  </si>
  <si>
    <t>https://centrodedescargas.cnig.es/CentroDescargas/detalleArchivo?sec=12165810</t>
  </si>
  <si>
    <t>Monumento a San José de Calasanz</t>
  </si>
  <si>
    <t>https://centrodedescargas.cnig.es/CentroDescargas/detalleArchivo?sec=12165811</t>
  </si>
  <si>
    <t>Estatua de la Inmaculada Concepción</t>
  </si>
  <si>
    <t>close to other features; size</t>
  </si>
  <si>
    <t>https://centrodedescargas.cnig.es/CentroDescargas/detalleArchivo?sec=12165812</t>
  </si>
  <si>
    <t>https://centrodedescargas.cnig.es/CentroDescargas/detalleArchivo?sec=12165813</t>
  </si>
  <si>
    <t>Museo Municipal de Santiponce Fernando Marmolejo</t>
  </si>
  <si>
    <t>https://centrodedescargas.cnig.es/CentroDescargas/detalleArchivo?sec=12165814</t>
  </si>
  <si>
    <t>Monumento a San Fernando</t>
  </si>
  <si>
    <t>https://centrodedescargas.cnig.es/CentroDescargas/detalleArchivo?sec=12165815</t>
  </si>
  <si>
    <t>Monumento a las Aceituneras</t>
  </si>
  <si>
    <t>https://centrodedescargas.cnig.es/CentroDescargas/detalleArchivo?sec=12165816</t>
  </si>
  <si>
    <t>Monumento a Ángel Herrera Oria</t>
  </si>
  <si>
    <t>https://centrodedescargas.cnig.es/CentroDescargas/detalleArchivo?sec=12165817</t>
  </si>
  <si>
    <t>Hélice de Avión</t>
  </si>
  <si>
    <t>https://centrodedescargas.cnig.es/CentroDescargas/detalleArchivo?sec=12165818</t>
  </si>
  <si>
    <t>Monumento a San José Obrero</t>
  </si>
  <si>
    <t>https://centrodedescargas.cnig.es/CentroDescargas/detalleArchivo?sec=12165819</t>
  </si>
  <si>
    <t>Monumento a Fray Serafín Madrid</t>
  </si>
  <si>
    <t>https://centrodedescargas.cnig.es/CentroDescargas/detalleArchivo?sec=12165820</t>
  </si>
  <si>
    <t>Monumento a Antonio de Mairena</t>
  </si>
  <si>
    <t>https://centrodedescargas.cnig.es/CentroDescargas/detalleArchivo?sec=12165821</t>
  </si>
  <si>
    <t>Museo de Valencina. Monográfico del Yacimiento Prehistórico</t>
  </si>
  <si>
    <t>https://centrodedescargas.cnig.es/CentroDescargas/detalleArchivo?sec=12165822</t>
  </si>
  <si>
    <t>Domus de Neptuno</t>
  </si>
  <si>
    <t>ruins</t>
  </si>
  <si>
    <t>https://centrodedescargas.cnig.es/CentroDescargas/detalleArchivo?sec=12165823</t>
  </si>
  <si>
    <t>Monumento al Burro Andaluz</t>
  </si>
  <si>
    <t>https://centrodedescargas.cnig.es/CentroDescargas/detalleArchivo?sec=12165824</t>
  </si>
  <si>
    <t>Monumento a Diego Velázquez</t>
  </si>
  <si>
    <t>https://centrodedescargas.cnig.es/CentroDescargas/detalleArchivo?sec=12165825</t>
  </si>
  <si>
    <t>Carreta</t>
  </si>
  <si>
    <t>https://centrodedescargas.cnig.es/CentroDescargas/detalleArchivo?sec=12165826</t>
  </si>
  <si>
    <t>Monumento a Alberto Lista</t>
  </si>
  <si>
    <t>https://centrodedescargas.cnig.es/CentroDescargas/detalleArchivo?sec=12165827</t>
  </si>
  <si>
    <t>Monolito de Castilla y León</t>
  </si>
  <si>
    <t>https://centrodedescargas.cnig.es/CentroDescargas/detalleArchivo?sec=12165828</t>
  </si>
  <si>
    <t>Puerta de Córdoba</t>
  </si>
  <si>
    <t>part of historical/ancient wall; singular building ; red hue emphasized</t>
  </si>
  <si>
    <t>https://centrodedescargas.cnig.es/CentroDescargas/detalleArchivo?sec=12165829</t>
  </si>
  <si>
    <t>https://centrodedescargas.cnig.es/CentroDescargas/detalleArchivo?sec=12165830</t>
  </si>
  <si>
    <t>Monumento a Murillo</t>
  </si>
  <si>
    <t>https://centrodedescargas.cnig.es/CentroDescargas/detalleArchivo?sec=12165831</t>
  </si>
  <si>
    <t>National Heritage Building</t>
  </si>
  <si>
    <t>Real Alcazar de Sevilla</t>
  </si>
  <si>
    <t>singular building ; red hue emphasized; with label of name ; UNESCO WHS</t>
  </si>
  <si>
    <t>https://data.unesco.org/explore/assets/whc001/</t>
  </si>
  <si>
    <t>Catedral de Sevilla</t>
  </si>
  <si>
    <t xml:space="preserve">Local heritage </t>
  </si>
  <si>
    <t>Antiguos Palacios de la Buharia</t>
  </si>
  <si>
    <t>singular building ; red hue emphasized; with label of name</t>
  </si>
  <si>
    <t>Map itself</t>
  </si>
  <si>
    <t>Monumento a la Constitución de 1812</t>
  </si>
  <si>
    <t>Castillo de San Marcos</t>
  </si>
  <si>
    <t>general building with label</t>
  </si>
  <si>
    <t>Fuerte de San Luis</t>
  </si>
  <si>
    <t>label only</t>
  </si>
  <si>
    <t>Castillo de Santa Catalina</t>
  </si>
  <si>
    <t>ancient walls surrounding general buildings ; with label</t>
  </si>
  <si>
    <t>Castillo de San Lorenzo del Puntal</t>
  </si>
  <si>
    <t>ancient walls, general building in middle with label</t>
  </si>
  <si>
    <t>Castillo de Luna</t>
  </si>
  <si>
    <t>Castillo de San Sebastián</t>
  </si>
  <si>
    <t>general buildings with label</t>
  </si>
  <si>
    <t>Baluarte de Santa Elena</t>
  </si>
  <si>
    <t>Castle with label</t>
  </si>
  <si>
    <t>Baluarte de San Roque</t>
  </si>
  <si>
    <t>castle with label</t>
  </si>
  <si>
    <t>Castillo de Matagorda#Fuerte de Matagorda#Torre de Matagorda</t>
  </si>
  <si>
    <t>building in ruins; with label ; castle</t>
  </si>
  <si>
    <t>Fuerte de la Cortadura#Castillo de la Cortadura</t>
  </si>
  <si>
    <t>outside sheet</t>
  </si>
  <si>
    <t>Monumento a la Vida</t>
  </si>
  <si>
    <t>Estatua de San Servando</t>
  </si>
  <si>
    <t>Museo de las Cortes de Cádiz</t>
  </si>
  <si>
    <t>Castillo de Santa Catalina del Puerto</t>
  </si>
  <si>
    <t>no indication of the castle</t>
  </si>
  <si>
    <t>Busto de Paco Alba</t>
  </si>
  <si>
    <t>Baluarte de los Mártires</t>
  </si>
  <si>
    <t>Murallas de Cádiz</t>
  </si>
  <si>
    <t>Busto de Miguel Grau</t>
  </si>
  <si>
    <t>Monumento al Árbol</t>
  </si>
  <si>
    <t xml:space="preserve"> outside sheet</t>
  </si>
  <si>
    <t>Baluarte de Capuchinos</t>
  </si>
  <si>
    <t>Estatua de Francisco de Miranda</t>
  </si>
  <si>
    <t>Monumento a Emilio Castelar</t>
  </si>
  <si>
    <t>Puerta de la Caleta</t>
  </si>
  <si>
    <t>Museo Litográfico</t>
  </si>
  <si>
    <t>castle</t>
  </si>
  <si>
    <t>Antonio Accame</t>
  </si>
  <si>
    <t>Entrada Astilleros de Cádiz</t>
  </si>
  <si>
    <t>Antigua Grúa</t>
  </si>
  <si>
    <t>Monumento Antorcha de la Libertad</t>
  </si>
  <si>
    <t>Monumento Blas de Lezo</t>
  </si>
  <si>
    <t>Antiguas Murallas de Cádiz</t>
  </si>
  <si>
    <t>no indication of wall around area</t>
  </si>
  <si>
    <t>Estatua de Fernando Quiñones</t>
  </si>
  <si>
    <t>Dama de Cádiz</t>
  </si>
  <si>
    <t>Monumento a Lucio Junio Moderato Columela</t>
  </si>
  <si>
    <t>Monumento a las Víctimas</t>
  </si>
  <si>
    <t>Monumento a José Celestino Mutis</t>
  </si>
  <si>
    <t>Busto de Ponce de León</t>
  </si>
  <si>
    <t>Escultura de las Cigarreras</t>
  </si>
  <si>
    <t>Monumento al Cineasta Julio Diamante</t>
  </si>
  <si>
    <t>Dioses Romanos</t>
  </si>
  <si>
    <t>Baluarte de San Carlos</t>
  </si>
  <si>
    <t xml:space="preserve">ancient wall; with label </t>
  </si>
  <si>
    <t>Hélice</t>
  </si>
  <si>
    <t>Museo de Cádiz</t>
  </si>
  <si>
    <t>singular building with red hue emphasized ; with label</t>
  </si>
  <si>
    <t>Estatua de San Germán</t>
  </si>
  <si>
    <t>Torre Eléctrica de Puntales</t>
  </si>
  <si>
    <t>General building</t>
  </si>
  <si>
    <t>Ancla</t>
  </si>
  <si>
    <t>Estatua La Baquilla</t>
  </si>
  <si>
    <t>Obelisco del Trimilenario</t>
  </si>
  <si>
    <t>Escultura Antorchas de Libertad</t>
  </si>
  <si>
    <t>close to other features ; size</t>
  </si>
  <si>
    <t>Baluarte del Bonete#Campo de las Balas#Baluarte de San Agustín</t>
  </si>
  <si>
    <t>Baluarte de San Felipe</t>
  </si>
  <si>
    <t>General building with label</t>
  </si>
  <si>
    <t>Estatua a la Mujer</t>
  </si>
  <si>
    <t>Teatro Romano de Cádiz</t>
  </si>
  <si>
    <t>Monumento a Fermín Salcochea y Álvarez</t>
  </si>
  <si>
    <t>Monumento de Jose McPherson y Hemas</t>
  </si>
  <si>
    <t>Baluarte del Orejón</t>
  </si>
  <si>
    <t>Cañón de las Guerras Napoleónicas</t>
  </si>
  <si>
    <t>Busto de José Miguel Carrera</t>
  </si>
  <si>
    <t>Batería de la Segunda Aguada</t>
  </si>
  <si>
    <t>Busto a Juan Carlos I</t>
  </si>
  <si>
    <t>Estatua Dios Romano</t>
  </si>
  <si>
    <t>Monumento a Cayetano del Toro</t>
  </si>
  <si>
    <t>Monumento a Virgen María Auxiliadora</t>
  </si>
  <si>
    <t>Torre Eléctrica de Matagorda</t>
  </si>
  <si>
    <t>electric line :Due to their unique, elegant architectural profile resembling the Eiffel Tower, they are officially protected as historical patrimony</t>
  </si>
  <si>
    <t>Busto de José Marti</t>
  </si>
  <si>
    <t>Monumento al Marqués de Comillas</t>
  </si>
  <si>
    <t>Escultura Airbus</t>
  </si>
  <si>
    <t>Busto a Miguel Ramos Arizpe</t>
  </si>
  <si>
    <t>Estatua de Fray Domingo de Silos</t>
  </si>
  <si>
    <t>Monumento a La Perla de Cádiz</t>
  </si>
  <si>
    <t>Baluarte de Candelaria</t>
  </si>
  <si>
    <t>Fuerte de San García</t>
  </si>
  <si>
    <t>no indication of site around area</t>
  </si>
  <si>
    <t>Fuerte de Santa Bárbara</t>
  </si>
  <si>
    <t>Fuerte del Tolmo</t>
  </si>
  <si>
    <t>no indication of site in area</t>
  </si>
  <si>
    <t>Fondeadero de Punta Carnero</t>
  </si>
  <si>
    <t>no indication of site around</t>
  </si>
  <si>
    <t>Estatua de Paco de Lucia</t>
  </si>
  <si>
    <t>Memorial de Guerra de Gibraltar</t>
  </si>
  <si>
    <t>size; in GIbraltar</t>
  </si>
  <si>
    <t>Fuerte de Isla Verde</t>
  </si>
  <si>
    <t>castle with acient walls around</t>
  </si>
  <si>
    <t>Homenaje a Camarón de la Isla</t>
  </si>
  <si>
    <t>Hornos Romanos del Rinconcillo</t>
  </si>
  <si>
    <t>arch site with label</t>
  </si>
  <si>
    <t>Murallas Merinies</t>
  </si>
  <si>
    <t>Muralla de Carlos V</t>
  </si>
  <si>
    <t>ancient wall; in Gibraltar</t>
  </si>
  <si>
    <t>Monumento a los Trabajadores Españoles en Gibraltar</t>
  </si>
  <si>
    <t>Monumento Ave Maria Stella Maris</t>
  </si>
  <si>
    <t>Baluarte de San Fernando</t>
  </si>
  <si>
    <t>Antiguo Fuerte de San Diego</t>
  </si>
  <si>
    <t>Torre de los Adalides</t>
  </si>
  <si>
    <t>Museo Municipal de Algeciras</t>
  </si>
  <si>
    <t>Monumento al Padre Donostia</t>
  </si>
  <si>
    <t xml:space="preserve">Spanish? ; monument ; labelled as La Capilla de Aguiña ; symblolized as religious christian building </t>
  </si>
  <si>
    <t>Cruz</t>
  </si>
  <si>
    <t>Legateko Gurutze</t>
  </si>
  <si>
    <t>cross monument; with label</t>
  </si>
  <si>
    <t>Elatzetako Gaztelua/Castillo de Elatzeta</t>
  </si>
  <si>
    <t>As Elatzetako Gaztelua ; Castle; in OSM as  "Torreon Elatzeta"</t>
  </si>
  <si>
    <t>Pagogañeko Gaztelua/Castillo-Fuerte de Pagogaña</t>
  </si>
  <si>
    <t>caste labelled as Pagogana; label style not referenced in legend</t>
  </si>
  <si>
    <t>Aireko Palazioa/Castillo del Inglés</t>
  </si>
  <si>
    <t>Both names present: Spanish label under Basque one , no divider, only top and bottom</t>
  </si>
  <si>
    <t>Beloagako Gaztelua/Castillo de Beloaga</t>
  </si>
  <si>
    <t>NA</t>
  </si>
  <si>
    <t>no indication of a castle ; OSM reference has it as "Beloaga"</t>
  </si>
  <si>
    <t>Fuerte de Erlaitz</t>
  </si>
  <si>
    <t>castle; no label</t>
  </si>
  <si>
    <t>Castillo del Inglés</t>
  </si>
  <si>
    <t>no label</t>
  </si>
  <si>
    <t>Dolmen Agina</t>
  </si>
  <si>
    <t>archeo remains ; label not referenced in legend</t>
  </si>
  <si>
    <t>Museo de las Brujas</t>
  </si>
  <si>
    <t>no indication that it is a museum, rendeed as a general building</t>
  </si>
  <si>
    <t>Soinuenea Fundazioa</t>
  </si>
  <si>
    <t>museum; no differentiation; symbolized as general building</t>
  </si>
  <si>
    <t>Gordailua Gipuzkoako Ondare Bildumen Zentroa/Centro de Colecciones Patrimoniales de Gipuzkoa Gordailua</t>
  </si>
  <si>
    <t>cross monument</t>
  </si>
  <si>
    <t>cross monument ; no label</t>
  </si>
  <si>
    <t>Edificio religioso cristiano</t>
  </si>
  <si>
    <t>Near Etxalar</t>
  </si>
  <si>
    <t xml:space="preserve">as Christian religious building </t>
  </si>
  <si>
    <t>Real Fabrica de Tabacos</t>
  </si>
  <si>
    <t>map itself</t>
  </si>
  <si>
    <t>Atarazanas Reales de Sevilla</t>
  </si>
  <si>
    <t>Convento de los Remedios</t>
  </si>
  <si>
    <t>Palacio de San Telmo</t>
  </si>
  <si>
    <t>Catedral de Cadiz</t>
  </si>
  <si>
    <t xml:space="preserve">singular building ; red hue emphasized; with label of name </t>
  </si>
  <si>
    <t>Line- Municipal Boundary</t>
  </si>
  <si>
    <t>Segment 1 - Muncipal</t>
  </si>
  <si>
    <t xml:space="preserve">Boundary represented as the border of a Municipality ; Boundary disputed with Britain- International boundary </t>
  </si>
  <si>
    <t>World Bank Official Boundaries</t>
  </si>
  <si>
    <t>Segment 1 - Autonomous community  boundary</t>
  </si>
  <si>
    <t xml:space="preserve">Overlaps with Municipal boundary; municipal boundary rendered over auonomous community boundary </t>
  </si>
  <si>
    <t>https://centrodedescargas.cnig.es/CentroDescargas/detalleArchivo?sec=9000029</t>
  </si>
  <si>
    <t xml:space="preserve">Line - Province boundary </t>
  </si>
  <si>
    <t>Segment 1 - Province boudary</t>
  </si>
  <si>
    <t xml:space="preserve">Overlaps with Municipal boundary; municipal boundary rendered over province boundary </t>
  </si>
  <si>
    <t xml:space="preserve">Line- International Boundary ; Contested/disputed boundary </t>
  </si>
  <si>
    <t xml:space="preserve">Segment 1 - International Boundary </t>
  </si>
  <si>
    <t xml:space="preserve">Boundary represented as the border of a Municipality ; Boundary disputed with Britain- International boundary ;  generalization special case - active omission </t>
  </si>
  <si>
    <t>Segment 2- Municipal</t>
  </si>
  <si>
    <t xml:space="preserve">municipal boundary </t>
  </si>
  <si>
    <t>Line- Municipal Boundary and Natural Park and other</t>
  </si>
  <si>
    <t>Segment 3 -Municipal and Natural Park and other</t>
  </si>
  <si>
    <t xml:space="preserve">municipal boundary  with a portion overlaping a natural park boundary , both rendered jointly just for that overlapping portion </t>
  </si>
  <si>
    <t xml:space="preserve">Line- Boundary ; Contested/disputed boundary </t>
  </si>
  <si>
    <t>Segment 4 - Territorial Waters</t>
  </si>
  <si>
    <t xml:space="preserve">Territorial water as per UNCLOS; generalization unlikely </t>
  </si>
  <si>
    <t>Flanders Marine Institute (2023)</t>
  </si>
  <si>
    <t>Line- Natural Park and other</t>
  </si>
  <si>
    <t>Segment 5 - Natural Park and other</t>
  </si>
  <si>
    <t xml:space="preserve">natural park boundary rendered as thick green segmented over blue backgorund making it very noticeable within the map sample </t>
  </si>
  <si>
    <t>size; bold ; hue(contrast)</t>
  </si>
  <si>
    <t>map itself ; OSM</t>
  </si>
  <si>
    <t>Segment 6 - Natural Park and other</t>
  </si>
  <si>
    <t>rendered as natural park boundary</t>
  </si>
  <si>
    <t>Segment 7 - Natural Park and other</t>
  </si>
  <si>
    <t>Segment 8 - Natural Park and other</t>
  </si>
  <si>
    <t>Segment 1- Muncipal</t>
  </si>
  <si>
    <t>Segment 2- Muncipal</t>
  </si>
  <si>
    <t>Segment 3- Muncipal</t>
  </si>
  <si>
    <t>Segment 4- Muncipal</t>
  </si>
  <si>
    <t>Segment 5- Natural Park and other</t>
  </si>
  <si>
    <t>Segment 6- Natural Park and other</t>
  </si>
  <si>
    <t>Segment 7- Natural Park and other</t>
  </si>
  <si>
    <t xml:space="preserve">Segment 1 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</si>
  <si>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</si>
  <si>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</si>
  <si>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</si>
  <si>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</si>
  <si>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</si>
  <si>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</si>
  <si>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</si>
  <si>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</si>
  <si>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</si>
  <si>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Segment 11</t>
  </si>
  <si>
    <t>Segment 12</t>
  </si>
  <si>
    <t>Segment 13</t>
  </si>
  <si>
    <t>Segment 14</t>
  </si>
  <si>
    <t>Segment 15</t>
  </si>
  <si>
    <t>Segment 16</t>
  </si>
  <si>
    <t>Segment 17</t>
  </si>
  <si>
    <t>Segment 18</t>
  </si>
  <si>
    <t>Segment 19</t>
  </si>
  <si>
    <t>Segment 20</t>
  </si>
  <si>
    <t>Segment 21</t>
  </si>
  <si>
    <t xml:space="preserve">Line- International Boundary </t>
  </si>
  <si>
    <t>Segment 1- International Boundary</t>
  </si>
  <si>
    <t>International boundary with France -Nacion; Province,Autonomous community and municipal boundary also present but not rendered. Only the International boundary is rendered</t>
  </si>
  <si>
    <t xml:space="preserve">Line- Autonomous Community Boundary </t>
  </si>
  <si>
    <t>Segment 1- Autonomous Community boundary</t>
  </si>
  <si>
    <t xml:space="preserve">overlap with international boundary </t>
  </si>
  <si>
    <t>Line- Province Boundary</t>
  </si>
  <si>
    <t xml:space="preserve">Segment 1- Province boundary </t>
  </si>
  <si>
    <t>Segment 1-  Municipal Boundary</t>
  </si>
  <si>
    <t>Segment 2 - Autonomous Community and Natural Park and other</t>
  </si>
  <si>
    <t xml:space="preserve">Autonomous Community boundary rendered. Overlap with province boundaries and municipal but only Autonomous Community boundary is rendered.jointly with natural park boundary  </t>
  </si>
  <si>
    <t xml:space="preserve">Segment 3 -Municipal Boundary </t>
  </si>
  <si>
    <t>municipal boundary</t>
  </si>
  <si>
    <t xml:space="preserve">Segment 4 - Municipal Boundary </t>
  </si>
  <si>
    <t xml:space="preserve">Segment 5 - Municipal Boundary </t>
  </si>
  <si>
    <t xml:space="preserve">Segment 6 - Municipal Boundary </t>
  </si>
  <si>
    <t xml:space="preserve">Segment 7 - Municipal Boundary </t>
  </si>
  <si>
    <t xml:space="preserve">Segment 8 - Municipal Boundary </t>
  </si>
  <si>
    <t xml:space="preserve">Segment 9 - Municipal Boundary </t>
  </si>
  <si>
    <t xml:space="preserve">Segment 10 - Municipal Boundary </t>
  </si>
  <si>
    <t xml:space="preserve">Segment 11 - Municipal Boundary </t>
  </si>
  <si>
    <t xml:space="preserve">Segment 12 - Municipal Boundary </t>
  </si>
  <si>
    <t xml:space="preserve">Segment 13 -Municipal Boundary  </t>
  </si>
  <si>
    <t xml:space="preserve">Segment 14 - Municipal Boundary </t>
  </si>
  <si>
    <t xml:space="preserve">Segment 15 - Municipal Boundary </t>
  </si>
  <si>
    <t xml:space="preserve">Segment 16 -  Municipal Boundary </t>
  </si>
  <si>
    <t>Segment 18 - Natural Park and other</t>
  </si>
  <si>
    <t>Segment 19- Natural Park and other</t>
  </si>
  <si>
    <t xml:space="preserve">rendered as natural park boundary; overlaps a portion of segment 1 where international boundary is rendered. </t>
  </si>
  <si>
    <t xml:space="preserve">Languages </t>
  </si>
  <si>
    <t>Park</t>
  </si>
  <si>
    <t>Parque Natural Señorío de Bertiz</t>
  </si>
  <si>
    <t>Spanish</t>
  </si>
  <si>
    <t xml:space="preserve">all caps; size of letter </t>
  </si>
  <si>
    <t>https://centrodedescargas.cnig.es/CentroDescargas/btn-poi</t>
  </si>
  <si>
    <t>Natural Reserve</t>
  </si>
  <si>
    <t>Reserva Natural San Juan Xar</t>
  </si>
  <si>
    <t xml:space="preserve"> No label found; limited space for label and other labels nearby </t>
  </si>
  <si>
    <t>Reserva Natural Labiaga</t>
  </si>
  <si>
    <t>only Labeaga</t>
  </si>
  <si>
    <t xml:space="preserve">Natural Monument </t>
  </si>
  <si>
    <t>Monumento Natural Tejo de Etxalar</t>
  </si>
  <si>
    <t>another similar label</t>
  </si>
  <si>
    <t>Monumento Natural Acebo de Bera</t>
  </si>
  <si>
    <t>Acebo de Bera</t>
  </si>
  <si>
    <t>Monumento Natural Peral de Bera</t>
  </si>
  <si>
    <t>Peral de Bera/ Berako Udareondoa ; separated by slash</t>
  </si>
  <si>
    <t>Monumento Natural Sequoya del Embalse de Domiko</t>
  </si>
  <si>
    <t>similar label</t>
  </si>
  <si>
    <t>Tree</t>
  </si>
  <si>
    <t>Acebo de Bera/Berako gorostia</t>
  </si>
  <si>
    <t>Basque</t>
  </si>
  <si>
    <t>Both labels present ; slash seprated ; equal visual weight; individual tree</t>
  </si>
  <si>
    <t>Peral de Bera/Berako udareondoa</t>
  </si>
  <si>
    <t>as Peral de Bera ; sett name?</t>
  </si>
  <si>
    <t>Sequoya del Embalse de Domiko/Domikoko Urtegiko sekuoia</t>
  </si>
  <si>
    <t>both names appear separated by /</t>
  </si>
  <si>
    <t>Tejo de Etxalar/Etxalarko hagina</t>
  </si>
  <si>
    <t>label styled as Tree</t>
  </si>
  <si>
    <t>Natural Cave</t>
  </si>
  <si>
    <t>Cuevas de Zugarramurdi</t>
  </si>
  <si>
    <t>Gruta de San Juan Xarr</t>
  </si>
  <si>
    <t>Gruta de la Bruja</t>
  </si>
  <si>
    <t>Short-Distance Trail</t>
  </si>
  <si>
    <t>PR-GI-1007 (Antigua Via Férrea de Artikutza)</t>
  </si>
  <si>
    <t>Other routes</t>
  </si>
  <si>
    <t>SL-GI 1006 (Cascada de Aitzondo)</t>
  </si>
  <si>
    <t xml:space="preserve">Long-Distance Trail </t>
  </si>
  <si>
    <t>GR 11 (Etapa 02. Bera-Elizondo)</t>
  </si>
  <si>
    <t>road?</t>
  </si>
  <si>
    <t>Region</t>
  </si>
  <si>
    <t>Montes de Bidasoa</t>
  </si>
  <si>
    <t xml:space="preserve"> Label styled as region</t>
  </si>
  <si>
    <t>Landscape</t>
  </si>
  <si>
    <t>Orozko-Zubieta</t>
  </si>
  <si>
    <t xml:space="preserve">labelled as landscape </t>
  </si>
  <si>
    <t>Guruspil</t>
  </si>
  <si>
    <t xml:space="preserve"> Label not found; enough space for label; generalization is unlikely- space for label is available</t>
  </si>
  <si>
    <t>Cantera de Idiburuta</t>
  </si>
  <si>
    <t>Gogorregia</t>
  </si>
  <si>
    <t>Loma de Alegi</t>
  </si>
  <si>
    <t>Loma de Elutxea</t>
  </si>
  <si>
    <t>Amekurrun</t>
  </si>
  <si>
    <t>Jaral de Pagola</t>
  </si>
  <si>
    <t>Olistieta</t>
  </si>
  <si>
    <t>Benaitxoro</t>
  </si>
  <si>
    <t>Otan</t>
  </si>
  <si>
    <t>Ametxoko</t>
  </si>
  <si>
    <t>one present as Ametxoko Borda</t>
  </si>
  <si>
    <t>Iturla</t>
  </si>
  <si>
    <t>Ibintza</t>
  </si>
  <si>
    <t>Mugaosekogaña</t>
  </si>
  <si>
    <t>Txingorri-Azpie</t>
  </si>
  <si>
    <t>Lardi-Lepo</t>
  </si>
  <si>
    <t>Zarkinza</t>
  </si>
  <si>
    <t>Ikatzola</t>
  </si>
  <si>
    <t>Usorbide</t>
  </si>
  <si>
    <t>No name found</t>
  </si>
  <si>
    <t>Usku</t>
  </si>
  <si>
    <t>Istu</t>
  </si>
  <si>
    <t>Txorikantari</t>
  </si>
  <si>
    <t>Beltzuntze</t>
  </si>
  <si>
    <t>Agila</t>
  </si>
  <si>
    <t>Lasarteaga</t>
  </si>
  <si>
    <t>Belaun</t>
  </si>
  <si>
    <t>Isastrin</t>
  </si>
  <si>
    <t>Larrondo</t>
  </si>
  <si>
    <t>Elama</t>
  </si>
  <si>
    <t>Barrutiko-Erreka</t>
  </si>
  <si>
    <t>Aritzalun</t>
  </si>
  <si>
    <t>Franzesen</t>
  </si>
  <si>
    <t>Gainbeltz</t>
  </si>
  <si>
    <t>Unalbide</t>
  </si>
  <si>
    <t>Oianberri</t>
  </si>
  <si>
    <t>Korroskata</t>
  </si>
  <si>
    <t>Okalar</t>
  </si>
  <si>
    <t>Sarabe</t>
  </si>
  <si>
    <t>Morroko</t>
  </si>
  <si>
    <t>Alzate</t>
  </si>
  <si>
    <t>Sorotxo</t>
  </si>
  <si>
    <t>Buru-Gorri</t>
  </si>
  <si>
    <t>Iengo Meaka</t>
  </si>
  <si>
    <t>Erroizpe</t>
  </si>
  <si>
    <t>Biribilleta</t>
  </si>
  <si>
    <t>Biotegi</t>
  </si>
  <si>
    <t>Ledi</t>
  </si>
  <si>
    <t>Zerrimutur</t>
  </si>
  <si>
    <t>Berdabo-Etxala</t>
  </si>
  <si>
    <t>Malkorra</t>
  </si>
  <si>
    <t>Nekoitza</t>
  </si>
  <si>
    <t>Zokoia</t>
  </si>
  <si>
    <t>Loiola</t>
  </si>
  <si>
    <t>San Antón</t>
  </si>
  <si>
    <t>Alduzin-Barrutia</t>
  </si>
  <si>
    <t>Alduzin-Mendi</t>
  </si>
  <si>
    <t>Unitzaraz</t>
  </si>
  <si>
    <t>Soroaundi</t>
  </si>
  <si>
    <t>Pagotxorri</t>
  </si>
  <si>
    <t>Sagozar</t>
  </si>
  <si>
    <t>Arramaleta</t>
  </si>
  <si>
    <t>Erroitza</t>
  </si>
  <si>
    <t>Pagolleta-Malda</t>
  </si>
  <si>
    <t>Bidemakuta</t>
  </si>
  <si>
    <t>Errotarita</t>
  </si>
  <si>
    <t>Buarrin</t>
  </si>
  <si>
    <t>Usanbelarreta</t>
  </si>
  <si>
    <t>Izuko-Gana</t>
  </si>
  <si>
    <t>Borota</t>
  </si>
  <si>
    <t>Burkalleku</t>
  </si>
  <si>
    <t>Maradi</t>
  </si>
  <si>
    <t>Larrain Maradi???</t>
  </si>
  <si>
    <t>Udi-Azpie</t>
  </si>
  <si>
    <t>Erroiarri</t>
  </si>
  <si>
    <t>Argarate</t>
  </si>
  <si>
    <t>Mayo-Lepo</t>
  </si>
  <si>
    <t>Elizmendi</t>
  </si>
  <si>
    <t>Undaidine</t>
  </si>
  <si>
    <t>Urrizti</t>
  </si>
  <si>
    <t>Basakundi</t>
  </si>
  <si>
    <t>Arribeltza</t>
  </si>
  <si>
    <t>Artasoro</t>
  </si>
  <si>
    <t>Lete</t>
  </si>
  <si>
    <t>Iraurtza</t>
  </si>
  <si>
    <t>Arbelaitz</t>
  </si>
  <si>
    <t>Aierbide</t>
  </si>
  <si>
    <t>Erroilbide</t>
  </si>
  <si>
    <t>Larraundi</t>
  </si>
  <si>
    <t>Arditurri</t>
  </si>
  <si>
    <t>Ezurmendi</t>
  </si>
  <si>
    <t>Gaztarrika</t>
  </si>
  <si>
    <t>Madariaga</t>
  </si>
  <si>
    <t>Escaspe</t>
  </si>
  <si>
    <t>Irrigorri</t>
  </si>
  <si>
    <t>Zurbitz</t>
  </si>
  <si>
    <t>Momotegi</t>
  </si>
  <si>
    <t>looks like sett name</t>
  </si>
  <si>
    <t>Illurdi</t>
  </si>
  <si>
    <t>Sorgin-Erreka</t>
  </si>
  <si>
    <t>Zaria</t>
  </si>
  <si>
    <t>Mintegizar</t>
  </si>
  <si>
    <t>Txintxerako Harria</t>
  </si>
  <si>
    <t>Barrakaerreka</t>
  </si>
  <si>
    <t>Barraka</t>
  </si>
  <si>
    <t>Olorriko Soroa</t>
  </si>
  <si>
    <t>Maizalope</t>
  </si>
  <si>
    <t>Almendruriz</t>
  </si>
  <si>
    <t>Orbeldi</t>
  </si>
  <si>
    <t>closeby to other labels</t>
  </si>
  <si>
    <t>Eskas</t>
  </si>
  <si>
    <t>Iturrizar</t>
  </si>
  <si>
    <t>Bengeta Mogorros</t>
  </si>
  <si>
    <t>Sasiaundi</t>
  </si>
  <si>
    <t>Ibina de Arriba</t>
  </si>
  <si>
    <t>Egizorroza</t>
  </si>
  <si>
    <t>Urraba</t>
  </si>
  <si>
    <t>Itxoltxar Gaina</t>
  </si>
  <si>
    <t>Ondalatz</t>
  </si>
  <si>
    <t>Birasgain</t>
  </si>
  <si>
    <t>Iturburu</t>
  </si>
  <si>
    <t>Unanua</t>
  </si>
  <si>
    <t>Bidango Gaña</t>
  </si>
  <si>
    <t>Bazteria</t>
  </si>
  <si>
    <t>Aienas</t>
  </si>
  <si>
    <t>Bordaberri</t>
  </si>
  <si>
    <t>Barasekun</t>
  </si>
  <si>
    <t>Kazpi</t>
  </si>
  <si>
    <t>Masuketa</t>
  </si>
  <si>
    <t>Mustriña</t>
  </si>
  <si>
    <t>Gerasoko Ataka</t>
  </si>
  <si>
    <t>Sorata</t>
  </si>
  <si>
    <t>Harrizurita</t>
  </si>
  <si>
    <t>Artaleku</t>
  </si>
  <si>
    <t>Biurri</t>
  </si>
  <si>
    <t>Ibina de Abajo</t>
  </si>
  <si>
    <t>Belzunzako-Arrid</t>
  </si>
  <si>
    <t>Basain</t>
  </si>
  <si>
    <t>Metaziritako-Malda</t>
  </si>
  <si>
    <t>Soro-Luze</t>
  </si>
  <si>
    <t>Orlagoien</t>
  </si>
  <si>
    <t>Gorritxo</t>
  </si>
  <si>
    <t>Olaburu</t>
  </si>
  <si>
    <t>Sordaundiko-Gaña</t>
  </si>
  <si>
    <t>Biuretako-Erreka</t>
  </si>
  <si>
    <t>Goizarin</t>
  </si>
  <si>
    <t>Nabaltsoro</t>
  </si>
  <si>
    <t>San Juan</t>
  </si>
  <si>
    <t>Antrompa</t>
  </si>
  <si>
    <t>Zima de la Muga</t>
  </si>
  <si>
    <t>Mugarai</t>
  </si>
  <si>
    <t>Abelu</t>
  </si>
  <si>
    <t>Errotaldea</t>
  </si>
  <si>
    <t>Egizabal</t>
  </si>
  <si>
    <t>Frantsesbaso</t>
  </si>
  <si>
    <t>Atsegin-Soro</t>
  </si>
  <si>
    <t>Orozko</t>
  </si>
  <si>
    <t>Zazpulun</t>
  </si>
  <si>
    <t>Txolberro Aldea</t>
  </si>
  <si>
    <t>Landondo</t>
  </si>
  <si>
    <t>Itoltza</t>
  </si>
  <si>
    <t>Idoia</t>
  </si>
  <si>
    <t>Larreta</t>
  </si>
  <si>
    <t>Apitoa</t>
  </si>
  <si>
    <t>Cdo. de Apito????</t>
  </si>
  <si>
    <t>Izotzaldea</t>
  </si>
  <si>
    <t>Mandamalkor</t>
  </si>
  <si>
    <t>Gainzabal</t>
  </si>
  <si>
    <t>Sastringo Gaina</t>
  </si>
  <si>
    <t>Arritxurieta</t>
  </si>
  <si>
    <t>Irumugarrita</t>
  </si>
  <si>
    <t>Gaintzinarri</t>
  </si>
  <si>
    <t>Irisarri</t>
  </si>
  <si>
    <t>Gorosdi</t>
  </si>
  <si>
    <t>Mendiurkullo</t>
  </si>
  <si>
    <t>Guardi-Arrita</t>
  </si>
  <si>
    <t>Zubietaaldea</t>
  </si>
  <si>
    <t>Martuzenegi</t>
  </si>
  <si>
    <t>Txuluprinta</t>
  </si>
  <si>
    <t>Zarrola</t>
  </si>
  <si>
    <t>Pagolleta</t>
  </si>
  <si>
    <t>Frain</t>
  </si>
  <si>
    <t>Pilotisoro</t>
  </si>
  <si>
    <t>Biurgarai</t>
  </si>
  <si>
    <t>Zima de Huarte</t>
  </si>
  <si>
    <t>Bizanza</t>
  </si>
  <si>
    <t>Akerregi</t>
  </si>
  <si>
    <t>Zima de Apitxea</t>
  </si>
  <si>
    <t>Zima de Zumar</t>
  </si>
  <si>
    <t>Askategi</t>
  </si>
  <si>
    <t>Lizar-Urdinieta</t>
  </si>
  <si>
    <t>Allegi</t>
  </si>
  <si>
    <t>Errekaundi</t>
  </si>
  <si>
    <t>Piperrola</t>
  </si>
  <si>
    <t>crowded labels around</t>
  </si>
  <si>
    <t>Aierdegi</t>
  </si>
  <si>
    <t>Onano</t>
  </si>
  <si>
    <t>Belitz</t>
  </si>
  <si>
    <t>Mugarriluze</t>
  </si>
  <si>
    <t>Bidegurutzeta</t>
  </si>
  <si>
    <t>Bulatxiki</t>
  </si>
  <si>
    <t>Egusutako Malda</t>
  </si>
  <si>
    <t>Biandiz</t>
  </si>
  <si>
    <t>present as a peak / mountain</t>
  </si>
  <si>
    <t>Biursoro</t>
  </si>
  <si>
    <t>Enborreta</t>
  </si>
  <si>
    <t>Gastaroz</t>
  </si>
  <si>
    <t>Aristiburu</t>
  </si>
  <si>
    <t>Urkullu</t>
  </si>
  <si>
    <t>Berindoitz</t>
  </si>
  <si>
    <t>Arriundiñela</t>
  </si>
  <si>
    <t>Ordoko</t>
  </si>
  <si>
    <t>Egizorrotz</t>
  </si>
  <si>
    <t>Bidatxueta</t>
  </si>
  <si>
    <t>Zipuru</t>
  </si>
  <si>
    <t>Sagarrondo</t>
  </si>
  <si>
    <t>Labedo</t>
  </si>
  <si>
    <t>Egiluze</t>
  </si>
  <si>
    <t>Tantaiko Egia</t>
  </si>
  <si>
    <t>Negusarolu</t>
  </si>
  <si>
    <t>Perumendi</t>
  </si>
  <si>
    <t>Iruerreketa</t>
  </si>
  <si>
    <t>Urkidi</t>
  </si>
  <si>
    <t>Artxamana</t>
  </si>
  <si>
    <t>Mispiri</t>
  </si>
  <si>
    <t>Mehaka</t>
  </si>
  <si>
    <t>Sein</t>
  </si>
  <si>
    <t>Gaztañegi</t>
  </si>
  <si>
    <t>Arginene</t>
  </si>
  <si>
    <t>Enparan</t>
  </si>
  <si>
    <t>Buenabista</t>
  </si>
  <si>
    <t>Lerun</t>
  </si>
  <si>
    <t>Iruarrieta</t>
  </si>
  <si>
    <t>Olarrigar</t>
  </si>
  <si>
    <t>Iruerreka</t>
  </si>
  <si>
    <t>Astabizkar</t>
  </si>
  <si>
    <t>Artola</t>
  </si>
  <si>
    <t>Komizko Gaina Araina</t>
  </si>
  <si>
    <t>Sagarraundi</t>
  </si>
  <si>
    <t>Urrizmiaka</t>
  </si>
  <si>
    <t>Atalpo</t>
  </si>
  <si>
    <t>Negusoro</t>
  </si>
  <si>
    <t>Negusoroko Borda????</t>
  </si>
  <si>
    <t>Txertadi</t>
  </si>
  <si>
    <t>Goizarin-Sarobe</t>
  </si>
  <si>
    <t>Soropilleta</t>
  </si>
  <si>
    <t>Arizbarraka</t>
  </si>
  <si>
    <t>Illukueta</t>
  </si>
  <si>
    <t>Illanburu</t>
  </si>
  <si>
    <t>Xantelerreka</t>
  </si>
  <si>
    <t>Azalegi</t>
  </si>
  <si>
    <t>surrounded by cluser of labels</t>
  </si>
  <si>
    <t>Hegia</t>
  </si>
  <si>
    <t>Zurebordako</t>
  </si>
  <si>
    <t>other labels closeby</t>
  </si>
  <si>
    <t>Gaineko Benta</t>
  </si>
  <si>
    <t>sett name</t>
  </si>
  <si>
    <t>Musularreta</t>
  </si>
  <si>
    <t>Domikusantz</t>
  </si>
  <si>
    <t>Lakainlepe</t>
  </si>
  <si>
    <t>Iarmendi</t>
  </si>
  <si>
    <t>Lizarnabarra</t>
  </si>
  <si>
    <t>Gartzin</t>
  </si>
  <si>
    <t>Okalarre</t>
  </si>
  <si>
    <t>Semeuta</t>
  </si>
  <si>
    <t>Kukuste</t>
  </si>
  <si>
    <t>Mintegizarreta</t>
  </si>
  <si>
    <t>Artzabaleko Malda</t>
  </si>
  <si>
    <t>present</t>
  </si>
  <si>
    <t>Erauste</t>
  </si>
  <si>
    <t>Oianbizkar</t>
  </si>
  <si>
    <t>Oinzarra</t>
  </si>
  <si>
    <t>Otarregi</t>
  </si>
  <si>
    <t>Otaum</t>
  </si>
  <si>
    <t>Burkaitzelaia</t>
  </si>
  <si>
    <t>Arrilepo</t>
  </si>
  <si>
    <t>Lapitzeta</t>
  </si>
  <si>
    <t>Basasagar</t>
  </si>
  <si>
    <t>Egiluzeko Kaskoa</t>
  </si>
  <si>
    <t>Eitoa</t>
  </si>
  <si>
    <t>Bordaleku</t>
  </si>
  <si>
    <t>Landabardako Gaina</t>
  </si>
  <si>
    <t>Baguederra</t>
  </si>
  <si>
    <t>Ardizoko</t>
  </si>
  <si>
    <t>Mugerri</t>
  </si>
  <si>
    <t>Urkilla</t>
  </si>
  <si>
    <t>Labeagako Malda</t>
  </si>
  <si>
    <t>Lezea</t>
  </si>
  <si>
    <t>Airaberri</t>
  </si>
  <si>
    <t>Eltsospe</t>
  </si>
  <si>
    <t>Ibaineta</t>
  </si>
  <si>
    <t>Kapanaizeta</t>
  </si>
  <si>
    <t>Saroia</t>
  </si>
  <si>
    <t>Atzairaulkua</t>
  </si>
  <si>
    <t>Subizia</t>
  </si>
  <si>
    <t>Suspelttiki</t>
  </si>
  <si>
    <t>Bildostegi Konkorra</t>
  </si>
  <si>
    <t>Ontzarri Arregi</t>
  </si>
  <si>
    <t>Kapondegia</t>
  </si>
  <si>
    <t>Mazpiarrieta</t>
  </si>
  <si>
    <t>Gereztegi</t>
  </si>
  <si>
    <t>Olasur Garaia</t>
  </si>
  <si>
    <t>Olaso</t>
  </si>
  <si>
    <t>Olasur</t>
  </si>
  <si>
    <t>Parazelay</t>
  </si>
  <si>
    <t>Lurberria</t>
  </si>
  <si>
    <t>Armoraldea</t>
  </si>
  <si>
    <t>Lapuray</t>
  </si>
  <si>
    <t>Egista</t>
  </si>
  <si>
    <t>Burkaitza</t>
  </si>
  <si>
    <t>Sorako Gaina</t>
  </si>
  <si>
    <t>Madaria</t>
  </si>
  <si>
    <t>not italicized</t>
  </si>
  <si>
    <t>Artutxin</t>
  </si>
  <si>
    <t>other lables very closeby</t>
  </si>
  <si>
    <t>Elortxoko</t>
  </si>
  <si>
    <t>Txirripa</t>
  </si>
  <si>
    <t>*** Coded in blue</t>
  </si>
  <si>
    <t>Azketa</t>
  </si>
  <si>
    <t>Palomeras</t>
  </si>
  <si>
    <t>Peña Plata</t>
  </si>
  <si>
    <t>Peak with thin letters</t>
  </si>
  <si>
    <t>Loira</t>
  </si>
  <si>
    <t>Urbiako Lepoa</t>
  </si>
  <si>
    <t>Arleun</t>
  </si>
  <si>
    <t>Artsua</t>
  </si>
  <si>
    <t>Aranzuri</t>
  </si>
  <si>
    <t>Elizburubeta</t>
  </si>
  <si>
    <t>Sarro</t>
  </si>
  <si>
    <t>Agerra</t>
  </si>
  <si>
    <t>Argaitza</t>
  </si>
  <si>
    <t>Loitzarreta</t>
  </si>
  <si>
    <t>Kondendiaga</t>
  </si>
  <si>
    <t>Olaberrieta</t>
  </si>
  <si>
    <t>Aitxar</t>
  </si>
  <si>
    <t>Itzalun</t>
  </si>
  <si>
    <t>Itzakun</t>
  </si>
  <si>
    <t>Dornaku</t>
  </si>
  <si>
    <t>Egiluzeko Malda</t>
  </si>
  <si>
    <t>Urkusi</t>
  </si>
  <si>
    <t>Azkonzuloeta</t>
  </si>
  <si>
    <t>Egimearra</t>
  </si>
  <si>
    <t>Labeaga</t>
  </si>
  <si>
    <t>Ladrunarri</t>
  </si>
  <si>
    <t>Idoieta</t>
  </si>
  <si>
    <t>Larun</t>
  </si>
  <si>
    <t>Osateko Itegia</t>
  </si>
  <si>
    <t>Otsanda</t>
  </si>
  <si>
    <t>Gorostiaga</t>
  </si>
  <si>
    <t>Zumaleku</t>
  </si>
  <si>
    <t>Gaineko Bizkarra</t>
  </si>
  <si>
    <t>Amalgaña</t>
  </si>
  <si>
    <t>Otsobi</t>
  </si>
  <si>
    <t>Iriarteko Borda</t>
  </si>
  <si>
    <t>Antzuita</t>
  </si>
  <si>
    <t>Malkor</t>
  </si>
  <si>
    <t>Bidegorri Zoko</t>
  </si>
  <si>
    <t>Zurgaia</t>
  </si>
  <si>
    <t>Eraste Lopoa</t>
  </si>
  <si>
    <t>Aritzmendi</t>
  </si>
  <si>
    <t>Urnaizka</t>
  </si>
  <si>
    <t>Aldalur</t>
  </si>
  <si>
    <t>Monoko Bizkarra</t>
  </si>
  <si>
    <t>Azkina</t>
  </si>
  <si>
    <t>Eskuto</t>
  </si>
  <si>
    <t>Ikaztegorri</t>
  </si>
  <si>
    <t>Igentze Gaina</t>
  </si>
  <si>
    <t>Lastur</t>
  </si>
  <si>
    <t>Lurtzarretako Bizkarra</t>
  </si>
  <si>
    <t>Gorospil</t>
  </si>
  <si>
    <t>Aierdi</t>
  </si>
  <si>
    <t>Larriztiko Gaña</t>
  </si>
  <si>
    <t>Udalerri</t>
  </si>
  <si>
    <t>Igantziko</t>
  </si>
  <si>
    <t>Aniu</t>
  </si>
  <si>
    <t>Mina</t>
  </si>
  <si>
    <t>Arregi</t>
  </si>
  <si>
    <t>Alzatelarre</t>
  </si>
  <si>
    <t>Bordaleko</t>
  </si>
  <si>
    <t>Gaztelu</t>
  </si>
  <si>
    <t>Lizuniaga</t>
  </si>
  <si>
    <t>Bonua</t>
  </si>
  <si>
    <t>Santa Bárbara</t>
  </si>
  <si>
    <t>close to other labels</t>
  </si>
  <si>
    <t>Listirreta</t>
  </si>
  <si>
    <t>Matxariain</t>
  </si>
  <si>
    <t>Malkoetakotarria</t>
  </si>
  <si>
    <t>Etxeburu</t>
  </si>
  <si>
    <t>Antxuzelai</t>
  </si>
  <si>
    <t>Zurzaia</t>
  </si>
  <si>
    <t>Apati</t>
  </si>
  <si>
    <t>Ardanbide</t>
  </si>
  <si>
    <t>Gaztañegia</t>
  </si>
  <si>
    <t>Sugizeaga</t>
  </si>
  <si>
    <t>Larun Txiki</t>
  </si>
  <si>
    <t>Fagakolarria</t>
  </si>
  <si>
    <t>Arrizurita</t>
  </si>
  <si>
    <t>Sagasti</t>
  </si>
  <si>
    <t>Elentzu</t>
  </si>
  <si>
    <t>Saiberri</t>
  </si>
  <si>
    <t>Mendibil</t>
  </si>
  <si>
    <t>Buztindegi</t>
  </si>
  <si>
    <t xml:space="preserve"> No label found; space available for label ; reason unclear but generalization is not likely unless its size attributable </t>
  </si>
  <si>
    <t>Ainara</t>
  </si>
  <si>
    <t>Landegi</t>
  </si>
  <si>
    <t>Aizparaz</t>
  </si>
  <si>
    <t>Otsalizar</t>
  </si>
  <si>
    <t>Obispo Gaina</t>
  </si>
  <si>
    <t>Itsaso</t>
  </si>
  <si>
    <t>Lurriztiederra</t>
  </si>
  <si>
    <t>Larraburu</t>
  </si>
  <si>
    <t>Bordatxar</t>
  </si>
  <si>
    <t>Zentralaldea</t>
  </si>
  <si>
    <t>Larrezabal</t>
  </si>
  <si>
    <t>Garata</t>
  </si>
  <si>
    <t>Zurgaieta</t>
  </si>
  <si>
    <t>Iurriztieta</t>
  </si>
  <si>
    <t>Añegi</t>
  </si>
  <si>
    <t>Ailtsu</t>
  </si>
  <si>
    <t>Lakain</t>
  </si>
  <si>
    <t>Presausta</t>
  </si>
  <si>
    <t>Egiaundi</t>
  </si>
  <si>
    <t>Gartzokillueta</t>
  </si>
  <si>
    <t>Orizko Gaina</t>
  </si>
  <si>
    <t>Orabidea</t>
  </si>
  <si>
    <t>Iribarrengo Mendia</t>
  </si>
  <si>
    <t>Iruaritzeta</t>
  </si>
  <si>
    <t>Loieta</t>
  </si>
  <si>
    <t>Beltzuri</t>
  </si>
  <si>
    <t>Karamistei</t>
  </si>
  <si>
    <t>Domiko</t>
  </si>
  <si>
    <t>Maileneko Bizkarra</t>
  </si>
  <si>
    <t>Mendixorrotx</t>
  </si>
  <si>
    <t>Arpasis</t>
  </si>
  <si>
    <t>Etxaultza</t>
  </si>
  <si>
    <t>Otsain</t>
  </si>
  <si>
    <t>Barda</t>
  </si>
  <si>
    <t>Kamioa</t>
  </si>
  <si>
    <t>Erroti Aldea</t>
  </si>
  <si>
    <t>Otxobi</t>
  </si>
  <si>
    <t>Ezkurbi Aldea</t>
  </si>
  <si>
    <t>Bagalta</t>
  </si>
  <si>
    <t>Peñaplata</t>
  </si>
  <si>
    <t>Sagardiberea</t>
  </si>
  <si>
    <t>Arpasaiesta</t>
  </si>
  <si>
    <t>Arrizabaleta</t>
  </si>
  <si>
    <t>Unboto</t>
  </si>
  <si>
    <t>Utxiketa Bagatxeta</t>
  </si>
  <si>
    <t>Bular</t>
  </si>
  <si>
    <t>Eskisaroi</t>
  </si>
  <si>
    <t>Indako Borda</t>
  </si>
  <si>
    <t>Iruingo Borda, not italicized</t>
  </si>
  <si>
    <t>Beltzeko</t>
  </si>
  <si>
    <t>Alsu</t>
  </si>
  <si>
    <t>Sagastilegar</t>
  </si>
  <si>
    <t>Ameztiko Pinudia</t>
  </si>
  <si>
    <t>Letters are not italicized ***</t>
  </si>
  <si>
    <t>Aizkoz</t>
  </si>
  <si>
    <t>Sunbillako Udalerri</t>
  </si>
  <si>
    <t>Aritz Eder</t>
  </si>
  <si>
    <t>Ezpeleta</t>
  </si>
  <si>
    <t>Senberro</t>
  </si>
  <si>
    <t>Bustiola</t>
  </si>
  <si>
    <t>Estamoa</t>
  </si>
  <si>
    <t>Primonea</t>
  </si>
  <si>
    <t>Arrutela</t>
  </si>
  <si>
    <t>Bagategi</t>
  </si>
  <si>
    <t>Sagarketa</t>
  </si>
  <si>
    <t>Gorosti Saro</t>
  </si>
  <si>
    <t>Urdazelaita</t>
  </si>
  <si>
    <t>Apaola</t>
  </si>
  <si>
    <t>Legate</t>
  </si>
  <si>
    <t>Bustiolaran</t>
  </si>
  <si>
    <t>Otanegiko Malda</t>
  </si>
  <si>
    <t>Iparreko Hegi</t>
  </si>
  <si>
    <t>Bertizko Jaurerria</t>
  </si>
  <si>
    <t>Etxalarko Udalerri</t>
  </si>
  <si>
    <t>Plaxaxelai</t>
  </si>
  <si>
    <t>Astobi</t>
  </si>
  <si>
    <t>Domiku</t>
  </si>
  <si>
    <t>Gaineko Saroia</t>
  </si>
  <si>
    <t>Ostazelaieta</t>
  </si>
  <si>
    <t>Meate</t>
  </si>
  <si>
    <t>Irratarazu</t>
  </si>
  <si>
    <t>Agote</t>
  </si>
  <si>
    <t>Bagola</t>
  </si>
  <si>
    <t>Mugarritxurieta</t>
  </si>
  <si>
    <t>Paretazar</t>
  </si>
  <si>
    <t>Ubedi</t>
  </si>
  <si>
    <t>Larrakaiz</t>
  </si>
  <si>
    <t>Intxaurpusta</t>
  </si>
  <si>
    <t>Isastia</t>
  </si>
  <si>
    <t>Olaberri</t>
  </si>
  <si>
    <t>Lapizia</t>
  </si>
  <si>
    <t>Posta</t>
  </si>
  <si>
    <t>Otazelai</t>
  </si>
  <si>
    <t>Bidekosillo</t>
  </si>
  <si>
    <t>Ariztegi</t>
  </si>
  <si>
    <t>Pagaditxo</t>
  </si>
  <si>
    <t>Errekaundiko Hegia</t>
  </si>
  <si>
    <t>Irupagota</t>
  </si>
  <si>
    <t>Gordolea</t>
  </si>
  <si>
    <t>Mokoa</t>
  </si>
  <si>
    <t>Pillotasoro</t>
  </si>
  <si>
    <t>Sorondo</t>
  </si>
  <si>
    <t>looks like a sett name</t>
  </si>
  <si>
    <t>Elorrietako Kaskoa</t>
  </si>
  <si>
    <t>Alkozpe</t>
  </si>
  <si>
    <t>Epersoro</t>
  </si>
  <si>
    <t>Gorupel</t>
  </si>
  <si>
    <t>Rocher des Perdrix</t>
  </si>
  <si>
    <t>Zulatxipi</t>
  </si>
  <si>
    <t>Otsangoko Bizkarra</t>
  </si>
  <si>
    <t>Bidamakueta</t>
  </si>
  <si>
    <t>Ametzlarreko Bizkarra</t>
  </si>
  <si>
    <t>Amargunko Lepoa</t>
  </si>
  <si>
    <t>Masburu</t>
  </si>
  <si>
    <t>Akarregiko Mendia</t>
  </si>
  <si>
    <t>Irumuturra</t>
  </si>
  <si>
    <t>Berreuko Gaina</t>
  </si>
  <si>
    <t>Zontzorrotzegia</t>
  </si>
  <si>
    <t>Kanaltxipi</t>
  </si>
  <si>
    <t>Alkaudi</t>
  </si>
  <si>
    <t>Larruteko Malda</t>
  </si>
  <si>
    <t>Domikueta</t>
  </si>
  <si>
    <t>Burdiko-Arre</t>
  </si>
  <si>
    <t>Endaraerreka</t>
  </si>
  <si>
    <t>Tellegi</t>
  </si>
  <si>
    <t>Otatzaundi</t>
  </si>
  <si>
    <t>Pagoagalarre</t>
  </si>
  <si>
    <t>Urdaleta</t>
  </si>
  <si>
    <t>Galtzadeta</t>
  </si>
  <si>
    <t>Sigaste</t>
  </si>
  <si>
    <t>Illamburubeta</t>
  </si>
  <si>
    <t>Pompollegi</t>
  </si>
  <si>
    <t>Eskolamendi</t>
  </si>
  <si>
    <t>Pullegi</t>
  </si>
  <si>
    <t>Deskarga</t>
  </si>
  <si>
    <t>Perizarra</t>
  </si>
  <si>
    <t>Alziko</t>
  </si>
  <si>
    <t>Paraje, paraje pequeño/cueva natural y otros</t>
  </si>
  <si>
    <t>Elezarreta</t>
  </si>
  <si>
    <t>Agina</t>
  </si>
  <si>
    <t>Arrellegi</t>
  </si>
  <si>
    <t>Zala</t>
  </si>
  <si>
    <t>Ugaburu</t>
  </si>
  <si>
    <t>Mastegi</t>
  </si>
  <si>
    <t>Bikaizti</t>
  </si>
  <si>
    <t>Otsango</t>
  </si>
  <si>
    <t>Manttale</t>
  </si>
  <si>
    <t>Erramuegi</t>
  </si>
  <si>
    <t>Baldrun</t>
  </si>
  <si>
    <t>Epenza</t>
  </si>
  <si>
    <t>Altxuska</t>
  </si>
  <si>
    <t>Zalain-Zar</t>
  </si>
  <si>
    <t>Montoia</t>
  </si>
  <si>
    <t>Soraundi</t>
  </si>
  <si>
    <t>Pokopandegi</t>
  </si>
  <si>
    <t>Arditurriko bide berdea</t>
  </si>
  <si>
    <t>Errekatxarko Malda</t>
  </si>
  <si>
    <t>Komiziarra</t>
  </si>
  <si>
    <t>Lindaberri</t>
  </si>
  <si>
    <t>name not found</t>
  </si>
  <si>
    <t>Ibarrola</t>
  </si>
  <si>
    <t>Nabazgaña</t>
  </si>
  <si>
    <t>Iturrisoro</t>
  </si>
  <si>
    <t>Bizkartu</t>
  </si>
  <si>
    <t>Egutera</t>
  </si>
  <si>
    <t>Olagarai</t>
  </si>
  <si>
    <t>Urdiñegi</t>
  </si>
  <si>
    <t>San Martzialgo Gaina</t>
  </si>
  <si>
    <t>San Martzial Ibarrola Borda</t>
  </si>
  <si>
    <t>Berengana</t>
  </si>
  <si>
    <t>Antoju</t>
  </si>
  <si>
    <t>Antojuko errota?????</t>
  </si>
  <si>
    <t>Isatxogaña</t>
  </si>
  <si>
    <t>Irumugarrieta</t>
  </si>
  <si>
    <t>Txurrumurru</t>
  </si>
  <si>
    <t>Lurpiondo</t>
  </si>
  <si>
    <t>Usategieta</t>
  </si>
  <si>
    <t>Zubeltzu</t>
  </si>
  <si>
    <t>Beortxo</t>
  </si>
  <si>
    <t>Elatzeta</t>
  </si>
  <si>
    <t>Otsamantegi</t>
  </si>
  <si>
    <t>Errenaga</t>
  </si>
  <si>
    <t>Mairubaratzeta</t>
  </si>
  <si>
    <t>Otsandola</t>
  </si>
  <si>
    <t>Araso</t>
  </si>
  <si>
    <t>Pagola</t>
  </si>
  <si>
    <t>Arluze</t>
  </si>
  <si>
    <t>Matxikita</t>
  </si>
  <si>
    <t>Altzi</t>
  </si>
  <si>
    <t>Basauntzen Janleku</t>
  </si>
  <si>
    <t>Gorrinzuloaga</t>
  </si>
  <si>
    <t>Bizkarra</t>
  </si>
  <si>
    <t>Etxetxiki</t>
  </si>
  <si>
    <t>Etxolazarreta</t>
  </si>
  <si>
    <t>Soroeta</t>
  </si>
  <si>
    <t>Arramastegi</t>
  </si>
  <si>
    <t>Intxaurreta</t>
  </si>
  <si>
    <t>Mandabide</t>
  </si>
  <si>
    <t>Azerizulo</t>
  </si>
  <si>
    <t>Arbiun</t>
  </si>
  <si>
    <t>Meazuri</t>
  </si>
  <si>
    <t>Sarjinolako Erreka</t>
  </si>
  <si>
    <t>Gaztainmotxa</t>
  </si>
  <si>
    <t>Zigorriaga</t>
  </si>
  <si>
    <t>Arluxe</t>
  </si>
  <si>
    <t>Iñumeta</t>
  </si>
  <si>
    <t>Arranoko Harria</t>
  </si>
  <si>
    <t>Uslaka</t>
  </si>
  <si>
    <t>Larretxiki</t>
  </si>
  <si>
    <t>Akiler</t>
  </si>
  <si>
    <t>Trabaleku</t>
  </si>
  <si>
    <t>Erlaitz</t>
  </si>
  <si>
    <t>Amezmendi</t>
  </si>
  <si>
    <t>Antzazelai</t>
  </si>
  <si>
    <t>Babolla</t>
  </si>
  <si>
    <t>Makina Etxea</t>
  </si>
  <si>
    <t>Txarodi</t>
  </si>
  <si>
    <t>Arkaitzeta</t>
  </si>
  <si>
    <t>Irungo Soro</t>
  </si>
  <si>
    <t>Elorrilepo</t>
  </si>
  <si>
    <t>Irugurutzeta</t>
  </si>
  <si>
    <t>Erortza</t>
  </si>
  <si>
    <t>Orizki Azpia</t>
  </si>
  <si>
    <t>Alzata Aldea</t>
  </si>
  <si>
    <t>Ekiondi</t>
  </si>
  <si>
    <t>Basakaiz</t>
  </si>
  <si>
    <t>Arzeri</t>
  </si>
  <si>
    <t>Andrin</t>
  </si>
  <si>
    <t>Arburu</t>
  </si>
  <si>
    <t>Erkiza</t>
  </si>
  <si>
    <t>Arrizuri</t>
  </si>
  <si>
    <t>Arginenea</t>
  </si>
  <si>
    <t>Arla</t>
  </si>
  <si>
    <t>Lesakako</t>
  </si>
  <si>
    <t>Ozkaritz</t>
  </si>
  <si>
    <t>Musoro</t>
  </si>
  <si>
    <t>Saroitako Bizkarra</t>
  </si>
  <si>
    <t>Orizmendi</t>
  </si>
  <si>
    <t>sett name?</t>
  </si>
  <si>
    <t>Txiñaurtegi</t>
  </si>
  <si>
    <t>Centinela</t>
  </si>
  <si>
    <t>Orimenta</t>
  </si>
  <si>
    <t>Nabalsa</t>
  </si>
  <si>
    <t>Zulubi</t>
  </si>
  <si>
    <t>Saroiberri</t>
  </si>
  <si>
    <t>Zumizu</t>
  </si>
  <si>
    <t>Zamatelua</t>
  </si>
  <si>
    <t>Urtsualdea</t>
  </si>
  <si>
    <t>Zumalku</t>
  </si>
  <si>
    <t>Lekunberri</t>
  </si>
  <si>
    <t>Mendabio</t>
  </si>
  <si>
    <t>Zapitor</t>
  </si>
  <si>
    <t>Arakan</t>
  </si>
  <si>
    <t>Inarzeta</t>
  </si>
  <si>
    <t>Bagazelaieta</t>
  </si>
  <si>
    <t>Zumarte</t>
  </si>
  <si>
    <t>Peñas de Iparla</t>
  </si>
  <si>
    <t>Iriartea</t>
  </si>
  <si>
    <t>Anxuri</t>
  </si>
  <si>
    <t>Urkilepoa</t>
  </si>
  <si>
    <t>Zubiberri</t>
  </si>
  <si>
    <t>Nabarlatsa</t>
  </si>
  <si>
    <t>Aiako Harria Parke Naturala/Parque Natural de Aiako Harria</t>
  </si>
  <si>
    <t xml:space="preserve">Basque; Spanish </t>
  </si>
  <si>
    <t>all caps</t>
  </si>
  <si>
    <t>Green Way</t>
  </si>
  <si>
    <t>Vía Verde del Bidasoa</t>
  </si>
  <si>
    <t>green way?</t>
  </si>
  <si>
    <t>Vía Verde de Arditurri</t>
  </si>
  <si>
    <t>Grottes de Sare</t>
  </si>
  <si>
    <t xml:space="preserve"> labelled styles as natural cave</t>
  </si>
  <si>
    <t>Ourioko Erreka</t>
  </si>
  <si>
    <t xml:space="preserve"> No</t>
  </si>
  <si>
    <t>french side</t>
  </si>
  <si>
    <t>Altxanga</t>
  </si>
  <si>
    <t>Ihizelaia</t>
  </si>
  <si>
    <t>Les Palombières de Sare</t>
  </si>
  <si>
    <t>Faalegi</t>
  </si>
  <si>
    <t>Pitara</t>
  </si>
  <si>
    <t>Erentzazu</t>
  </si>
  <si>
    <t>Pilotalekuko Gainea</t>
  </si>
  <si>
    <t>Intsola</t>
  </si>
  <si>
    <t>Ziburu Mendi</t>
  </si>
  <si>
    <t>Deskargahandiko Lepoa</t>
  </si>
  <si>
    <t>La Petite Rhune</t>
  </si>
  <si>
    <t>Les Palombières d'Etxalar</t>
  </si>
  <si>
    <t>Osinkozelaia</t>
  </si>
  <si>
    <t>Xoldokogaina</t>
  </si>
  <si>
    <t>Oneaga</t>
  </si>
  <si>
    <t>Munhoa</t>
  </si>
  <si>
    <t>Arola</t>
  </si>
  <si>
    <t>Alkozpeko Lepoa</t>
  </si>
  <si>
    <t>Plateau d'Aire Leku</t>
  </si>
  <si>
    <t>Long-Distance Trail</t>
  </si>
  <si>
    <t>GR 11 (Etapa 01. San Antón-Bera)</t>
  </si>
  <si>
    <t>GR 11.3 (Etapa 01. Higer-Lesaka)</t>
  </si>
  <si>
    <t>GR 11.3 (Etapa 02. Lesaka-Elizondo)</t>
  </si>
  <si>
    <t>GR 285 (Etapa 04. Ereñotzu-Behovia)</t>
  </si>
  <si>
    <t>GR 121 (Etapa 15. Aritxulegi-Behovia)</t>
  </si>
  <si>
    <t>PR-GI 1011 (De Oiartzun a Aiako Harria)</t>
  </si>
  <si>
    <t>PR-GI 1009 (Minas de Arditurri)</t>
  </si>
  <si>
    <t>PR-GI 1012 (Vuelta a Meazuri)</t>
  </si>
  <si>
    <t>PR-GI 1008 (Fuente del río Tornola)</t>
  </si>
  <si>
    <t>PR-GI 1010 (Vuelta a las cimas de Aiako Harria)</t>
  </si>
  <si>
    <t>PR-GI 1006 (Corazón de Aiako Harria)</t>
  </si>
  <si>
    <t>SL-GI 1007 (Vuelta a Arditurri)</t>
  </si>
  <si>
    <t>SL-GI 1005 (El camino de los neveros)</t>
  </si>
  <si>
    <t>Beltzaitz</t>
  </si>
  <si>
    <t>Bonoko Kastoa</t>
  </si>
  <si>
    <t>Mandamieta</t>
  </si>
  <si>
    <t>Bereko Benta</t>
  </si>
  <si>
    <t>Oiarrune</t>
  </si>
  <si>
    <t>Bonoko Malda</t>
  </si>
  <si>
    <t>Ventaganonea</t>
  </si>
  <si>
    <t>Ventas de Olaso</t>
  </si>
  <si>
    <t>Lapusey</t>
  </si>
  <si>
    <t>Saroizar</t>
  </si>
  <si>
    <t>Antonsorolepo#Collado Antonsorolepo</t>
  </si>
  <si>
    <t>Agiñeko kaskoa</t>
  </si>
  <si>
    <t>Munagirre#Bunonagirre</t>
  </si>
  <si>
    <t>Aireko palazioa#Castillo del Inglés</t>
  </si>
  <si>
    <t xml:space="preserve">castle; Both names rendered ; Basque label on top </t>
  </si>
  <si>
    <t>Zabalea baserria#Caserío Zabalea</t>
  </si>
  <si>
    <t>just as Zabalea</t>
  </si>
  <si>
    <t>Belasoro#Belasko</t>
  </si>
  <si>
    <t>as Belasoro</t>
  </si>
  <si>
    <t>Arraskuelarre tontorra#Cima Arraskuelarre</t>
  </si>
  <si>
    <t>Agirretxo#Aertxo</t>
  </si>
  <si>
    <t>as Agirretxo</t>
  </si>
  <si>
    <t>Urritxabal</t>
  </si>
  <si>
    <t>Urtzango azpia#Urtzan</t>
  </si>
  <si>
    <t>Errezarra bizkarra#Loma Errezarra</t>
  </si>
  <si>
    <t>Arluze kaskoa#Loma Arluze</t>
  </si>
  <si>
    <t>Erainplanta erreka-zuloa#Barranco Erainplanta</t>
  </si>
  <si>
    <t>Erroiarriko lepoa#Collado de Erroiarri</t>
  </si>
  <si>
    <t>Kosonegia#Kosoneko Egia</t>
  </si>
  <si>
    <t>Arrizko etxolagaña</t>
  </si>
  <si>
    <t>Berdabista</t>
  </si>
  <si>
    <t>Okillegiko hegia#Okillegi</t>
  </si>
  <si>
    <t>2 settlment like points starting with "Okillegi" ; not sure</t>
  </si>
  <si>
    <t>Errotarri bizkarra#Loma Errotarri</t>
  </si>
  <si>
    <t xml:space="preserve">as Errotarri bizkarra; only Basque rendered </t>
  </si>
  <si>
    <t>Sastarren burkaitzak</t>
  </si>
  <si>
    <t>Arlepoko harriak#Peñas de Arlepo</t>
  </si>
  <si>
    <t>Arlepo present ; no OSM reference; only Basque</t>
  </si>
  <si>
    <t>Meaketa bizkarra#Loma Meaketa</t>
  </si>
  <si>
    <t>Burkondo baserria#Caserío Burkondo</t>
  </si>
  <si>
    <t>Lizarretagaña#Lizartako Gana#Lizartako Gana</t>
  </si>
  <si>
    <t>Markelainburu#Markelin</t>
  </si>
  <si>
    <t>Elorriko hegia#Loma de Elorri</t>
  </si>
  <si>
    <t>Allangoko zabala#Allango</t>
  </si>
  <si>
    <t>Aritxulegi</t>
  </si>
  <si>
    <t>Urzelaieta baserria#Caserío Urzelaieta</t>
  </si>
  <si>
    <t xml:space="preserve">just as Urzelaieta; Basque only </t>
  </si>
  <si>
    <t>Gomizenea</t>
  </si>
  <si>
    <t>Pasaizarre</t>
  </si>
  <si>
    <t>Aldantxarretako hegia</t>
  </si>
  <si>
    <t>Gurmendi#Egurmendi</t>
  </si>
  <si>
    <t>Txirripa baserria#Caserío Txirripa</t>
  </si>
  <si>
    <t>Muñoko kaskoa#Moñua</t>
  </si>
  <si>
    <t>Alunda auzoa#Barrio de Alunda</t>
  </si>
  <si>
    <t>Arteaga#Artia</t>
  </si>
  <si>
    <t>as Artega</t>
  </si>
  <si>
    <t>Bazterkalte baserria#Caserío Bazterkalte</t>
  </si>
  <si>
    <t xml:space="preserve">as Bazterkalte; Basque only </t>
  </si>
  <si>
    <t>Mokozorrotz meategia</t>
  </si>
  <si>
    <t>Lazkanburu</t>
  </si>
  <si>
    <t>Olaberriegia#Olaberri#Olaberri</t>
  </si>
  <si>
    <t>Present  as Olaberriegia</t>
  </si>
  <si>
    <t>Aunzbizkar</t>
  </si>
  <si>
    <t>Ttutturru</t>
  </si>
  <si>
    <t>Illarratzu#Illarrizu</t>
  </si>
  <si>
    <t>as Illarratzu</t>
  </si>
  <si>
    <t>Ameztoieta baserria#Caserío Ameztoieta#Ameztoieta</t>
  </si>
  <si>
    <t xml:space="preserve">Ameztoieta; Basque only </t>
  </si>
  <si>
    <t>Algorrieta bizkarra#Loma Algorrieta</t>
  </si>
  <si>
    <t xml:space="preserve">as Algorrieta bizkarra; Basque only </t>
  </si>
  <si>
    <t>Altamirako gaina</t>
  </si>
  <si>
    <t>Laparrazpi</t>
  </si>
  <si>
    <t>Erroitzenea#Erroizenea</t>
  </si>
  <si>
    <t>Erroitzenea ; Paraje, paraje pequeño/cueva natural y otros</t>
  </si>
  <si>
    <t>Martuzenegi#Martuzenai#Martuzenai</t>
  </si>
  <si>
    <t>Urmendi#Cima Urmendi</t>
  </si>
  <si>
    <t>Tantailepo#Collado Tantailepo</t>
  </si>
  <si>
    <t xml:space="preserve">as Tantailepo; Basque only </t>
  </si>
  <si>
    <t>Arrietazabala#Arritako Zabala</t>
  </si>
  <si>
    <t>Present  as Arritako Zabala</t>
  </si>
  <si>
    <t>Arrateko kaskoa#Aserigorriko kaskua</t>
  </si>
  <si>
    <t>Oieleku#Oianleku</t>
  </si>
  <si>
    <t>Elorritxoko#Elorri Txokoa</t>
  </si>
  <si>
    <t>Karalorregi#Karalugarre#Karalugarre</t>
  </si>
  <si>
    <t>Andrearriaga baserria#Caserío Andrearriaga</t>
  </si>
  <si>
    <t>Otraitz</t>
  </si>
  <si>
    <t>Maldaburu baserria#Caserío Maldaburu</t>
  </si>
  <si>
    <t>Muñogaña#Muinogaina</t>
  </si>
  <si>
    <t>Agozarreta#Aozarreta</t>
  </si>
  <si>
    <t>Uniketako zabala#Llano de Uniketa</t>
  </si>
  <si>
    <t>Uniketako zabala ; Paraje, paraje pequeño/cueva natural y otros</t>
  </si>
  <si>
    <t>Enbidoko malda#Loma de Enbido</t>
  </si>
  <si>
    <t>Arburuko zabala#Llano de Arburu</t>
  </si>
  <si>
    <t xml:space="preserve">as Arburuku zabala; Basque only </t>
  </si>
  <si>
    <t>Atsegiñarri</t>
  </si>
  <si>
    <t>Aiako harria#Peñas de Aia</t>
  </si>
  <si>
    <t xml:space="preserve">as Aiako harria; Basque only </t>
  </si>
  <si>
    <t>Kapitaingurutze#Kapitan Gurutze</t>
  </si>
  <si>
    <t>Oretetako muinoa#Cima de Oreteta</t>
  </si>
  <si>
    <t xml:space="preserve">Oretetako muinoa; Basque only </t>
  </si>
  <si>
    <t>Bidabieta lepoa</t>
  </si>
  <si>
    <t>Bidaurre baserria#Caserío Bidaurre</t>
  </si>
  <si>
    <t xml:space="preserve">P.l. Bidaurre- ureder????; Basque only </t>
  </si>
  <si>
    <t xml:space="preserve">Settlement </t>
  </si>
  <si>
    <t>Ansolocueta</t>
  </si>
  <si>
    <t xml:space="preserve">Settlment Name </t>
  </si>
  <si>
    <t>Caserío Frain</t>
  </si>
  <si>
    <t>Endarlatsa</t>
  </si>
  <si>
    <t>Sarrola</t>
  </si>
  <si>
    <t>Kaule</t>
  </si>
  <si>
    <t>Auzoberri</t>
  </si>
  <si>
    <t>Katazpegi</t>
  </si>
  <si>
    <t>Otsango Auzoa</t>
  </si>
  <si>
    <t>Lakain-Apezborro</t>
  </si>
  <si>
    <t>Zamarreneko Borda</t>
  </si>
  <si>
    <t>Zalain</t>
  </si>
  <si>
    <t>Zia</t>
  </si>
  <si>
    <t>Tesa</t>
  </si>
  <si>
    <t>Ibardin</t>
  </si>
  <si>
    <t>Nabaz</t>
  </si>
  <si>
    <t>Orizki</t>
  </si>
  <si>
    <t>Ciudad Jardín</t>
  </si>
  <si>
    <t>Aientsa</t>
  </si>
  <si>
    <t>Ergoien</t>
  </si>
  <si>
    <t>Artikutza</t>
  </si>
  <si>
    <t>Unanua auzoa</t>
  </si>
  <si>
    <t>Single object</t>
  </si>
  <si>
    <t>Irisarri auzoa</t>
  </si>
  <si>
    <t>Entidad singular</t>
  </si>
  <si>
    <t>Añerdi Auzoa</t>
  </si>
  <si>
    <t>Urritzokieta</t>
  </si>
  <si>
    <t>Eguzkialdea</t>
  </si>
  <si>
    <t>Olhaldea</t>
  </si>
  <si>
    <t>Zalain Zoko</t>
  </si>
  <si>
    <t>Bidasoa Ekialde Auzoa</t>
  </si>
  <si>
    <t>Sarrola auzoa</t>
  </si>
  <si>
    <t>Larrapil-Sarriku</t>
  </si>
  <si>
    <t>Xantelerreka/Elzaurdia</t>
  </si>
  <si>
    <t>Both names used; Separated by a dash</t>
  </si>
  <si>
    <t>Piedadeko Gaina</t>
  </si>
  <si>
    <t>Gorosurreta</t>
  </si>
  <si>
    <t>Alkaiaga</t>
  </si>
  <si>
    <t>Etxartea</t>
  </si>
  <si>
    <t>Frain auzoa</t>
  </si>
  <si>
    <t>Aritzeder Auzoa</t>
  </si>
  <si>
    <t>Karrika</t>
  </si>
  <si>
    <t>Biurrana</t>
  </si>
  <si>
    <t>Azkilarrea</t>
  </si>
  <si>
    <t>Suspela</t>
  </si>
  <si>
    <t>Arantza</t>
  </si>
  <si>
    <t>Azkar</t>
  </si>
  <si>
    <t>Bera</t>
  </si>
  <si>
    <t>Bidasoa Mendebalde Auzoa</t>
  </si>
  <si>
    <t>Garaitarreta</t>
  </si>
  <si>
    <t>Endara</t>
  </si>
  <si>
    <t>Olazur</t>
  </si>
  <si>
    <t>Bordalarrea</t>
  </si>
  <si>
    <t>Berrizaun auzoa</t>
  </si>
  <si>
    <t>Istilarté</t>
  </si>
  <si>
    <t>Gaztanbidea</t>
  </si>
  <si>
    <t>Sare</t>
  </si>
  <si>
    <t>Herboure</t>
  </si>
  <si>
    <t>Lekaienborda</t>
  </si>
  <si>
    <t>Ihiztokia</t>
  </si>
  <si>
    <t>Garbala</t>
  </si>
  <si>
    <t>Alkerdi</t>
  </si>
  <si>
    <t>Lesaka</t>
  </si>
  <si>
    <t>Gurutze</t>
  </si>
  <si>
    <t>Etxalar</t>
  </si>
  <si>
    <t>Igantzi</t>
  </si>
  <si>
    <t>Hauziartzea</t>
  </si>
  <si>
    <t>Antxotesaroia baserria#Caserío Antxotesaroia</t>
  </si>
  <si>
    <t xml:space="preserve">Antxotesaroia; basque only </t>
  </si>
  <si>
    <t>Makatzaga baserria#Caserío Makatzaga#Makatza</t>
  </si>
  <si>
    <t>Makatzaga</t>
  </si>
  <si>
    <t>Bekoerrota#Beko Errota</t>
  </si>
  <si>
    <t>Bekoerrota</t>
  </si>
  <si>
    <t xml:space="preserve">Settlment Name ; Basque only </t>
  </si>
  <si>
    <t>Meakargoikoa baserria#Caserío Meakargoikoa</t>
  </si>
  <si>
    <t xml:space="preserve"> Meakargoikoa</t>
  </si>
  <si>
    <t>Lastaola baserria#Caserío Lastaola</t>
  </si>
  <si>
    <t>Gaztañalde</t>
  </si>
  <si>
    <t>Bidasoro baserria#Caserío Bidasoro</t>
  </si>
  <si>
    <t xml:space="preserve">Bidasoro; Basque only </t>
  </si>
  <si>
    <t>Petrienea baserria#Caserío Petrienea#Okoli</t>
  </si>
  <si>
    <t xml:space="preserve"> karrika labeled</t>
  </si>
  <si>
    <t>Amasain baserria#Caserío Amasain</t>
  </si>
  <si>
    <t>Amasain; Basque only</t>
  </si>
  <si>
    <t>Igantziko Bentak</t>
  </si>
  <si>
    <t>Zugarramurdi</t>
  </si>
  <si>
    <t>Ihalarre</t>
  </si>
  <si>
    <t>Artxabal</t>
  </si>
  <si>
    <t>Cherchebruit</t>
  </si>
  <si>
    <t>Arrupea</t>
  </si>
  <si>
    <t>Lizardi</t>
  </si>
  <si>
    <t>Altzibar-Karrika</t>
  </si>
  <si>
    <t>Karrika closeby</t>
  </si>
  <si>
    <t>Other Hills</t>
  </si>
  <si>
    <t>Ibantelli</t>
  </si>
  <si>
    <t>medium hill</t>
  </si>
  <si>
    <t>Gurutzeko Gaina</t>
  </si>
  <si>
    <t>Hill</t>
  </si>
  <si>
    <t>Col de St-Ignace</t>
  </si>
  <si>
    <t>small hill</t>
  </si>
  <si>
    <t>Pagogaña</t>
  </si>
  <si>
    <t>small peak</t>
  </si>
  <si>
    <t>Col d'Ibardin</t>
  </si>
  <si>
    <t>Peak</t>
  </si>
  <si>
    <t>Aritxulegi lepoa#Collado Aritxulegi</t>
  </si>
  <si>
    <t>small hill; Basque only</t>
  </si>
  <si>
    <t>Collado de Apito</t>
  </si>
  <si>
    <t xml:space="preserve">small hill; Spanish name </t>
  </si>
  <si>
    <t>Coll de Lizuniaga</t>
  </si>
  <si>
    <t xml:space="preserve">hill; Basque name only </t>
  </si>
  <si>
    <t>Basateko kaskoa#Basateko Sorua</t>
  </si>
  <si>
    <t>med hill</t>
  </si>
  <si>
    <t>Gorostegiko gaina</t>
  </si>
  <si>
    <t>isolated hill</t>
  </si>
  <si>
    <t>Collado Iñaterri</t>
  </si>
  <si>
    <t xml:space="preserve"> Label styled as hill</t>
  </si>
  <si>
    <t>Coll de Ibardin</t>
  </si>
  <si>
    <t>Collado Zizkouitz</t>
  </si>
  <si>
    <t>med hill; both names</t>
  </si>
  <si>
    <t>Belitz gaina#Mendibeltz</t>
  </si>
  <si>
    <t>Principal? peak</t>
  </si>
  <si>
    <t>Collado Urbia</t>
  </si>
  <si>
    <t xml:space="preserve">small hill; both names </t>
  </si>
  <si>
    <t>Aizkolegiko Lepoa</t>
  </si>
  <si>
    <t>Collado Also</t>
  </si>
  <si>
    <t xml:space="preserve"> Label styled as hill; both names</t>
  </si>
  <si>
    <t>Collado de Isaszelai</t>
  </si>
  <si>
    <t>Collado de Orizkie</t>
  </si>
  <si>
    <t>Iparleko Lepoa</t>
  </si>
  <si>
    <t>Loiarako Lepoa</t>
  </si>
  <si>
    <t>Erentzazuko Lepoa</t>
  </si>
  <si>
    <t>Atxuelako Lepoa</t>
  </si>
  <si>
    <t>Goilorko Lepoa</t>
  </si>
  <si>
    <t>Leopaundi</t>
  </si>
  <si>
    <t>Collado de San Antón</t>
  </si>
  <si>
    <t>Amekurrungo Ataka</t>
  </si>
  <si>
    <t>Eskisaroiko Lepoa</t>
  </si>
  <si>
    <t>Kausoro lepoa#Collado Kausoro</t>
  </si>
  <si>
    <t xml:space="preserve">as Kausoro lepoa; Basque name only </t>
  </si>
  <si>
    <t>Uzpuru lepoa#Collado Uzpuru</t>
  </si>
  <si>
    <t xml:space="preserve">as Uzpuru lepoa; Basque name only </t>
  </si>
  <si>
    <t>Elurretxeko lepoa#Collado de Elurretxe</t>
  </si>
  <si>
    <t>Elurretxeko lepoa; Basque name only</t>
  </si>
  <si>
    <t>Lasain#Lasaingana</t>
  </si>
  <si>
    <t>bold, italicized</t>
  </si>
  <si>
    <t>Otzarteko lepoa#Collado de Otzarte</t>
  </si>
  <si>
    <t xml:space="preserve"> Label styled as hill; Basque name only </t>
  </si>
  <si>
    <t xml:space="preserve">Other peaks </t>
  </si>
  <si>
    <t>Alto Etxeberzea</t>
  </si>
  <si>
    <t>label styled as other peaks</t>
  </si>
  <si>
    <t>Risco de San Antón</t>
  </si>
  <si>
    <t>Sarasola</t>
  </si>
  <si>
    <t>label on top of location</t>
  </si>
  <si>
    <t>Collado de Lizarrieta#Lizarrietako lepoa</t>
  </si>
  <si>
    <t>Present as "Collado de Lizarrieta"; Spanish name</t>
  </si>
  <si>
    <t>Los Olivos</t>
  </si>
  <si>
    <t>Settlement</t>
  </si>
  <si>
    <t>Pozo Nuevo</t>
  </si>
  <si>
    <t>Close to nearby label; crowded space</t>
  </si>
  <si>
    <t>La Concepción</t>
  </si>
  <si>
    <t>crowded labels and features</t>
  </si>
  <si>
    <t>El Tinahón</t>
  </si>
  <si>
    <t>Settlement names; enough space for label ; most likely due to size ; neighbourhood</t>
  </si>
  <si>
    <t>San Benito</t>
  </si>
  <si>
    <t>Villas del Atlántico</t>
  </si>
  <si>
    <t>El Polvero</t>
  </si>
  <si>
    <t>Barrio Alto</t>
  </si>
  <si>
    <t>No label found; very small settlements/ neighbourhoods</t>
  </si>
  <si>
    <t>Jardín del Aljarafe</t>
  </si>
  <si>
    <t>Santa Rosa</t>
  </si>
  <si>
    <t>Los Linares</t>
  </si>
  <si>
    <t>Buenavista</t>
  </si>
  <si>
    <t>San Fernando</t>
  </si>
  <si>
    <t>Barriada de Andalucía</t>
  </si>
  <si>
    <t>El Jardinillo</t>
  </si>
  <si>
    <t>Small Settlement</t>
  </si>
  <si>
    <t>Mallorca</t>
  </si>
  <si>
    <t>Jardines de Alcántara</t>
  </si>
  <si>
    <t>labels present over location; crowded space</t>
  </si>
  <si>
    <t>Lepanto</t>
  </si>
  <si>
    <t>Albaida Chica</t>
  </si>
  <si>
    <t>Haza de la Carpintera</t>
  </si>
  <si>
    <t>Tras la Casa</t>
  </si>
  <si>
    <t>Los Diez Mandamientos</t>
  </si>
  <si>
    <t>No label found ; enough space</t>
  </si>
  <si>
    <t>San Julián</t>
  </si>
  <si>
    <t>Settlement name ; population&gt; 500</t>
  </si>
  <si>
    <t>Los Pinos de Montequinto</t>
  </si>
  <si>
    <t>Los Carteros</t>
  </si>
  <si>
    <t>La Inmaculada</t>
  </si>
  <si>
    <t>Chapina</t>
  </si>
  <si>
    <t>El Palomar</t>
  </si>
  <si>
    <t>Guadaira</t>
  </si>
  <si>
    <t>El Arenal</t>
  </si>
  <si>
    <t>Puerto</t>
  </si>
  <si>
    <t>Palmete</t>
  </si>
  <si>
    <t>La Juncal</t>
  </si>
  <si>
    <t>Reina Mercedes</t>
  </si>
  <si>
    <t>San Vicente</t>
  </si>
  <si>
    <t>Jardines del Edén</t>
  </si>
  <si>
    <t>Torreblanca la Vieja</t>
  </si>
  <si>
    <t>La Oliva</t>
  </si>
  <si>
    <t>Nuestra Señora del Carmen</t>
  </si>
  <si>
    <t>Huerta de Santa Teresa</t>
  </si>
  <si>
    <t>Virgen de los Reyes</t>
  </si>
  <si>
    <t>La Negrilla</t>
  </si>
  <si>
    <t>Las Letanías</t>
  </si>
  <si>
    <t>Fuentequintilllos</t>
  </si>
  <si>
    <t>Torreblanca la Nueva</t>
  </si>
  <si>
    <t>Andalucía Residencial</t>
  </si>
  <si>
    <t>Parque Real</t>
  </si>
  <si>
    <t>Padre Pío</t>
  </si>
  <si>
    <t>La Estrella</t>
  </si>
  <si>
    <t>Jardín Este</t>
  </si>
  <si>
    <t>Barriada Elcano</t>
  </si>
  <si>
    <t>Alfarería</t>
  </si>
  <si>
    <t>Los Bermejales</t>
  </si>
  <si>
    <t>Ciudad Universitaria Aljarafe</t>
  </si>
  <si>
    <t>El Mirador de Itálica</t>
  </si>
  <si>
    <t>Nuestra Señora de Loreto</t>
  </si>
  <si>
    <t>Pinar de Simón Verde</t>
  </si>
  <si>
    <t>Barriada Federico García Lorca</t>
  </si>
  <si>
    <t>El Rocío</t>
  </si>
  <si>
    <t>San José</t>
  </si>
  <si>
    <t>El Balcón de Sevilla</t>
  </si>
  <si>
    <t>Nuestra Señora del Rosario</t>
  </si>
  <si>
    <t>Barriada Almonazar</t>
  </si>
  <si>
    <t>Alquería de Almanzor</t>
  </si>
  <si>
    <t>District in a large city</t>
  </si>
  <si>
    <t>El Cerro del Águila</t>
  </si>
  <si>
    <t>Municipal District ; neighbourhood --</t>
  </si>
  <si>
    <t>Neighborhood in a big city</t>
  </si>
  <si>
    <t>Polígono Norte</t>
  </si>
  <si>
    <t>San Bernardo</t>
  </si>
  <si>
    <t>neighborhood in Seville, Spain, has a population of about 2,532 people</t>
  </si>
  <si>
    <t>Heliópolis</t>
  </si>
  <si>
    <t>Settlement / neighbourhood; population approximately &gt; 500</t>
  </si>
  <si>
    <t>El Porvenir</t>
  </si>
  <si>
    <t>historic neighborhood in Seville, Spain. It sits just south of the famous Parque de María Luisa</t>
  </si>
  <si>
    <t>Tiro de Línea</t>
  </si>
  <si>
    <t>Polígono Sur</t>
  </si>
  <si>
    <t>Es un grupo de seis barrios obreros en Sevilla. Incluye las famosas Tres Mil Viviendas. Tiene más de 30.000 habitantes. Sufre de pobreza, exclusión social y alta criminalidad.</t>
  </si>
  <si>
    <t>Polígono San Pablo</t>
  </si>
  <si>
    <t>neighbourhood</t>
  </si>
  <si>
    <t>Los Remedios</t>
  </si>
  <si>
    <t>Santa Cruz</t>
  </si>
  <si>
    <t>Sevilla Este</t>
  </si>
  <si>
    <t>Pino Montano</t>
  </si>
  <si>
    <t>Triana</t>
  </si>
  <si>
    <t>Caserío del Almuédano</t>
  </si>
  <si>
    <t>Camino de Umbrete</t>
  </si>
  <si>
    <t>crowded space</t>
  </si>
  <si>
    <t>Cortijo de San Nicolás de Bari</t>
  </si>
  <si>
    <t>Cortijo de Pino Montano</t>
  </si>
  <si>
    <t>Cortijo del Toril</t>
  </si>
  <si>
    <t>Torre Rubia</t>
  </si>
  <si>
    <t>Hacienda de Torreblanca</t>
  </si>
  <si>
    <t>Aljamar</t>
  </si>
  <si>
    <t>Casa de la Huerta de San Antón</t>
  </si>
  <si>
    <t>Barriada del Avión</t>
  </si>
  <si>
    <t>label not found; space for label</t>
  </si>
  <si>
    <t>Las Cortillas</t>
  </si>
  <si>
    <t>Los Vinos</t>
  </si>
  <si>
    <t>Hacienda de San Fernando</t>
  </si>
  <si>
    <t>Buena Vista</t>
  </si>
  <si>
    <t>Cortijo de Casabuena la Vieja</t>
  </si>
  <si>
    <t>Las Arenas</t>
  </si>
  <si>
    <t>Monte Alto</t>
  </si>
  <si>
    <t>Cortijo Viejo del Riego</t>
  </si>
  <si>
    <t>Olivares del Pozo</t>
  </si>
  <si>
    <t>Secadero de Gutiérrez</t>
  </si>
  <si>
    <t>Hacienda de Torrijos</t>
  </si>
  <si>
    <t>Cortijo de la Cigarra</t>
  </si>
  <si>
    <t>Cortijo de Villadiego</t>
  </si>
  <si>
    <t>El Tributo</t>
  </si>
  <si>
    <t>Peralta</t>
  </si>
  <si>
    <t>Malcargado</t>
  </si>
  <si>
    <t>no label found; enough space; unclear reason</t>
  </si>
  <si>
    <t>Hacienda de la Caridad</t>
  </si>
  <si>
    <t>Cortijo de Benaburque</t>
  </si>
  <si>
    <t>Cortijo de Abilio</t>
  </si>
  <si>
    <t>Casa de la Huerta del Pelícano</t>
  </si>
  <si>
    <t>Cortijo de Majaloba Nueva</t>
  </si>
  <si>
    <t>Cortijo de la Bartola</t>
  </si>
  <si>
    <t>Hacienda de la Borbolla</t>
  </si>
  <si>
    <t>Cortijo de la Encina</t>
  </si>
  <si>
    <t>Condequinto</t>
  </si>
  <si>
    <t>Parque Alcosa</t>
  </si>
  <si>
    <t>El Prado</t>
  </si>
  <si>
    <t>El Carril</t>
  </si>
  <si>
    <t>El Hoyón</t>
  </si>
  <si>
    <t>Casas de la Era de Ciriaco</t>
  </si>
  <si>
    <t>Cortijo del Castellano</t>
  </si>
  <si>
    <t>Camino de la Dehesa</t>
  </si>
  <si>
    <t>Cortijo del Juradillo</t>
  </si>
  <si>
    <t>Casa de la Huerta del Mármol</t>
  </si>
  <si>
    <t>Rasos del Toril</t>
  </si>
  <si>
    <t>Haza del Horno</t>
  </si>
  <si>
    <t>Cortijo del Baldío</t>
  </si>
  <si>
    <t>Cortijo del Chamorro</t>
  </si>
  <si>
    <t>Casa de Torre de Arena</t>
  </si>
  <si>
    <t>Torreblanca de los Caños</t>
  </si>
  <si>
    <t>La Zahurda</t>
  </si>
  <si>
    <t>Urbanización Torre Pava</t>
  </si>
  <si>
    <t>Casa de los Moros Altos</t>
  </si>
  <si>
    <t>individual building</t>
  </si>
  <si>
    <t>Los Labrados</t>
  </si>
  <si>
    <t>Tablada</t>
  </si>
  <si>
    <t>small settlement</t>
  </si>
  <si>
    <t>Los Panaderos</t>
  </si>
  <si>
    <t>Hacienda de la Quinta</t>
  </si>
  <si>
    <t>Casa de la Huerta de Alcántara</t>
  </si>
  <si>
    <t>San Jerónimo</t>
  </si>
  <si>
    <t>Cortijo de Espinosa</t>
  </si>
  <si>
    <t>Cortijo del Higuerón</t>
  </si>
  <si>
    <t>Cortijo Espinosa</t>
  </si>
  <si>
    <t>Camino de los Indios</t>
  </si>
  <si>
    <t>El Real de Espartinas</t>
  </si>
  <si>
    <t>Casas de Manroya</t>
  </si>
  <si>
    <t>Casa de Salmerón</t>
  </si>
  <si>
    <t>El Caro</t>
  </si>
  <si>
    <t>Casa de San José</t>
  </si>
  <si>
    <t>Escondidillas</t>
  </si>
  <si>
    <t>Hacienda de Torre de las Arcas</t>
  </si>
  <si>
    <t>La Herencia</t>
  </si>
  <si>
    <t>El Gordillo</t>
  </si>
  <si>
    <t>Urbanización Cuatrovitas</t>
  </si>
  <si>
    <t>Santa María</t>
  </si>
  <si>
    <t>Cortijo de la Torre del Judío</t>
  </si>
  <si>
    <t>Mairena del Aljarafe</t>
  </si>
  <si>
    <t>Municipal Capital ; x2</t>
  </si>
  <si>
    <t>Typographic weight- Bold</t>
  </si>
  <si>
    <t>Castilleja de la Cuesta</t>
  </si>
  <si>
    <t>Bold over other labels</t>
  </si>
  <si>
    <t>Bollullos de la Mitación</t>
  </si>
  <si>
    <t>Municipal Capital ; Approximately 11k population ; x2</t>
  </si>
  <si>
    <t>Bormujos</t>
  </si>
  <si>
    <t>Municipal Capital : 23,000 population</t>
  </si>
  <si>
    <t>Camas</t>
  </si>
  <si>
    <t>La Cartuja</t>
  </si>
  <si>
    <t>Town; Municipal capital ; Approximately 48 k population</t>
  </si>
  <si>
    <t>Santiponce</t>
  </si>
  <si>
    <t>Town; Municipal capital ; Approximately 8k population</t>
  </si>
  <si>
    <t>Umbrete</t>
  </si>
  <si>
    <t>City ; Approximately 6k population ; x2</t>
  </si>
  <si>
    <t>La Rinconada</t>
  </si>
  <si>
    <t>Municipal Capital ; Approximately 8k population ; x2</t>
  </si>
  <si>
    <t>Gelves</t>
  </si>
  <si>
    <t>Municipal Capital</t>
  </si>
  <si>
    <t>Centro de Comarca Norte</t>
  </si>
  <si>
    <t>Valencina de la Concepción</t>
  </si>
  <si>
    <t>Sitio de Valencina</t>
  </si>
  <si>
    <t>another label of municipal capital on top</t>
  </si>
  <si>
    <t>Town; Municipal capital approximately 10k population</t>
  </si>
  <si>
    <t>Sevilla</t>
  </si>
  <si>
    <t>Province capital; 680k population approximately ; label is not surrounded by other labels ; clear buffer around the label ; x2</t>
  </si>
  <si>
    <t>El Alba</t>
  </si>
  <si>
    <t>Albaida del Aljarafe</t>
  </si>
  <si>
    <t>Municipal Capital ; Approximately 3k population ; x2</t>
  </si>
  <si>
    <t>Salteras</t>
  </si>
  <si>
    <t>Town; Municipal Capital; 5k population approximately; x2</t>
  </si>
  <si>
    <t>Rocío Chico</t>
  </si>
  <si>
    <t>Cortijo de Nuestra Señora de la Luz</t>
  </si>
  <si>
    <t>Gines</t>
  </si>
  <si>
    <t>bold over other labels</t>
  </si>
  <si>
    <t>Cortijo Nuevo de Benegas</t>
  </si>
  <si>
    <t>Nervión</t>
  </si>
  <si>
    <t>Villanueva del Ariscal</t>
  </si>
  <si>
    <t>Repeated(2x) ; Town ; 6k Population</t>
  </si>
  <si>
    <t>Pulpejas</t>
  </si>
  <si>
    <t>Town; Approximately 6k population</t>
  </si>
  <si>
    <t>La Manglana-Las Majadillas</t>
  </si>
  <si>
    <t>Cortijo el Castellón</t>
  </si>
  <si>
    <t>Urbanización Verónica</t>
  </si>
  <si>
    <t>Urbanización Nueva Jarilla</t>
  </si>
  <si>
    <t>Roalcao</t>
  </si>
  <si>
    <t>Espartinas</t>
  </si>
  <si>
    <t>City; Municipal Capital; 15k population approximately; x2</t>
  </si>
  <si>
    <t>Cortijo de la Encarnación</t>
  </si>
  <si>
    <t>La Dehesilla</t>
  </si>
  <si>
    <t>Olivares</t>
  </si>
  <si>
    <t>Municipal Capital ; Approximately 9k population ; x2</t>
  </si>
  <si>
    <t>Isla de la Cartuja</t>
  </si>
  <si>
    <t>Most people travel to this area for work and study. It is primarily a non-residential district located in northwestern Seville</t>
  </si>
  <si>
    <t>Huerta del Rey</t>
  </si>
  <si>
    <t>City ; Approximately 15k population ; x2</t>
  </si>
  <si>
    <t>Los Girasoles</t>
  </si>
  <si>
    <t>Tomares</t>
  </si>
  <si>
    <t>Municipal Capital ; 25k population approximately</t>
  </si>
  <si>
    <t>San Rafael</t>
  </si>
  <si>
    <t>Municipal Capital ; Town ; Approximately 40k population ; x2</t>
  </si>
  <si>
    <t>Santa Isabel</t>
  </si>
  <si>
    <t>Urbanización la Rata</t>
  </si>
  <si>
    <t>La Resolana</t>
  </si>
  <si>
    <t>El Majuelo</t>
  </si>
  <si>
    <t>crowded labels and space</t>
  </si>
  <si>
    <t>El Granadal</t>
  </si>
  <si>
    <t>Las Ánimas</t>
  </si>
  <si>
    <t>El Acebuchal</t>
  </si>
  <si>
    <t>Nuestra Señora de la Esperanza</t>
  </si>
  <si>
    <t>crowded space with labels</t>
  </si>
  <si>
    <t>La Fuemblanca</t>
  </si>
  <si>
    <t xml:space="preserve">Typographic weight- Bold ; Size </t>
  </si>
  <si>
    <t>Madre de Dios</t>
  </si>
  <si>
    <t>Huerta de la Salud</t>
  </si>
  <si>
    <t>Conde Duque</t>
  </si>
  <si>
    <t>La Barzola</t>
  </si>
  <si>
    <t>Retiro Obrero</t>
  </si>
  <si>
    <t>La Juliana</t>
  </si>
  <si>
    <t>Pío XII</t>
  </si>
  <si>
    <t>Altozano</t>
  </si>
  <si>
    <t>Las Golondrinas</t>
  </si>
  <si>
    <t>La Candelaria</t>
  </si>
  <si>
    <t>León XIII</t>
  </si>
  <si>
    <t>Tabladilla</t>
  </si>
  <si>
    <t>El Tardón</t>
  </si>
  <si>
    <t>El Cortinal</t>
  </si>
  <si>
    <t>La Alquería</t>
  </si>
  <si>
    <t>Casablanca</t>
  </si>
  <si>
    <t>La Calzada</t>
  </si>
  <si>
    <t>Las Brisas</t>
  </si>
  <si>
    <t>Ochoa</t>
  </si>
  <si>
    <t>Amate</t>
  </si>
  <si>
    <t>labels present over location</t>
  </si>
  <si>
    <t>Parque de la Montaña</t>
  </si>
  <si>
    <t>El Barrio</t>
  </si>
  <si>
    <t xml:space="preserve"> Yes</t>
  </si>
  <si>
    <t>Los Naranjos</t>
  </si>
  <si>
    <t>Cinta Hoja</t>
  </si>
  <si>
    <t>La Doctora</t>
  </si>
  <si>
    <t>Enramadilla</t>
  </si>
  <si>
    <t>Los Pajaritos</t>
  </si>
  <si>
    <t>Los Azahares</t>
  </si>
  <si>
    <t>San Carlos</t>
  </si>
  <si>
    <t>Las Góndolas</t>
  </si>
  <si>
    <t>Santa María de Ordás</t>
  </si>
  <si>
    <t>San José Obrero</t>
  </si>
  <si>
    <t>Santa Ana</t>
  </si>
  <si>
    <t>El Fontanal</t>
  </si>
  <si>
    <t>Juan XXIII</t>
  </si>
  <si>
    <t>La Corza</t>
  </si>
  <si>
    <t>Bami</t>
  </si>
  <si>
    <t>La Plata</t>
  </si>
  <si>
    <t>Rochelambert</t>
  </si>
  <si>
    <t>Los Minaretes</t>
  </si>
  <si>
    <t>Huerta del Pilar</t>
  </si>
  <si>
    <t>Santa Teresa</t>
  </si>
  <si>
    <t>Campos de Soria</t>
  </si>
  <si>
    <t>Las Naciones</t>
  </si>
  <si>
    <t>Montequinto</t>
  </si>
  <si>
    <t>La Alondra</t>
  </si>
  <si>
    <t>Casavacas</t>
  </si>
  <si>
    <t>Nuestra Señora de los Dolores</t>
  </si>
  <si>
    <t>Hacienda Medina</t>
  </si>
  <si>
    <t>Polígono Nacoisa</t>
  </si>
  <si>
    <t>Majaloba</t>
  </si>
  <si>
    <t>Polígono Majaravique</t>
  </si>
  <si>
    <t>Cortijo San Antonio</t>
  </si>
  <si>
    <t>La Algaba</t>
  </si>
  <si>
    <t>Municipal Capital ; Approximately 16k population ; x2</t>
  </si>
  <si>
    <t>San Bartolomé</t>
  </si>
  <si>
    <t>Barriada la Liebre</t>
  </si>
  <si>
    <t>Pie Hermoso-Santa Isabel</t>
  </si>
  <si>
    <t>Castilleja de Guzmán</t>
  </si>
  <si>
    <t>El Capricho</t>
  </si>
  <si>
    <t>Parcelas de Porsiver</t>
  </si>
  <si>
    <t>Árbol Gordo</t>
  </si>
  <si>
    <t>El Cerezo</t>
  </si>
  <si>
    <t>Begoña</t>
  </si>
  <si>
    <t>El Mirador de Sevilla</t>
  </si>
  <si>
    <t>Isla Natura</t>
  </si>
  <si>
    <t>Town; Municipal capital ; Approximately 5k</t>
  </si>
  <si>
    <t>Town; Municipal capital ; Approximately 16k population</t>
  </si>
  <si>
    <t>San José de la Rinconada</t>
  </si>
  <si>
    <t>small town ; approximately 27k population</t>
  </si>
  <si>
    <t>Hacienda de Lopa</t>
  </si>
  <si>
    <t>another label on top of where this label is supposed to be</t>
  </si>
  <si>
    <t>Ramal de Villanueva</t>
  </si>
  <si>
    <t>La Estacada</t>
  </si>
  <si>
    <t>Las Provincias</t>
  </si>
  <si>
    <t>Turruñuelo</t>
  </si>
  <si>
    <t>San Diego</t>
  </si>
  <si>
    <t>El Plantinar</t>
  </si>
  <si>
    <t>Jardín Atalaya</t>
  </si>
  <si>
    <t>Campos de San Juan</t>
  </si>
  <si>
    <t>Las Tres Barras</t>
  </si>
  <si>
    <t>Venta de los Arcos</t>
  </si>
  <si>
    <t>La Ladera</t>
  </si>
  <si>
    <t>El Torrejón</t>
  </si>
  <si>
    <t>Venta del Alto</t>
  </si>
  <si>
    <t>Santa Eufemia</t>
  </si>
  <si>
    <t>Los Barreros</t>
  </si>
  <si>
    <t>Cortijo del Tardón</t>
  </si>
  <si>
    <t>El Retiro</t>
  </si>
  <si>
    <t>Polígono el Gordillo</t>
  </si>
  <si>
    <t>Venta del Rocío</t>
  </si>
  <si>
    <t>Peraleda</t>
  </si>
  <si>
    <t>Villa Gloria</t>
  </si>
  <si>
    <t>Quinto</t>
  </si>
  <si>
    <t>Small settlement- neighbourhood; Approximately 35 k population</t>
  </si>
  <si>
    <t>Town; Municipal capital ; Approximately 40k population</t>
  </si>
  <si>
    <t>Cortijo de Campo Rico</t>
  </si>
  <si>
    <t>Casa de San Cristóbal</t>
  </si>
  <si>
    <t>Casas de Menores</t>
  </si>
  <si>
    <t>La Rata</t>
  </si>
  <si>
    <t>Hacienda Las Lomas</t>
  </si>
  <si>
    <t>no label found; enough space</t>
  </si>
  <si>
    <t>Colina Blanca</t>
  </si>
  <si>
    <t>Las Ventillas</t>
  </si>
  <si>
    <t>Cortijo de Santa Bárbara</t>
  </si>
  <si>
    <t>Villa de Santa Ana</t>
  </si>
  <si>
    <t>El Pino</t>
  </si>
  <si>
    <t>Rancho de San Francisco Javier</t>
  </si>
  <si>
    <t>El Lorón</t>
  </si>
  <si>
    <t>settlement</t>
  </si>
  <si>
    <t>Town ;  approximately 11,000 population</t>
  </si>
  <si>
    <t>El Aral</t>
  </si>
  <si>
    <t>small neighbourhood</t>
  </si>
  <si>
    <t>La Jarilla</t>
  </si>
  <si>
    <t>neighbourhood with approximately 500 residents</t>
  </si>
  <si>
    <t>Small Town; Municipal capital ; Approximately 3k</t>
  </si>
  <si>
    <t>Private estate</t>
  </si>
  <si>
    <t>very small settlement</t>
  </si>
  <si>
    <t>Town; Municipal capital ; Approximately 23k population</t>
  </si>
  <si>
    <t>Town; Municipal capital ; Approximately  7k population</t>
  </si>
  <si>
    <t>Town; Municipal capital ; Approximately 25k population</t>
  </si>
  <si>
    <t>Estate; small settlement</t>
  </si>
  <si>
    <t>Town; Municipal capital ; Approximately</t>
  </si>
  <si>
    <t>San Juan de Aznalfarache</t>
  </si>
  <si>
    <t>Camino de Sanlúcar</t>
  </si>
  <si>
    <t>Villa Adelaida</t>
  </si>
  <si>
    <t>Cerca de Entreolivos</t>
  </si>
  <si>
    <t>El Jardín</t>
  </si>
  <si>
    <t>El Chato</t>
  </si>
  <si>
    <t>La Herrerilla</t>
  </si>
  <si>
    <t>Hacienda de los Rosales</t>
  </si>
  <si>
    <t>Campo Aurora</t>
  </si>
  <si>
    <t>Las Pilas</t>
  </si>
  <si>
    <t>Villas del Ariscal</t>
  </si>
  <si>
    <t>Los Juanes</t>
  </si>
  <si>
    <t>La Ponderosa</t>
  </si>
  <si>
    <t>Las Atahonas</t>
  </si>
  <si>
    <t>no label found, enough space ; possibly size</t>
  </si>
  <si>
    <t>Java</t>
  </si>
  <si>
    <t>Casa de Saturnina</t>
  </si>
  <si>
    <t>crowded labels, no space</t>
  </si>
  <si>
    <t>Cortijo de San Cayetano</t>
  </si>
  <si>
    <t>Casa de San Luis Gonzaga</t>
  </si>
  <si>
    <t>Estacada de la Cruz</t>
  </si>
  <si>
    <t>Majaloba Chica</t>
  </si>
  <si>
    <t>Viña Tinta</t>
  </si>
  <si>
    <t>Cortijo de las Rojas</t>
  </si>
  <si>
    <t>Hacienda del Gordillo</t>
  </si>
  <si>
    <t>Cortijo del Merino</t>
  </si>
  <si>
    <t>Casas de las Ánimas</t>
  </si>
  <si>
    <t>Hacienda de Valparaiso</t>
  </si>
  <si>
    <t>Hacienda del Torbiscal</t>
  </si>
  <si>
    <t>Estacada Alta</t>
  </si>
  <si>
    <t>Cortijo de San José Montano</t>
  </si>
  <si>
    <t>Hacienda de Marchalomar</t>
  </si>
  <si>
    <t>Cortijo de Ridao</t>
  </si>
  <si>
    <t>Venta de la Merced</t>
  </si>
  <si>
    <t>Campo Rico</t>
  </si>
  <si>
    <t>Cortijo de Cuarto Hinojo</t>
  </si>
  <si>
    <t>Olivar de Mairena</t>
  </si>
  <si>
    <t>Huerta Azcona</t>
  </si>
  <si>
    <t>Hacienda del Rosario</t>
  </si>
  <si>
    <t>Huerta de San Isidro</t>
  </si>
  <si>
    <t>Cortijo del Cordobés</t>
  </si>
  <si>
    <t>Cortijo de San Antonio o del Aceite</t>
  </si>
  <si>
    <t>La Capellanía</t>
  </si>
  <si>
    <t>Las Calahoyas</t>
  </si>
  <si>
    <t>Valdezorras</t>
  </si>
  <si>
    <t>Huerta de Santa Elisa</t>
  </si>
  <si>
    <t>Las Peraledas</t>
  </si>
  <si>
    <t>Cortijo de Majarabique Nuevo</t>
  </si>
  <si>
    <t>Cortijo de Comendadores</t>
  </si>
  <si>
    <t>Casa del Tovar</t>
  </si>
  <si>
    <t>La Almáciga Chica</t>
  </si>
  <si>
    <t>Casa de la Huerta del Rosal Valeria</t>
  </si>
  <si>
    <t>Hacienda de las Cañadas</t>
  </si>
  <si>
    <t>Cortijo del Torero</t>
  </si>
  <si>
    <t>Santa Rita</t>
  </si>
  <si>
    <t>Casa de la Huerta de Arturo</t>
  </si>
  <si>
    <t>Hacienda de Tablante</t>
  </si>
  <si>
    <t>La Teja</t>
  </si>
  <si>
    <t>Los Maldonados</t>
  </si>
  <si>
    <t>Señorío de Guzmán</t>
  </si>
  <si>
    <t>Casa de la Carrasca</t>
  </si>
  <si>
    <t>Huerta de los Rosales</t>
  </si>
  <si>
    <t>Venta Bartolo Nueva</t>
  </si>
  <si>
    <t>Las Cabezadas</t>
  </si>
  <si>
    <t>Hacienda de San José</t>
  </si>
  <si>
    <t>Los Tres Pinos</t>
  </si>
  <si>
    <t>Huerta de la Plata</t>
  </si>
  <si>
    <t>Las Cañadas</t>
  </si>
  <si>
    <t>no label found; enough space; reson unclear</t>
  </si>
  <si>
    <t>Cortijo del Algabeño</t>
  </si>
  <si>
    <t>Aeropuerto Viejo</t>
  </si>
  <si>
    <t>Hacienda de la Virgen de los Reyes</t>
  </si>
  <si>
    <t>Casa del Limonar</t>
  </si>
  <si>
    <t>La Viña</t>
  </si>
  <si>
    <t>Almargen</t>
  </si>
  <si>
    <t>La Guerrera</t>
  </si>
  <si>
    <t>Casa de Santa Elvira</t>
  </si>
  <si>
    <t>Cortijo de Majaloba Vieja</t>
  </si>
  <si>
    <t>Huerta de la Punta</t>
  </si>
  <si>
    <t>Hacienda de San Antonio</t>
  </si>
  <si>
    <t>Casa de Santa Lucía</t>
  </si>
  <si>
    <t>Los Catorce</t>
  </si>
  <si>
    <t>San Cayetano</t>
  </si>
  <si>
    <t>San Juan Bajo</t>
  </si>
  <si>
    <t>Cortijo de Villarrana</t>
  </si>
  <si>
    <t>Hacienda de la Piñera</t>
  </si>
  <si>
    <t>Las Pulpejas</t>
  </si>
  <si>
    <t>Camino de Cerralde</t>
  </si>
  <si>
    <t>Olivar de Loreto</t>
  </si>
  <si>
    <t>Hacienda del Valle Blanco</t>
  </si>
  <si>
    <t>Label over location ; no space</t>
  </si>
  <si>
    <t>Hacienda de los Ángeles</t>
  </si>
  <si>
    <t>El Martinete</t>
  </si>
  <si>
    <t>enough space; no label found ; unclear</t>
  </si>
  <si>
    <t>Hacienda de Simón Verde</t>
  </si>
  <si>
    <t>Camino de las Rojas</t>
  </si>
  <si>
    <t>Los Clérigos</t>
  </si>
  <si>
    <t>La Cerca</t>
  </si>
  <si>
    <t>Monasterio</t>
  </si>
  <si>
    <t>La Albina</t>
  </si>
  <si>
    <t>Hacienda de Villanueva del Pítamo</t>
  </si>
  <si>
    <t>Casa de la Huerta de San Salvador</t>
  </si>
  <si>
    <t>Hacienda del Cristo de la Mata</t>
  </si>
  <si>
    <t>label over location; no space</t>
  </si>
  <si>
    <t>Caño Ronco</t>
  </si>
  <si>
    <t>Hacienda de los Dolores</t>
  </si>
  <si>
    <t>Camino de Machaca</t>
  </si>
  <si>
    <t>space for label, not included</t>
  </si>
  <si>
    <t>Casa del Triunfo</t>
  </si>
  <si>
    <t>Las Torrecillas</t>
  </si>
  <si>
    <t>Cortijo de Pie Izquierdo</t>
  </si>
  <si>
    <t>Viñaroyuelos</t>
  </si>
  <si>
    <t>Cortijo de Tercia</t>
  </si>
  <si>
    <t>Recreo de San José</t>
  </si>
  <si>
    <t>Villa de Onuba</t>
  </si>
  <si>
    <t>Hacienda del Mato</t>
  </si>
  <si>
    <t>Montecillos-El Sotillo</t>
  </si>
  <si>
    <t>Río Pudio</t>
  </si>
  <si>
    <t>La Portada</t>
  </si>
  <si>
    <t>Los Ángeles</t>
  </si>
  <si>
    <t>Plaza del Chorrito</t>
  </si>
  <si>
    <t>Los Olivares</t>
  </si>
  <si>
    <t>El Carambolo</t>
  </si>
  <si>
    <t>Venta Bartolo</t>
  </si>
  <si>
    <t>Vega del Rey</t>
  </si>
  <si>
    <t>Ribera del Porzuna</t>
  </si>
  <si>
    <t>Ciudad del Aljarafe</t>
  </si>
  <si>
    <t>Las Almenas-Valdovina</t>
  </si>
  <si>
    <t>San Judas Tadeo</t>
  </si>
  <si>
    <t>Cavaleri</t>
  </si>
  <si>
    <t>El Faro</t>
  </si>
  <si>
    <t>La Arboledilla</t>
  </si>
  <si>
    <t>Poblado de Rozas</t>
  </si>
  <si>
    <t>La Fuente</t>
  </si>
  <si>
    <t>El Aceitunillo</t>
  </si>
  <si>
    <t>El Algarrobillo</t>
  </si>
  <si>
    <t>Aljarasol</t>
  </si>
  <si>
    <t>La Mascareta</t>
  </si>
  <si>
    <t>Valero Chico</t>
  </si>
  <si>
    <t>Nuestra Señora del Prado</t>
  </si>
  <si>
    <t>Los Charcones</t>
  </si>
  <si>
    <t>Nueva Sevilla</t>
  </si>
  <si>
    <t>La Valdovina</t>
  </si>
  <si>
    <t>Barriada Nuestra Señora de Loreto</t>
  </si>
  <si>
    <t>Jardines de Andalucía</t>
  </si>
  <si>
    <t>La Gloria</t>
  </si>
  <si>
    <t>Señorío del Ariscal</t>
  </si>
  <si>
    <t>La Florida</t>
  </si>
  <si>
    <t>Los Naranjales</t>
  </si>
  <si>
    <t>Barriada Guadalajara</t>
  </si>
  <si>
    <t>label over the location; no space</t>
  </si>
  <si>
    <t>La Parra</t>
  </si>
  <si>
    <t>Tablante</t>
  </si>
  <si>
    <t>Olivar Viejo</t>
  </si>
  <si>
    <t>Los Zajaríes</t>
  </si>
  <si>
    <t>El Garrotal</t>
  </si>
  <si>
    <t>El Martillo</t>
  </si>
  <si>
    <t>Haza de la Era</t>
  </si>
  <si>
    <t>Cartuja</t>
  </si>
  <si>
    <t>Estilia</t>
  </si>
  <si>
    <t>La Vaguada de Mairena</t>
  </si>
  <si>
    <t>Los Álamos</t>
  </si>
  <si>
    <t>Guadaljarafe</t>
  </si>
  <si>
    <t>Hijuela de la Gitana</t>
  </si>
  <si>
    <t>Puerta de Hierro</t>
  </si>
  <si>
    <t>La Peregrina</t>
  </si>
  <si>
    <t>Casas de la Vereda de San Cayetano</t>
  </si>
  <si>
    <t>Montaraz</t>
  </si>
  <si>
    <t>Real de Valdomina</t>
  </si>
  <si>
    <t>Santiago Apóstol</t>
  </si>
  <si>
    <t>Alboaire-Hacienda de los Olivos</t>
  </si>
  <si>
    <t>Los Caballeros</t>
  </si>
  <si>
    <t>La Paternilla</t>
  </si>
  <si>
    <t>Vista Hermosa</t>
  </si>
  <si>
    <t>Hacienda Porzuna</t>
  </si>
  <si>
    <t>El Solís</t>
  </si>
  <si>
    <t xml:space="preserve">label styles as settlment </t>
  </si>
  <si>
    <t>Las Tinajuelas</t>
  </si>
  <si>
    <t>Las Coronas de Bormujos</t>
  </si>
  <si>
    <t>San Juan de Dios</t>
  </si>
  <si>
    <t>Mosandiego</t>
  </si>
  <si>
    <t>Ciudad Expo</t>
  </si>
  <si>
    <t>La Alberquilla y La Cerca</t>
  </si>
  <si>
    <t>Jadín del Carmen</t>
  </si>
  <si>
    <t>Camino del Vicario</t>
  </si>
  <si>
    <t>El Pimpollar</t>
  </si>
  <si>
    <t>Blanca Paloma</t>
  </si>
  <si>
    <t>Simón Verde</t>
  </si>
  <si>
    <t>Don Simón</t>
  </si>
  <si>
    <t>Los Alcores</t>
  </si>
  <si>
    <t>El Almendral</t>
  </si>
  <si>
    <t>Monte Aljarafe</t>
  </si>
  <si>
    <t>sett</t>
  </si>
  <si>
    <t>La Toja</t>
  </si>
  <si>
    <t>Las Terrazas</t>
  </si>
  <si>
    <t>El Prado-Parque de Gines</t>
  </si>
  <si>
    <t>El Almendro</t>
  </si>
  <si>
    <t>Estacada del Marqués</t>
  </si>
  <si>
    <t>La Pinta</t>
  </si>
  <si>
    <t>Camino Viejo-El Balcón</t>
  </si>
  <si>
    <t>El Carmen</t>
  </si>
  <si>
    <t>Coca de la Piñera</t>
  </si>
  <si>
    <t>Las Viñas</t>
  </si>
  <si>
    <t>La Pañoleta</t>
  </si>
  <si>
    <t>El Señorío</t>
  </si>
  <si>
    <t>El Barrero-Santo Domingo</t>
  </si>
  <si>
    <t>San Lázaro</t>
  </si>
  <si>
    <t>no label found; enough space; possibly size</t>
  </si>
  <si>
    <t>Las Canteras</t>
  </si>
  <si>
    <t>Villanueva</t>
  </si>
  <si>
    <t>Zaudín</t>
  </si>
  <si>
    <t>Flor de Loreto</t>
  </si>
  <si>
    <t>Town; Municipal capital ; Approximately 3K population</t>
  </si>
  <si>
    <t xml:space="preserve">Province capital ; Approximately 689k Population; Most visibly emphasized </t>
  </si>
  <si>
    <t xml:space="preserve">Typographic weight- Bold ;Size </t>
  </si>
  <si>
    <t>other labels nearby</t>
  </si>
  <si>
    <t>Town; Municipal capital ; Approximately 10k</t>
  </si>
  <si>
    <t>Urbanización Entrecaminos</t>
  </si>
  <si>
    <t>Urbanización Residencial Sevilla-Golf</t>
  </si>
  <si>
    <t>Cortijo de Santa Ana de los Ángeles</t>
  </si>
  <si>
    <t>La Macarena</t>
  </si>
  <si>
    <t>The Macarena is one of the city's most famous and historic neighborhoods ; no label found</t>
  </si>
  <si>
    <t>Los Arcos</t>
  </si>
  <si>
    <t>Hacienda de la Cartuja</t>
  </si>
  <si>
    <t>Petit Simón</t>
  </si>
  <si>
    <t>Carretera de Cazalla</t>
  </si>
  <si>
    <t>Barrio León</t>
  </si>
  <si>
    <t>Hacienda de Valencinilla del Hoyo</t>
  </si>
  <si>
    <t>Santa Clara</t>
  </si>
  <si>
    <t>Cortijo de  Majaravique Chico</t>
  </si>
  <si>
    <t>Urbanización El Mirador</t>
  </si>
  <si>
    <t>La Cruz</t>
  </si>
  <si>
    <t>Villa Europa</t>
  </si>
  <si>
    <t>Cortijo de Palmarraya</t>
  </si>
  <si>
    <t>Casa del Villar</t>
  </si>
  <si>
    <t>Barriada Peralta</t>
  </si>
  <si>
    <t>Cortijo de Palomero</t>
  </si>
  <si>
    <t>single building</t>
  </si>
  <si>
    <t>Cortijo de San Bernabé</t>
  </si>
  <si>
    <t>no label fond; singular building</t>
  </si>
  <si>
    <t>Cortijo de Marchenilla</t>
  </si>
  <si>
    <t>singular building</t>
  </si>
  <si>
    <t>Huerta de las Pilas</t>
  </si>
  <si>
    <t>El Cobre</t>
  </si>
  <si>
    <t>neighbourhood; very small settlement</t>
  </si>
  <si>
    <t>Huerta Grande</t>
  </si>
  <si>
    <t>small settlment ; singular buildings</t>
  </si>
  <si>
    <t>Urbanización Herrizas</t>
  </si>
  <si>
    <t>Small settlement</t>
  </si>
  <si>
    <t>Cortijo del Acebuche</t>
  </si>
  <si>
    <t>Gibraltar</t>
  </si>
  <si>
    <t>in spanish</t>
  </si>
  <si>
    <t>Urbanización Getares</t>
  </si>
  <si>
    <t>Cortijo de Tapera</t>
  </si>
  <si>
    <t>El Arenoso</t>
  </si>
  <si>
    <t>Cortijos de la Hoya</t>
  </si>
  <si>
    <t xml:space="preserve">Singular building </t>
  </si>
  <si>
    <t>El Pelayo</t>
  </si>
  <si>
    <t>Algeciras</t>
  </si>
  <si>
    <t xml:space="preserve">Muncipal Capital ; Visibly emphasized </t>
  </si>
  <si>
    <t>Matavacas</t>
  </si>
  <si>
    <t>San García</t>
  </si>
  <si>
    <t>El Bujeo</t>
  </si>
  <si>
    <t>municipal capital</t>
  </si>
  <si>
    <t>San José Artesano</t>
  </si>
  <si>
    <t>no label found</t>
  </si>
  <si>
    <t>Cortijo de la Serrana</t>
  </si>
  <si>
    <t>singular building ; very small settlement</t>
  </si>
  <si>
    <t>La Línea de la Concepción</t>
  </si>
  <si>
    <t>municipal capital; 64k Population</t>
  </si>
  <si>
    <t>settlment</t>
  </si>
  <si>
    <t>La Gavarra</t>
  </si>
  <si>
    <t>size ;</t>
  </si>
  <si>
    <t>Los Catalanes</t>
  </si>
  <si>
    <t>in Spanish</t>
  </si>
  <si>
    <t>Cortijo de la Duquesa</t>
  </si>
  <si>
    <t>Cortijo de Pueblecillo</t>
  </si>
  <si>
    <t>SIngular building</t>
  </si>
  <si>
    <t>Los Guijos</t>
  </si>
  <si>
    <t>es un barrio y una antigua cantera en Algeciras, Cádiz; very small settlement</t>
  </si>
  <si>
    <t>Majadal Alto</t>
  </si>
  <si>
    <t>small settlement ; other label on top of the area for the hill nearby</t>
  </si>
  <si>
    <t>Cortijo del Soto</t>
  </si>
  <si>
    <t>La Aldea</t>
  </si>
  <si>
    <t>Getares</t>
  </si>
  <si>
    <t>small settlment</t>
  </si>
  <si>
    <t>Cortijo de Almoguera</t>
  </si>
  <si>
    <t>Urbanización Playa de Getares</t>
  </si>
  <si>
    <t>Sotorebolo</t>
  </si>
  <si>
    <t>small setllement</t>
  </si>
  <si>
    <t>Ventorrillo de la Leche</t>
  </si>
  <si>
    <t>residential zone; settlement</t>
  </si>
  <si>
    <t>El Rodeo</t>
  </si>
  <si>
    <t xml:space="preserve">Present </t>
  </si>
  <si>
    <t>San Bernabé</t>
  </si>
  <si>
    <t>San is abbreviated to S. ; is in SPanish</t>
  </si>
  <si>
    <t>Bahía Azul</t>
  </si>
  <si>
    <t>other label close by; this seems to be a neighbourhood</t>
  </si>
  <si>
    <t>Nuevas Colinas</t>
  </si>
  <si>
    <t>El Rosario</t>
  </si>
  <si>
    <t>Los Pinos</t>
  </si>
  <si>
    <t>La Bahía</t>
  </si>
  <si>
    <t>Las Columnas</t>
  </si>
  <si>
    <t>small settlemt ; singular buildings</t>
  </si>
  <si>
    <t>La Peña</t>
  </si>
  <si>
    <t>Villarrosa-Chinarral</t>
  </si>
  <si>
    <t>small setllemtn ; highly-rated holiday home rentals</t>
  </si>
  <si>
    <t>Los Pastores</t>
  </si>
  <si>
    <t>Barriada San José</t>
  </si>
  <si>
    <t>settlement; no label found</t>
  </si>
  <si>
    <t>Colonia San Miguel</t>
  </si>
  <si>
    <t>La Reconquista</t>
  </si>
  <si>
    <t>La Perlita</t>
  </si>
  <si>
    <t>Bellabahía</t>
  </si>
  <si>
    <t>Las Colinas</t>
  </si>
  <si>
    <t>El Rinconcillo</t>
  </si>
  <si>
    <t>no label found; enough space for label *</t>
  </si>
  <si>
    <t>Isla Verde</t>
  </si>
  <si>
    <t>Casa de la Alegría</t>
  </si>
  <si>
    <t>Botafuegos</t>
  </si>
  <si>
    <t>La Almadraba</t>
  </si>
  <si>
    <t>Cortijo Nuevo</t>
  </si>
  <si>
    <t>Cortijo de Villarana</t>
  </si>
  <si>
    <t>Poblado Naval</t>
  </si>
  <si>
    <t>No label found; enough space; unclear</t>
  </si>
  <si>
    <t>Almajar</t>
  </si>
  <si>
    <t>Las Lagunetas</t>
  </si>
  <si>
    <t>El Madrugador</t>
  </si>
  <si>
    <t>Casas del Consulado</t>
  </si>
  <si>
    <t>El Águila</t>
  </si>
  <si>
    <t>Rancho de la Doctora</t>
  </si>
  <si>
    <t>Casa de Martín</t>
  </si>
  <si>
    <t>Coto de la Isleta</t>
  </si>
  <si>
    <t>El Puerto de Santa María</t>
  </si>
  <si>
    <t>City; Muncipal Capital; 50k population approximately</t>
  </si>
  <si>
    <t>La Negra</t>
  </si>
  <si>
    <t>Rota</t>
  </si>
  <si>
    <t>Muncipal Capital ; 29k population approximately</t>
  </si>
  <si>
    <t>Campiña-Serrano</t>
  </si>
  <si>
    <t>La Mata</t>
  </si>
  <si>
    <t>Small Settlements</t>
  </si>
  <si>
    <t>Casa de Machaca</t>
  </si>
  <si>
    <t>Camino Viejo de Rota</t>
  </si>
  <si>
    <t>Small Settlment</t>
  </si>
  <si>
    <t>El Juncal</t>
  </si>
  <si>
    <t>Molino Platero</t>
  </si>
  <si>
    <t>Vallealto</t>
  </si>
  <si>
    <t>Cantarranas</t>
  </si>
  <si>
    <t>Other label on top; no space</t>
  </si>
  <si>
    <t>Puerto Bajo</t>
  </si>
  <si>
    <t>Cádiz</t>
  </si>
  <si>
    <t>Municipal Capital ; 110k population approximately</t>
  </si>
  <si>
    <t>Costa Oeste</t>
  </si>
  <si>
    <t>Polígono Industrial el Palmar</t>
  </si>
  <si>
    <t>Puerto Real</t>
  </si>
  <si>
    <t>Muncipal capital ; 42K population approximately</t>
  </si>
  <si>
    <t>La Andreita</t>
  </si>
  <si>
    <t>La Belleza</t>
  </si>
  <si>
    <t>Base Naval</t>
  </si>
  <si>
    <t>Río San Pedro</t>
  </si>
  <si>
    <t>Perpetuo Socorro</t>
  </si>
  <si>
    <t>Valdelagrana</t>
  </si>
  <si>
    <t>Coastal Neighbourhood; 5k population approxinately</t>
  </si>
  <si>
    <t>Cuatro Pinos</t>
  </si>
  <si>
    <t>San Ignacio-Sierra</t>
  </si>
  <si>
    <t>Los Madrileños</t>
  </si>
  <si>
    <t>Los Frailes</t>
  </si>
  <si>
    <t>Berben</t>
  </si>
  <si>
    <t>La Caridad</t>
  </si>
  <si>
    <t>Arenas Cárdenas</t>
  </si>
  <si>
    <t>San Antonio</t>
  </si>
  <si>
    <t>Polígono Industrial Salinas de San José</t>
  </si>
  <si>
    <t>San Severiano</t>
  </si>
  <si>
    <t>other labels on top of location</t>
  </si>
  <si>
    <t>Loreto</t>
  </si>
  <si>
    <t>No label found; enough space for label available; unclear</t>
  </si>
  <si>
    <t>Matagorda</t>
  </si>
  <si>
    <t>Palma y Suerte Real</t>
  </si>
  <si>
    <t>Mochicle</t>
  </si>
  <si>
    <t>Arenillas</t>
  </si>
  <si>
    <t>Pinar Alto</t>
  </si>
  <si>
    <t>Sudamérica</t>
  </si>
  <si>
    <t>Barriada Río San Pedro</t>
  </si>
  <si>
    <t>Valdeazahares</t>
  </si>
  <si>
    <t>Los Arenales</t>
  </si>
  <si>
    <t>label cluster</t>
  </si>
  <si>
    <t>City; Muncipal capital ; 110K population approximately</t>
  </si>
  <si>
    <t>Serones</t>
  </si>
  <si>
    <t>Las Nieves</t>
  </si>
  <si>
    <t>Cortijo de las Ánimas</t>
  </si>
  <si>
    <t>Winthuyssen</t>
  </si>
  <si>
    <t>Angelita Alta</t>
  </si>
  <si>
    <t>El Camaleón</t>
  </si>
  <si>
    <t>La Oropéndola</t>
  </si>
  <si>
    <t>Bella Bahía</t>
  </si>
  <si>
    <t>no label found; enough space; unclear</t>
  </si>
  <si>
    <t>Tehigo</t>
  </si>
  <si>
    <t>Casa de las Canteras</t>
  </si>
  <si>
    <t>Las Rejanas</t>
  </si>
  <si>
    <t>Caimanes</t>
  </si>
  <si>
    <t>Cortijo de Prado del Rey</t>
  </si>
  <si>
    <t>El Barranco</t>
  </si>
  <si>
    <t>La Valenciana</t>
  </si>
  <si>
    <t>Los Perales</t>
  </si>
  <si>
    <t>Cortijo de las Manoteras Altas</t>
  </si>
  <si>
    <t>La Campsa</t>
  </si>
  <si>
    <t>La Marquesa</t>
  </si>
  <si>
    <t>close to other label; not enough space</t>
  </si>
  <si>
    <t>Las Veguetas</t>
  </si>
  <si>
    <t>Other label over feature; no space</t>
  </si>
  <si>
    <t>El Redondel</t>
  </si>
  <si>
    <t>La Mirona</t>
  </si>
  <si>
    <t>Villa Julia</t>
  </si>
  <si>
    <t>El Pilar</t>
  </si>
  <si>
    <t>La Alhaja</t>
  </si>
  <si>
    <t>Las Banderas</t>
  </si>
  <si>
    <t>Los Veleros</t>
  </si>
  <si>
    <t>Siete Pilas</t>
  </si>
  <si>
    <t>El Palmar de la Victoria</t>
  </si>
  <si>
    <t>Cortijo de las Beatillas</t>
  </si>
  <si>
    <t>Fuenterrabía</t>
  </si>
  <si>
    <t>El Pinar</t>
  </si>
  <si>
    <t>El Chinarral</t>
  </si>
  <si>
    <t>Mazantini</t>
  </si>
  <si>
    <t>Montellano</t>
  </si>
  <si>
    <t>No label found; enough space; Unclear</t>
  </si>
  <si>
    <t>Montes de Oca</t>
  </si>
  <si>
    <t>Nuestra Señora del Mar</t>
  </si>
  <si>
    <t>Cantera Sur</t>
  </si>
  <si>
    <t>Pago Serrano</t>
  </si>
  <si>
    <t>Las Diez</t>
  </si>
  <si>
    <t>La Bermeja</t>
  </si>
  <si>
    <t>El Tomillar</t>
  </si>
  <si>
    <t>Galvecito</t>
  </si>
  <si>
    <t>Azahares</t>
  </si>
  <si>
    <t>La Cerería</t>
  </si>
  <si>
    <t>other label on top; no space</t>
  </si>
  <si>
    <t>El Manantial</t>
  </si>
  <si>
    <t>Los Romanos</t>
  </si>
  <si>
    <t>Los Sauces</t>
  </si>
  <si>
    <t>Dos Palmeras</t>
  </si>
  <si>
    <t>Barrero</t>
  </si>
  <si>
    <t>Urbaluz</t>
  </si>
  <si>
    <t>El Ancla</t>
  </si>
  <si>
    <t>Las Redes</t>
  </si>
  <si>
    <t>La Paz</t>
  </si>
  <si>
    <t>El Cerrillo</t>
  </si>
  <si>
    <t>Pópulo</t>
  </si>
  <si>
    <t>Bahía Blanca</t>
  </si>
  <si>
    <t>La Laguna</t>
  </si>
  <si>
    <t>Carboneras</t>
  </si>
  <si>
    <t>El Presidio</t>
  </si>
  <si>
    <t>El Tejar</t>
  </si>
  <si>
    <t>Callejones</t>
  </si>
  <si>
    <t>El Balón</t>
  </si>
  <si>
    <t>Mentidero</t>
  </si>
  <si>
    <t>Campo del Sur</t>
  </si>
  <si>
    <t>Valparaiso</t>
  </si>
  <si>
    <t>Puntales</t>
  </si>
  <si>
    <t>Rompeserones</t>
  </si>
  <si>
    <t>Ciudad Ducal</t>
  </si>
  <si>
    <t>Polígono Industrial Guadalete</t>
  </si>
  <si>
    <t>Polígono Universidad</t>
  </si>
  <si>
    <t>Puerto Sherry</t>
  </si>
  <si>
    <t>Venta del Cepo</t>
  </si>
  <si>
    <t>Los Navazos</t>
  </si>
  <si>
    <t>Don Bernal</t>
  </si>
  <si>
    <t>La Coronación</t>
  </si>
  <si>
    <t>Cantarrana</t>
  </si>
  <si>
    <t>Casas de la Unión Salinera de España</t>
  </si>
  <si>
    <t>Viña Rango Golf</t>
  </si>
  <si>
    <t>Restricted area polygon</t>
  </si>
  <si>
    <t>Base Naval Aerodromo de Cadis / Rota</t>
  </si>
  <si>
    <t xml:space="preserve">No indication of restricted area or military use </t>
  </si>
  <si>
    <t xml:space="preserve">https://armada.defensa.gob.es/ArmadaPortal/page/Portal/ArmadaEspannola/conocenosorganizacion/prefLang-es/04Apoyofuerza--02jal--05Arsenales--01arsenalcadiz ; OSM </t>
  </si>
  <si>
    <t xml:space="preserve">Label </t>
  </si>
  <si>
    <t>Puerto de la Base Aeronaval de la Rota</t>
  </si>
  <si>
    <t>Label of Aero-Naval base in Rota; Under local authoritaties label</t>
  </si>
  <si>
    <t xml:space="preserve">Map itself </t>
  </si>
  <si>
    <t>Base Naval Aerodromo de Cadiz / Rota</t>
  </si>
  <si>
    <t xml:space="preserve">Label of Naval Base in Cadiz / Rota; Under local authorities label </t>
  </si>
  <si>
    <t>Base Naval de Gibraltar</t>
  </si>
  <si>
    <t>Label of Naval Base in Gibraltar</t>
  </si>
  <si>
    <t>Acuartelameineto Adalides</t>
  </si>
  <si>
    <t>Label of Barracks</t>
  </si>
  <si>
    <t>https://www.boe.es/diario_boe/txt.php?id=BOE-A-1998-17931</t>
  </si>
  <si>
    <t>HM Naval Base Gibraltar</t>
  </si>
  <si>
    <t xml:space="preserve">https://www.gov.uk/ ; OSM </t>
  </si>
  <si>
    <t xml:space="preserve">Military Headquarters </t>
  </si>
  <si>
    <t>Cuartel General de la Fuerza Terrestre</t>
  </si>
  <si>
    <t xml:space="preserve">Singular building with label "Antigua Capitania General " </t>
  </si>
  <si>
    <t>https://ejercito.defensa.gob.es/unidades/Sevilla/futer/ ; OSM</t>
  </si>
  <si>
    <t>Military Barracks</t>
  </si>
  <si>
    <t>Acuartelamiento La Borbolla</t>
  </si>
  <si>
    <t>No indication of restricted area or military use</t>
  </si>
  <si>
    <t>https://ejercito.defensa.gob.es/unidades/Sevilla/suigesur/Localizacion/index.html ; OSM</t>
  </si>
  <si>
    <t>YN</t>
  </si>
  <si>
    <t>BEV</t>
  </si>
  <si>
    <t>Y</t>
  </si>
  <si>
    <t>Size</t>
  </si>
  <si>
    <t>NLS-FI</t>
  </si>
  <si>
    <t>N/A</t>
  </si>
  <si>
    <t>N</t>
  </si>
  <si>
    <t>Value</t>
  </si>
  <si>
    <t>Color</t>
  </si>
  <si>
    <t>Present (De-emphasized)</t>
  </si>
  <si>
    <t>Typographic weight</t>
  </si>
  <si>
    <t>Present (Differentiated)</t>
  </si>
  <si>
    <t>Position</t>
  </si>
  <si>
    <t>Control / Ordinary Area</t>
  </si>
  <si>
    <t>Line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</si>
</sst>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yy"/>
  </numFmts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1F3864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u/>
      <sz val="11"/>
      <color theme="10"/>
      <name val="Calibri"/>
      <family val="2"/>
      <charset val="1"/>
    </font>
    <font>
      <sz val="10"/>
      <color rgb="FF0000FF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D9E2F3"/>
        <bgColor rgb="FFD6E4F0"/>
      </patternFill>
    </fill>
    <fill>
      <patternFill patternType="solid">
        <fgColor rgb="FFF2F2F2"/>
        <bgColor rgb="FFFFFFFF"/>
      </patternFill>
    </fill>
    <fill>
      <patternFill patternType="solid">
        <fgColor theme="5" tint="0.59987182226020086"/>
        <bgColor rgb="FFF8CE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1" fillId="0" borderId="0"/>
  </cellStyleXfs>
  <cellXfs count="33"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2" borderId="2" xfId="0" applyFont="1" applyFill="1" applyBorder="1"/>
    <xf numFmtId="0" fontId="9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2" borderId="2" xfId="0" applyFont="1" applyFill="1" applyBorder="1" applyAlignment="1">
      <alignment vertical="top" wrapText="1"/>
    </xf>
    <xf numFmtId="0" fontId="8" fillId="6" borderId="2" xfId="0" applyFont="1" applyFill="1" applyBorder="1" applyAlignment="1">
      <alignment vertical="top" wrapText="1"/>
    </xf>
    <xf numFmtId="0" fontId="0" fillId="0" borderId="2" xfId="0" applyBorder="1"/>
    <xf numFmtId="165" fontId="0" fillId="0" borderId="2" xfId="0" applyNumberFormat="1" applyBorder="1"/>
    <xf numFmtId="0" fontId="11" fillId="0" borderId="2" xfId="1" applyBorder="1"/>
    <xf numFmtId="0" fontId="8" fillId="0" borderId="0" xfId="0" applyFont="1"/>
    <xf numFmtId="0" fontId="12" fillId="0" borderId="0" xfId="0" applyFont="1"/>
    <xf numFmtId="0" fontId="13" fillId="0" borderId="0" xfId="0" applyFont="1"/>
    <xf numFmtId="1" fontId="8" fillId="0" borderId="0" xfId="0" applyNumberFormat="1" applyFont="1"/>
    <xf numFmtId="0" fontId="11" fillId="0" borderId="0" xfId="1"/>
    <xf numFmtId="0" fontId="12" fillId="0" borderId="0" xfId="0" applyFont="1" applyAlignment="1">
      <alignment vertical="top" wrapText="1"/>
    </xf>
    <xf numFmtId="0" fontId="14" fillId="0" borderId="0" xfId="0" applyFont="1"/>
    <xf numFmtId="0" fontId="8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0"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  <dxf>
      <fill>
        <patternFill>
          <bgColor rgb="FFE1D5E7"/>
        </patternFill>
      </fill>
    </dxf>
    <dxf>
      <fill>
        <patternFill>
          <bgColor rgb="FFFFE6CC"/>
        </patternFill>
      </fill>
    </dxf>
    <dxf>
      <fill>
        <patternFill>
          <bgColor rgb="FFD6E4F0"/>
        </patternFill>
      </fill>
    </dxf>
    <dxf>
      <fill>
        <patternFill>
          <bgColor rgb="FFF8CE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E6CC"/>
      <rgbColor rgb="FF99CCFF"/>
      <rgbColor rgb="FFE6B9B8"/>
      <rgbColor rgb="FFCC99FF"/>
      <rgbColor rgb="FFF8CECC"/>
      <rgbColor rgb="FF4472C4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entrodedescargas.cnig.es/CentroDescargas/mtn50-raster" TargetMode="External"/><Relationship Id="rId2" Type="http://schemas.openxmlformats.org/officeDocument/2006/relationships/hyperlink" Target="https://centrodedescargas.cnig.es/CentroDescargas/mtn50-raster" TargetMode="External"/><Relationship Id="rId1" Type="http://schemas.openxmlformats.org/officeDocument/2006/relationships/hyperlink" Target="https://centrodedescargas.cnig.es/CentroDescargas/mtn50-raster" TargetMode="External"/><Relationship Id="rId4" Type="http://schemas.openxmlformats.org/officeDocument/2006/relationships/hyperlink" Target="https://centrodedescargas.cnig.es/CentroDescargas/mtn50-raste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entrodedescargas.cnig.es/CentroDescargas/detalleArchivo?sec=9000029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ejercito.defensa.gob.es/unidades/Sevilla/futer/%20;%20OSM" TargetMode="External"/><Relationship Id="rId2" Type="http://schemas.openxmlformats.org/officeDocument/2006/relationships/hyperlink" Target="https://www.gov.uk/%20;%20OSM" TargetMode="External"/><Relationship Id="rId1" Type="http://schemas.openxmlformats.org/officeDocument/2006/relationships/hyperlink" Target="https://armada.defensa.gob.es/ArmadaPortal/page/Portal/ArmadaEspannola/conocenosorganizacion/prefLang-es/04Apoyofuerza--02jal--05Arsenales--01arsenalcadiz%20;%20OSM" TargetMode="External"/><Relationship Id="rId4" Type="http://schemas.openxmlformats.org/officeDocument/2006/relationships/hyperlink" Target="https://ejercito.defensa.gob.es/unidades/Sevilla/suigesur/Localizacion/index.html%20;%20OSM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centrodedescargas.cnig.es/CentroDescargas/btn-poi" TargetMode="External"/><Relationship Id="rId1827" Type="http://schemas.openxmlformats.org/officeDocument/2006/relationships/hyperlink" Target="https://centrodedescargas.cnig.es/CentroDescargas/btn-poi" TargetMode="External"/><Relationship Id="rId21" Type="http://schemas.openxmlformats.org/officeDocument/2006/relationships/hyperlink" Target="https://centrodedescargas.cnig.es/CentroDescargas/btn-poi" TargetMode="External"/><Relationship Id="rId170" Type="http://schemas.openxmlformats.org/officeDocument/2006/relationships/hyperlink" Target="https://centrodedescargas.cnig.es/CentroDescargas/btn-poi" TargetMode="External"/><Relationship Id="rId268" Type="http://schemas.openxmlformats.org/officeDocument/2006/relationships/hyperlink" Target="https://centrodedescargas.cnig.es/CentroDescargas/btn-poi" TargetMode="External"/><Relationship Id="rId475" Type="http://schemas.openxmlformats.org/officeDocument/2006/relationships/hyperlink" Target="https://centrodedescargas.cnig.es/CentroDescargas/btn-poi" TargetMode="External"/><Relationship Id="rId682" Type="http://schemas.openxmlformats.org/officeDocument/2006/relationships/hyperlink" Target="https://centrodedescargas.cnig.es/CentroDescargas/btn-poi" TargetMode="External"/><Relationship Id="rId128" Type="http://schemas.openxmlformats.org/officeDocument/2006/relationships/hyperlink" Target="https://centrodedescargas.cnig.es/CentroDescargas/btn-poi" TargetMode="External"/><Relationship Id="rId335" Type="http://schemas.openxmlformats.org/officeDocument/2006/relationships/hyperlink" Target="https://centrodedescargas.cnig.es/CentroDescargas/btn-poi" TargetMode="External"/><Relationship Id="rId542" Type="http://schemas.openxmlformats.org/officeDocument/2006/relationships/hyperlink" Target="https://centrodedescargas.cnig.es/CentroDescargas/btn-poi" TargetMode="External"/><Relationship Id="rId987" Type="http://schemas.openxmlformats.org/officeDocument/2006/relationships/hyperlink" Target="https://centrodedescargas.cnig.es/CentroDescargas/btn-poi" TargetMode="External"/><Relationship Id="rId1172" Type="http://schemas.openxmlformats.org/officeDocument/2006/relationships/hyperlink" Target="https://centrodedescargas.cnig.es/CentroDescargas/btn-poi" TargetMode="External"/><Relationship Id="rId402" Type="http://schemas.openxmlformats.org/officeDocument/2006/relationships/hyperlink" Target="https://centrodedescargas.cnig.es/CentroDescargas/btn-poi" TargetMode="External"/><Relationship Id="rId847" Type="http://schemas.openxmlformats.org/officeDocument/2006/relationships/hyperlink" Target="https://centrodedescargas.cnig.es/CentroDescargas/btn-poi" TargetMode="External"/><Relationship Id="rId1032" Type="http://schemas.openxmlformats.org/officeDocument/2006/relationships/hyperlink" Target="https://centrodedescargas.cnig.es/CentroDescargas/btn-poi" TargetMode="External"/><Relationship Id="rId1477" Type="http://schemas.openxmlformats.org/officeDocument/2006/relationships/hyperlink" Target="https://centrodedescargas.cnig.es/CentroDescargas/btn-poi" TargetMode="External"/><Relationship Id="rId1684" Type="http://schemas.openxmlformats.org/officeDocument/2006/relationships/hyperlink" Target="https://centrodedescargas.cnig.es/CentroDescargas/btn-poi" TargetMode="External"/><Relationship Id="rId707" Type="http://schemas.openxmlformats.org/officeDocument/2006/relationships/hyperlink" Target="https://centrodedescargas.cnig.es/CentroDescargas/btn-poi" TargetMode="External"/><Relationship Id="rId914" Type="http://schemas.openxmlformats.org/officeDocument/2006/relationships/hyperlink" Target="https://centrodedescargas.cnig.es/CentroDescargas/btn-poi" TargetMode="External"/><Relationship Id="rId1337" Type="http://schemas.openxmlformats.org/officeDocument/2006/relationships/hyperlink" Target="https://centrodedescargas.cnig.es/CentroDescargas/btn-poi" TargetMode="External"/><Relationship Id="rId1544" Type="http://schemas.openxmlformats.org/officeDocument/2006/relationships/hyperlink" Target="https://centrodedescargas.cnig.es/CentroDescargas/btn-poi" TargetMode="External"/><Relationship Id="rId1751" Type="http://schemas.openxmlformats.org/officeDocument/2006/relationships/hyperlink" Target="https://centrodedescargas.cnig.es/CentroDescargas/btn-poi" TargetMode="External"/><Relationship Id="rId43" Type="http://schemas.openxmlformats.org/officeDocument/2006/relationships/hyperlink" Target="https://centrodedescargas.cnig.es/CentroDescargas/btn-poi" TargetMode="External"/><Relationship Id="rId1404" Type="http://schemas.openxmlformats.org/officeDocument/2006/relationships/hyperlink" Target="https://centrodedescargas.cnig.es/CentroDescargas/btn-poi" TargetMode="External"/><Relationship Id="rId1611" Type="http://schemas.openxmlformats.org/officeDocument/2006/relationships/hyperlink" Target="https://centrodedescargas.cnig.es/CentroDescargas/btn-poi" TargetMode="External"/><Relationship Id="rId192" Type="http://schemas.openxmlformats.org/officeDocument/2006/relationships/hyperlink" Target="https://centrodedescargas.cnig.es/CentroDescargas/btn-poi" TargetMode="External"/><Relationship Id="rId1709" Type="http://schemas.openxmlformats.org/officeDocument/2006/relationships/hyperlink" Target="https://centrodedescargas.cnig.es/CentroDescargas/btn-poi" TargetMode="External"/><Relationship Id="rId497" Type="http://schemas.openxmlformats.org/officeDocument/2006/relationships/hyperlink" Target="https://centrodedescargas.cnig.es/CentroDescargas/btn-poi" TargetMode="External"/><Relationship Id="rId357" Type="http://schemas.openxmlformats.org/officeDocument/2006/relationships/hyperlink" Target="https://centrodedescargas.cnig.es/CentroDescargas/btn-poi" TargetMode="External"/><Relationship Id="rId1194" Type="http://schemas.openxmlformats.org/officeDocument/2006/relationships/hyperlink" Target="https://centrodedescargas.cnig.es/CentroDescargas/btn-poi" TargetMode="External"/><Relationship Id="rId217" Type="http://schemas.openxmlformats.org/officeDocument/2006/relationships/hyperlink" Target="https://centrodedescargas.cnig.es/CentroDescargas/btn-poi" TargetMode="External"/><Relationship Id="rId564" Type="http://schemas.openxmlformats.org/officeDocument/2006/relationships/hyperlink" Target="https://centrodedescargas.cnig.es/CentroDescargas/btn-poi" TargetMode="External"/><Relationship Id="rId771" Type="http://schemas.openxmlformats.org/officeDocument/2006/relationships/hyperlink" Target="https://centrodedescargas.cnig.es/CentroDescargas/btn-poi" TargetMode="External"/><Relationship Id="rId869" Type="http://schemas.openxmlformats.org/officeDocument/2006/relationships/hyperlink" Target="https://centrodedescargas.cnig.es/CentroDescargas/btn-poi" TargetMode="External"/><Relationship Id="rId1499" Type="http://schemas.openxmlformats.org/officeDocument/2006/relationships/hyperlink" Target="https://centrodedescargas.cnig.es/CentroDescargas/btn-poi" TargetMode="External"/><Relationship Id="rId424" Type="http://schemas.openxmlformats.org/officeDocument/2006/relationships/hyperlink" Target="https://centrodedescargas.cnig.es/CentroDescargas/btn-poi" TargetMode="External"/><Relationship Id="rId631" Type="http://schemas.openxmlformats.org/officeDocument/2006/relationships/hyperlink" Target="https://centrodedescargas.cnig.es/CentroDescargas/btn-poi" TargetMode="External"/><Relationship Id="rId729" Type="http://schemas.openxmlformats.org/officeDocument/2006/relationships/hyperlink" Target="https://centrodedescargas.cnig.es/CentroDescargas/btn-poi" TargetMode="External"/><Relationship Id="rId1054" Type="http://schemas.openxmlformats.org/officeDocument/2006/relationships/hyperlink" Target="https://centrodedescargas.cnig.es/CentroDescargas/btn-poi" TargetMode="External"/><Relationship Id="rId1261" Type="http://schemas.openxmlformats.org/officeDocument/2006/relationships/hyperlink" Target="https://centrodedescargas.cnig.es/CentroDescargas/btn-poi" TargetMode="External"/><Relationship Id="rId1359" Type="http://schemas.openxmlformats.org/officeDocument/2006/relationships/hyperlink" Target="https://centrodedescargas.cnig.es/CentroDescargas/btn-poi" TargetMode="External"/><Relationship Id="rId936" Type="http://schemas.openxmlformats.org/officeDocument/2006/relationships/hyperlink" Target="https://centrodedescargas.cnig.es/CentroDescargas/btn-poi" TargetMode="External"/><Relationship Id="rId1121" Type="http://schemas.openxmlformats.org/officeDocument/2006/relationships/hyperlink" Target="https://centrodedescargas.cnig.es/CentroDescargas/btn-poi" TargetMode="External"/><Relationship Id="rId1219" Type="http://schemas.openxmlformats.org/officeDocument/2006/relationships/hyperlink" Target="https://centrodedescargas.cnig.es/CentroDescargas/btn-poi" TargetMode="External"/><Relationship Id="rId1566" Type="http://schemas.openxmlformats.org/officeDocument/2006/relationships/hyperlink" Target="https://centrodedescargas.cnig.es/CentroDescargas/btn-poi" TargetMode="External"/><Relationship Id="rId1773" Type="http://schemas.openxmlformats.org/officeDocument/2006/relationships/hyperlink" Target="https://centrodedescargas.cnig.es/CentroDescargas/btn-poi" TargetMode="External"/><Relationship Id="rId65" Type="http://schemas.openxmlformats.org/officeDocument/2006/relationships/hyperlink" Target="https://centrodedescargas.cnig.es/CentroDescargas/btn-poi" TargetMode="External"/><Relationship Id="rId1426" Type="http://schemas.openxmlformats.org/officeDocument/2006/relationships/hyperlink" Target="https://centrodedescargas.cnig.es/CentroDescargas/btn-poi" TargetMode="External"/><Relationship Id="rId1633" Type="http://schemas.openxmlformats.org/officeDocument/2006/relationships/hyperlink" Target="https://centrodedescargas.cnig.es/CentroDescargas/btn-poi" TargetMode="External"/><Relationship Id="rId1700" Type="http://schemas.openxmlformats.org/officeDocument/2006/relationships/hyperlink" Target="https://centrodedescargas.cnig.es/CentroDescargas/btn-poi" TargetMode="External"/><Relationship Id="rId281" Type="http://schemas.openxmlformats.org/officeDocument/2006/relationships/hyperlink" Target="https://centrodedescargas.cnig.es/CentroDescargas/btn-poi" TargetMode="External"/><Relationship Id="rId141" Type="http://schemas.openxmlformats.org/officeDocument/2006/relationships/hyperlink" Target="https://centrodedescargas.cnig.es/CentroDescargas/btn-poi" TargetMode="External"/><Relationship Id="rId379" Type="http://schemas.openxmlformats.org/officeDocument/2006/relationships/hyperlink" Target="https://centrodedescargas.cnig.es/CentroDescargas/btn-poi" TargetMode="External"/><Relationship Id="rId586" Type="http://schemas.openxmlformats.org/officeDocument/2006/relationships/hyperlink" Target="https://centrodedescargas.cnig.es/CentroDescargas/btn-poi" TargetMode="External"/><Relationship Id="rId793" Type="http://schemas.openxmlformats.org/officeDocument/2006/relationships/hyperlink" Target="https://centrodedescargas.cnig.es/CentroDescargas/btn-poi" TargetMode="External"/><Relationship Id="rId7" Type="http://schemas.openxmlformats.org/officeDocument/2006/relationships/hyperlink" Target="https://centrodedescargas.cnig.es/CentroDescargas/btn-poi" TargetMode="External"/><Relationship Id="rId239" Type="http://schemas.openxmlformats.org/officeDocument/2006/relationships/hyperlink" Target="https://centrodedescargas.cnig.es/CentroDescargas/btn-poi" TargetMode="External"/><Relationship Id="rId446" Type="http://schemas.openxmlformats.org/officeDocument/2006/relationships/hyperlink" Target="https://centrodedescargas.cnig.es/CentroDescargas/btn-poi" TargetMode="External"/><Relationship Id="rId653" Type="http://schemas.openxmlformats.org/officeDocument/2006/relationships/hyperlink" Target="https://centrodedescargas.cnig.es/CentroDescargas/btn-poi" TargetMode="External"/><Relationship Id="rId1076" Type="http://schemas.openxmlformats.org/officeDocument/2006/relationships/hyperlink" Target="https://centrodedescargas.cnig.es/CentroDescargas/btn-poi" TargetMode="External"/><Relationship Id="rId1283" Type="http://schemas.openxmlformats.org/officeDocument/2006/relationships/hyperlink" Target="https://centrodedescargas.cnig.es/CentroDescargas/btn-poi" TargetMode="External"/><Relationship Id="rId1490" Type="http://schemas.openxmlformats.org/officeDocument/2006/relationships/hyperlink" Target="https://centrodedescargas.cnig.es/CentroDescargas/btn-poi" TargetMode="External"/><Relationship Id="rId306" Type="http://schemas.openxmlformats.org/officeDocument/2006/relationships/hyperlink" Target="https://centrodedescargas.cnig.es/CentroDescargas/btn-poi" TargetMode="External"/><Relationship Id="rId860" Type="http://schemas.openxmlformats.org/officeDocument/2006/relationships/hyperlink" Target="https://centrodedescargas.cnig.es/CentroDescargas/btn-poi" TargetMode="External"/><Relationship Id="rId958" Type="http://schemas.openxmlformats.org/officeDocument/2006/relationships/hyperlink" Target="https://centrodedescargas.cnig.es/CentroDescargas/btn-poi" TargetMode="External"/><Relationship Id="rId1143" Type="http://schemas.openxmlformats.org/officeDocument/2006/relationships/hyperlink" Target="https://centrodedescargas.cnig.es/CentroDescargas/btn-poi" TargetMode="External"/><Relationship Id="rId1588" Type="http://schemas.openxmlformats.org/officeDocument/2006/relationships/hyperlink" Target="https://centrodedescargas.cnig.es/CentroDescargas/btn-poi" TargetMode="External"/><Relationship Id="rId1795" Type="http://schemas.openxmlformats.org/officeDocument/2006/relationships/hyperlink" Target="https://centrodedescargas.cnig.es/CentroDescargas/btn-poi" TargetMode="External"/><Relationship Id="rId87" Type="http://schemas.openxmlformats.org/officeDocument/2006/relationships/hyperlink" Target="https://centrodedescargas.cnig.es/CentroDescargas/btn-poi" TargetMode="External"/><Relationship Id="rId513" Type="http://schemas.openxmlformats.org/officeDocument/2006/relationships/hyperlink" Target="https://centrodedescargas.cnig.es/CentroDescargas/btn-poi" TargetMode="External"/><Relationship Id="rId720" Type="http://schemas.openxmlformats.org/officeDocument/2006/relationships/hyperlink" Target="https://centrodedescargas.cnig.es/CentroDescargas/btn-poi" TargetMode="External"/><Relationship Id="rId818" Type="http://schemas.openxmlformats.org/officeDocument/2006/relationships/hyperlink" Target="https://centrodedescargas.cnig.es/CentroDescargas/btn-poi" TargetMode="External"/><Relationship Id="rId1350" Type="http://schemas.openxmlformats.org/officeDocument/2006/relationships/hyperlink" Target="https://centrodedescargas.cnig.es/CentroDescargas/btn-poi" TargetMode="External"/><Relationship Id="rId1448" Type="http://schemas.openxmlformats.org/officeDocument/2006/relationships/hyperlink" Target="https://centrodedescargas.cnig.es/CentroDescargas/btn-poi" TargetMode="External"/><Relationship Id="rId1655" Type="http://schemas.openxmlformats.org/officeDocument/2006/relationships/hyperlink" Target="https://centrodedescargas.cnig.es/CentroDescargas/btn-poi" TargetMode="External"/><Relationship Id="rId1003" Type="http://schemas.openxmlformats.org/officeDocument/2006/relationships/hyperlink" Target="https://centrodedescargas.cnig.es/CentroDescargas/btn-poi" TargetMode="External"/><Relationship Id="rId1210" Type="http://schemas.openxmlformats.org/officeDocument/2006/relationships/hyperlink" Target="https://centrodedescargas.cnig.es/CentroDescargas/btn-poi" TargetMode="External"/><Relationship Id="rId1308" Type="http://schemas.openxmlformats.org/officeDocument/2006/relationships/hyperlink" Target="https://centrodedescargas.cnig.es/CentroDescargas/btn-poi" TargetMode="External"/><Relationship Id="rId1515" Type="http://schemas.openxmlformats.org/officeDocument/2006/relationships/hyperlink" Target="https://centrodedescargas.cnig.es/CentroDescargas/btn-poi" TargetMode="External"/><Relationship Id="rId1722" Type="http://schemas.openxmlformats.org/officeDocument/2006/relationships/hyperlink" Target="https://centrodedescargas.cnig.es/CentroDescargas/btn-poi" TargetMode="External"/><Relationship Id="rId14" Type="http://schemas.openxmlformats.org/officeDocument/2006/relationships/hyperlink" Target="https://centrodedescargas.cnig.es/CentroDescargas/btn-poi" TargetMode="External"/><Relationship Id="rId163" Type="http://schemas.openxmlformats.org/officeDocument/2006/relationships/hyperlink" Target="https://centrodedescargas.cnig.es/CentroDescargas/btn-poi" TargetMode="External"/><Relationship Id="rId370" Type="http://schemas.openxmlformats.org/officeDocument/2006/relationships/hyperlink" Target="https://centrodedescargas.cnig.es/CentroDescargas/btn-poi" TargetMode="External"/><Relationship Id="rId230" Type="http://schemas.openxmlformats.org/officeDocument/2006/relationships/hyperlink" Target="https://centrodedescargas.cnig.es/CentroDescargas/btn-poi" TargetMode="External"/><Relationship Id="rId468" Type="http://schemas.openxmlformats.org/officeDocument/2006/relationships/hyperlink" Target="https://centrodedescargas.cnig.es/CentroDescargas/btn-poi" TargetMode="External"/><Relationship Id="rId675" Type="http://schemas.openxmlformats.org/officeDocument/2006/relationships/hyperlink" Target="https://centrodedescargas.cnig.es/CentroDescargas/btn-poi" TargetMode="External"/><Relationship Id="rId882" Type="http://schemas.openxmlformats.org/officeDocument/2006/relationships/hyperlink" Target="https://centrodedescargas.cnig.es/CentroDescargas/btn-poi" TargetMode="External"/><Relationship Id="rId1098" Type="http://schemas.openxmlformats.org/officeDocument/2006/relationships/hyperlink" Target="https://centrodedescargas.cnig.es/CentroDescargas/btn-poi" TargetMode="External"/><Relationship Id="rId328" Type="http://schemas.openxmlformats.org/officeDocument/2006/relationships/hyperlink" Target="https://centrodedescargas.cnig.es/CentroDescargas/btn-poi" TargetMode="External"/><Relationship Id="rId535" Type="http://schemas.openxmlformats.org/officeDocument/2006/relationships/hyperlink" Target="https://centrodedescargas.cnig.es/CentroDescargas/btn-poi" TargetMode="External"/><Relationship Id="rId742" Type="http://schemas.openxmlformats.org/officeDocument/2006/relationships/hyperlink" Target="https://centrodedescargas.cnig.es/CentroDescargas/btn-poi" TargetMode="External"/><Relationship Id="rId1165" Type="http://schemas.openxmlformats.org/officeDocument/2006/relationships/hyperlink" Target="https://centrodedescargas.cnig.es/CentroDescargas/btn-poi" TargetMode="External"/><Relationship Id="rId1372" Type="http://schemas.openxmlformats.org/officeDocument/2006/relationships/hyperlink" Target="https://centrodedescargas.cnig.es/CentroDescargas/btn-poi" TargetMode="External"/><Relationship Id="rId602" Type="http://schemas.openxmlformats.org/officeDocument/2006/relationships/hyperlink" Target="https://centrodedescargas.cnig.es/CentroDescargas/btn-poi" TargetMode="External"/><Relationship Id="rId1025" Type="http://schemas.openxmlformats.org/officeDocument/2006/relationships/hyperlink" Target="https://centrodedescargas.cnig.es/CentroDescargas/btn-poi" TargetMode="External"/><Relationship Id="rId1232" Type="http://schemas.openxmlformats.org/officeDocument/2006/relationships/hyperlink" Target="https://centrodedescargas.cnig.es/CentroDescargas/btn-poi" TargetMode="External"/><Relationship Id="rId1677" Type="http://schemas.openxmlformats.org/officeDocument/2006/relationships/hyperlink" Target="https://centrodedescargas.cnig.es/CentroDescargas/btn-poi" TargetMode="External"/><Relationship Id="rId907" Type="http://schemas.openxmlformats.org/officeDocument/2006/relationships/hyperlink" Target="https://centrodedescargas.cnig.es/CentroDescargas/btn-poi" TargetMode="External"/><Relationship Id="rId1537" Type="http://schemas.openxmlformats.org/officeDocument/2006/relationships/hyperlink" Target="https://centrodedescargas.cnig.es/CentroDescargas/btn-poi" TargetMode="External"/><Relationship Id="rId1744" Type="http://schemas.openxmlformats.org/officeDocument/2006/relationships/hyperlink" Target="https://centrodedescargas.cnig.es/CentroDescargas/btn-poi" TargetMode="External"/><Relationship Id="rId36" Type="http://schemas.openxmlformats.org/officeDocument/2006/relationships/hyperlink" Target="https://centrodedescargas.cnig.es/CentroDescargas/btn-poi" TargetMode="External"/><Relationship Id="rId1604" Type="http://schemas.openxmlformats.org/officeDocument/2006/relationships/hyperlink" Target="https://centrodedescargas.cnig.es/CentroDescargas/btn-poi" TargetMode="External"/><Relationship Id="rId185" Type="http://schemas.openxmlformats.org/officeDocument/2006/relationships/hyperlink" Target="https://centrodedescargas.cnig.es/CentroDescargas/btn-poi" TargetMode="External"/><Relationship Id="rId1811" Type="http://schemas.openxmlformats.org/officeDocument/2006/relationships/hyperlink" Target="https://centrodedescargas.cnig.es/CentroDescargas/btn-poi" TargetMode="External"/><Relationship Id="rId392" Type="http://schemas.openxmlformats.org/officeDocument/2006/relationships/hyperlink" Target="https://centrodedescargas.cnig.es/CentroDescargas/btn-poi" TargetMode="External"/><Relationship Id="rId697" Type="http://schemas.openxmlformats.org/officeDocument/2006/relationships/hyperlink" Target="https://centrodedescargas.cnig.es/CentroDescargas/btn-poi" TargetMode="External"/><Relationship Id="rId252" Type="http://schemas.openxmlformats.org/officeDocument/2006/relationships/hyperlink" Target="https://centrodedescargas.cnig.es/CentroDescargas/btn-poi" TargetMode="External"/><Relationship Id="rId1187" Type="http://schemas.openxmlformats.org/officeDocument/2006/relationships/hyperlink" Target="https://centrodedescargas.cnig.es/CentroDescargas/btn-poi" TargetMode="External"/><Relationship Id="rId112" Type="http://schemas.openxmlformats.org/officeDocument/2006/relationships/hyperlink" Target="https://centrodedescargas.cnig.es/CentroDescargas/btn-poi" TargetMode="External"/><Relationship Id="rId557" Type="http://schemas.openxmlformats.org/officeDocument/2006/relationships/hyperlink" Target="https://centrodedescargas.cnig.es/CentroDescargas/btn-poi" TargetMode="External"/><Relationship Id="rId764" Type="http://schemas.openxmlformats.org/officeDocument/2006/relationships/hyperlink" Target="https://centrodedescargas.cnig.es/CentroDescargas/btn-poi" TargetMode="External"/><Relationship Id="rId971" Type="http://schemas.openxmlformats.org/officeDocument/2006/relationships/hyperlink" Target="https://centrodedescargas.cnig.es/CentroDescargas/btn-poi" TargetMode="External"/><Relationship Id="rId1394" Type="http://schemas.openxmlformats.org/officeDocument/2006/relationships/hyperlink" Target="https://centrodedescargas.cnig.es/CentroDescargas/btn-poi" TargetMode="External"/><Relationship Id="rId1699" Type="http://schemas.openxmlformats.org/officeDocument/2006/relationships/hyperlink" Target="https://centrodedescargas.cnig.es/CentroDescargas/btn-poi" TargetMode="External"/><Relationship Id="rId417" Type="http://schemas.openxmlformats.org/officeDocument/2006/relationships/hyperlink" Target="https://centrodedescargas.cnig.es/CentroDescargas/btn-poi" TargetMode="External"/><Relationship Id="rId624" Type="http://schemas.openxmlformats.org/officeDocument/2006/relationships/hyperlink" Target="https://centrodedescargas.cnig.es/CentroDescargas/btn-poi" TargetMode="External"/><Relationship Id="rId831" Type="http://schemas.openxmlformats.org/officeDocument/2006/relationships/hyperlink" Target="https://centrodedescargas.cnig.es/CentroDescargas/btn-poi" TargetMode="External"/><Relationship Id="rId1047" Type="http://schemas.openxmlformats.org/officeDocument/2006/relationships/hyperlink" Target="https://centrodedescargas.cnig.es/CentroDescargas/btn-poi" TargetMode="External"/><Relationship Id="rId1254" Type="http://schemas.openxmlformats.org/officeDocument/2006/relationships/hyperlink" Target="https://centrodedescargas.cnig.es/CentroDescargas/btn-poi" TargetMode="External"/><Relationship Id="rId1461" Type="http://schemas.openxmlformats.org/officeDocument/2006/relationships/hyperlink" Target="https://centrodedescargas.cnig.es/CentroDescargas/btn-poi" TargetMode="External"/><Relationship Id="rId929" Type="http://schemas.openxmlformats.org/officeDocument/2006/relationships/hyperlink" Target="https://centrodedescargas.cnig.es/CentroDescargas/btn-poi" TargetMode="External"/><Relationship Id="rId1114" Type="http://schemas.openxmlformats.org/officeDocument/2006/relationships/hyperlink" Target="https://centrodedescargas.cnig.es/CentroDescargas/btn-poi" TargetMode="External"/><Relationship Id="rId1321" Type="http://schemas.openxmlformats.org/officeDocument/2006/relationships/hyperlink" Target="https://centrodedescargas.cnig.es/CentroDescargas/btn-poi" TargetMode="External"/><Relationship Id="rId1559" Type="http://schemas.openxmlformats.org/officeDocument/2006/relationships/hyperlink" Target="https://centrodedescargas.cnig.es/CentroDescargas/btn-poi" TargetMode="External"/><Relationship Id="rId1766" Type="http://schemas.openxmlformats.org/officeDocument/2006/relationships/hyperlink" Target="https://centrodedescargas.cnig.es/CentroDescargas/btn-poi" TargetMode="External"/><Relationship Id="rId58" Type="http://schemas.openxmlformats.org/officeDocument/2006/relationships/hyperlink" Target="https://centrodedescargas.cnig.es/CentroDescargas/btn-poi" TargetMode="External"/><Relationship Id="rId1419" Type="http://schemas.openxmlformats.org/officeDocument/2006/relationships/hyperlink" Target="https://centrodedescargas.cnig.es/CentroDescargas/btn-poi" TargetMode="External"/><Relationship Id="rId1626" Type="http://schemas.openxmlformats.org/officeDocument/2006/relationships/hyperlink" Target="https://centrodedescargas.cnig.es/CentroDescargas/btn-poi" TargetMode="External"/><Relationship Id="rId274" Type="http://schemas.openxmlformats.org/officeDocument/2006/relationships/hyperlink" Target="https://centrodedescargas.cnig.es/CentroDescargas/btn-poi" TargetMode="External"/><Relationship Id="rId481" Type="http://schemas.openxmlformats.org/officeDocument/2006/relationships/hyperlink" Target="https://centrodedescargas.cnig.es/CentroDescargas/btn-poi" TargetMode="External"/><Relationship Id="rId134" Type="http://schemas.openxmlformats.org/officeDocument/2006/relationships/hyperlink" Target="https://centrodedescargas.cnig.es/CentroDescargas/btn-poi" TargetMode="External"/><Relationship Id="rId579" Type="http://schemas.openxmlformats.org/officeDocument/2006/relationships/hyperlink" Target="https://centrodedescargas.cnig.es/CentroDescargas/btn-poi" TargetMode="External"/><Relationship Id="rId786" Type="http://schemas.openxmlformats.org/officeDocument/2006/relationships/hyperlink" Target="https://centrodedescargas.cnig.es/CentroDescargas/btn-poi" TargetMode="External"/><Relationship Id="rId993" Type="http://schemas.openxmlformats.org/officeDocument/2006/relationships/hyperlink" Target="https://centrodedescargas.cnig.es/CentroDescargas/btn-poi" TargetMode="External"/><Relationship Id="rId341" Type="http://schemas.openxmlformats.org/officeDocument/2006/relationships/hyperlink" Target="https://centrodedescargas.cnig.es/CentroDescargas/btn-poi" TargetMode="External"/><Relationship Id="rId439" Type="http://schemas.openxmlformats.org/officeDocument/2006/relationships/hyperlink" Target="https://centrodedescargas.cnig.es/CentroDescargas/btn-poi" TargetMode="External"/><Relationship Id="rId646" Type="http://schemas.openxmlformats.org/officeDocument/2006/relationships/hyperlink" Target="https://centrodedescargas.cnig.es/CentroDescargas/btn-poi" TargetMode="External"/><Relationship Id="rId1069" Type="http://schemas.openxmlformats.org/officeDocument/2006/relationships/hyperlink" Target="https://centrodedescargas.cnig.es/CentroDescargas/btn-poi" TargetMode="External"/><Relationship Id="rId1276" Type="http://schemas.openxmlformats.org/officeDocument/2006/relationships/hyperlink" Target="https://centrodedescargas.cnig.es/CentroDescargas/btn-poi" TargetMode="External"/><Relationship Id="rId1483" Type="http://schemas.openxmlformats.org/officeDocument/2006/relationships/hyperlink" Target="https://centrodedescargas.cnig.es/CentroDescargas/btn-poi" TargetMode="External"/><Relationship Id="rId201" Type="http://schemas.openxmlformats.org/officeDocument/2006/relationships/hyperlink" Target="https://centrodedescargas.cnig.es/CentroDescargas/btn-poi" TargetMode="External"/><Relationship Id="rId506" Type="http://schemas.openxmlformats.org/officeDocument/2006/relationships/hyperlink" Target="https://centrodedescargas.cnig.es/CentroDescargas/btn-poi" TargetMode="External"/><Relationship Id="rId853" Type="http://schemas.openxmlformats.org/officeDocument/2006/relationships/hyperlink" Target="https://centrodedescargas.cnig.es/CentroDescargas/btn-poi" TargetMode="External"/><Relationship Id="rId1136" Type="http://schemas.openxmlformats.org/officeDocument/2006/relationships/hyperlink" Target="https://centrodedescargas.cnig.es/CentroDescargas/btn-poi" TargetMode="External"/><Relationship Id="rId1690" Type="http://schemas.openxmlformats.org/officeDocument/2006/relationships/hyperlink" Target="https://centrodedescargas.cnig.es/CentroDescargas/btn-poi" TargetMode="External"/><Relationship Id="rId1788" Type="http://schemas.openxmlformats.org/officeDocument/2006/relationships/hyperlink" Target="https://centrodedescargas.cnig.es/CentroDescargas/btn-poi" TargetMode="External"/><Relationship Id="rId713" Type="http://schemas.openxmlformats.org/officeDocument/2006/relationships/hyperlink" Target="https://centrodedescargas.cnig.es/CentroDescargas/btn-poi" TargetMode="External"/><Relationship Id="rId920" Type="http://schemas.openxmlformats.org/officeDocument/2006/relationships/hyperlink" Target="https://centrodedescargas.cnig.es/CentroDescargas/btn-poi" TargetMode="External"/><Relationship Id="rId1343" Type="http://schemas.openxmlformats.org/officeDocument/2006/relationships/hyperlink" Target="https://centrodedescargas.cnig.es/CentroDescargas/btn-poi" TargetMode="External"/><Relationship Id="rId1550" Type="http://schemas.openxmlformats.org/officeDocument/2006/relationships/hyperlink" Target="https://centrodedescargas.cnig.es/CentroDescargas/btn-poi" TargetMode="External"/><Relationship Id="rId1648" Type="http://schemas.openxmlformats.org/officeDocument/2006/relationships/hyperlink" Target="https://centrodedescargas.cnig.es/CentroDescargas/btn-poi" TargetMode="External"/><Relationship Id="rId1203" Type="http://schemas.openxmlformats.org/officeDocument/2006/relationships/hyperlink" Target="https://centrodedescargas.cnig.es/CentroDescargas/btn-poi" TargetMode="External"/><Relationship Id="rId1410" Type="http://schemas.openxmlformats.org/officeDocument/2006/relationships/hyperlink" Target="https://centrodedescargas.cnig.es/CentroDescargas/btn-poi" TargetMode="External"/><Relationship Id="rId1508" Type="http://schemas.openxmlformats.org/officeDocument/2006/relationships/hyperlink" Target="https://centrodedescargas.cnig.es/CentroDescargas/btn-poi" TargetMode="External"/><Relationship Id="rId1715" Type="http://schemas.openxmlformats.org/officeDocument/2006/relationships/hyperlink" Target="https://centrodedescargas.cnig.es/CentroDescargas/btn-poi" TargetMode="External"/><Relationship Id="rId296" Type="http://schemas.openxmlformats.org/officeDocument/2006/relationships/hyperlink" Target="https://centrodedescargas.cnig.es/CentroDescargas/btn-poi" TargetMode="External"/><Relationship Id="rId156" Type="http://schemas.openxmlformats.org/officeDocument/2006/relationships/hyperlink" Target="https://centrodedescargas.cnig.es/CentroDescargas/btn-poi" TargetMode="External"/><Relationship Id="rId363" Type="http://schemas.openxmlformats.org/officeDocument/2006/relationships/hyperlink" Target="https://centrodedescargas.cnig.es/CentroDescargas/btn-poi" TargetMode="External"/><Relationship Id="rId570" Type="http://schemas.openxmlformats.org/officeDocument/2006/relationships/hyperlink" Target="https://centrodedescargas.cnig.es/CentroDescargas/btn-poi" TargetMode="External"/><Relationship Id="rId223" Type="http://schemas.openxmlformats.org/officeDocument/2006/relationships/hyperlink" Target="https://centrodedescargas.cnig.es/CentroDescargas/btn-poi" TargetMode="External"/><Relationship Id="rId430" Type="http://schemas.openxmlformats.org/officeDocument/2006/relationships/hyperlink" Target="https://centrodedescargas.cnig.es/CentroDescargas/btn-poi" TargetMode="External"/><Relationship Id="rId668" Type="http://schemas.openxmlformats.org/officeDocument/2006/relationships/hyperlink" Target="https://centrodedescargas.cnig.es/CentroDescargas/btn-poi" TargetMode="External"/><Relationship Id="rId875" Type="http://schemas.openxmlformats.org/officeDocument/2006/relationships/hyperlink" Target="https://centrodedescargas.cnig.es/CentroDescargas/btn-poi" TargetMode="External"/><Relationship Id="rId1060" Type="http://schemas.openxmlformats.org/officeDocument/2006/relationships/hyperlink" Target="https://centrodedescargas.cnig.es/CentroDescargas/btn-poi" TargetMode="External"/><Relationship Id="rId1298" Type="http://schemas.openxmlformats.org/officeDocument/2006/relationships/hyperlink" Target="https://centrodedescargas.cnig.es/CentroDescargas/btn-poi" TargetMode="External"/><Relationship Id="rId528" Type="http://schemas.openxmlformats.org/officeDocument/2006/relationships/hyperlink" Target="https://centrodedescargas.cnig.es/CentroDescargas/btn-poi" TargetMode="External"/><Relationship Id="rId735" Type="http://schemas.openxmlformats.org/officeDocument/2006/relationships/hyperlink" Target="https://centrodedescargas.cnig.es/CentroDescargas/btn-poi" TargetMode="External"/><Relationship Id="rId942" Type="http://schemas.openxmlformats.org/officeDocument/2006/relationships/hyperlink" Target="https://centrodedescargas.cnig.es/CentroDescargas/btn-poi" TargetMode="External"/><Relationship Id="rId1158" Type="http://schemas.openxmlformats.org/officeDocument/2006/relationships/hyperlink" Target="https://centrodedescargas.cnig.es/CentroDescargas/btn-poi" TargetMode="External"/><Relationship Id="rId1365" Type="http://schemas.openxmlformats.org/officeDocument/2006/relationships/hyperlink" Target="https://centrodedescargas.cnig.es/CentroDescargas/btn-poi" TargetMode="External"/><Relationship Id="rId1572" Type="http://schemas.openxmlformats.org/officeDocument/2006/relationships/hyperlink" Target="https://centrodedescargas.cnig.es/CentroDescargas/btn-poi" TargetMode="External"/><Relationship Id="rId1018" Type="http://schemas.openxmlformats.org/officeDocument/2006/relationships/hyperlink" Target="https://centrodedescargas.cnig.es/CentroDescargas/btn-poi" TargetMode="External"/><Relationship Id="rId1225" Type="http://schemas.openxmlformats.org/officeDocument/2006/relationships/hyperlink" Target="https://centrodedescargas.cnig.es/CentroDescargas/btn-poi" TargetMode="External"/><Relationship Id="rId1432" Type="http://schemas.openxmlformats.org/officeDocument/2006/relationships/hyperlink" Target="https://centrodedescargas.cnig.es/CentroDescargas/btn-poi" TargetMode="External"/><Relationship Id="rId71" Type="http://schemas.openxmlformats.org/officeDocument/2006/relationships/hyperlink" Target="https://centrodedescargas.cnig.es/CentroDescargas/btn-poi" TargetMode="External"/><Relationship Id="rId802" Type="http://schemas.openxmlformats.org/officeDocument/2006/relationships/hyperlink" Target="https://centrodedescargas.cnig.es/CentroDescargas/btn-poi" TargetMode="External"/><Relationship Id="rId1737" Type="http://schemas.openxmlformats.org/officeDocument/2006/relationships/hyperlink" Target="https://centrodedescargas.cnig.es/CentroDescargas/btn-poi" TargetMode="External"/><Relationship Id="rId29" Type="http://schemas.openxmlformats.org/officeDocument/2006/relationships/hyperlink" Target="https://centrodedescargas.cnig.es/CentroDescargas/btn-poi" TargetMode="External"/><Relationship Id="rId178" Type="http://schemas.openxmlformats.org/officeDocument/2006/relationships/hyperlink" Target="https://centrodedescargas.cnig.es/CentroDescargas/btn-poi" TargetMode="External"/><Relationship Id="rId1804" Type="http://schemas.openxmlformats.org/officeDocument/2006/relationships/hyperlink" Target="https://centrodedescargas.cnig.es/CentroDescargas/btn-poi" TargetMode="External"/><Relationship Id="rId385" Type="http://schemas.openxmlformats.org/officeDocument/2006/relationships/hyperlink" Target="https://centrodedescargas.cnig.es/CentroDescargas/btn-poi" TargetMode="External"/><Relationship Id="rId592" Type="http://schemas.openxmlformats.org/officeDocument/2006/relationships/hyperlink" Target="https://centrodedescargas.cnig.es/CentroDescargas/btn-poi" TargetMode="External"/><Relationship Id="rId245" Type="http://schemas.openxmlformats.org/officeDocument/2006/relationships/hyperlink" Target="https://centrodedescargas.cnig.es/CentroDescargas/btn-poi" TargetMode="External"/><Relationship Id="rId452" Type="http://schemas.openxmlformats.org/officeDocument/2006/relationships/hyperlink" Target="https://centrodedescargas.cnig.es/CentroDescargas/btn-poi" TargetMode="External"/><Relationship Id="rId897" Type="http://schemas.openxmlformats.org/officeDocument/2006/relationships/hyperlink" Target="https://centrodedescargas.cnig.es/CentroDescargas/btn-poi" TargetMode="External"/><Relationship Id="rId1082" Type="http://schemas.openxmlformats.org/officeDocument/2006/relationships/hyperlink" Target="https://centrodedescargas.cnig.es/CentroDescargas/btn-poi" TargetMode="External"/><Relationship Id="rId105" Type="http://schemas.openxmlformats.org/officeDocument/2006/relationships/hyperlink" Target="https://centrodedescargas.cnig.es/CentroDescargas/btn-poi" TargetMode="External"/><Relationship Id="rId312" Type="http://schemas.openxmlformats.org/officeDocument/2006/relationships/hyperlink" Target="https://centrodedescargas.cnig.es/CentroDescargas/btn-poi" TargetMode="External"/><Relationship Id="rId757" Type="http://schemas.openxmlformats.org/officeDocument/2006/relationships/hyperlink" Target="https://centrodedescargas.cnig.es/CentroDescargas/btn-poi" TargetMode="External"/><Relationship Id="rId964" Type="http://schemas.openxmlformats.org/officeDocument/2006/relationships/hyperlink" Target="https://centrodedescargas.cnig.es/CentroDescargas/btn-poi" TargetMode="External"/><Relationship Id="rId1387" Type="http://schemas.openxmlformats.org/officeDocument/2006/relationships/hyperlink" Target="https://centrodedescargas.cnig.es/CentroDescargas/btn-poi" TargetMode="External"/><Relationship Id="rId1594" Type="http://schemas.openxmlformats.org/officeDocument/2006/relationships/hyperlink" Target="https://centrodedescargas.cnig.es/CentroDescargas/btn-poi" TargetMode="External"/><Relationship Id="rId93" Type="http://schemas.openxmlformats.org/officeDocument/2006/relationships/hyperlink" Target="https://centrodedescargas.cnig.es/CentroDescargas/btn-poi" TargetMode="External"/><Relationship Id="rId617" Type="http://schemas.openxmlformats.org/officeDocument/2006/relationships/hyperlink" Target="https://centrodedescargas.cnig.es/CentroDescargas/btn-poi" TargetMode="External"/><Relationship Id="rId824" Type="http://schemas.openxmlformats.org/officeDocument/2006/relationships/hyperlink" Target="https://centrodedescargas.cnig.es/CentroDescargas/btn-poi" TargetMode="External"/><Relationship Id="rId1247" Type="http://schemas.openxmlformats.org/officeDocument/2006/relationships/hyperlink" Target="https://centrodedescargas.cnig.es/CentroDescargas/btn-poi" TargetMode="External"/><Relationship Id="rId1454" Type="http://schemas.openxmlformats.org/officeDocument/2006/relationships/hyperlink" Target="https://centrodedescargas.cnig.es/CentroDescargas/btn-poi" TargetMode="External"/><Relationship Id="rId1661" Type="http://schemas.openxmlformats.org/officeDocument/2006/relationships/hyperlink" Target="https://centrodedescargas.cnig.es/CentroDescargas/btn-poi" TargetMode="External"/><Relationship Id="rId1107" Type="http://schemas.openxmlformats.org/officeDocument/2006/relationships/hyperlink" Target="https://centrodedescargas.cnig.es/CentroDescargas/btn-poi" TargetMode="External"/><Relationship Id="rId1314" Type="http://schemas.openxmlformats.org/officeDocument/2006/relationships/hyperlink" Target="https://centrodedescargas.cnig.es/CentroDescargas/btn-poi" TargetMode="External"/><Relationship Id="rId1521" Type="http://schemas.openxmlformats.org/officeDocument/2006/relationships/hyperlink" Target="https://centrodedescargas.cnig.es/CentroDescargas/btn-poi" TargetMode="External"/><Relationship Id="rId1759" Type="http://schemas.openxmlformats.org/officeDocument/2006/relationships/hyperlink" Target="https://centrodedescargas.cnig.es/CentroDescargas/btn-poi" TargetMode="External"/><Relationship Id="rId1619" Type="http://schemas.openxmlformats.org/officeDocument/2006/relationships/hyperlink" Target="https://centrodedescargas.cnig.es/CentroDescargas/btn-poi" TargetMode="External"/><Relationship Id="rId1826" Type="http://schemas.openxmlformats.org/officeDocument/2006/relationships/hyperlink" Target="https://centrodedescargas.cnig.es/CentroDescargas/btn-poi" TargetMode="External"/><Relationship Id="rId20" Type="http://schemas.openxmlformats.org/officeDocument/2006/relationships/hyperlink" Target="https://centrodedescargas.cnig.es/CentroDescargas/btn-poi" TargetMode="External"/><Relationship Id="rId267" Type="http://schemas.openxmlformats.org/officeDocument/2006/relationships/hyperlink" Target="https://centrodedescargas.cnig.es/CentroDescargas/btn-poi" TargetMode="External"/><Relationship Id="rId474" Type="http://schemas.openxmlformats.org/officeDocument/2006/relationships/hyperlink" Target="https://centrodedescargas.cnig.es/CentroDescargas/btn-poi" TargetMode="External"/><Relationship Id="rId127" Type="http://schemas.openxmlformats.org/officeDocument/2006/relationships/hyperlink" Target="https://centrodedescargas.cnig.es/CentroDescargas/btn-poi" TargetMode="External"/><Relationship Id="rId681" Type="http://schemas.openxmlformats.org/officeDocument/2006/relationships/hyperlink" Target="https://centrodedescargas.cnig.es/CentroDescargas/btn-poi" TargetMode="External"/><Relationship Id="rId779" Type="http://schemas.openxmlformats.org/officeDocument/2006/relationships/hyperlink" Target="https://centrodedescargas.cnig.es/CentroDescargas/btn-poi" TargetMode="External"/><Relationship Id="rId986" Type="http://schemas.openxmlformats.org/officeDocument/2006/relationships/hyperlink" Target="https://centrodedescargas.cnig.es/CentroDescargas/btn-poi" TargetMode="External"/><Relationship Id="rId334" Type="http://schemas.openxmlformats.org/officeDocument/2006/relationships/hyperlink" Target="https://centrodedescargas.cnig.es/CentroDescargas/btn-poi" TargetMode="External"/><Relationship Id="rId541" Type="http://schemas.openxmlformats.org/officeDocument/2006/relationships/hyperlink" Target="https://centrodedescargas.cnig.es/CentroDescargas/btn-poi" TargetMode="External"/><Relationship Id="rId639" Type="http://schemas.openxmlformats.org/officeDocument/2006/relationships/hyperlink" Target="https://centrodedescargas.cnig.es/CentroDescargas/btn-poi" TargetMode="External"/><Relationship Id="rId1171" Type="http://schemas.openxmlformats.org/officeDocument/2006/relationships/hyperlink" Target="https://centrodedescargas.cnig.es/CentroDescargas/btn-poi" TargetMode="External"/><Relationship Id="rId1269" Type="http://schemas.openxmlformats.org/officeDocument/2006/relationships/hyperlink" Target="https://centrodedescargas.cnig.es/CentroDescargas/btn-poi" TargetMode="External"/><Relationship Id="rId1476" Type="http://schemas.openxmlformats.org/officeDocument/2006/relationships/hyperlink" Target="https://centrodedescargas.cnig.es/CentroDescargas/btn-poi" TargetMode="External"/><Relationship Id="rId401" Type="http://schemas.openxmlformats.org/officeDocument/2006/relationships/hyperlink" Target="https://centrodedescargas.cnig.es/CentroDescargas/btn-poi" TargetMode="External"/><Relationship Id="rId846" Type="http://schemas.openxmlformats.org/officeDocument/2006/relationships/hyperlink" Target="https://centrodedescargas.cnig.es/CentroDescargas/btn-poi" TargetMode="External"/><Relationship Id="rId1031" Type="http://schemas.openxmlformats.org/officeDocument/2006/relationships/hyperlink" Target="https://centrodedescargas.cnig.es/CentroDescargas/btn-poi" TargetMode="External"/><Relationship Id="rId1129" Type="http://schemas.openxmlformats.org/officeDocument/2006/relationships/hyperlink" Target="https://centrodedescargas.cnig.es/CentroDescargas/btn-poi" TargetMode="External"/><Relationship Id="rId1683" Type="http://schemas.openxmlformats.org/officeDocument/2006/relationships/hyperlink" Target="https://centrodedescargas.cnig.es/CentroDescargas/btn-poi" TargetMode="External"/><Relationship Id="rId706" Type="http://schemas.openxmlformats.org/officeDocument/2006/relationships/hyperlink" Target="https://centrodedescargas.cnig.es/CentroDescargas/btn-poi" TargetMode="External"/><Relationship Id="rId913" Type="http://schemas.openxmlformats.org/officeDocument/2006/relationships/hyperlink" Target="https://centrodedescargas.cnig.es/CentroDescargas/btn-poi" TargetMode="External"/><Relationship Id="rId1336" Type="http://schemas.openxmlformats.org/officeDocument/2006/relationships/hyperlink" Target="https://centrodedescargas.cnig.es/CentroDescargas/btn-poi" TargetMode="External"/><Relationship Id="rId1543" Type="http://schemas.openxmlformats.org/officeDocument/2006/relationships/hyperlink" Target="https://centrodedescargas.cnig.es/CentroDescargas/btn-poi" TargetMode="External"/><Relationship Id="rId1750" Type="http://schemas.openxmlformats.org/officeDocument/2006/relationships/hyperlink" Target="https://centrodedescargas.cnig.es/CentroDescargas/btn-poi" TargetMode="External"/><Relationship Id="rId42" Type="http://schemas.openxmlformats.org/officeDocument/2006/relationships/hyperlink" Target="https://centrodedescargas.cnig.es/CentroDescargas/btn-poi" TargetMode="External"/><Relationship Id="rId1403" Type="http://schemas.openxmlformats.org/officeDocument/2006/relationships/hyperlink" Target="https://centrodedescargas.cnig.es/CentroDescargas/btn-poi" TargetMode="External"/><Relationship Id="rId1610" Type="http://schemas.openxmlformats.org/officeDocument/2006/relationships/hyperlink" Target="https://centrodedescargas.cnig.es/CentroDescargas/btn-poi" TargetMode="External"/><Relationship Id="rId191" Type="http://schemas.openxmlformats.org/officeDocument/2006/relationships/hyperlink" Target="https://centrodedescargas.cnig.es/CentroDescargas/btn-poi" TargetMode="External"/><Relationship Id="rId1708" Type="http://schemas.openxmlformats.org/officeDocument/2006/relationships/hyperlink" Target="https://centrodedescargas.cnig.es/CentroDescargas/btn-poi" TargetMode="External"/><Relationship Id="rId289" Type="http://schemas.openxmlformats.org/officeDocument/2006/relationships/hyperlink" Target="https://centrodedescargas.cnig.es/CentroDescargas/btn-poi" TargetMode="External"/><Relationship Id="rId496" Type="http://schemas.openxmlformats.org/officeDocument/2006/relationships/hyperlink" Target="https://centrodedescargas.cnig.es/CentroDescargas/btn-poi" TargetMode="External"/><Relationship Id="rId149" Type="http://schemas.openxmlformats.org/officeDocument/2006/relationships/hyperlink" Target="https://centrodedescargas.cnig.es/CentroDescargas/btn-poi" TargetMode="External"/><Relationship Id="rId356" Type="http://schemas.openxmlformats.org/officeDocument/2006/relationships/hyperlink" Target="https://centrodedescargas.cnig.es/CentroDescargas/btn-poi" TargetMode="External"/><Relationship Id="rId563" Type="http://schemas.openxmlformats.org/officeDocument/2006/relationships/hyperlink" Target="https://centrodedescargas.cnig.es/CentroDescargas/btn-poi" TargetMode="External"/><Relationship Id="rId770" Type="http://schemas.openxmlformats.org/officeDocument/2006/relationships/hyperlink" Target="https://centrodedescargas.cnig.es/CentroDescargas/btn-poi" TargetMode="External"/><Relationship Id="rId1193" Type="http://schemas.openxmlformats.org/officeDocument/2006/relationships/hyperlink" Target="https://centrodedescargas.cnig.es/CentroDescargas/btn-poi" TargetMode="External"/><Relationship Id="rId216" Type="http://schemas.openxmlformats.org/officeDocument/2006/relationships/hyperlink" Target="https://centrodedescargas.cnig.es/CentroDescargas/btn-poi" TargetMode="External"/><Relationship Id="rId423" Type="http://schemas.openxmlformats.org/officeDocument/2006/relationships/hyperlink" Target="https://centrodedescargas.cnig.es/CentroDescargas/btn-poi" TargetMode="External"/><Relationship Id="rId868" Type="http://schemas.openxmlformats.org/officeDocument/2006/relationships/hyperlink" Target="https://centrodedescargas.cnig.es/CentroDescargas/btn-poi" TargetMode="External"/><Relationship Id="rId1053" Type="http://schemas.openxmlformats.org/officeDocument/2006/relationships/hyperlink" Target="https://centrodedescargas.cnig.es/CentroDescargas/btn-poi" TargetMode="External"/><Relationship Id="rId1260" Type="http://schemas.openxmlformats.org/officeDocument/2006/relationships/hyperlink" Target="https://centrodedescargas.cnig.es/CentroDescargas/btn-poi" TargetMode="External"/><Relationship Id="rId1498" Type="http://schemas.openxmlformats.org/officeDocument/2006/relationships/hyperlink" Target="https://centrodedescargas.cnig.es/CentroDescargas/btn-poi" TargetMode="External"/><Relationship Id="rId630" Type="http://schemas.openxmlformats.org/officeDocument/2006/relationships/hyperlink" Target="https://centrodedescargas.cnig.es/CentroDescargas/btn-poi" TargetMode="External"/><Relationship Id="rId728" Type="http://schemas.openxmlformats.org/officeDocument/2006/relationships/hyperlink" Target="https://centrodedescargas.cnig.es/CentroDescargas/btn-poi" TargetMode="External"/><Relationship Id="rId935" Type="http://schemas.openxmlformats.org/officeDocument/2006/relationships/hyperlink" Target="https://centrodedescargas.cnig.es/CentroDescargas/btn-poi" TargetMode="External"/><Relationship Id="rId1358" Type="http://schemas.openxmlformats.org/officeDocument/2006/relationships/hyperlink" Target="https://centrodedescargas.cnig.es/CentroDescargas/btn-poi" TargetMode="External"/><Relationship Id="rId1565" Type="http://schemas.openxmlformats.org/officeDocument/2006/relationships/hyperlink" Target="https://centrodedescargas.cnig.es/CentroDescargas/btn-poi" TargetMode="External"/><Relationship Id="rId1772" Type="http://schemas.openxmlformats.org/officeDocument/2006/relationships/hyperlink" Target="https://centrodedescargas.cnig.es/CentroDescargas/btn-poi" TargetMode="External"/><Relationship Id="rId64" Type="http://schemas.openxmlformats.org/officeDocument/2006/relationships/hyperlink" Target="https://centrodedescargas.cnig.es/CentroDescargas/btn-poi" TargetMode="External"/><Relationship Id="rId1120" Type="http://schemas.openxmlformats.org/officeDocument/2006/relationships/hyperlink" Target="https://centrodedescargas.cnig.es/CentroDescargas/btn-poi" TargetMode="External"/><Relationship Id="rId1218" Type="http://schemas.openxmlformats.org/officeDocument/2006/relationships/hyperlink" Target="https://centrodedescargas.cnig.es/CentroDescargas/btn-poi" TargetMode="External"/><Relationship Id="rId1425" Type="http://schemas.openxmlformats.org/officeDocument/2006/relationships/hyperlink" Target="https://centrodedescargas.cnig.es/CentroDescargas/btn-poi" TargetMode="External"/><Relationship Id="rId1632" Type="http://schemas.openxmlformats.org/officeDocument/2006/relationships/hyperlink" Target="https://centrodedescargas.cnig.es/CentroDescargas/btn-poi" TargetMode="External"/><Relationship Id="rId280" Type="http://schemas.openxmlformats.org/officeDocument/2006/relationships/hyperlink" Target="https://centrodedescargas.cnig.es/CentroDescargas/btn-poi" TargetMode="External"/><Relationship Id="rId140" Type="http://schemas.openxmlformats.org/officeDocument/2006/relationships/hyperlink" Target="https://centrodedescargas.cnig.es/CentroDescargas/btn-poi" TargetMode="External"/><Relationship Id="rId378" Type="http://schemas.openxmlformats.org/officeDocument/2006/relationships/hyperlink" Target="https://centrodedescargas.cnig.es/CentroDescargas/btn-poi" TargetMode="External"/><Relationship Id="rId585" Type="http://schemas.openxmlformats.org/officeDocument/2006/relationships/hyperlink" Target="https://centrodedescargas.cnig.es/CentroDescargas/btn-poi" TargetMode="External"/><Relationship Id="rId792" Type="http://schemas.openxmlformats.org/officeDocument/2006/relationships/hyperlink" Target="https://centrodedescargas.cnig.es/CentroDescargas/btn-poi" TargetMode="External"/><Relationship Id="rId6" Type="http://schemas.openxmlformats.org/officeDocument/2006/relationships/hyperlink" Target="https://centrodedescargas.cnig.es/CentroDescargas/btn-poi" TargetMode="External"/><Relationship Id="rId238" Type="http://schemas.openxmlformats.org/officeDocument/2006/relationships/hyperlink" Target="https://centrodedescargas.cnig.es/CentroDescargas/btn-poi" TargetMode="External"/><Relationship Id="rId445" Type="http://schemas.openxmlformats.org/officeDocument/2006/relationships/hyperlink" Target="https://centrodedescargas.cnig.es/CentroDescargas/btn-poi" TargetMode="External"/><Relationship Id="rId652" Type="http://schemas.openxmlformats.org/officeDocument/2006/relationships/hyperlink" Target="https://centrodedescargas.cnig.es/CentroDescargas/btn-poi" TargetMode="External"/><Relationship Id="rId1075" Type="http://schemas.openxmlformats.org/officeDocument/2006/relationships/hyperlink" Target="https://centrodedescargas.cnig.es/CentroDescargas/btn-poi" TargetMode="External"/><Relationship Id="rId1282" Type="http://schemas.openxmlformats.org/officeDocument/2006/relationships/hyperlink" Target="https://centrodedescargas.cnig.es/CentroDescargas/btn-poi" TargetMode="External"/><Relationship Id="rId305" Type="http://schemas.openxmlformats.org/officeDocument/2006/relationships/hyperlink" Target="https://centrodedescargas.cnig.es/CentroDescargas/btn-poi" TargetMode="External"/><Relationship Id="rId512" Type="http://schemas.openxmlformats.org/officeDocument/2006/relationships/hyperlink" Target="https://centrodedescargas.cnig.es/CentroDescargas/btn-poi" TargetMode="External"/><Relationship Id="rId957" Type="http://schemas.openxmlformats.org/officeDocument/2006/relationships/hyperlink" Target="https://centrodedescargas.cnig.es/CentroDescargas/btn-poi" TargetMode="External"/><Relationship Id="rId1142" Type="http://schemas.openxmlformats.org/officeDocument/2006/relationships/hyperlink" Target="https://centrodedescargas.cnig.es/CentroDescargas/btn-poi" TargetMode="External"/><Relationship Id="rId1587" Type="http://schemas.openxmlformats.org/officeDocument/2006/relationships/hyperlink" Target="https://centrodedescargas.cnig.es/CentroDescargas/btn-poi" TargetMode="External"/><Relationship Id="rId1794" Type="http://schemas.openxmlformats.org/officeDocument/2006/relationships/hyperlink" Target="https://centrodedescargas.cnig.es/CentroDescargas/btn-poi" TargetMode="External"/><Relationship Id="rId86" Type="http://schemas.openxmlformats.org/officeDocument/2006/relationships/hyperlink" Target="https://centrodedescargas.cnig.es/CentroDescargas/btn-poi" TargetMode="External"/><Relationship Id="rId817" Type="http://schemas.openxmlformats.org/officeDocument/2006/relationships/hyperlink" Target="https://centrodedescargas.cnig.es/CentroDescargas/btn-poi" TargetMode="External"/><Relationship Id="rId1002" Type="http://schemas.openxmlformats.org/officeDocument/2006/relationships/hyperlink" Target="https://centrodedescargas.cnig.es/CentroDescargas/btn-poi" TargetMode="External"/><Relationship Id="rId1447" Type="http://schemas.openxmlformats.org/officeDocument/2006/relationships/hyperlink" Target="https://centrodedescargas.cnig.es/CentroDescargas/btn-poi" TargetMode="External"/><Relationship Id="rId1654" Type="http://schemas.openxmlformats.org/officeDocument/2006/relationships/hyperlink" Target="https://centrodedescargas.cnig.es/CentroDescargas/btn-poi" TargetMode="External"/><Relationship Id="rId1307" Type="http://schemas.openxmlformats.org/officeDocument/2006/relationships/hyperlink" Target="https://centrodedescargas.cnig.es/CentroDescargas/btn-poi" TargetMode="External"/><Relationship Id="rId1514" Type="http://schemas.openxmlformats.org/officeDocument/2006/relationships/hyperlink" Target="https://centrodedescargas.cnig.es/CentroDescargas/btn-poi" TargetMode="External"/><Relationship Id="rId1721" Type="http://schemas.openxmlformats.org/officeDocument/2006/relationships/hyperlink" Target="https://centrodedescargas.cnig.es/CentroDescargas/btn-poi" TargetMode="External"/><Relationship Id="rId13" Type="http://schemas.openxmlformats.org/officeDocument/2006/relationships/hyperlink" Target="https://centrodedescargas.cnig.es/CentroDescargas/btn-poi" TargetMode="External"/><Relationship Id="rId1819" Type="http://schemas.openxmlformats.org/officeDocument/2006/relationships/hyperlink" Target="https://centrodedescargas.cnig.es/CentroDescargas/btn-poi" TargetMode="External"/><Relationship Id="rId162" Type="http://schemas.openxmlformats.org/officeDocument/2006/relationships/hyperlink" Target="https://centrodedescargas.cnig.es/CentroDescargas/btn-poi" TargetMode="External"/><Relationship Id="rId467" Type="http://schemas.openxmlformats.org/officeDocument/2006/relationships/hyperlink" Target="https://centrodedescargas.cnig.es/CentroDescargas/btn-poi" TargetMode="External"/><Relationship Id="rId1097" Type="http://schemas.openxmlformats.org/officeDocument/2006/relationships/hyperlink" Target="https://centrodedescargas.cnig.es/CentroDescargas/btn-poi" TargetMode="External"/><Relationship Id="rId674" Type="http://schemas.openxmlformats.org/officeDocument/2006/relationships/hyperlink" Target="https://centrodedescargas.cnig.es/CentroDescargas/btn-poi" TargetMode="External"/><Relationship Id="rId881" Type="http://schemas.openxmlformats.org/officeDocument/2006/relationships/hyperlink" Target="https://centrodedescargas.cnig.es/CentroDescargas/btn-poi" TargetMode="External"/><Relationship Id="rId979" Type="http://schemas.openxmlformats.org/officeDocument/2006/relationships/hyperlink" Target="https://centrodedescargas.cnig.es/CentroDescargas/btn-poi" TargetMode="External"/><Relationship Id="rId327" Type="http://schemas.openxmlformats.org/officeDocument/2006/relationships/hyperlink" Target="https://centrodedescargas.cnig.es/CentroDescargas/btn-poi" TargetMode="External"/><Relationship Id="rId534" Type="http://schemas.openxmlformats.org/officeDocument/2006/relationships/hyperlink" Target="https://centrodedescargas.cnig.es/CentroDescargas/btn-poi" TargetMode="External"/><Relationship Id="rId741" Type="http://schemas.openxmlformats.org/officeDocument/2006/relationships/hyperlink" Target="https://centrodedescargas.cnig.es/CentroDescargas/btn-poi" TargetMode="External"/><Relationship Id="rId839" Type="http://schemas.openxmlformats.org/officeDocument/2006/relationships/hyperlink" Target="https://centrodedescargas.cnig.es/CentroDescargas/btn-poi" TargetMode="External"/><Relationship Id="rId1164" Type="http://schemas.openxmlformats.org/officeDocument/2006/relationships/hyperlink" Target="https://centrodedescargas.cnig.es/CentroDescargas/btn-poi" TargetMode="External"/><Relationship Id="rId1371" Type="http://schemas.openxmlformats.org/officeDocument/2006/relationships/hyperlink" Target="https://centrodedescargas.cnig.es/CentroDescargas/btn-poi" TargetMode="External"/><Relationship Id="rId1469" Type="http://schemas.openxmlformats.org/officeDocument/2006/relationships/hyperlink" Target="https://centrodedescargas.cnig.es/CentroDescargas/btn-poi" TargetMode="External"/><Relationship Id="rId601" Type="http://schemas.openxmlformats.org/officeDocument/2006/relationships/hyperlink" Target="https://centrodedescargas.cnig.es/CentroDescargas/btn-poi" TargetMode="External"/><Relationship Id="rId1024" Type="http://schemas.openxmlformats.org/officeDocument/2006/relationships/hyperlink" Target="https://centrodedescargas.cnig.es/CentroDescargas/btn-poi" TargetMode="External"/><Relationship Id="rId1231" Type="http://schemas.openxmlformats.org/officeDocument/2006/relationships/hyperlink" Target="https://centrodedescargas.cnig.es/CentroDescargas/btn-poi" TargetMode="External"/><Relationship Id="rId1676" Type="http://schemas.openxmlformats.org/officeDocument/2006/relationships/hyperlink" Target="https://centrodedescargas.cnig.es/CentroDescargas/btn-poi" TargetMode="External"/><Relationship Id="rId906" Type="http://schemas.openxmlformats.org/officeDocument/2006/relationships/hyperlink" Target="https://centrodedescargas.cnig.es/CentroDescargas/btn-poi" TargetMode="External"/><Relationship Id="rId1329" Type="http://schemas.openxmlformats.org/officeDocument/2006/relationships/hyperlink" Target="https://centrodedescargas.cnig.es/CentroDescargas/btn-poi" TargetMode="External"/><Relationship Id="rId1536" Type="http://schemas.openxmlformats.org/officeDocument/2006/relationships/hyperlink" Target="https://centrodedescargas.cnig.es/CentroDescargas/btn-poi" TargetMode="External"/><Relationship Id="rId1743" Type="http://schemas.openxmlformats.org/officeDocument/2006/relationships/hyperlink" Target="https://centrodedescargas.cnig.es/CentroDescargas/btn-poi" TargetMode="External"/><Relationship Id="rId35" Type="http://schemas.openxmlformats.org/officeDocument/2006/relationships/hyperlink" Target="https://centrodedescargas.cnig.es/CentroDescargas/btn-poi" TargetMode="External"/><Relationship Id="rId1603" Type="http://schemas.openxmlformats.org/officeDocument/2006/relationships/hyperlink" Target="https://centrodedescargas.cnig.es/CentroDescargas/btn-poi" TargetMode="External"/><Relationship Id="rId1810" Type="http://schemas.openxmlformats.org/officeDocument/2006/relationships/hyperlink" Target="https://centrodedescargas.cnig.es/CentroDescargas/btn-poi" TargetMode="External"/><Relationship Id="rId184" Type="http://schemas.openxmlformats.org/officeDocument/2006/relationships/hyperlink" Target="https://centrodedescargas.cnig.es/CentroDescargas/btn-poi" TargetMode="External"/><Relationship Id="rId391" Type="http://schemas.openxmlformats.org/officeDocument/2006/relationships/hyperlink" Target="https://centrodedescargas.cnig.es/CentroDescargas/btn-poi" TargetMode="External"/><Relationship Id="rId251" Type="http://schemas.openxmlformats.org/officeDocument/2006/relationships/hyperlink" Target="https://centrodedescargas.cnig.es/CentroDescargas/btn-poi" TargetMode="External"/><Relationship Id="rId489" Type="http://schemas.openxmlformats.org/officeDocument/2006/relationships/hyperlink" Target="https://centrodedescargas.cnig.es/CentroDescargas/btn-poi" TargetMode="External"/><Relationship Id="rId696" Type="http://schemas.openxmlformats.org/officeDocument/2006/relationships/hyperlink" Target="https://centrodedescargas.cnig.es/CentroDescargas/btn-poi" TargetMode="External"/><Relationship Id="rId349" Type="http://schemas.openxmlformats.org/officeDocument/2006/relationships/hyperlink" Target="https://centrodedescargas.cnig.es/CentroDescargas/btn-poi" TargetMode="External"/><Relationship Id="rId556" Type="http://schemas.openxmlformats.org/officeDocument/2006/relationships/hyperlink" Target="https://centrodedescargas.cnig.es/CentroDescargas/btn-poi" TargetMode="External"/><Relationship Id="rId763" Type="http://schemas.openxmlformats.org/officeDocument/2006/relationships/hyperlink" Target="https://centrodedescargas.cnig.es/CentroDescargas/btn-poi" TargetMode="External"/><Relationship Id="rId1186" Type="http://schemas.openxmlformats.org/officeDocument/2006/relationships/hyperlink" Target="https://centrodedescargas.cnig.es/CentroDescargas/btn-poi" TargetMode="External"/><Relationship Id="rId1393" Type="http://schemas.openxmlformats.org/officeDocument/2006/relationships/hyperlink" Target="https://centrodedescargas.cnig.es/CentroDescargas/btn-poi" TargetMode="External"/><Relationship Id="rId111" Type="http://schemas.openxmlformats.org/officeDocument/2006/relationships/hyperlink" Target="https://centrodedescargas.cnig.es/CentroDescargas/btn-poi" TargetMode="External"/><Relationship Id="rId209" Type="http://schemas.openxmlformats.org/officeDocument/2006/relationships/hyperlink" Target="https://centrodedescargas.cnig.es/CentroDescargas/btn-poi" TargetMode="External"/><Relationship Id="rId416" Type="http://schemas.openxmlformats.org/officeDocument/2006/relationships/hyperlink" Target="https://centrodedescargas.cnig.es/CentroDescargas/btn-poi" TargetMode="External"/><Relationship Id="rId970" Type="http://schemas.openxmlformats.org/officeDocument/2006/relationships/hyperlink" Target="https://centrodedescargas.cnig.es/CentroDescargas/btn-poi" TargetMode="External"/><Relationship Id="rId1046" Type="http://schemas.openxmlformats.org/officeDocument/2006/relationships/hyperlink" Target="https://centrodedescargas.cnig.es/CentroDescargas/btn-poi" TargetMode="External"/><Relationship Id="rId1253" Type="http://schemas.openxmlformats.org/officeDocument/2006/relationships/hyperlink" Target="https://centrodedescargas.cnig.es/CentroDescargas/btn-poi" TargetMode="External"/><Relationship Id="rId1698" Type="http://schemas.openxmlformats.org/officeDocument/2006/relationships/hyperlink" Target="https://centrodedescargas.cnig.es/CentroDescargas/btn-poi" TargetMode="External"/><Relationship Id="rId623" Type="http://schemas.openxmlformats.org/officeDocument/2006/relationships/hyperlink" Target="https://centrodedescargas.cnig.es/CentroDescargas/btn-poi" TargetMode="External"/><Relationship Id="rId830" Type="http://schemas.openxmlformats.org/officeDocument/2006/relationships/hyperlink" Target="https://centrodedescargas.cnig.es/CentroDescargas/btn-poi" TargetMode="External"/><Relationship Id="rId928" Type="http://schemas.openxmlformats.org/officeDocument/2006/relationships/hyperlink" Target="https://centrodedescargas.cnig.es/CentroDescargas/btn-poi" TargetMode="External"/><Relationship Id="rId1460" Type="http://schemas.openxmlformats.org/officeDocument/2006/relationships/hyperlink" Target="https://centrodedescargas.cnig.es/CentroDescargas/btn-poi" TargetMode="External"/><Relationship Id="rId1558" Type="http://schemas.openxmlformats.org/officeDocument/2006/relationships/hyperlink" Target="https://centrodedescargas.cnig.es/CentroDescargas/btn-poi" TargetMode="External"/><Relationship Id="rId1765" Type="http://schemas.openxmlformats.org/officeDocument/2006/relationships/hyperlink" Target="https://centrodedescargas.cnig.es/CentroDescargas/btn-poi" TargetMode="External"/><Relationship Id="rId57" Type="http://schemas.openxmlformats.org/officeDocument/2006/relationships/hyperlink" Target="https://centrodedescargas.cnig.es/CentroDescargas/btn-poi" TargetMode="External"/><Relationship Id="rId1113" Type="http://schemas.openxmlformats.org/officeDocument/2006/relationships/hyperlink" Target="https://centrodedescargas.cnig.es/CentroDescargas/btn-poi" TargetMode="External"/><Relationship Id="rId1320" Type="http://schemas.openxmlformats.org/officeDocument/2006/relationships/hyperlink" Target="https://centrodedescargas.cnig.es/CentroDescargas/btn-poi" TargetMode="External"/><Relationship Id="rId1418" Type="http://schemas.openxmlformats.org/officeDocument/2006/relationships/hyperlink" Target="https://centrodedescargas.cnig.es/CentroDescargas/btn-poi" TargetMode="External"/><Relationship Id="rId1625" Type="http://schemas.openxmlformats.org/officeDocument/2006/relationships/hyperlink" Target="https://centrodedescargas.cnig.es/CentroDescargas/btn-poi" TargetMode="External"/><Relationship Id="rId1832" Type="http://schemas.openxmlformats.org/officeDocument/2006/relationships/hyperlink" Target="https://centrodedescargas.cnig.es/CentroDescargas/btn-poi" TargetMode="External"/><Relationship Id="rId273" Type="http://schemas.openxmlformats.org/officeDocument/2006/relationships/hyperlink" Target="https://centrodedescargas.cnig.es/CentroDescargas/btn-poi" TargetMode="External"/><Relationship Id="rId480" Type="http://schemas.openxmlformats.org/officeDocument/2006/relationships/hyperlink" Target="https://centrodedescargas.cnig.es/CentroDescargas/btn-poi" TargetMode="External"/><Relationship Id="rId133" Type="http://schemas.openxmlformats.org/officeDocument/2006/relationships/hyperlink" Target="https://centrodedescargas.cnig.es/CentroDescargas/btn-poi" TargetMode="External"/><Relationship Id="rId340" Type="http://schemas.openxmlformats.org/officeDocument/2006/relationships/hyperlink" Target="https://centrodedescargas.cnig.es/CentroDescargas/btn-poi" TargetMode="External"/><Relationship Id="rId578" Type="http://schemas.openxmlformats.org/officeDocument/2006/relationships/hyperlink" Target="https://centrodedescargas.cnig.es/CentroDescargas/btn-poi" TargetMode="External"/><Relationship Id="rId785" Type="http://schemas.openxmlformats.org/officeDocument/2006/relationships/hyperlink" Target="https://centrodedescargas.cnig.es/CentroDescargas/btn-poi" TargetMode="External"/><Relationship Id="rId992" Type="http://schemas.openxmlformats.org/officeDocument/2006/relationships/hyperlink" Target="https://centrodedescargas.cnig.es/CentroDescargas/btn-poi" TargetMode="External"/><Relationship Id="rId200" Type="http://schemas.openxmlformats.org/officeDocument/2006/relationships/hyperlink" Target="https://centrodedescargas.cnig.es/CentroDescargas/btn-poi" TargetMode="External"/><Relationship Id="rId438" Type="http://schemas.openxmlformats.org/officeDocument/2006/relationships/hyperlink" Target="https://centrodedescargas.cnig.es/CentroDescargas/btn-poi" TargetMode="External"/><Relationship Id="rId645" Type="http://schemas.openxmlformats.org/officeDocument/2006/relationships/hyperlink" Target="https://centrodedescargas.cnig.es/CentroDescargas/btn-poi" TargetMode="External"/><Relationship Id="rId852" Type="http://schemas.openxmlformats.org/officeDocument/2006/relationships/hyperlink" Target="https://centrodedescargas.cnig.es/CentroDescargas/btn-poi" TargetMode="External"/><Relationship Id="rId1068" Type="http://schemas.openxmlformats.org/officeDocument/2006/relationships/hyperlink" Target="https://centrodedescargas.cnig.es/CentroDescargas/btn-poi" TargetMode="External"/><Relationship Id="rId1275" Type="http://schemas.openxmlformats.org/officeDocument/2006/relationships/hyperlink" Target="https://centrodedescargas.cnig.es/CentroDescargas/btn-poi" TargetMode="External"/><Relationship Id="rId1482" Type="http://schemas.openxmlformats.org/officeDocument/2006/relationships/hyperlink" Target="https://centrodedescargas.cnig.es/CentroDescargas/btn-poi" TargetMode="External"/><Relationship Id="rId505" Type="http://schemas.openxmlformats.org/officeDocument/2006/relationships/hyperlink" Target="https://centrodedescargas.cnig.es/CentroDescargas/btn-poi" TargetMode="External"/><Relationship Id="rId712" Type="http://schemas.openxmlformats.org/officeDocument/2006/relationships/hyperlink" Target="https://centrodedescargas.cnig.es/CentroDescargas/btn-poi" TargetMode="External"/><Relationship Id="rId1135" Type="http://schemas.openxmlformats.org/officeDocument/2006/relationships/hyperlink" Target="https://centrodedescargas.cnig.es/CentroDescargas/btn-poi" TargetMode="External"/><Relationship Id="rId1342" Type="http://schemas.openxmlformats.org/officeDocument/2006/relationships/hyperlink" Target="https://centrodedescargas.cnig.es/CentroDescargas/btn-poi" TargetMode="External"/><Relationship Id="rId1787" Type="http://schemas.openxmlformats.org/officeDocument/2006/relationships/hyperlink" Target="https://centrodedescargas.cnig.es/CentroDescargas/btn-poi" TargetMode="External"/><Relationship Id="rId79" Type="http://schemas.openxmlformats.org/officeDocument/2006/relationships/hyperlink" Target="https://centrodedescargas.cnig.es/CentroDescargas/btn-poi" TargetMode="External"/><Relationship Id="rId1202" Type="http://schemas.openxmlformats.org/officeDocument/2006/relationships/hyperlink" Target="https://centrodedescargas.cnig.es/CentroDescargas/btn-poi" TargetMode="External"/><Relationship Id="rId1647" Type="http://schemas.openxmlformats.org/officeDocument/2006/relationships/hyperlink" Target="https://centrodedescargas.cnig.es/CentroDescargas/btn-poi" TargetMode="External"/><Relationship Id="rId1507" Type="http://schemas.openxmlformats.org/officeDocument/2006/relationships/hyperlink" Target="https://centrodedescargas.cnig.es/CentroDescargas/btn-poi" TargetMode="External"/><Relationship Id="rId1714" Type="http://schemas.openxmlformats.org/officeDocument/2006/relationships/hyperlink" Target="https://centrodedescargas.cnig.es/CentroDescargas/btn-poi" TargetMode="External"/><Relationship Id="rId295" Type="http://schemas.openxmlformats.org/officeDocument/2006/relationships/hyperlink" Target="https://centrodedescargas.cnig.es/CentroDescargas/btn-poi" TargetMode="External"/><Relationship Id="rId155" Type="http://schemas.openxmlformats.org/officeDocument/2006/relationships/hyperlink" Target="https://centrodedescargas.cnig.es/CentroDescargas/btn-poi" TargetMode="External"/><Relationship Id="rId362" Type="http://schemas.openxmlformats.org/officeDocument/2006/relationships/hyperlink" Target="https://centrodedescargas.cnig.es/CentroDescargas/btn-poi" TargetMode="External"/><Relationship Id="rId1297" Type="http://schemas.openxmlformats.org/officeDocument/2006/relationships/hyperlink" Target="https://centrodedescargas.cnig.es/CentroDescargas/btn-poi" TargetMode="External"/><Relationship Id="rId222" Type="http://schemas.openxmlformats.org/officeDocument/2006/relationships/hyperlink" Target="https://centrodedescargas.cnig.es/CentroDescargas/btn-poi" TargetMode="External"/><Relationship Id="rId667" Type="http://schemas.openxmlformats.org/officeDocument/2006/relationships/hyperlink" Target="https://centrodedescargas.cnig.es/CentroDescargas/btn-poi" TargetMode="External"/><Relationship Id="rId874" Type="http://schemas.openxmlformats.org/officeDocument/2006/relationships/hyperlink" Target="https://centrodedescargas.cnig.es/CentroDescargas/btn-poi" TargetMode="External"/><Relationship Id="rId527" Type="http://schemas.openxmlformats.org/officeDocument/2006/relationships/hyperlink" Target="https://centrodedescargas.cnig.es/CentroDescargas/btn-poi" TargetMode="External"/><Relationship Id="rId734" Type="http://schemas.openxmlformats.org/officeDocument/2006/relationships/hyperlink" Target="https://centrodedescargas.cnig.es/CentroDescargas/btn-poi" TargetMode="External"/><Relationship Id="rId941" Type="http://schemas.openxmlformats.org/officeDocument/2006/relationships/hyperlink" Target="https://centrodedescargas.cnig.es/CentroDescargas/btn-poi" TargetMode="External"/><Relationship Id="rId1157" Type="http://schemas.openxmlformats.org/officeDocument/2006/relationships/hyperlink" Target="https://centrodedescargas.cnig.es/CentroDescargas/btn-poi" TargetMode="External"/><Relationship Id="rId1364" Type="http://schemas.openxmlformats.org/officeDocument/2006/relationships/hyperlink" Target="https://centrodedescargas.cnig.es/CentroDescargas/btn-poi" TargetMode="External"/><Relationship Id="rId1571" Type="http://schemas.openxmlformats.org/officeDocument/2006/relationships/hyperlink" Target="https://centrodedescargas.cnig.es/CentroDescargas/btn-poi" TargetMode="External"/><Relationship Id="rId70" Type="http://schemas.openxmlformats.org/officeDocument/2006/relationships/hyperlink" Target="https://centrodedescargas.cnig.es/CentroDescargas/btn-poi" TargetMode="External"/><Relationship Id="rId801" Type="http://schemas.openxmlformats.org/officeDocument/2006/relationships/hyperlink" Target="https://centrodedescargas.cnig.es/CentroDescargas/btn-poi" TargetMode="External"/><Relationship Id="rId1017" Type="http://schemas.openxmlformats.org/officeDocument/2006/relationships/hyperlink" Target="https://centrodedescargas.cnig.es/CentroDescargas/btn-poi" TargetMode="External"/><Relationship Id="rId1224" Type="http://schemas.openxmlformats.org/officeDocument/2006/relationships/hyperlink" Target="https://centrodedescargas.cnig.es/CentroDescargas/btn-poi" TargetMode="External"/><Relationship Id="rId1431" Type="http://schemas.openxmlformats.org/officeDocument/2006/relationships/hyperlink" Target="https://centrodedescargas.cnig.es/CentroDescargas/btn-poi" TargetMode="External"/><Relationship Id="rId1669" Type="http://schemas.openxmlformats.org/officeDocument/2006/relationships/hyperlink" Target="https://centrodedescargas.cnig.es/CentroDescargas/btn-poi" TargetMode="External"/><Relationship Id="rId1529" Type="http://schemas.openxmlformats.org/officeDocument/2006/relationships/hyperlink" Target="https://centrodedescargas.cnig.es/CentroDescargas/btn-poi" TargetMode="External"/><Relationship Id="rId1736" Type="http://schemas.openxmlformats.org/officeDocument/2006/relationships/hyperlink" Target="https://centrodedescargas.cnig.es/CentroDescargas/btn-poi" TargetMode="External"/><Relationship Id="rId28" Type="http://schemas.openxmlformats.org/officeDocument/2006/relationships/hyperlink" Target="https://centrodedescargas.cnig.es/CentroDescargas/btn-poi" TargetMode="External"/><Relationship Id="rId1803" Type="http://schemas.openxmlformats.org/officeDocument/2006/relationships/hyperlink" Target="https://centrodedescargas.cnig.es/CentroDescargas/btn-poi" TargetMode="External"/><Relationship Id="rId177" Type="http://schemas.openxmlformats.org/officeDocument/2006/relationships/hyperlink" Target="https://centrodedescargas.cnig.es/CentroDescargas/btn-poi" TargetMode="External"/><Relationship Id="rId384" Type="http://schemas.openxmlformats.org/officeDocument/2006/relationships/hyperlink" Target="https://centrodedescargas.cnig.es/CentroDescargas/btn-poi" TargetMode="External"/><Relationship Id="rId591" Type="http://schemas.openxmlformats.org/officeDocument/2006/relationships/hyperlink" Target="https://centrodedescargas.cnig.es/CentroDescargas/btn-poi" TargetMode="External"/><Relationship Id="rId244" Type="http://schemas.openxmlformats.org/officeDocument/2006/relationships/hyperlink" Target="https://centrodedescargas.cnig.es/CentroDescargas/btn-poi" TargetMode="External"/><Relationship Id="rId689" Type="http://schemas.openxmlformats.org/officeDocument/2006/relationships/hyperlink" Target="https://centrodedescargas.cnig.es/CentroDescargas/btn-poi" TargetMode="External"/><Relationship Id="rId896" Type="http://schemas.openxmlformats.org/officeDocument/2006/relationships/hyperlink" Target="https://centrodedescargas.cnig.es/CentroDescargas/btn-poi" TargetMode="External"/><Relationship Id="rId1081" Type="http://schemas.openxmlformats.org/officeDocument/2006/relationships/hyperlink" Target="https://centrodedescargas.cnig.es/CentroDescargas/btn-poi" TargetMode="External"/><Relationship Id="rId451" Type="http://schemas.openxmlformats.org/officeDocument/2006/relationships/hyperlink" Target="https://centrodedescargas.cnig.es/CentroDescargas/btn-poi" TargetMode="External"/><Relationship Id="rId549" Type="http://schemas.openxmlformats.org/officeDocument/2006/relationships/hyperlink" Target="https://centrodedescargas.cnig.es/CentroDescargas/btn-poi" TargetMode="External"/><Relationship Id="rId756" Type="http://schemas.openxmlformats.org/officeDocument/2006/relationships/hyperlink" Target="https://centrodedescargas.cnig.es/CentroDescargas/btn-poi" TargetMode="External"/><Relationship Id="rId1179" Type="http://schemas.openxmlformats.org/officeDocument/2006/relationships/hyperlink" Target="https://centrodedescargas.cnig.es/CentroDescargas/btn-poi" TargetMode="External"/><Relationship Id="rId1386" Type="http://schemas.openxmlformats.org/officeDocument/2006/relationships/hyperlink" Target="https://centrodedescargas.cnig.es/CentroDescargas/btn-poi" TargetMode="External"/><Relationship Id="rId1593" Type="http://schemas.openxmlformats.org/officeDocument/2006/relationships/hyperlink" Target="https://centrodedescargas.cnig.es/CentroDescargas/btn-poi" TargetMode="External"/><Relationship Id="rId104" Type="http://schemas.openxmlformats.org/officeDocument/2006/relationships/hyperlink" Target="https://centrodedescargas.cnig.es/CentroDescargas/btn-poi" TargetMode="External"/><Relationship Id="rId311" Type="http://schemas.openxmlformats.org/officeDocument/2006/relationships/hyperlink" Target="https://centrodedescargas.cnig.es/CentroDescargas/btn-poi" TargetMode="External"/><Relationship Id="rId409" Type="http://schemas.openxmlformats.org/officeDocument/2006/relationships/hyperlink" Target="https://centrodedescargas.cnig.es/CentroDescargas/btn-poi" TargetMode="External"/><Relationship Id="rId963" Type="http://schemas.openxmlformats.org/officeDocument/2006/relationships/hyperlink" Target="https://centrodedescargas.cnig.es/CentroDescargas/btn-poi" TargetMode="External"/><Relationship Id="rId1039" Type="http://schemas.openxmlformats.org/officeDocument/2006/relationships/hyperlink" Target="https://centrodedescargas.cnig.es/CentroDescargas/btn-poi" TargetMode="External"/><Relationship Id="rId1246" Type="http://schemas.openxmlformats.org/officeDocument/2006/relationships/hyperlink" Target="https://centrodedescargas.cnig.es/CentroDescargas/btn-poi" TargetMode="External"/><Relationship Id="rId92" Type="http://schemas.openxmlformats.org/officeDocument/2006/relationships/hyperlink" Target="https://centrodedescargas.cnig.es/CentroDescargas/btn-poi" TargetMode="External"/><Relationship Id="rId616" Type="http://schemas.openxmlformats.org/officeDocument/2006/relationships/hyperlink" Target="https://centrodedescargas.cnig.es/CentroDescargas/btn-poi" TargetMode="External"/><Relationship Id="rId823" Type="http://schemas.openxmlformats.org/officeDocument/2006/relationships/hyperlink" Target="https://centrodedescargas.cnig.es/CentroDescargas/btn-poi" TargetMode="External"/><Relationship Id="rId1453" Type="http://schemas.openxmlformats.org/officeDocument/2006/relationships/hyperlink" Target="https://centrodedescargas.cnig.es/CentroDescargas/btn-poi" TargetMode="External"/><Relationship Id="rId1660" Type="http://schemas.openxmlformats.org/officeDocument/2006/relationships/hyperlink" Target="https://centrodedescargas.cnig.es/CentroDescargas/btn-poi" TargetMode="External"/><Relationship Id="rId1758" Type="http://schemas.openxmlformats.org/officeDocument/2006/relationships/hyperlink" Target="https://centrodedescargas.cnig.es/CentroDescargas/btn-poi" TargetMode="External"/><Relationship Id="rId1106" Type="http://schemas.openxmlformats.org/officeDocument/2006/relationships/hyperlink" Target="https://centrodedescargas.cnig.es/CentroDescargas/btn-poi" TargetMode="External"/><Relationship Id="rId1313" Type="http://schemas.openxmlformats.org/officeDocument/2006/relationships/hyperlink" Target="https://centrodedescargas.cnig.es/CentroDescargas/btn-poi" TargetMode="External"/><Relationship Id="rId1520" Type="http://schemas.openxmlformats.org/officeDocument/2006/relationships/hyperlink" Target="https://centrodedescargas.cnig.es/CentroDescargas/btn-poi" TargetMode="External"/><Relationship Id="rId1618" Type="http://schemas.openxmlformats.org/officeDocument/2006/relationships/hyperlink" Target="https://centrodedescargas.cnig.es/CentroDescargas/btn-poi" TargetMode="External"/><Relationship Id="rId1825" Type="http://schemas.openxmlformats.org/officeDocument/2006/relationships/hyperlink" Target="https://centrodedescargas.cnig.es/CentroDescargas/btn-poi" TargetMode="External"/><Relationship Id="rId199" Type="http://schemas.openxmlformats.org/officeDocument/2006/relationships/hyperlink" Target="https://centrodedescargas.cnig.es/CentroDescargas/btn-poi" TargetMode="External"/><Relationship Id="rId266" Type="http://schemas.openxmlformats.org/officeDocument/2006/relationships/hyperlink" Target="https://centrodedescargas.cnig.es/CentroDescargas/btn-poi" TargetMode="External"/><Relationship Id="rId473" Type="http://schemas.openxmlformats.org/officeDocument/2006/relationships/hyperlink" Target="https://centrodedescargas.cnig.es/CentroDescargas/btn-poi" TargetMode="External"/><Relationship Id="rId680" Type="http://schemas.openxmlformats.org/officeDocument/2006/relationships/hyperlink" Target="https://centrodedescargas.cnig.es/CentroDescargas/btn-poi" TargetMode="External"/><Relationship Id="rId126" Type="http://schemas.openxmlformats.org/officeDocument/2006/relationships/hyperlink" Target="https://centrodedescargas.cnig.es/CentroDescargas/btn-poi" TargetMode="External"/><Relationship Id="rId333" Type="http://schemas.openxmlformats.org/officeDocument/2006/relationships/hyperlink" Target="https://centrodedescargas.cnig.es/CentroDescargas/btn-poi" TargetMode="External"/><Relationship Id="rId540" Type="http://schemas.openxmlformats.org/officeDocument/2006/relationships/hyperlink" Target="https://centrodedescargas.cnig.es/CentroDescargas/btn-poi" TargetMode="External"/><Relationship Id="rId778" Type="http://schemas.openxmlformats.org/officeDocument/2006/relationships/hyperlink" Target="https://centrodedescargas.cnig.es/CentroDescargas/btn-poi" TargetMode="External"/><Relationship Id="rId985" Type="http://schemas.openxmlformats.org/officeDocument/2006/relationships/hyperlink" Target="https://centrodedescargas.cnig.es/CentroDescargas/btn-poi" TargetMode="External"/><Relationship Id="rId1170" Type="http://schemas.openxmlformats.org/officeDocument/2006/relationships/hyperlink" Target="https://centrodedescargas.cnig.es/CentroDescargas/btn-poi" TargetMode="External"/><Relationship Id="rId638" Type="http://schemas.openxmlformats.org/officeDocument/2006/relationships/hyperlink" Target="https://centrodedescargas.cnig.es/CentroDescargas/btn-poi" TargetMode="External"/><Relationship Id="rId845" Type="http://schemas.openxmlformats.org/officeDocument/2006/relationships/hyperlink" Target="https://centrodedescargas.cnig.es/CentroDescargas/btn-poi" TargetMode="External"/><Relationship Id="rId1030" Type="http://schemas.openxmlformats.org/officeDocument/2006/relationships/hyperlink" Target="https://centrodedescargas.cnig.es/CentroDescargas/btn-poi" TargetMode="External"/><Relationship Id="rId1268" Type="http://schemas.openxmlformats.org/officeDocument/2006/relationships/hyperlink" Target="https://centrodedescargas.cnig.es/CentroDescargas/btn-poi" TargetMode="External"/><Relationship Id="rId1475" Type="http://schemas.openxmlformats.org/officeDocument/2006/relationships/hyperlink" Target="https://centrodedescargas.cnig.es/CentroDescargas/btn-poi" TargetMode="External"/><Relationship Id="rId1682" Type="http://schemas.openxmlformats.org/officeDocument/2006/relationships/hyperlink" Target="https://centrodedescargas.cnig.es/CentroDescargas/btn-poi" TargetMode="External"/><Relationship Id="rId400" Type="http://schemas.openxmlformats.org/officeDocument/2006/relationships/hyperlink" Target="https://centrodedescargas.cnig.es/CentroDescargas/btn-poi" TargetMode="External"/><Relationship Id="rId705" Type="http://schemas.openxmlformats.org/officeDocument/2006/relationships/hyperlink" Target="https://centrodedescargas.cnig.es/CentroDescargas/btn-poi" TargetMode="External"/><Relationship Id="rId1128" Type="http://schemas.openxmlformats.org/officeDocument/2006/relationships/hyperlink" Target="https://centrodedescargas.cnig.es/CentroDescargas/btn-poi" TargetMode="External"/><Relationship Id="rId1335" Type="http://schemas.openxmlformats.org/officeDocument/2006/relationships/hyperlink" Target="https://centrodedescargas.cnig.es/CentroDescargas/btn-poi" TargetMode="External"/><Relationship Id="rId1542" Type="http://schemas.openxmlformats.org/officeDocument/2006/relationships/hyperlink" Target="https://centrodedescargas.cnig.es/CentroDescargas/btn-poi" TargetMode="External"/><Relationship Id="rId912" Type="http://schemas.openxmlformats.org/officeDocument/2006/relationships/hyperlink" Target="https://centrodedescargas.cnig.es/CentroDescargas/btn-poi" TargetMode="External"/><Relationship Id="rId41" Type="http://schemas.openxmlformats.org/officeDocument/2006/relationships/hyperlink" Target="https://centrodedescargas.cnig.es/CentroDescargas/btn-poi" TargetMode="External"/><Relationship Id="rId1402" Type="http://schemas.openxmlformats.org/officeDocument/2006/relationships/hyperlink" Target="https://centrodedescargas.cnig.es/CentroDescargas/btn-poi" TargetMode="External"/><Relationship Id="rId1707" Type="http://schemas.openxmlformats.org/officeDocument/2006/relationships/hyperlink" Target="https://centrodedescargas.cnig.es/CentroDescargas/btn-poi" TargetMode="External"/><Relationship Id="rId190" Type="http://schemas.openxmlformats.org/officeDocument/2006/relationships/hyperlink" Target="https://centrodedescargas.cnig.es/CentroDescargas/btn-poi" TargetMode="External"/><Relationship Id="rId288" Type="http://schemas.openxmlformats.org/officeDocument/2006/relationships/hyperlink" Target="https://centrodedescargas.cnig.es/CentroDescargas/btn-poi" TargetMode="External"/><Relationship Id="rId495" Type="http://schemas.openxmlformats.org/officeDocument/2006/relationships/hyperlink" Target="https://centrodedescargas.cnig.es/CentroDescargas/btn-poi" TargetMode="External"/><Relationship Id="rId148" Type="http://schemas.openxmlformats.org/officeDocument/2006/relationships/hyperlink" Target="https://centrodedescargas.cnig.es/CentroDescargas/btn-poi" TargetMode="External"/><Relationship Id="rId355" Type="http://schemas.openxmlformats.org/officeDocument/2006/relationships/hyperlink" Target="https://centrodedescargas.cnig.es/CentroDescargas/btn-poi" TargetMode="External"/><Relationship Id="rId562" Type="http://schemas.openxmlformats.org/officeDocument/2006/relationships/hyperlink" Target="https://centrodedescargas.cnig.es/CentroDescargas/btn-poi" TargetMode="External"/><Relationship Id="rId1192" Type="http://schemas.openxmlformats.org/officeDocument/2006/relationships/hyperlink" Target="https://centrodedescargas.cnig.es/CentroDescargas/btn-poi" TargetMode="External"/><Relationship Id="rId215" Type="http://schemas.openxmlformats.org/officeDocument/2006/relationships/hyperlink" Target="https://centrodedescargas.cnig.es/CentroDescargas/btn-poi" TargetMode="External"/><Relationship Id="rId422" Type="http://schemas.openxmlformats.org/officeDocument/2006/relationships/hyperlink" Target="https://centrodedescargas.cnig.es/CentroDescargas/btn-poi" TargetMode="External"/><Relationship Id="rId867" Type="http://schemas.openxmlformats.org/officeDocument/2006/relationships/hyperlink" Target="https://centrodedescargas.cnig.es/CentroDescargas/btn-poi" TargetMode="External"/><Relationship Id="rId1052" Type="http://schemas.openxmlformats.org/officeDocument/2006/relationships/hyperlink" Target="https://centrodedescargas.cnig.es/CentroDescargas/btn-poi" TargetMode="External"/><Relationship Id="rId1497" Type="http://schemas.openxmlformats.org/officeDocument/2006/relationships/hyperlink" Target="https://centrodedescargas.cnig.es/CentroDescargas/btn-poi" TargetMode="External"/><Relationship Id="rId727" Type="http://schemas.openxmlformats.org/officeDocument/2006/relationships/hyperlink" Target="https://centrodedescargas.cnig.es/CentroDescargas/btn-poi" TargetMode="External"/><Relationship Id="rId934" Type="http://schemas.openxmlformats.org/officeDocument/2006/relationships/hyperlink" Target="https://centrodedescargas.cnig.es/CentroDescargas/btn-poi" TargetMode="External"/><Relationship Id="rId1357" Type="http://schemas.openxmlformats.org/officeDocument/2006/relationships/hyperlink" Target="https://centrodedescargas.cnig.es/CentroDescargas/btn-poi" TargetMode="External"/><Relationship Id="rId1564" Type="http://schemas.openxmlformats.org/officeDocument/2006/relationships/hyperlink" Target="https://centrodedescargas.cnig.es/CentroDescargas/btn-poi" TargetMode="External"/><Relationship Id="rId1771" Type="http://schemas.openxmlformats.org/officeDocument/2006/relationships/hyperlink" Target="https://centrodedescargas.cnig.es/CentroDescargas/btn-poi" TargetMode="External"/><Relationship Id="rId63" Type="http://schemas.openxmlformats.org/officeDocument/2006/relationships/hyperlink" Target="https://centrodedescargas.cnig.es/CentroDescargas/btn-poi" TargetMode="External"/><Relationship Id="rId1217" Type="http://schemas.openxmlformats.org/officeDocument/2006/relationships/hyperlink" Target="https://centrodedescargas.cnig.es/CentroDescargas/btn-poi" TargetMode="External"/><Relationship Id="rId1424" Type="http://schemas.openxmlformats.org/officeDocument/2006/relationships/hyperlink" Target="https://centrodedescargas.cnig.es/CentroDescargas/btn-poi" TargetMode="External"/><Relationship Id="rId1631" Type="http://schemas.openxmlformats.org/officeDocument/2006/relationships/hyperlink" Target="https://centrodedescargas.cnig.es/CentroDescargas/btn-poi" TargetMode="External"/><Relationship Id="rId1729" Type="http://schemas.openxmlformats.org/officeDocument/2006/relationships/hyperlink" Target="https://centrodedescargas.cnig.es/CentroDescargas/btn-poi" TargetMode="External"/><Relationship Id="rId377" Type="http://schemas.openxmlformats.org/officeDocument/2006/relationships/hyperlink" Target="https://centrodedescargas.cnig.es/CentroDescargas/btn-poi" TargetMode="External"/><Relationship Id="rId584" Type="http://schemas.openxmlformats.org/officeDocument/2006/relationships/hyperlink" Target="https://centrodedescargas.cnig.es/CentroDescargas/btn-poi" TargetMode="External"/><Relationship Id="rId5" Type="http://schemas.openxmlformats.org/officeDocument/2006/relationships/hyperlink" Target="https://centrodedescargas.cnig.es/CentroDescargas/btn-poi" TargetMode="External"/><Relationship Id="rId237" Type="http://schemas.openxmlformats.org/officeDocument/2006/relationships/hyperlink" Target="https://centrodedescargas.cnig.es/CentroDescargas/btn-poi" TargetMode="External"/><Relationship Id="rId791" Type="http://schemas.openxmlformats.org/officeDocument/2006/relationships/hyperlink" Target="https://centrodedescargas.cnig.es/CentroDescargas/btn-poi" TargetMode="External"/><Relationship Id="rId889" Type="http://schemas.openxmlformats.org/officeDocument/2006/relationships/hyperlink" Target="https://centrodedescargas.cnig.es/CentroDescargas/btn-poi" TargetMode="External"/><Relationship Id="rId1074" Type="http://schemas.openxmlformats.org/officeDocument/2006/relationships/hyperlink" Target="https://centrodedescargas.cnig.es/CentroDescargas/btn-poi" TargetMode="External"/><Relationship Id="rId444" Type="http://schemas.openxmlformats.org/officeDocument/2006/relationships/hyperlink" Target="https://centrodedescargas.cnig.es/CentroDescargas/btn-poi" TargetMode="External"/><Relationship Id="rId651" Type="http://schemas.openxmlformats.org/officeDocument/2006/relationships/hyperlink" Target="https://centrodedescargas.cnig.es/CentroDescargas/btn-poi" TargetMode="External"/><Relationship Id="rId749" Type="http://schemas.openxmlformats.org/officeDocument/2006/relationships/hyperlink" Target="https://centrodedescargas.cnig.es/CentroDescargas/btn-poi" TargetMode="External"/><Relationship Id="rId1281" Type="http://schemas.openxmlformats.org/officeDocument/2006/relationships/hyperlink" Target="https://centrodedescargas.cnig.es/CentroDescargas/btn-poi" TargetMode="External"/><Relationship Id="rId1379" Type="http://schemas.openxmlformats.org/officeDocument/2006/relationships/hyperlink" Target="https://centrodedescargas.cnig.es/CentroDescargas/btn-poi" TargetMode="External"/><Relationship Id="rId1586" Type="http://schemas.openxmlformats.org/officeDocument/2006/relationships/hyperlink" Target="https://centrodedescargas.cnig.es/CentroDescargas/btn-poi" TargetMode="External"/><Relationship Id="rId304" Type="http://schemas.openxmlformats.org/officeDocument/2006/relationships/hyperlink" Target="https://centrodedescargas.cnig.es/CentroDescargas/btn-poi" TargetMode="External"/><Relationship Id="rId511" Type="http://schemas.openxmlformats.org/officeDocument/2006/relationships/hyperlink" Target="https://centrodedescargas.cnig.es/CentroDescargas/btn-poi" TargetMode="External"/><Relationship Id="rId609" Type="http://schemas.openxmlformats.org/officeDocument/2006/relationships/hyperlink" Target="https://centrodedescargas.cnig.es/CentroDescargas/btn-poi" TargetMode="External"/><Relationship Id="rId956" Type="http://schemas.openxmlformats.org/officeDocument/2006/relationships/hyperlink" Target="https://centrodedescargas.cnig.es/CentroDescargas/btn-poi" TargetMode="External"/><Relationship Id="rId1141" Type="http://schemas.openxmlformats.org/officeDocument/2006/relationships/hyperlink" Target="https://centrodedescargas.cnig.es/CentroDescargas/btn-poi" TargetMode="External"/><Relationship Id="rId1239" Type="http://schemas.openxmlformats.org/officeDocument/2006/relationships/hyperlink" Target="https://centrodedescargas.cnig.es/CentroDescargas/btn-poi" TargetMode="External"/><Relationship Id="rId1793" Type="http://schemas.openxmlformats.org/officeDocument/2006/relationships/hyperlink" Target="https://centrodedescargas.cnig.es/CentroDescargas/btn-poi" TargetMode="External"/><Relationship Id="rId85" Type="http://schemas.openxmlformats.org/officeDocument/2006/relationships/hyperlink" Target="https://centrodedescargas.cnig.es/CentroDescargas/btn-poi" TargetMode="External"/><Relationship Id="rId816" Type="http://schemas.openxmlformats.org/officeDocument/2006/relationships/hyperlink" Target="https://centrodedescargas.cnig.es/CentroDescargas/btn-poi" TargetMode="External"/><Relationship Id="rId1001" Type="http://schemas.openxmlformats.org/officeDocument/2006/relationships/hyperlink" Target="https://centrodedescargas.cnig.es/CentroDescargas/btn-poi" TargetMode="External"/><Relationship Id="rId1446" Type="http://schemas.openxmlformats.org/officeDocument/2006/relationships/hyperlink" Target="https://centrodedescargas.cnig.es/CentroDescargas/btn-poi" TargetMode="External"/><Relationship Id="rId1653" Type="http://schemas.openxmlformats.org/officeDocument/2006/relationships/hyperlink" Target="https://centrodedescargas.cnig.es/CentroDescargas/btn-poi" TargetMode="External"/><Relationship Id="rId1306" Type="http://schemas.openxmlformats.org/officeDocument/2006/relationships/hyperlink" Target="https://centrodedescargas.cnig.es/CentroDescargas/btn-poi" TargetMode="External"/><Relationship Id="rId1513" Type="http://schemas.openxmlformats.org/officeDocument/2006/relationships/hyperlink" Target="https://centrodedescargas.cnig.es/CentroDescargas/btn-poi" TargetMode="External"/><Relationship Id="rId1720" Type="http://schemas.openxmlformats.org/officeDocument/2006/relationships/hyperlink" Target="https://centrodedescargas.cnig.es/CentroDescargas/btn-poi" TargetMode="External"/><Relationship Id="rId12" Type="http://schemas.openxmlformats.org/officeDocument/2006/relationships/hyperlink" Target="https://centrodedescargas.cnig.es/CentroDescargas/btn-poi" TargetMode="External"/><Relationship Id="rId1818" Type="http://schemas.openxmlformats.org/officeDocument/2006/relationships/hyperlink" Target="https://centrodedescargas.cnig.es/CentroDescargas/btn-poi" TargetMode="External"/><Relationship Id="rId161" Type="http://schemas.openxmlformats.org/officeDocument/2006/relationships/hyperlink" Target="https://centrodedescargas.cnig.es/CentroDescargas/btn-poi" TargetMode="External"/><Relationship Id="rId399" Type="http://schemas.openxmlformats.org/officeDocument/2006/relationships/hyperlink" Target="https://centrodedescargas.cnig.es/CentroDescargas/btn-poi" TargetMode="External"/><Relationship Id="rId259" Type="http://schemas.openxmlformats.org/officeDocument/2006/relationships/hyperlink" Target="https://centrodedescargas.cnig.es/CentroDescargas/btn-poi" TargetMode="External"/><Relationship Id="rId466" Type="http://schemas.openxmlformats.org/officeDocument/2006/relationships/hyperlink" Target="https://centrodedescargas.cnig.es/CentroDescargas/btn-poi" TargetMode="External"/><Relationship Id="rId673" Type="http://schemas.openxmlformats.org/officeDocument/2006/relationships/hyperlink" Target="https://centrodedescargas.cnig.es/CentroDescargas/btn-poi" TargetMode="External"/><Relationship Id="rId880" Type="http://schemas.openxmlformats.org/officeDocument/2006/relationships/hyperlink" Target="https://centrodedescargas.cnig.es/CentroDescargas/btn-poi" TargetMode="External"/><Relationship Id="rId1096" Type="http://schemas.openxmlformats.org/officeDocument/2006/relationships/hyperlink" Target="https://centrodedescargas.cnig.es/CentroDescargas/btn-poi" TargetMode="External"/><Relationship Id="rId119" Type="http://schemas.openxmlformats.org/officeDocument/2006/relationships/hyperlink" Target="https://centrodedescargas.cnig.es/CentroDescargas/btn-poi" TargetMode="External"/><Relationship Id="rId326" Type="http://schemas.openxmlformats.org/officeDocument/2006/relationships/hyperlink" Target="https://centrodedescargas.cnig.es/CentroDescargas/btn-poi" TargetMode="External"/><Relationship Id="rId533" Type="http://schemas.openxmlformats.org/officeDocument/2006/relationships/hyperlink" Target="https://centrodedescargas.cnig.es/CentroDescargas/btn-poi" TargetMode="External"/><Relationship Id="rId978" Type="http://schemas.openxmlformats.org/officeDocument/2006/relationships/hyperlink" Target="https://centrodedescargas.cnig.es/CentroDescargas/btn-poi" TargetMode="External"/><Relationship Id="rId1163" Type="http://schemas.openxmlformats.org/officeDocument/2006/relationships/hyperlink" Target="https://centrodedescargas.cnig.es/CentroDescargas/btn-poi" TargetMode="External"/><Relationship Id="rId1370" Type="http://schemas.openxmlformats.org/officeDocument/2006/relationships/hyperlink" Target="https://centrodedescargas.cnig.es/CentroDescargas/btn-poi" TargetMode="External"/><Relationship Id="rId740" Type="http://schemas.openxmlformats.org/officeDocument/2006/relationships/hyperlink" Target="https://centrodedescargas.cnig.es/CentroDescargas/btn-poi" TargetMode="External"/><Relationship Id="rId838" Type="http://schemas.openxmlformats.org/officeDocument/2006/relationships/hyperlink" Target="https://centrodedescargas.cnig.es/CentroDescargas/btn-poi" TargetMode="External"/><Relationship Id="rId1023" Type="http://schemas.openxmlformats.org/officeDocument/2006/relationships/hyperlink" Target="https://centrodedescargas.cnig.es/CentroDescargas/btn-poi" TargetMode="External"/><Relationship Id="rId1468" Type="http://schemas.openxmlformats.org/officeDocument/2006/relationships/hyperlink" Target="https://centrodedescargas.cnig.es/CentroDescargas/btn-poi" TargetMode="External"/><Relationship Id="rId1675" Type="http://schemas.openxmlformats.org/officeDocument/2006/relationships/hyperlink" Target="https://centrodedescargas.cnig.es/CentroDescargas/btn-poi" TargetMode="External"/><Relationship Id="rId600" Type="http://schemas.openxmlformats.org/officeDocument/2006/relationships/hyperlink" Target="https://centrodedescargas.cnig.es/CentroDescargas/btn-poi" TargetMode="External"/><Relationship Id="rId1230" Type="http://schemas.openxmlformats.org/officeDocument/2006/relationships/hyperlink" Target="https://centrodedescargas.cnig.es/CentroDescargas/btn-poi" TargetMode="External"/><Relationship Id="rId1328" Type="http://schemas.openxmlformats.org/officeDocument/2006/relationships/hyperlink" Target="https://centrodedescargas.cnig.es/CentroDescargas/btn-poi" TargetMode="External"/><Relationship Id="rId1535" Type="http://schemas.openxmlformats.org/officeDocument/2006/relationships/hyperlink" Target="https://centrodedescargas.cnig.es/CentroDescargas/btn-poi" TargetMode="External"/><Relationship Id="rId905" Type="http://schemas.openxmlformats.org/officeDocument/2006/relationships/hyperlink" Target="https://centrodedescargas.cnig.es/CentroDescargas/btn-poi" TargetMode="External"/><Relationship Id="rId1742" Type="http://schemas.openxmlformats.org/officeDocument/2006/relationships/hyperlink" Target="https://centrodedescargas.cnig.es/CentroDescargas/btn-poi" TargetMode="External"/><Relationship Id="rId34" Type="http://schemas.openxmlformats.org/officeDocument/2006/relationships/hyperlink" Target="https://centrodedescargas.cnig.es/CentroDescargas/btn-poi" TargetMode="External"/><Relationship Id="rId1602" Type="http://schemas.openxmlformats.org/officeDocument/2006/relationships/hyperlink" Target="https://centrodedescargas.cnig.es/CentroDescargas/btn-poi" TargetMode="External"/><Relationship Id="rId183" Type="http://schemas.openxmlformats.org/officeDocument/2006/relationships/hyperlink" Target="https://centrodedescargas.cnig.es/CentroDescargas/btn-poi" TargetMode="External"/><Relationship Id="rId390" Type="http://schemas.openxmlformats.org/officeDocument/2006/relationships/hyperlink" Target="https://centrodedescargas.cnig.es/CentroDescargas/btn-poi" TargetMode="External"/><Relationship Id="rId250" Type="http://schemas.openxmlformats.org/officeDocument/2006/relationships/hyperlink" Target="https://centrodedescargas.cnig.es/CentroDescargas/btn-poi" TargetMode="External"/><Relationship Id="rId488" Type="http://schemas.openxmlformats.org/officeDocument/2006/relationships/hyperlink" Target="https://centrodedescargas.cnig.es/CentroDescargas/btn-poi" TargetMode="External"/><Relationship Id="rId695" Type="http://schemas.openxmlformats.org/officeDocument/2006/relationships/hyperlink" Target="https://centrodedescargas.cnig.es/CentroDescargas/btn-poi" TargetMode="External"/><Relationship Id="rId110" Type="http://schemas.openxmlformats.org/officeDocument/2006/relationships/hyperlink" Target="https://centrodedescargas.cnig.es/CentroDescargas/btn-poi" TargetMode="External"/><Relationship Id="rId348" Type="http://schemas.openxmlformats.org/officeDocument/2006/relationships/hyperlink" Target="https://centrodedescargas.cnig.es/CentroDescargas/btn-poi" TargetMode="External"/><Relationship Id="rId555" Type="http://schemas.openxmlformats.org/officeDocument/2006/relationships/hyperlink" Target="https://centrodedescargas.cnig.es/CentroDescargas/btn-poi" TargetMode="External"/><Relationship Id="rId762" Type="http://schemas.openxmlformats.org/officeDocument/2006/relationships/hyperlink" Target="https://centrodedescargas.cnig.es/CentroDescargas/btn-poi" TargetMode="External"/><Relationship Id="rId1185" Type="http://schemas.openxmlformats.org/officeDocument/2006/relationships/hyperlink" Target="https://centrodedescargas.cnig.es/CentroDescargas/btn-poi" TargetMode="External"/><Relationship Id="rId1392" Type="http://schemas.openxmlformats.org/officeDocument/2006/relationships/hyperlink" Target="https://centrodedescargas.cnig.es/CentroDescargas/btn-poi" TargetMode="External"/><Relationship Id="rId208" Type="http://schemas.openxmlformats.org/officeDocument/2006/relationships/hyperlink" Target="https://centrodedescargas.cnig.es/CentroDescargas/btn-poi" TargetMode="External"/><Relationship Id="rId415" Type="http://schemas.openxmlformats.org/officeDocument/2006/relationships/hyperlink" Target="https://centrodedescargas.cnig.es/CentroDescargas/btn-poi" TargetMode="External"/><Relationship Id="rId622" Type="http://schemas.openxmlformats.org/officeDocument/2006/relationships/hyperlink" Target="https://centrodedescargas.cnig.es/CentroDescargas/btn-poi" TargetMode="External"/><Relationship Id="rId1045" Type="http://schemas.openxmlformats.org/officeDocument/2006/relationships/hyperlink" Target="https://centrodedescargas.cnig.es/CentroDescargas/btn-poi" TargetMode="External"/><Relationship Id="rId1252" Type="http://schemas.openxmlformats.org/officeDocument/2006/relationships/hyperlink" Target="https://centrodedescargas.cnig.es/CentroDescargas/btn-poi" TargetMode="External"/><Relationship Id="rId1697" Type="http://schemas.openxmlformats.org/officeDocument/2006/relationships/hyperlink" Target="https://centrodedescargas.cnig.es/CentroDescargas/btn-poi" TargetMode="External"/><Relationship Id="rId927" Type="http://schemas.openxmlformats.org/officeDocument/2006/relationships/hyperlink" Target="https://centrodedescargas.cnig.es/CentroDescargas/btn-poi" TargetMode="External"/><Relationship Id="rId1112" Type="http://schemas.openxmlformats.org/officeDocument/2006/relationships/hyperlink" Target="https://centrodedescargas.cnig.es/CentroDescargas/btn-poi" TargetMode="External"/><Relationship Id="rId1557" Type="http://schemas.openxmlformats.org/officeDocument/2006/relationships/hyperlink" Target="https://centrodedescargas.cnig.es/CentroDescargas/btn-poi" TargetMode="External"/><Relationship Id="rId1764" Type="http://schemas.openxmlformats.org/officeDocument/2006/relationships/hyperlink" Target="https://centrodedescargas.cnig.es/CentroDescargas/btn-poi" TargetMode="External"/><Relationship Id="rId56" Type="http://schemas.openxmlformats.org/officeDocument/2006/relationships/hyperlink" Target="https://centrodedescargas.cnig.es/CentroDescargas/btn-poi" TargetMode="External"/><Relationship Id="rId1417" Type="http://schemas.openxmlformats.org/officeDocument/2006/relationships/hyperlink" Target="https://centrodedescargas.cnig.es/CentroDescargas/btn-poi" TargetMode="External"/><Relationship Id="rId1624" Type="http://schemas.openxmlformats.org/officeDocument/2006/relationships/hyperlink" Target="https://centrodedescargas.cnig.es/CentroDescargas/btn-poi" TargetMode="External"/><Relationship Id="rId1831" Type="http://schemas.openxmlformats.org/officeDocument/2006/relationships/hyperlink" Target="https://centrodedescargas.cnig.es/CentroDescargas/btn-poi" TargetMode="External"/><Relationship Id="rId272" Type="http://schemas.openxmlformats.org/officeDocument/2006/relationships/hyperlink" Target="https://centrodedescargas.cnig.es/CentroDescargas/btn-poi" TargetMode="External"/><Relationship Id="rId577" Type="http://schemas.openxmlformats.org/officeDocument/2006/relationships/hyperlink" Target="https://centrodedescargas.cnig.es/CentroDescargas/btn-poi" TargetMode="External"/><Relationship Id="rId132" Type="http://schemas.openxmlformats.org/officeDocument/2006/relationships/hyperlink" Target="https://centrodedescargas.cnig.es/CentroDescargas/btn-poi" TargetMode="External"/><Relationship Id="rId784" Type="http://schemas.openxmlformats.org/officeDocument/2006/relationships/hyperlink" Target="https://centrodedescargas.cnig.es/CentroDescargas/btn-poi" TargetMode="External"/><Relationship Id="rId991" Type="http://schemas.openxmlformats.org/officeDocument/2006/relationships/hyperlink" Target="https://centrodedescargas.cnig.es/CentroDescargas/btn-poi" TargetMode="External"/><Relationship Id="rId1067" Type="http://schemas.openxmlformats.org/officeDocument/2006/relationships/hyperlink" Target="https://centrodedescargas.cnig.es/CentroDescargas/btn-poi" TargetMode="External"/><Relationship Id="rId437" Type="http://schemas.openxmlformats.org/officeDocument/2006/relationships/hyperlink" Target="https://centrodedescargas.cnig.es/CentroDescargas/btn-poi" TargetMode="External"/><Relationship Id="rId644" Type="http://schemas.openxmlformats.org/officeDocument/2006/relationships/hyperlink" Target="https://centrodedescargas.cnig.es/CentroDescargas/btn-poi" TargetMode="External"/><Relationship Id="rId851" Type="http://schemas.openxmlformats.org/officeDocument/2006/relationships/hyperlink" Target="https://centrodedescargas.cnig.es/CentroDescargas/btn-poi" TargetMode="External"/><Relationship Id="rId1274" Type="http://schemas.openxmlformats.org/officeDocument/2006/relationships/hyperlink" Target="https://centrodedescargas.cnig.es/CentroDescargas/btn-poi" TargetMode="External"/><Relationship Id="rId1481" Type="http://schemas.openxmlformats.org/officeDocument/2006/relationships/hyperlink" Target="https://centrodedescargas.cnig.es/CentroDescargas/btn-poi" TargetMode="External"/><Relationship Id="rId1579" Type="http://schemas.openxmlformats.org/officeDocument/2006/relationships/hyperlink" Target="https://centrodedescargas.cnig.es/CentroDescargas/btn-poi" TargetMode="External"/><Relationship Id="rId504" Type="http://schemas.openxmlformats.org/officeDocument/2006/relationships/hyperlink" Target="https://centrodedescargas.cnig.es/CentroDescargas/btn-poi" TargetMode="External"/><Relationship Id="rId711" Type="http://schemas.openxmlformats.org/officeDocument/2006/relationships/hyperlink" Target="https://centrodedescargas.cnig.es/CentroDescargas/btn-poi" TargetMode="External"/><Relationship Id="rId949" Type="http://schemas.openxmlformats.org/officeDocument/2006/relationships/hyperlink" Target="https://centrodedescargas.cnig.es/CentroDescargas/btn-poi" TargetMode="External"/><Relationship Id="rId1134" Type="http://schemas.openxmlformats.org/officeDocument/2006/relationships/hyperlink" Target="https://centrodedescargas.cnig.es/CentroDescargas/btn-poi" TargetMode="External"/><Relationship Id="rId1341" Type="http://schemas.openxmlformats.org/officeDocument/2006/relationships/hyperlink" Target="https://centrodedescargas.cnig.es/CentroDescargas/btn-poi" TargetMode="External"/><Relationship Id="rId1786" Type="http://schemas.openxmlformats.org/officeDocument/2006/relationships/hyperlink" Target="https://centrodedescargas.cnig.es/CentroDescargas/btn-poi" TargetMode="External"/><Relationship Id="rId78" Type="http://schemas.openxmlformats.org/officeDocument/2006/relationships/hyperlink" Target="https://centrodedescargas.cnig.es/CentroDescargas/btn-poi" TargetMode="External"/><Relationship Id="rId809" Type="http://schemas.openxmlformats.org/officeDocument/2006/relationships/hyperlink" Target="https://centrodedescargas.cnig.es/CentroDescargas/btn-poi" TargetMode="External"/><Relationship Id="rId1201" Type="http://schemas.openxmlformats.org/officeDocument/2006/relationships/hyperlink" Target="https://centrodedescargas.cnig.es/CentroDescargas/btn-poi" TargetMode="External"/><Relationship Id="rId1439" Type="http://schemas.openxmlformats.org/officeDocument/2006/relationships/hyperlink" Target="https://centrodedescargas.cnig.es/CentroDescargas/btn-poi" TargetMode="External"/><Relationship Id="rId1646" Type="http://schemas.openxmlformats.org/officeDocument/2006/relationships/hyperlink" Target="https://centrodedescargas.cnig.es/CentroDescargas/btn-poi" TargetMode="External"/><Relationship Id="rId1506" Type="http://schemas.openxmlformats.org/officeDocument/2006/relationships/hyperlink" Target="https://centrodedescargas.cnig.es/CentroDescargas/btn-poi" TargetMode="External"/><Relationship Id="rId1713" Type="http://schemas.openxmlformats.org/officeDocument/2006/relationships/hyperlink" Target="https://centrodedescargas.cnig.es/CentroDescargas/btn-poi" TargetMode="External"/><Relationship Id="rId294" Type="http://schemas.openxmlformats.org/officeDocument/2006/relationships/hyperlink" Target="https://centrodedescargas.cnig.es/CentroDescargas/btn-poi" TargetMode="External"/><Relationship Id="rId154" Type="http://schemas.openxmlformats.org/officeDocument/2006/relationships/hyperlink" Target="https://centrodedescargas.cnig.es/CentroDescargas/btn-poi" TargetMode="External"/><Relationship Id="rId361" Type="http://schemas.openxmlformats.org/officeDocument/2006/relationships/hyperlink" Target="https://centrodedescargas.cnig.es/CentroDescargas/btn-poi" TargetMode="External"/><Relationship Id="rId599" Type="http://schemas.openxmlformats.org/officeDocument/2006/relationships/hyperlink" Target="https://centrodedescargas.cnig.es/CentroDescargas/btn-poi" TargetMode="External"/><Relationship Id="rId459" Type="http://schemas.openxmlformats.org/officeDocument/2006/relationships/hyperlink" Target="https://centrodedescargas.cnig.es/CentroDescargas/btn-poi" TargetMode="External"/><Relationship Id="rId666" Type="http://schemas.openxmlformats.org/officeDocument/2006/relationships/hyperlink" Target="https://centrodedescargas.cnig.es/CentroDescargas/btn-poi" TargetMode="External"/><Relationship Id="rId873" Type="http://schemas.openxmlformats.org/officeDocument/2006/relationships/hyperlink" Target="https://centrodedescargas.cnig.es/CentroDescargas/btn-poi" TargetMode="External"/><Relationship Id="rId1089" Type="http://schemas.openxmlformats.org/officeDocument/2006/relationships/hyperlink" Target="https://centrodedescargas.cnig.es/CentroDescargas/btn-poi" TargetMode="External"/><Relationship Id="rId1296" Type="http://schemas.openxmlformats.org/officeDocument/2006/relationships/hyperlink" Target="https://centrodedescargas.cnig.es/CentroDescargas/btn-poi" TargetMode="External"/><Relationship Id="rId221" Type="http://schemas.openxmlformats.org/officeDocument/2006/relationships/hyperlink" Target="https://centrodedescargas.cnig.es/CentroDescargas/btn-poi" TargetMode="External"/><Relationship Id="rId319" Type="http://schemas.openxmlformats.org/officeDocument/2006/relationships/hyperlink" Target="https://centrodedescargas.cnig.es/CentroDescargas/btn-poi" TargetMode="External"/><Relationship Id="rId526" Type="http://schemas.openxmlformats.org/officeDocument/2006/relationships/hyperlink" Target="https://centrodedescargas.cnig.es/CentroDescargas/btn-poi" TargetMode="External"/><Relationship Id="rId1156" Type="http://schemas.openxmlformats.org/officeDocument/2006/relationships/hyperlink" Target="https://centrodedescargas.cnig.es/CentroDescargas/btn-poi" TargetMode="External"/><Relationship Id="rId1363" Type="http://schemas.openxmlformats.org/officeDocument/2006/relationships/hyperlink" Target="https://centrodedescargas.cnig.es/CentroDescargas/btn-poi" TargetMode="External"/><Relationship Id="rId733" Type="http://schemas.openxmlformats.org/officeDocument/2006/relationships/hyperlink" Target="https://centrodedescargas.cnig.es/CentroDescargas/btn-poi" TargetMode="External"/><Relationship Id="rId940" Type="http://schemas.openxmlformats.org/officeDocument/2006/relationships/hyperlink" Target="https://centrodedescargas.cnig.es/CentroDescargas/btn-poi" TargetMode="External"/><Relationship Id="rId1016" Type="http://schemas.openxmlformats.org/officeDocument/2006/relationships/hyperlink" Target="https://centrodedescargas.cnig.es/CentroDescargas/btn-poi" TargetMode="External"/><Relationship Id="rId1570" Type="http://schemas.openxmlformats.org/officeDocument/2006/relationships/hyperlink" Target="https://centrodedescargas.cnig.es/CentroDescargas/btn-poi" TargetMode="External"/><Relationship Id="rId1668" Type="http://schemas.openxmlformats.org/officeDocument/2006/relationships/hyperlink" Target="https://centrodedescargas.cnig.es/CentroDescargas/btn-poi" TargetMode="External"/><Relationship Id="rId800" Type="http://schemas.openxmlformats.org/officeDocument/2006/relationships/hyperlink" Target="https://centrodedescargas.cnig.es/CentroDescargas/btn-poi" TargetMode="External"/><Relationship Id="rId1223" Type="http://schemas.openxmlformats.org/officeDocument/2006/relationships/hyperlink" Target="https://centrodedescargas.cnig.es/CentroDescargas/btn-poi" TargetMode="External"/><Relationship Id="rId1430" Type="http://schemas.openxmlformats.org/officeDocument/2006/relationships/hyperlink" Target="https://centrodedescargas.cnig.es/CentroDescargas/btn-poi" TargetMode="External"/><Relationship Id="rId1528" Type="http://schemas.openxmlformats.org/officeDocument/2006/relationships/hyperlink" Target="https://centrodedescargas.cnig.es/CentroDescargas/btn-poi" TargetMode="External"/><Relationship Id="rId1735" Type="http://schemas.openxmlformats.org/officeDocument/2006/relationships/hyperlink" Target="https://centrodedescargas.cnig.es/CentroDescargas/btn-poi" TargetMode="External"/><Relationship Id="rId27" Type="http://schemas.openxmlformats.org/officeDocument/2006/relationships/hyperlink" Target="https://centrodedescargas.cnig.es/CentroDescargas/btn-poi" TargetMode="External"/><Relationship Id="rId1802" Type="http://schemas.openxmlformats.org/officeDocument/2006/relationships/hyperlink" Target="https://centrodedescargas.cnig.es/CentroDescargas/btn-poi" TargetMode="External"/><Relationship Id="rId176" Type="http://schemas.openxmlformats.org/officeDocument/2006/relationships/hyperlink" Target="https://centrodedescargas.cnig.es/CentroDescargas/btn-poi" TargetMode="External"/><Relationship Id="rId383" Type="http://schemas.openxmlformats.org/officeDocument/2006/relationships/hyperlink" Target="https://centrodedescargas.cnig.es/CentroDescargas/btn-poi" TargetMode="External"/><Relationship Id="rId590" Type="http://schemas.openxmlformats.org/officeDocument/2006/relationships/hyperlink" Target="https://centrodedescargas.cnig.es/CentroDescargas/btn-poi" TargetMode="External"/><Relationship Id="rId243" Type="http://schemas.openxmlformats.org/officeDocument/2006/relationships/hyperlink" Target="https://centrodedescargas.cnig.es/CentroDescargas/btn-poi" TargetMode="External"/><Relationship Id="rId450" Type="http://schemas.openxmlformats.org/officeDocument/2006/relationships/hyperlink" Target="https://centrodedescargas.cnig.es/CentroDescargas/btn-poi" TargetMode="External"/><Relationship Id="rId688" Type="http://schemas.openxmlformats.org/officeDocument/2006/relationships/hyperlink" Target="https://centrodedescargas.cnig.es/CentroDescargas/btn-poi" TargetMode="External"/><Relationship Id="rId895" Type="http://schemas.openxmlformats.org/officeDocument/2006/relationships/hyperlink" Target="https://centrodedescargas.cnig.es/CentroDescargas/btn-poi" TargetMode="External"/><Relationship Id="rId1080" Type="http://schemas.openxmlformats.org/officeDocument/2006/relationships/hyperlink" Target="https://centrodedescargas.cnig.es/CentroDescargas/btn-poi" TargetMode="External"/><Relationship Id="rId103" Type="http://schemas.openxmlformats.org/officeDocument/2006/relationships/hyperlink" Target="https://centrodedescargas.cnig.es/CentroDescargas/btn-poi" TargetMode="External"/><Relationship Id="rId310" Type="http://schemas.openxmlformats.org/officeDocument/2006/relationships/hyperlink" Target="https://centrodedescargas.cnig.es/CentroDescargas/btn-poi" TargetMode="External"/><Relationship Id="rId548" Type="http://schemas.openxmlformats.org/officeDocument/2006/relationships/hyperlink" Target="https://centrodedescargas.cnig.es/CentroDescargas/btn-poi" TargetMode="External"/><Relationship Id="rId755" Type="http://schemas.openxmlformats.org/officeDocument/2006/relationships/hyperlink" Target="https://centrodedescargas.cnig.es/CentroDescargas/btn-poi" TargetMode="External"/><Relationship Id="rId962" Type="http://schemas.openxmlformats.org/officeDocument/2006/relationships/hyperlink" Target="https://centrodedescargas.cnig.es/CentroDescargas/btn-poi" TargetMode="External"/><Relationship Id="rId1178" Type="http://schemas.openxmlformats.org/officeDocument/2006/relationships/hyperlink" Target="https://centrodedescargas.cnig.es/CentroDescargas/btn-poi" TargetMode="External"/><Relationship Id="rId1385" Type="http://schemas.openxmlformats.org/officeDocument/2006/relationships/hyperlink" Target="https://centrodedescargas.cnig.es/CentroDescargas/btn-poi" TargetMode="External"/><Relationship Id="rId1592" Type="http://schemas.openxmlformats.org/officeDocument/2006/relationships/hyperlink" Target="https://centrodedescargas.cnig.es/CentroDescargas/btn-poi" TargetMode="External"/><Relationship Id="rId91" Type="http://schemas.openxmlformats.org/officeDocument/2006/relationships/hyperlink" Target="https://centrodedescargas.cnig.es/CentroDescargas/btn-poi" TargetMode="External"/><Relationship Id="rId408" Type="http://schemas.openxmlformats.org/officeDocument/2006/relationships/hyperlink" Target="https://centrodedescargas.cnig.es/CentroDescargas/btn-poi" TargetMode="External"/><Relationship Id="rId615" Type="http://schemas.openxmlformats.org/officeDocument/2006/relationships/hyperlink" Target="https://centrodedescargas.cnig.es/CentroDescargas/btn-poi" TargetMode="External"/><Relationship Id="rId822" Type="http://schemas.openxmlformats.org/officeDocument/2006/relationships/hyperlink" Target="https://centrodedescargas.cnig.es/CentroDescargas/btn-poi" TargetMode="External"/><Relationship Id="rId1038" Type="http://schemas.openxmlformats.org/officeDocument/2006/relationships/hyperlink" Target="https://centrodedescargas.cnig.es/CentroDescargas/btn-poi" TargetMode="External"/><Relationship Id="rId1245" Type="http://schemas.openxmlformats.org/officeDocument/2006/relationships/hyperlink" Target="https://centrodedescargas.cnig.es/CentroDescargas/btn-poi" TargetMode="External"/><Relationship Id="rId1452" Type="http://schemas.openxmlformats.org/officeDocument/2006/relationships/hyperlink" Target="https://centrodedescargas.cnig.es/CentroDescargas/btn-poi" TargetMode="External"/><Relationship Id="rId1105" Type="http://schemas.openxmlformats.org/officeDocument/2006/relationships/hyperlink" Target="https://centrodedescargas.cnig.es/CentroDescargas/btn-poi" TargetMode="External"/><Relationship Id="rId1312" Type="http://schemas.openxmlformats.org/officeDocument/2006/relationships/hyperlink" Target="https://centrodedescargas.cnig.es/CentroDescargas/btn-poi" TargetMode="External"/><Relationship Id="rId1757" Type="http://schemas.openxmlformats.org/officeDocument/2006/relationships/hyperlink" Target="https://centrodedescargas.cnig.es/CentroDescargas/btn-poi" TargetMode="External"/><Relationship Id="rId49" Type="http://schemas.openxmlformats.org/officeDocument/2006/relationships/hyperlink" Target="https://centrodedescargas.cnig.es/CentroDescargas/btn-poi" TargetMode="External"/><Relationship Id="rId1617" Type="http://schemas.openxmlformats.org/officeDocument/2006/relationships/hyperlink" Target="https://centrodedescargas.cnig.es/CentroDescargas/btn-poi" TargetMode="External"/><Relationship Id="rId1824" Type="http://schemas.openxmlformats.org/officeDocument/2006/relationships/hyperlink" Target="https://centrodedescargas.cnig.es/CentroDescargas/btn-poi" TargetMode="External"/><Relationship Id="rId198" Type="http://schemas.openxmlformats.org/officeDocument/2006/relationships/hyperlink" Target="https://centrodedescargas.cnig.es/CentroDescargas/btn-poi" TargetMode="External"/><Relationship Id="rId265" Type="http://schemas.openxmlformats.org/officeDocument/2006/relationships/hyperlink" Target="https://centrodedescargas.cnig.es/CentroDescargas/btn-poi" TargetMode="External"/><Relationship Id="rId472" Type="http://schemas.openxmlformats.org/officeDocument/2006/relationships/hyperlink" Target="https://centrodedescargas.cnig.es/CentroDescargas/btn-poi" TargetMode="External"/><Relationship Id="rId125" Type="http://schemas.openxmlformats.org/officeDocument/2006/relationships/hyperlink" Target="https://centrodedescargas.cnig.es/CentroDescargas/btn-poi" TargetMode="External"/><Relationship Id="rId332" Type="http://schemas.openxmlformats.org/officeDocument/2006/relationships/hyperlink" Target="https://centrodedescargas.cnig.es/CentroDescargas/btn-poi" TargetMode="External"/><Relationship Id="rId777" Type="http://schemas.openxmlformats.org/officeDocument/2006/relationships/hyperlink" Target="https://centrodedescargas.cnig.es/CentroDescargas/btn-poi" TargetMode="External"/><Relationship Id="rId984" Type="http://schemas.openxmlformats.org/officeDocument/2006/relationships/hyperlink" Target="https://centrodedescargas.cnig.es/CentroDescargas/btn-poi" TargetMode="External"/><Relationship Id="rId637" Type="http://schemas.openxmlformats.org/officeDocument/2006/relationships/hyperlink" Target="https://centrodedescargas.cnig.es/CentroDescargas/btn-poi" TargetMode="External"/><Relationship Id="rId844" Type="http://schemas.openxmlformats.org/officeDocument/2006/relationships/hyperlink" Target="https://centrodedescargas.cnig.es/CentroDescargas/btn-poi" TargetMode="External"/><Relationship Id="rId1267" Type="http://schemas.openxmlformats.org/officeDocument/2006/relationships/hyperlink" Target="https://centrodedescargas.cnig.es/CentroDescargas/btn-poi" TargetMode="External"/><Relationship Id="rId1474" Type="http://schemas.openxmlformats.org/officeDocument/2006/relationships/hyperlink" Target="https://centrodedescargas.cnig.es/CentroDescargas/btn-poi" TargetMode="External"/><Relationship Id="rId1681" Type="http://schemas.openxmlformats.org/officeDocument/2006/relationships/hyperlink" Target="https://centrodedescargas.cnig.es/CentroDescargas/btn-poi" TargetMode="External"/><Relationship Id="rId704" Type="http://schemas.openxmlformats.org/officeDocument/2006/relationships/hyperlink" Target="https://centrodedescargas.cnig.es/CentroDescargas/btn-poi" TargetMode="External"/><Relationship Id="rId911" Type="http://schemas.openxmlformats.org/officeDocument/2006/relationships/hyperlink" Target="https://centrodedescargas.cnig.es/CentroDescargas/btn-poi" TargetMode="External"/><Relationship Id="rId1127" Type="http://schemas.openxmlformats.org/officeDocument/2006/relationships/hyperlink" Target="https://centrodedescargas.cnig.es/CentroDescargas/btn-poi" TargetMode="External"/><Relationship Id="rId1334" Type="http://schemas.openxmlformats.org/officeDocument/2006/relationships/hyperlink" Target="https://centrodedescargas.cnig.es/CentroDescargas/btn-poi" TargetMode="External"/><Relationship Id="rId1541" Type="http://schemas.openxmlformats.org/officeDocument/2006/relationships/hyperlink" Target="https://centrodedescargas.cnig.es/CentroDescargas/btn-poi" TargetMode="External"/><Relationship Id="rId1779" Type="http://schemas.openxmlformats.org/officeDocument/2006/relationships/hyperlink" Target="https://centrodedescargas.cnig.es/CentroDescargas/btn-poi" TargetMode="External"/><Relationship Id="rId40" Type="http://schemas.openxmlformats.org/officeDocument/2006/relationships/hyperlink" Target="https://centrodedescargas.cnig.es/CentroDescargas/btn-poi" TargetMode="External"/><Relationship Id="rId1401" Type="http://schemas.openxmlformats.org/officeDocument/2006/relationships/hyperlink" Target="https://centrodedescargas.cnig.es/CentroDescargas/btn-poi" TargetMode="External"/><Relationship Id="rId1639" Type="http://schemas.openxmlformats.org/officeDocument/2006/relationships/hyperlink" Target="https://centrodedescargas.cnig.es/CentroDescargas/btn-poi" TargetMode="External"/><Relationship Id="rId1706" Type="http://schemas.openxmlformats.org/officeDocument/2006/relationships/hyperlink" Target="https://centrodedescargas.cnig.es/CentroDescargas/btn-poi" TargetMode="External"/><Relationship Id="rId287" Type="http://schemas.openxmlformats.org/officeDocument/2006/relationships/hyperlink" Target="https://centrodedescargas.cnig.es/CentroDescargas/btn-poi" TargetMode="External"/><Relationship Id="rId494" Type="http://schemas.openxmlformats.org/officeDocument/2006/relationships/hyperlink" Target="https://centrodedescargas.cnig.es/CentroDescargas/btn-poi" TargetMode="External"/><Relationship Id="rId147" Type="http://schemas.openxmlformats.org/officeDocument/2006/relationships/hyperlink" Target="https://centrodedescargas.cnig.es/CentroDescargas/btn-poi" TargetMode="External"/><Relationship Id="rId354" Type="http://schemas.openxmlformats.org/officeDocument/2006/relationships/hyperlink" Target="https://centrodedescargas.cnig.es/CentroDescargas/btn-poi" TargetMode="External"/><Relationship Id="rId799" Type="http://schemas.openxmlformats.org/officeDocument/2006/relationships/hyperlink" Target="https://centrodedescargas.cnig.es/CentroDescargas/btn-poi" TargetMode="External"/><Relationship Id="rId1191" Type="http://schemas.openxmlformats.org/officeDocument/2006/relationships/hyperlink" Target="https://centrodedescargas.cnig.es/CentroDescargas/btn-poi" TargetMode="External"/><Relationship Id="rId561" Type="http://schemas.openxmlformats.org/officeDocument/2006/relationships/hyperlink" Target="https://centrodedescargas.cnig.es/CentroDescargas/btn-poi" TargetMode="External"/><Relationship Id="rId659" Type="http://schemas.openxmlformats.org/officeDocument/2006/relationships/hyperlink" Target="https://centrodedescargas.cnig.es/CentroDescargas/btn-poi" TargetMode="External"/><Relationship Id="rId866" Type="http://schemas.openxmlformats.org/officeDocument/2006/relationships/hyperlink" Target="https://centrodedescargas.cnig.es/CentroDescargas/btn-poi" TargetMode="External"/><Relationship Id="rId1289" Type="http://schemas.openxmlformats.org/officeDocument/2006/relationships/hyperlink" Target="https://centrodedescargas.cnig.es/CentroDescargas/btn-poi" TargetMode="External"/><Relationship Id="rId1496" Type="http://schemas.openxmlformats.org/officeDocument/2006/relationships/hyperlink" Target="https://centrodedescargas.cnig.es/CentroDescargas/btn-poi" TargetMode="External"/><Relationship Id="rId214" Type="http://schemas.openxmlformats.org/officeDocument/2006/relationships/hyperlink" Target="https://centrodedescargas.cnig.es/CentroDescargas/btn-poi" TargetMode="External"/><Relationship Id="rId421" Type="http://schemas.openxmlformats.org/officeDocument/2006/relationships/hyperlink" Target="https://centrodedescargas.cnig.es/CentroDescargas/btn-poi" TargetMode="External"/><Relationship Id="rId519" Type="http://schemas.openxmlformats.org/officeDocument/2006/relationships/hyperlink" Target="https://centrodedescargas.cnig.es/CentroDescargas/btn-poi" TargetMode="External"/><Relationship Id="rId1051" Type="http://schemas.openxmlformats.org/officeDocument/2006/relationships/hyperlink" Target="https://centrodedescargas.cnig.es/CentroDescargas/btn-poi" TargetMode="External"/><Relationship Id="rId1149" Type="http://schemas.openxmlformats.org/officeDocument/2006/relationships/hyperlink" Target="https://centrodedescargas.cnig.es/CentroDescargas/btn-poi" TargetMode="External"/><Relationship Id="rId1356" Type="http://schemas.openxmlformats.org/officeDocument/2006/relationships/hyperlink" Target="https://centrodedescargas.cnig.es/CentroDescargas/btn-poi" TargetMode="External"/><Relationship Id="rId726" Type="http://schemas.openxmlformats.org/officeDocument/2006/relationships/hyperlink" Target="https://centrodedescargas.cnig.es/CentroDescargas/btn-poi" TargetMode="External"/><Relationship Id="rId933" Type="http://schemas.openxmlformats.org/officeDocument/2006/relationships/hyperlink" Target="https://centrodedescargas.cnig.es/CentroDescargas/btn-poi" TargetMode="External"/><Relationship Id="rId1009" Type="http://schemas.openxmlformats.org/officeDocument/2006/relationships/hyperlink" Target="https://centrodedescargas.cnig.es/CentroDescargas/btn-poi" TargetMode="External"/><Relationship Id="rId1563" Type="http://schemas.openxmlformats.org/officeDocument/2006/relationships/hyperlink" Target="https://centrodedescargas.cnig.es/CentroDescargas/btn-poi" TargetMode="External"/><Relationship Id="rId1770" Type="http://schemas.openxmlformats.org/officeDocument/2006/relationships/hyperlink" Target="https://centrodedescargas.cnig.es/CentroDescargas/btn-poi" TargetMode="External"/><Relationship Id="rId62" Type="http://schemas.openxmlformats.org/officeDocument/2006/relationships/hyperlink" Target="https://centrodedescargas.cnig.es/CentroDescargas/btn-poi" TargetMode="External"/><Relationship Id="rId1216" Type="http://schemas.openxmlformats.org/officeDocument/2006/relationships/hyperlink" Target="https://centrodedescargas.cnig.es/CentroDescargas/btn-poi" TargetMode="External"/><Relationship Id="rId1423" Type="http://schemas.openxmlformats.org/officeDocument/2006/relationships/hyperlink" Target="https://centrodedescargas.cnig.es/CentroDescargas/btn-poi" TargetMode="External"/><Relationship Id="rId1630" Type="http://schemas.openxmlformats.org/officeDocument/2006/relationships/hyperlink" Target="https://centrodedescargas.cnig.es/CentroDescargas/btn-poi" TargetMode="External"/><Relationship Id="rId1728" Type="http://schemas.openxmlformats.org/officeDocument/2006/relationships/hyperlink" Target="https://centrodedescargas.cnig.es/CentroDescargas/btn-poi" TargetMode="External"/><Relationship Id="rId169" Type="http://schemas.openxmlformats.org/officeDocument/2006/relationships/hyperlink" Target="https://centrodedescargas.cnig.es/CentroDescargas/btn-poi" TargetMode="External"/><Relationship Id="rId376" Type="http://schemas.openxmlformats.org/officeDocument/2006/relationships/hyperlink" Target="https://centrodedescargas.cnig.es/CentroDescargas/btn-poi" TargetMode="External"/><Relationship Id="rId583" Type="http://schemas.openxmlformats.org/officeDocument/2006/relationships/hyperlink" Target="https://centrodedescargas.cnig.es/CentroDescargas/btn-poi" TargetMode="External"/><Relationship Id="rId790" Type="http://schemas.openxmlformats.org/officeDocument/2006/relationships/hyperlink" Target="https://centrodedescargas.cnig.es/CentroDescargas/btn-poi" TargetMode="External"/><Relationship Id="rId4" Type="http://schemas.openxmlformats.org/officeDocument/2006/relationships/hyperlink" Target="https://centrodedescargas.cnig.es/CentroDescargas/btn-poi" TargetMode="External"/><Relationship Id="rId236" Type="http://schemas.openxmlformats.org/officeDocument/2006/relationships/hyperlink" Target="https://centrodedescargas.cnig.es/CentroDescargas/btn-poi" TargetMode="External"/><Relationship Id="rId443" Type="http://schemas.openxmlformats.org/officeDocument/2006/relationships/hyperlink" Target="https://centrodedescargas.cnig.es/CentroDescargas/btn-poi" TargetMode="External"/><Relationship Id="rId650" Type="http://schemas.openxmlformats.org/officeDocument/2006/relationships/hyperlink" Target="https://centrodedescargas.cnig.es/CentroDescargas/btn-poi" TargetMode="External"/><Relationship Id="rId888" Type="http://schemas.openxmlformats.org/officeDocument/2006/relationships/hyperlink" Target="https://centrodedescargas.cnig.es/CentroDescargas/btn-poi" TargetMode="External"/><Relationship Id="rId1073" Type="http://schemas.openxmlformats.org/officeDocument/2006/relationships/hyperlink" Target="https://centrodedescargas.cnig.es/CentroDescargas/btn-poi" TargetMode="External"/><Relationship Id="rId1280" Type="http://schemas.openxmlformats.org/officeDocument/2006/relationships/hyperlink" Target="https://centrodedescargas.cnig.es/CentroDescargas/btn-poi" TargetMode="External"/><Relationship Id="rId303" Type="http://schemas.openxmlformats.org/officeDocument/2006/relationships/hyperlink" Target="https://centrodedescargas.cnig.es/CentroDescargas/btn-poi" TargetMode="External"/><Relationship Id="rId748" Type="http://schemas.openxmlformats.org/officeDocument/2006/relationships/hyperlink" Target="https://centrodedescargas.cnig.es/CentroDescargas/btn-poi" TargetMode="External"/><Relationship Id="rId955" Type="http://schemas.openxmlformats.org/officeDocument/2006/relationships/hyperlink" Target="https://centrodedescargas.cnig.es/CentroDescargas/btn-poi" TargetMode="External"/><Relationship Id="rId1140" Type="http://schemas.openxmlformats.org/officeDocument/2006/relationships/hyperlink" Target="https://centrodedescargas.cnig.es/CentroDescargas/btn-poi" TargetMode="External"/><Relationship Id="rId1378" Type="http://schemas.openxmlformats.org/officeDocument/2006/relationships/hyperlink" Target="https://centrodedescargas.cnig.es/CentroDescargas/btn-poi" TargetMode="External"/><Relationship Id="rId1585" Type="http://schemas.openxmlformats.org/officeDocument/2006/relationships/hyperlink" Target="https://centrodedescargas.cnig.es/CentroDescargas/btn-poi" TargetMode="External"/><Relationship Id="rId1792" Type="http://schemas.openxmlformats.org/officeDocument/2006/relationships/hyperlink" Target="https://centrodedescargas.cnig.es/CentroDescargas/btn-poi" TargetMode="External"/><Relationship Id="rId84" Type="http://schemas.openxmlformats.org/officeDocument/2006/relationships/hyperlink" Target="https://centrodedescargas.cnig.es/CentroDescargas/btn-poi" TargetMode="External"/><Relationship Id="rId510" Type="http://schemas.openxmlformats.org/officeDocument/2006/relationships/hyperlink" Target="https://centrodedescargas.cnig.es/CentroDescargas/btn-poi" TargetMode="External"/><Relationship Id="rId608" Type="http://schemas.openxmlformats.org/officeDocument/2006/relationships/hyperlink" Target="https://centrodedescargas.cnig.es/CentroDescargas/btn-poi" TargetMode="External"/><Relationship Id="rId815" Type="http://schemas.openxmlformats.org/officeDocument/2006/relationships/hyperlink" Target="https://centrodedescargas.cnig.es/CentroDescargas/btn-poi" TargetMode="External"/><Relationship Id="rId1238" Type="http://schemas.openxmlformats.org/officeDocument/2006/relationships/hyperlink" Target="https://centrodedescargas.cnig.es/CentroDescargas/btn-poi" TargetMode="External"/><Relationship Id="rId1445" Type="http://schemas.openxmlformats.org/officeDocument/2006/relationships/hyperlink" Target="https://centrodedescargas.cnig.es/CentroDescargas/btn-poi" TargetMode="External"/><Relationship Id="rId1652" Type="http://schemas.openxmlformats.org/officeDocument/2006/relationships/hyperlink" Target="https://centrodedescargas.cnig.es/CentroDescargas/btn-poi" TargetMode="External"/><Relationship Id="rId1000" Type="http://schemas.openxmlformats.org/officeDocument/2006/relationships/hyperlink" Target="https://centrodedescargas.cnig.es/CentroDescargas/btn-poi" TargetMode="External"/><Relationship Id="rId1305" Type="http://schemas.openxmlformats.org/officeDocument/2006/relationships/hyperlink" Target="https://centrodedescargas.cnig.es/CentroDescargas/btn-poi" TargetMode="External"/><Relationship Id="rId1512" Type="http://schemas.openxmlformats.org/officeDocument/2006/relationships/hyperlink" Target="https://centrodedescargas.cnig.es/CentroDescargas/btn-poi" TargetMode="External"/><Relationship Id="rId1817" Type="http://schemas.openxmlformats.org/officeDocument/2006/relationships/hyperlink" Target="https://centrodedescargas.cnig.es/CentroDescargas/btn-poi" TargetMode="External"/><Relationship Id="rId11" Type="http://schemas.openxmlformats.org/officeDocument/2006/relationships/hyperlink" Target="https://centrodedescargas.cnig.es/CentroDescargas/btn-poi" TargetMode="External"/><Relationship Id="rId398" Type="http://schemas.openxmlformats.org/officeDocument/2006/relationships/hyperlink" Target="https://centrodedescargas.cnig.es/CentroDescargas/btn-poi" TargetMode="External"/><Relationship Id="rId160" Type="http://schemas.openxmlformats.org/officeDocument/2006/relationships/hyperlink" Target="https://centrodedescargas.cnig.es/CentroDescargas/btn-poi" TargetMode="External"/><Relationship Id="rId258" Type="http://schemas.openxmlformats.org/officeDocument/2006/relationships/hyperlink" Target="https://centrodedescargas.cnig.es/CentroDescargas/btn-poi" TargetMode="External"/><Relationship Id="rId465" Type="http://schemas.openxmlformats.org/officeDocument/2006/relationships/hyperlink" Target="https://centrodedescargas.cnig.es/CentroDescargas/btn-poi" TargetMode="External"/><Relationship Id="rId672" Type="http://schemas.openxmlformats.org/officeDocument/2006/relationships/hyperlink" Target="https://centrodedescargas.cnig.es/CentroDescargas/btn-poi" TargetMode="External"/><Relationship Id="rId1095" Type="http://schemas.openxmlformats.org/officeDocument/2006/relationships/hyperlink" Target="https://centrodedescargas.cnig.es/CentroDescargas/btn-poi" TargetMode="External"/><Relationship Id="rId118" Type="http://schemas.openxmlformats.org/officeDocument/2006/relationships/hyperlink" Target="https://centrodedescargas.cnig.es/CentroDescargas/btn-poi" TargetMode="External"/><Relationship Id="rId325" Type="http://schemas.openxmlformats.org/officeDocument/2006/relationships/hyperlink" Target="https://centrodedescargas.cnig.es/CentroDescargas/btn-poi" TargetMode="External"/><Relationship Id="rId532" Type="http://schemas.openxmlformats.org/officeDocument/2006/relationships/hyperlink" Target="https://centrodedescargas.cnig.es/CentroDescargas/btn-poi" TargetMode="External"/><Relationship Id="rId977" Type="http://schemas.openxmlformats.org/officeDocument/2006/relationships/hyperlink" Target="https://centrodedescargas.cnig.es/CentroDescargas/btn-poi" TargetMode="External"/><Relationship Id="rId1162" Type="http://schemas.openxmlformats.org/officeDocument/2006/relationships/hyperlink" Target="https://centrodedescargas.cnig.es/CentroDescargas/btn-poi" TargetMode="External"/><Relationship Id="rId837" Type="http://schemas.openxmlformats.org/officeDocument/2006/relationships/hyperlink" Target="https://centrodedescargas.cnig.es/CentroDescargas/btn-poi" TargetMode="External"/><Relationship Id="rId1022" Type="http://schemas.openxmlformats.org/officeDocument/2006/relationships/hyperlink" Target="https://centrodedescargas.cnig.es/CentroDescargas/btn-poi" TargetMode="External"/><Relationship Id="rId1467" Type="http://schemas.openxmlformats.org/officeDocument/2006/relationships/hyperlink" Target="https://centrodedescargas.cnig.es/CentroDescargas/btn-poi" TargetMode="External"/><Relationship Id="rId1674" Type="http://schemas.openxmlformats.org/officeDocument/2006/relationships/hyperlink" Target="https://centrodedescargas.cnig.es/CentroDescargas/btn-poi" TargetMode="External"/><Relationship Id="rId904" Type="http://schemas.openxmlformats.org/officeDocument/2006/relationships/hyperlink" Target="https://centrodedescargas.cnig.es/CentroDescargas/btn-poi" TargetMode="External"/><Relationship Id="rId1327" Type="http://schemas.openxmlformats.org/officeDocument/2006/relationships/hyperlink" Target="https://centrodedescargas.cnig.es/CentroDescargas/btn-poi" TargetMode="External"/><Relationship Id="rId1534" Type="http://schemas.openxmlformats.org/officeDocument/2006/relationships/hyperlink" Target="https://centrodedescargas.cnig.es/CentroDescargas/btn-poi" TargetMode="External"/><Relationship Id="rId1741" Type="http://schemas.openxmlformats.org/officeDocument/2006/relationships/hyperlink" Target="https://centrodedescargas.cnig.es/CentroDescargas/btn-poi" TargetMode="External"/><Relationship Id="rId33" Type="http://schemas.openxmlformats.org/officeDocument/2006/relationships/hyperlink" Target="https://centrodedescargas.cnig.es/CentroDescargas/btn-poi" TargetMode="External"/><Relationship Id="rId129" Type="http://schemas.openxmlformats.org/officeDocument/2006/relationships/hyperlink" Target="https://centrodedescargas.cnig.es/CentroDescargas/btn-poi" TargetMode="External"/><Relationship Id="rId336" Type="http://schemas.openxmlformats.org/officeDocument/2006/relationships/hyperlink" Target="https://centrodedescargas.cnig.es/CentroDescargas/btn-poi" TargetMode="External"/><Relationship Id="rId543" Type="http://schemas.openxmlformats.org/officeDocument/2006/relationships/hyperlink" Target="https://centrodedescargas.cnig.es/CentroDescargas/btn-poi" TargetMode="External"/><Relationship Id="rId988" Type="http://schemas.openxmlformats.org/officeDocument/2006/relationships/hyperlink" Target="https://centrodedescargas.cnig.es/CentroDescargas/btn-poi" TargetMode="External"/><Relationship Id="rId1173" Type="http://schemas.openxmlformats.org/officeDocument/2006/relationships/hyperlink" Target="https://centrodedescargas.cnig.es/CentroDescargas/btn-poi" TargetMode="External"/><Relationship Id="rId1380" Type="http://schemas.openxmlformats.org/officeDocument/2006/relationships/hyperlink" Target="https://centrodedescargas.cnig.es/CentroDescargas/btn-poi" TargetMode="External"/><Relationship Id="rId1601" Type="http://schemas.openxmlformats.org/officeDocument/2006/relationships/hyperlink" Target="https://centrodedescargas.cnig.es/CentroDescargas/btn-poi" TargetMode="External"/><Relationship Id="rId182" Type="http://schemas.openxmlformats.org/officeDocument/2006/relationships/hyperlink" Target="https://centrodedescargas.cnig.es/CentroDescargas/btn-poi" TargetMode="External"/><Relationship Id="rId403" Type="http://schemas.openxmlformats.org/officeDocument/2006/relationships/hyperlink" Target="https://centrodedescargas.cnig.es/CentroDescargas/btn-poi" TargetMode="External"/><Relationship Id="rId750" Type="http://schemas.openxmlformats.org/officeDocument/2006/relationships/hyperlink" Target="https://centrodedescargas.cnig.es/CentroDescargas/btn-poi" TargetMode="External"/><Relationship Id="rId848" Type="http://schemas.openxmlformats.org/officeDocument/2006/relationships/hyperlink" Target="https://centrodedescargas.cnig.es/CentroDescargas/btn-poi" TargetMode="External"/><Relationship Id="rId1033" Type="http://schemas.openxmlformats.org/officeDocument/2006/relationships/hyperlink" Target="https://centrodedescargas.cnig.es/CentroDescargas/btn-poi" TargetMode="External"/><Relationship Id="rId1478" Type="http://schemas.openxmlformats.org/officeDocument/2006/relationships/hyperlink" Target="https://centrodedescargas.cnig.es/CentroDescargas/btn-poi" TargetMode="External"/><Relationship Id="rId1685" Type="http://schemas.openxmlformats.org/officeDocument/2006/relationships/hyperlink" Target="https://centrodedescargas.cnig.es/CentroDescargas/btn-poi" TargetMode="External"/><Relationship Id="rId487" Type="http://schemas.openxmlformats.org/officeDocument/2006/relationships/hyperlink" Target="https://centrodedescargas.cnig.es/CentroDescargas/btn-poi" TargetMode="External"/><Relationship Id="rId610" Type="http://schemas.openxmlformats.org/officeDocument/2006/relationships/hyperlink" Target="https://centrodedescargas.cnig.es/CentroDescargas/btn-poi" TargetMode="External"/><Relationship Id="rId694" Type="http://schemas.openxmlformats.org/officeDocument/2006/relationships/hyperlink" Target="https://centrodedescargas.cnig.es/CentroDescargas/btn-poi" TargetMode="External"/><Relationship Id="rId708" Type="http://schemas.openxmlformats.org/officeDocument/2006/relationships/hyperlink" Target="https://centrodedescargas.cnig.es/CentroDescargas/btn-poi" TargetMode="External"/><Relationship Id="rId915" Type="http://schemas.openxmlformats.org/officeDocument/2006/relationships/hyperlink" Target="https://centrodedescargas.cnig.es/CentroDescargas/btn-poi" TargetMode="External"/><Relationship Id="rId1240" Type="http://schemas.openxmlformats.org/officeDocument/2006/relationships/hyperlink" Target="https://centrodedescargas.cnig.es/CentroDescargas/btn-poi" TargetMode="External"/><Relationship Id="rId1338" Type="http://schemas.openxmlformats.org/officeDocument/2006/relationships/hyperlink" Target="https://centrodedescargas.cnig.es/CentroDescargas/btn-poi" TargetMode="External"/><Relationship Id="rId1545" Type="http://schemas.openxmlformats.org/officeDocument/2006/relationships/hyperlink" Target="https://centrodedescargas.cnig.es/CentroDescargas/btn-poi" TargetMode="External"/><Relationship Id="rId347" Type="http://schemas.openxmlformats.org/officeDocument/2006/relationships/hyperlink" Target="https://centrodedescargas.cnig.es/CentroDescargas/btn-poi" TargetMode="External"/><Relationship Id="rId999" Type="http://schemas.openxmlformats.org/officeDocument/2006/relationships/hyperlink" Target="https://centrodedescargas.cnig.es/CentroDescargas/btn-poi" TargetMode="External"/><Relationship Id="rId1100" Type="http://schemas.openxmlformats.org/officeDocument/2006/relationships/hyperlink" Target="https://centrodedescargas.cnig.es/CentroDescargas/btn-poi" TargetMode="External"/><Relationship Id="rId1184" Type="http://schemas.openxmlformats.org/officeDocument/2006/relationships/hyperlink" Target="https://centrodedescargas.cnig.es/CentroDescargas/btn-poi" TargetMode="External"/><Relationship Id="rId1405" Type="http://schemas.openxmlformats.org/officeDocument/2006/relationships/hyperlink" Target="https://centrodedescargas.cnig.es/CentroDescargas/btn-poi" TargetMode="External"/><Relationship Id="rId1752" Type="http://schemas.openxmlformats.org/officeDocument/2006/relationships/hyperlink" Target="https://centrodedescargas.cnig.es/CentroDescargas/btn-poi" TargetMode="External"/><Relationship Id="rId44" Type="http://schemas.openxmlformats.org/officeDocument/2006/relationships/hyperlink" Target="https://centrodedescargas.cnig.es/CentroDescargas/btn-poi" TargetMode="External"/><Relationship Id="rId554" Type="http://schemas.openxmlformats.org/officeDocument/2006/relationships/hyperlink" Target="https://centrodedescargas.cnig.es/CentroDescargas/btn-poi" TargetMode="External"/><Relationship Id="rId761" Type="http://schemas.openxmlformats.org/officeDocument/2006/relationships/hyperlink" Target="https://centrodedescargas.cnig.es/CentroDescargas/btn-poi" TargetMode="External"/><Relationship Id="rId859" Type="http://schemas.openxmlformats.org/officeDocument/2006/relationships/hyperlink" Target="https://centrodedescargas.cnig.es/CentroDescargas/btn-poi" TargetMode="External"/><Relationship Id="rId1391" Type="http://schemas.openxmlformats.org/officeDocument/2006/relationships/hyperlink" Target="https://centrodedescargas.cnig.es/CentroDescargas/btn-poi" TargetMode="External"/><Relationship Id="rId1489" Type="http://schemas.openxmlformats.org/officeDocument/2006/relationships/hyperlink" Target="https://centrodedescargas.cnig.es/CentroDescargas/btn-poi" TargetMode="External"/><Relationship Id="rId1612" Type="http://schemas.openxmlformats.org/officeDocument/2006/relationships/hyperlink" Target="https://centrodedescargas.cnig.es/CentroDescargas/btn-poi" TargetMode="External"/><Relationship Id="rId1696" Type="http://schemas.openxmlformats.org/officeDocument/2006/relationships/hyperlink" Target="https://centrodedescargas.cnig.es/CentroDescargas/btn-poi" TargetMode="External"/><Relationship Id="rId193" Type="http://schemas.openxmlformats.org/officeDocument/2006/relationships/hyperlink" Target="https://centrodedescargas.cnig.es/CentroDescargas/btn-poi" TargetMode="External"/><Relationship Id="rId207" Type="http://schemas.openxmlformats.org/officeDocument/2006/relationships/hyperlink" Target="https://centrodedescargas.cnig.es/CentroDescargas/btn-poi" TargetMode="External"/><Relationship Id="rId414" Type="http://schemas.openxmlformats.org/officeDocument/2006/relationships/hyperlink" Target="https://centrodedescargas.cnig.es/CentroDescargas/btn-poi" TargetMode="External"/><Relationship Id="rId498" Type="http://schemas.openxmlformats.org/officeDocument/2006/relationships/hyperlink" Target="https://centrodedescargas.cnig.es/CentroDescargas/btn-poi" TargetMode="External"/><Relationship Id="rId621" Type="http://schemas.openxmlformats.org/officeDocument/2006/relationships/hyperlink" Target="https://centrodedescargas.cnig.es/CentroDescargas/btn-poi" TargetMode="External"/><Relationship Id="rId1044" Type="http://schemas.openxmlformats.org/officeDocument/2006/relationships/hyperlink" Target="https://centrodedescargas.cnig.es/CentroDescargas/btn-poi" TargetMode="External"/><Relationship Id="rId1251" Type="http://schemas.openxmlformats.org/officeDocument/2006/relationships/hyperlink" Target="https://centrodedescargas.cnig.es/CentroDescargas/btn-poi" TargetMode="External"/><Relationship Id="rId1349" Type="http://schemas.openxmlformats.org/officeDocument/2006/relationships/hyperlink" Target="https://centrodedescargas.cnig.es/CentroDescargas/btn-poi" TargetMode="External"/><Relationship Id="rId260" Type="http://schemas.openxmlformats.org/officeDocument/2006/relationships/hyperlink" Target="https://centrodedescargas.cnig.es/CentroDescargas/btn-poi" TargetMode="External"/><Relationship Id="rId719" Type="http://schemas.openxmlformats.org/officeDocument/2006/relationships/hyperlink" Target="https://centrodedescargas.cnig.es/CentroDescargas/btn-poi" TargetMode="External"/><Relationship Id="rId926" Type="http://schemas.openxmlformats.org/officeDocument/2006/relationships/hyperlink" Target="https://centrodedescargas.cnig.es/CentroDescargas/btn-poi" TargetMode="External"/><Relationship Id="rId1111" Type="http://schemas.openxmlformats.org/officeDocument/2006/relationships/hyperlink" Target="https://centrodedescargas.cnig.es/CentroDescargas/btn-poi" TargetMode="External"/><Relationship Id="rId1556" Type="http://schemas.openxmlformats.org/officeDocument/2006/relationships/hyperlink" Target="https://centrodedescargas.cnig.es/CentroDescargas/btn-poi" TargetMode="External"/><Relationship Id="rId1763" Type="http://schemas.openxmlformats.org/officeDocument/2006/relationships/hyperlink" Target="https://centrodedescargas.cnig.es/CentroDescargas/btn-poi" TargetMode="External"/><Relationship Id="rId55" Type="http://schemas.openxmlformats.org/officeDocument/2006/relationships/hyperlink" Target="https://centrodedescargas.cnig.es/CentroDescargas/btn-poi" TargetMode="External"/><Relationship Id="rId120" Type="http://schemas.openxmlformats.org/officeDocument/2006/relationships/hyperlink" Target="https://centrodedescargas.cnig.es/CentroDescargas/btn-poi" TargetMode="External"/><Relationship Id="rId358" Type="http://schemas.openxmlformats.org/officeDocument/2006/relationships/hyperlink" Target="https://centrodedescargas.cnig.es/CentroDescargas/btn-poi" TargetMode="External"/><Relationship Id="rId565" Type="http://schemas.openxmlformats.org/officeDocument/2006/relationships/hyperlink" Target="https://centrodedescargas.cnig.es/CentroDescargas/btn-poi" TargetMode="External"/><Relationship Id="rId772" Type="http://schemas.openxmlformats.org/officeDocument/2006/relationships/hyperlink" Target="https://centrodedescargas.cnig.es/CentroDescargas/btn-poi" TargetMode="External"/><Relationship Id="rId1195" Type="http://schemas.openxmlformats.org/officeDocument/2006/relationships/hyperlink" Target="https://centrodedescargas.cnig.es/CentroDescargas/btn-poi" TargetMode="External"/><Relationship Id="rId1209" Type="http://schemas.openxmlformats.org/officeDocument/2006/relationships/hyperlink" Target="https://centrodedescargas.cnig.es/CentroDescargas/btn-poi" TargetMode="External"/><Relationship Id="rId1416" Type="http://schemas.openxmlformats.org/officeDocument/2006/relationships/hyperlink" Target="https://centrodedescargas.cnig.es/CentroDescargas/btn-poi" TargetMode="External"/><Relationship Id="rId1623" Type="http://schemas.openxmlformats.org/officeDocument/2006/relationships/hyperlink" Target="https://centrodedescargas.cnig.es/CentroDescargas/btn-poi" TargetMode="External"/><Relationship Id="rId1830" Type="http://schemas.openxmlformats.org/officeDocument/2006/relationships/hyperlink" Target="https://centrodedescargas.cnig.es/CentroDescargas/btn-poi" TargetMode="External"/><Relationship Id="rId218" Type="http://schemas.openxmlformats.org/officeDocument/2006/relationships/hyperlink" Target="https://centrodedescargas.cnig.es/CentroDescargas/btn-poi" TargetMode="External"/><Relationship Id="rId425" Type="http://schemas.openxmlformats.org/officeDocument/2006/relationships/hyperlink" Target="https://centrodedescargas.cnig.es/CentroDescargas/btn-poi" TargetMode="External"/><Relationship Id="rId632" Type="http://schemas.openxmlformats.org/officeDocument/2006/relationships/hyperlink" Target="https://centrodedescargas.cnig.es/CentroDescargas/btn-poi" TargetMode="External"/><Relationship Id="rId1055" Type="http://schemas.openxmlformats.org/officeDocument/2006/relationships/hyperlink" Target="https://centrodedescargas.cnig.es/CentroDescargas/btn-poi" TargetMode="External"/><Relationship Id="rId1262" Type="http://schemas.openxmlformats.org/officeDocument/2006/relationships/hyperlink" Target="https://centrodedescargas.cnig.es/CentroDescargas/btn-poi" TargetMode="External"/><Relationship Id="rId271" Type="http://schemas.openxmlformats.org/officeDocument/2006/relationships/hyperlink" Target="https://centrodedescargas.cnig.es/CentroDescargas/btn-poi" TargetMode="External"/><Relationship Id="rId937" Type="http://schemas.openxmlformats.org/officeDocument/2006/relationships/hyperlink" Target="https://centrodedescargas.cnig.es/CentroDescargas/btn-poi" TargetMode="External"/><Relationship Id="rId1122" Type="http://schemas.openxmlformats.org/officeDocument/2006/relationships/hyperlink" Target="https://centrodedescargas.cnig.es/CentroDescargas/btn-poi" TargetMode="External"/><Relationship Id="rId1567" Type="http://schemas.openxmlformats.org/officeDocument/2006/relationships/hyperlink" Target="https://centrodedescargas.cnig.es/CentroDescargas/btn-poi" TargetMode="External"/><Relationship Id="rId1774" Type="http://schemas.openxmlformats.org/officeDocument/2006/relationships/hyperlink" Target="https://centrodedescargas.cnig.es/CentroDescargas/btn-poi" TargetMode="External"/><Relationship Id="rId66" Type="http://schemas.openxmlformats.org/officeDocument/2006/relationships/hyperlink" Target="https://centrodedescargas.cnig.es/CentroDescargas/btn-poi" TargetMode="External"/><Relationship Id="rId131" Type="http://schemas.openxmlformats.org/officeDocument/2006/relationships/hyperlink" Target="https://centrodedescargas.cnig.es/CentroDescargas/btn-poi" TargetMode="External"/><Relationship Id="rId369" Type="http://schemas.openxmlformats.org/officeDocument/2006/relationships/hyperlink" Target="https://centrodedescargas.cnig.es/CentroDescargas/btn-poi" TargetMode="External"/><Relationship Id="rId576" Type="http://schemas.openxmlformats.org/officeDocument/2006/relationships/hyperlink" Target="https://centrodedescargas.cnig.es/CentroDescargas/btn-poi" TargetMode="External"/><Relationship Id="rId783" Type="http://schemas.openxmlformats.org/officeDocument/2006/relationships/hyperlink" Target="https://centrodedescargas.cnig.es/CentroDescargas/btn-poi" TargetMode="External"/><Relationship Id="rId990" Type="http://schemas.openxmlformats.org/officeDocument/2006/relationships/hyperlink" Target="https://centrodedescargas.cnig.es/CentroDescargas/btn-poi" TargetMode="External"/><Relationship Id="rId1427" Type="http://schemas.openxmlformats.org/officeDocument/2006/relationships/hyperlink" Target="https://centrodedescargas.cnig.es/CentroDescargas/btn-poi" TargetMode="External"/><Relationship Id="rId1634" Type="http://schemas.openxmlformats.org/officeDocument/2006/relationships/hyperlink" Target="https://centrodedescargas.cnig.es/CentroDescargas/btn-poi" TargetMode="External"/><Relationship Id="rId229" Type="http://schemas.openxmlformats.org/officeDocument/2006/relationships/hyperlink" Target="https://centrodedescargas.cnig.es/CentroDescargas/btn-poi" TargetMode="External"/><Relationship Id="rId436" Type="http://schemas.openxmlformats.org/officeDocument/2006/relationships/hyperlink" Target="https://centrodedescargas.cnig.es/CentroDescargas/btn-poi" TargetMode="External"/><Relationship Id="rId643" Type="http://schemas.openxmlformats.org/officeDocument/2006/relationships/hyperlink" Target="https://centrodedescargas.cnig.es/CentroDescargas/btn-poi" TargetMode="External"/><Relationship Id="rId1066" Type="http://schemas.openxmlformats.org/officeDocument/2006/relationships/hyperlink" Target="https://centrodedescargas.cnig.es/CentroDescargas/btn-poi" TargetMode="External"/><Relationship Id="rId1273" Type="http://schemas.openxmlformats.org/officeDocument/2006/relationships/hyperlink" Target="https://centrodedescargas.cnig.es/CentroDescargas/btn-poi" TargetMode="External"/><Relationship Id="rId1480" Type="http://schemas.openxmlformats.org/officeDocument/2006/relationships/hyperlink" Target="https://centrodedescargas.cnig.es/CentroDescargas/btn-poi" TargetMode="External"/><Relationship Id="rId850" Type="http://schemas.openxmlformats.org/officeDocument/2006/relationships/hyperlink" Target="https://centrodedescargas.cnig.es/CentroDescargas/btn-poi" TargetMode="External"/><Relationship Id="rId948" Type="http://schemas.openxmlformats.org/officeDocument/2006/relationships/hyperlink" Target="https://centrodedescargas.cnig.es/CentroDescargas/btn-poi" TargetMode="External"/><Relationship Id="rId1133" Type="http://schemas.openxmlformats.org/officeDocument/2006/relationships/hyperlink" Target="https://centrodedescargas.cnig.es/CentroDescargas/btn-poi" TargetMode="External"/><Relationship Id="rId1578" Type="http://schemas.openxmlformats.org/officeDocument/2006/relationships/hyperlink" Target="https://centrodedescargas.cnig.es/CentroDescargas/btn-poi" TargetMode="External"/><Relationship Id="rId1701" Type="http://schemas.openxmlformats.org/officeDocument/2006/relationships/hyperlink" Target="https://centrodedescargas.cnig.es/CentroDescargas/btn-poi" TargetMode="External"/><Relationship Id="rId1785" Type="http://schemas.openxmlformats.org/officeDocument/2006/relationships/hyperlink" Target="https://centrodedescargas.cnig.es/CentroDescargas/btn-poi" TargetMode="External"/><Relationship Id="rId77" Type="http://schemas.openxmlformats.org/officeDocument/2006/relationships/hyperlink" Target="https://centrodedescargas.cnig.es/CentroDescargas/btn-poi" TargetMode="External"/><Relationship Id="rId282" Type="http://schemas.openxmlformats.org/officeDocument/2006/relationships/hyperlink" Target="https://centrodedescargas.cnig.es/CentroDescargas/btn-poi" TargetMode="External"/><Relationship Id="rId503" Type="http://schemas.openxmlformats.org/officeDocument/2006/relationships/hyperlink" Target="https://centrodedescargas.cnig.es/CentroDescargas/btn-poi" TargetMode="External"/><Relationship Id="rId587" Type="http://schemas.openxmlformats.org/officeDocument/2006/relationships/hyperlink" Target="https://centrodedescargas.cnig.es/CentroDescargas/btn-poi" TargetMode="External"/><Relationship Id="rId710" Type="http://schemas.openxmlformats.org/officeDocument/2006/relationships/hyperlink" Target="https://centrodedescargas.cnig.es/CentroDescargas/btn-poi" TargetMode="External"/><Relationship Id="rId808" Type="http://schemas.openxmlformats.org/officeDocument/2006/relationships/hyperlink" Target="https://centrodedescargas.cnig.es/CentroDescargas/btn-poi" TargetMode="External"/><Relationship Id="rId1340" Type="http://schemas.openxmlformats.org/officeDocument/2006/relationships/hyperlink" Target="https://centrodedescargas.cnig.es/CentroDescargas/btn-poi" TargetMode="External"/><Relationship Id="rId1438" Type="http://schemas.openxmlformats.org/officeDocument/2006/relationships/hyperlink" Target="https://centrodedescargas.cnig.es/CentroDescargas/btn-poi" TargetMode="External"/><Relationship Id="rId1645" Type="http://schemas.openxmlformats.org/officeDocument/2006/relationships/hyperlink" Target="https://centrodedescargas.cnig.es/CentroDescargas/btn-poi" TargetMode="External"/><Relationship Id="rId8" Type="http://schemas.openxmlformats.org/officeDocument/2006/relationships/hyperlink" Target="https://centrodedescargas.cnig.es/CentroDescargas/btn-poi" TargetMode="External"/><Relationship Id="rId142" Type="http://schemas.openxmlformats.org/officeDocument/2006/relationships/hyperlink" Target="https://centrodedescargas.cnig.es/CentroDescargas/btn-poi" TargetMode="External"/><Relationship Id="rId447" Type="http://schemas.openxmlformats.org/officeDocument/2006/relationships/hyperlink" Target="https://centrodedescargas.cnig.es/CentroDescargas/btn-poi" TargetMode="External"/><Relationship Id="rId794" Type="http://schemas.openxmlformats.org/officeDocument/2006/relationships/hyperlink" Target="https://centrodedescargas.cnig.es/CentroDescargas/btn-poi" TargetMode="External"/><Relationship Id="rId1077" Type="http://schemas.openxmlformats.org/officeDocument/2006/relationships/hyperlink" Target="https://centrodedescargas.cnig.es/CentroDescargas/btn-poi" TargetMode="External"/><Relationship Id="rId1200" Type="http://schemas.openxmlformats.org/officeDocument/2006/relationships/hyperlink" Target="https://centrodedescargas.cnig.es/CentroDescargas/btn-poi" TargetMode="External"/><Relationship Id="rId654" Type="http://schemas.openxmlformats.org/officeDocument/2006/relationships/hyperlink" Target="https://centrodedescargas.cnig.es/CentroDescargas/btn-poi" TargetMode="External"/><Relationship Id="rId861" Type="http://schemas.openxmlformats.org/officeDocument/2006/relationships/hyperlink" Target="https://centrodedescargas.cnig.es/CentroDescargas/btn-poi" TargetMode="External"/><Relationship Id="rId959" Type="http://schemas.openxmlformats.org/officeDocument/2006/relationships/hyperlink" Target="https://centrodedescargas.cnig.es/CentroDescargas/btn-poi" TargetMode="External"/><Relationship Id="rId1284" Type="http://schemas.openxmlformats.org/officeDocument/2006/relationships/hyperlink" Target="https://centrodedescargas.cnig.es/CentroDescargas/btn-poi" TargetMode="External"/><Relationship Id="rId1491" Type="http://schemas.openxmlformats.org/officeDocument/2006/relationships/hyperlink" Target="https://centrodedescargas.cnig.es/CentroDescargas/btn-poi" TargetMode="External"/><Relationship Id="rId1505" Type="http://schemas.openxmlformats.org/officeDocument/2006/relationships/hyperlink" Target="https://centrodedescargas.cnig.es/CentroDescargas/btn-poi" TargetMode="External"/><Relationship Id="rId1589" Type="http://schemas.openxmlformats.org/officeDocument/2006/relationships/hyperlink" Target="https://centrodedescargas.cnig.es/CentroDescargas/btn-poi" TargetMode="External"/><Relationship Id="rId1712" Type="http://schemas.openxmlformats.org/officeDocument/2006/relationships/hyperlink" Target="https://centrodedescargas.cnig.es/CentroDescargas/btn-poi" TargetMode="External"/><Relationship Id="rId293" Type="http://schemas.openxmlformats.org/officeDocument/2006/relationships/hyperlink" Target="https://centrodedescargas.cnig.es/CentroDescargas/btn-poi" TargetMode="External"/><Relationship Id="rId307" Type="http://schemas.openxmlformats.org/officeDocument/2006/relationships/hyperlink" Target="https://centrodedescargas.cnig.es/CentroDescargas/btn-poi" TargetMode="External"/><Relationship Id="rId514" Type="http://schemas.openxmlformats.org/officeDocument/2006/relationships/hyperlink" Target="https://centrodedescargas.cnig.es/CentroDescargas/btn-poi" TargetMode="External"/><Relationship Id="rId721" Type="http://schemas.openxmlformats.org/officeDocument/2006/relationships/hyperlink" Target="https://centrodedescargas.cnig.es/CentroDescargas/btn-poi" TargetMode="External"/><Relationship Id="rId1144" Type="http://schemas.openxmlformats.org/officeDocument/2006/relationships/hyperlink" Target="https://centrodedescargas.cnig.es/CentroDescargas/btn-poi" TargetMode="External"/><Relationship Id="rId1351" Type="http://schemas.openxmlformats.org/officeDocument/2006/relationships/hyperlink" Target="https://centrodedescargas.cnig.es/CentroDescargas/btn-poi" TargetMode="External"/><Relationship Id="rId1449" Type="http://schemas.openxmlformats.org/officeDocument/2006/relationships/hyperlink" Target="https://centrodedescargas.cnig.es/CentroDescargas/btn-poi" TargetMode="External"/><Relationship Id="rId1796" Type="http://schemas.openxmlformats.org/officeDocument/2006/relationships/hyperlink" Target="https://centrodedescargas.cnig.es/CentroDescargas/btn-poi" TargetMode="External"/><Relationship Id="rId88" Type="http://schemas.openxmlformats.org/officeDocument/2006/relationships/hyperlink" Target="https://centrodedescargas.cnig.es/CentroDescargas/btn-poi" TargetMode="External"/><Relationship Id="rId153" Type="http://schemas.openxmlformats.org/officeDocument/2006/relationships/hyperlink" Target="https://centrodedescargas.cnig.es/CentroDescargas/btn-poi" TargetMode="External"/><Relationship Id="rId360" Type="http://schemas.openxmlformats.org/officeDocument/2006/relationships/hyperlink" Target="https://centrodedescargas.cnig.es/CentroDescargas/btn-poi" TargetMode="External"/><Relationship Id="rId598" Type="http://schemas.openxmlformats.org/officeDocument/2006/relationships/hyperlink" Target="https://centrodedescargas.cnig.es/CentroDescargas/btn-poi" TargetMode="External"/><Relationship Id="rId819" Type="http://schemas.openxmlformats.org/officeDocument/2006/relationships/hyperlink" Target="https://centrodedescargas.cnig.es/CentroDescargas/btn-poi" TargetMode="External"/><Relationship Id="rId1004" Type="http://schemas.openxmlformats.org/officeDocument/2006/relationships/hyperlink" Target="https://centrodedescargas.cnig.es/CentroDescargas/btn-poi" TargetMode="External"/><Relationship Id="rId1211" Type="http://schemas.openxmlformats.org/officeDocument/2006/relationships/hyperlink" Target="https://centrodedescargas.cnig.es/CentroDescargas/btn-poi" TargetMode="External"/><Relationship Id="rId1656" Type="http://schemas.openxmlformats.org/officeDocument/2006/relationships/hyperlink" Target="https://centrodedescargas.cnig.es/CentroDescargas/btn-poi" TargetMode="External"/><Relationship Id="rId220" Type="http://schemas.openxmlformats.org/officeDocument/2006/relationships/hyperlink" Target="https://centrodedescargas.cnig.es/CentroDescargas/btn-poi" TargetMode="External"/><Relationship Id="rId458" Type="http://schemas.openxmlformats.org/officeDocument/2006/relationships/hyperlink" Target="https://centrodedescargas.cnig.es/CentroDescargas/btn-poi" TargetMode="External"/><Relationship Id="rId665" Type="http://schemas.openxmlformats.org/officeDocument/2006/relationships/hyperlink" Target="https://centrodedescargas.cnig.es/CentroDescargas/btn-poi" TargetMode="External"/><Relationship Id="rId872" Type="http://schemas.openxmlformats.org/officeDocument/2006/relationships/hyperlink" Target="https://centrodedescargas.cnig.es/CentroDescargas/btn-poi" TargetMode="External"/><Relationship Id="rId1088" Type="http://schemas.openxmlformats.org/officeDocument/2006/relationships/hyperlink" Target="https://centrodedescargas.cnig.es/CentroDescargas/btn-poi" TargetMode="External"/><Relationship Id="rId1295" Type="http://schemas.openxmlformats.org/officeDocument/2006/relationships/hyperlink" Target="https://centrodedescargas.cnig.es/CentroDescargas/btn-poi" TargetMode="External"/><Relationship Id="rId1309" Type="http://schemas.openxmlformats.org/officeDocument/2006/relationships/hyperlink" Target="https://centrodedescargas.cnig.es/CentroDescargas/btn-poi" TargetMode="External"/><Relationship Id="rId1516" Type="http://schemas.openxmlformats.org/officeDocument/2006/relationships/hyperlink" Target="https://centrodedescargas.cnig.es/CentroDescargas/btn-poi" TargetMode="External"/><Relationship Id="rId1723" Type="http://schemas.openxmlformats.org/officeDocument/2006/relationships/hyperlink" Target="https://centrodedescargas.cnig.es/CentroDescargas/btn-poi" TargetMode="External"/><Relationship Id="rId15" Type="http://schemas.openxmlformats.org/officeDocument/2006/relationships/hyperlink" Target="https://centrodedescargas.cnig.es/CentroDescargas/btn-poi" TargetMode="External"/><Relationship Id="rId318" Type="http://schemas.openxmlformats.org/officeDocument/2006/relationships/hyperlink" Target="https://centrodedescargas.cnig.es/CentroDescargas/btn-poi" TargetMode="External"/><Relationship Id="rId525" Type="http://schemas.openxmlformats.org/officeDocument/2006/relationships/hyperlink" Target="https://centrodedescargas.cnig.es/CentroDescargas/btn-poi" TargetMode="External"/><Relationship Id="rId732" Type="http://schemas.openxmlformats.org/officeDocument/2006/relationships/hyperlink" Target="https://centrodedescargas.cnig.es/CentroDescargas/btn-poi" TargetMode="External"/><Relationship Id="rId1155" Type="http://schemas.openxmlformats.org/officeDocument/2006/relationships/hyperlink" Target="https://centrodedescargas.cnig.es/CentroDescargas/btn-poi" TargetMode="External"/><Relationship Id="rId1362" Type="http://schemas.openxmlformats.org/officeDocument/2006/relationships/hyperlink" Target="https://centrodedescargas.cnig.es/CentroDescargas/btn-poi" TargetMode="External"/><Relationship Id="rId99" Type="http://schemas.openxmlformats.org/officeDocument/2006/relationships/hyperlink" Target="https://centrodedescargas.cnig.es/CentroDescargas/btn-poi" TargetMode="External"/><Relationship Id="rId164" Type="http://schemas.openxmlformats.org/officeDocument/2006/relationships/hyperlink" Target="https://centrodedescargas.cnig.es/CentroDescargas/btn-poi" TargetMode="External"/><Relationship Id="rId371" Type="http://schemas.openxmlformats.org/officeDocument/2006/relationships/hyperlink" Target="https://centrodedescargas.cnig.es/CentroDescargas/btn-poi" TargetMode="External"/><Relationship Id="rId1015" Type="http://schemas.openxmlformats.org/officeDocument/2006/relationships/hyperlink" Target="https://centrodedescargas.cnig.es/CentroDescargas/btn-poi" TargetMode="External"/><Relationship Id="rId1222" Type="http://schemas.openxmlformats.org/officeDocument/2006/relationships/hyperlink" Target="https://centrodedescargas.cnig.es/CentroDescargas/btn-poi" TargetMode="External"/><Relationship Id="rId1667" Type="http://schemas.openxmlformats.org/officeDocument/2006/relationships/hyperlink" Target="https://centrodedescargas.cnig.es/CentroDescargas/btn-poi" TargetMode="External"/><Relationship Id="rId469" Type="http://schemas.openxmlformats.org/officeDocument/2006/relationships/hyperlink" Target="https://centrodedescargas.cnig.es/CentroDescargas/btn-poi" TargetMode="External"/><Relationship Id="rId676" Type="http://schemas.openxmlformats.org/officeDocument/2006/relationships/hyperlink" Target="https://centrodedescargas.cnig.es/CentroDescargas/btn-poi" TargetMode="External"/><Relationship Id="rId883" Type="http://schemas.openxmlformats.org/officeDocument/2006/relationships/hyperlink" Target="https://centrodedescargas.cnig.es/CentroDescargas/btn-poi" TargetMode="External"/><Relationship Id="rId1099" Type="http://schemas.openxmlformats.org/officeDocument/2006/relationships/hyperlink" Target="https://centrodedescargas.cnig.es/CentroDescargas/btn-poi" TargetMode="External"/><Relationship Id="rId1527" Type="http://schemas.openxmlformats.org/officeDocument/2006/relationships/hyperlink" Target="https://centrodedescargas.cnig.es/CentroDescargas/btn-poi" TargetMode="External"/><Relationship Id="rId1734" Type="http://schemas.openxmlformats.org/officeDocument/2006/relationships/hyperlink" Target="https://centrodedescargas.cnig.es/CentroDescargas/btn-poi" TargetMode="External"/><Relationship Id="rId26" Type="http://schemas.openxmlformats.org/officeDocument/2006/relationships/hyperlink" Target="https://centrodedescargas.cnig.es/CentroDescargas/btn-poi" TargetMode="External"/><Relationship Id="rId231" Type="http://schemas.openxmlformats.org/officeDocument/2006/relationships/hyperlink" Target="https://centrodedescargas.cnig.es/CentroDescargas/btn-poi" TargetMode="External"/><Relationship Id="rId329" Type="http://schemas.openxmlformats.org/officeDocument/2006/relationships/hyperlink" Target="https://centrodedescargas.cnig.es/CentroDescargas/btn-poi" TargetMode="External"/><Relationship Id="rId536" Type="http://schemas.openxmlformats.org/officeDocument/2006/relationships/hyperlink" Target="https://centrodedescargas.cnig.es/CentroDescargas/btn-poi" TargetMode="External"/><Relationship Id="rId1166" Type="http://schemas.openxmlformats.org/officeDocument/2006/relationships/hyperlink" Target="https://centrodedescargas.cnig.es/CentroDescargas/btn-poi" TargetMode="External"/><Relationship Id="rId1373" Type="http://schemas.openxmlformats.org/officeDocument/2006/relationships/hyperlink" Target="https://centrodedescargas.cnig.es/CentroDescargas/btn-poi" TargetMode="External"/><Relationship Id="rId175" Type="http://schemas.openxmlformats.org/officeDocument/2006/relationships/hyperlink" Target="https://centrodedescargas.cnig.es/CentroDescargas/btn-poi" TargetMode="External"/><Relationship Id="rId743" Type="http://schemas.openxmlformats.org/officeDocument/2006/relationships/hyperlink" Target="https://centrodedescargas.cnig.es/CentroDescargas/btn-poi" TargetMode="External"/><Relationship Id="rId950" Type="http://schemas.openxmlformats.org/officeDocument/2006/relationships/hyperlink" Target="https://centrodedescargas.cnig.es/CentroDescargas/btn-poi" TargetMode="External"/><Relationship Id="rId1026" Type="http://schemas.openxmlformats.org/officeDocument/2006/relationships/hyperlink" Target="https://centrodedescargas.cnig.es/CentroDescargas/btn-poi" TargetMode="External"/><Relationship Id="rId1580" Type="http://schemas.openxmlformats.org/officeDocument/2006/relationships/hyperlink" Target="https://centrodedescargas.cnig.es/CentroDescargas/btn-poi" TargetMode="External"/><Relationship Id="rId1678" Type="http://schemas.openxmlformats.org/officeDocument/2006/relationships/hyperlink" Target="https://centrodedescargas.cnig.es/CentroDescargas/btn-poi" TargetMode="External"/><Relationship Id="rId1801" Type="http://schemas.openxmlformats.org/officeDocument/2006/relationships/hyperlink" Target="https://centrodedescargas.cnig.es/CentroDescargas/btn-poi" TargetMode="External"/><Relationship Id="rId382" Type="http://schemas.openxmlformats.org/officeDocument/2006/relationships/hyperlink" Target="https://centrodedescargas.cnig.es/CentroDescargas/btn-poi" TargetMode="External"/><Relationship Id="rId603" Type="http://schemas.openxmlformats.org/officeDocument/2006/relationships/hyperlink" Target="https://centrodedescargas.cnig.es/CentroDescargas/btn-poi" TargetMode="External"/><Relationship Id="rId687" Type="http://schemas.openxmlformats.org/officeDocument/2006/relationships/hyperlink" Target="https://centrodedescargas.cnig.es/CentroDescargas/btn-poi" TargetMode="External"/><Relationship Id="rId810" Type="http://schemas.openxmlformats.org/officeDocument/2006/relationships/hyperlink" Target="https://centrodedescargas.cnig.es/CentroDescargas/btn-poi" TargetMode="External"/><Relationship Id="rId908" Type="http://schemas.openxmlformats.org/officeDocument/2006/relationships/hyperlink" Target="https://centrodedescargas.cnig.es/CentroDescargas/btn-poi" TargetMode="External"/><Relationship Id="rId1233" Type="http://schemas.openxmlformats.org/officeDocument/2006/relationships/hyperlink" Target="https://centrodedescargas.cnig.es/CentroDescargas/btn-poi" TargetMode="External"/><Relationship Id="rId1440" Type="http://schemas.openxmlformats.org/officeDocument/2006/relationships/hyperlink" Target="https://centrodedescargas.cnig.es/CentroDescargas/btn-poi" TargetMode="External"/><Relationship Id="rId1538" Type="http://schemas.openxmlformats.org/officeDocument/2006/relationships/hyperlink" Target="https://centrodedescargas.cnig.es/CentroDescargas/btn-poi" TargetMode="External"/><Relationship Id="rId242" Type="http://schemas.openxmlformats.org/officeDocument/2006/relationships/hyperlink" Target="https://centrodedescargas.cnig.es/CentroDescargas/btn-poi" TargetMode="External"/><Relationship Id="rId894" Type="http://schemas.openxmlformats.org/officeDocument/2006/relationships/hyperlink" Target="https://centrodedescargas.cnig.es/CentroDescargas/btn-poi" TargetMode="External"/><Relationship Id="rId1177" Type="http://schemas.openxmlformats.org/officeDocument/2006/relationships/hyperlink" Target="https://centrodedescargas.cnig.es/CentroDescargas/btn-poi" TargetMode="External"/><Relationship Id="rId1300" Type="http://schemas.openxmlformats.org/officeDocument/2006/relationships/hyperlink" Target="https://centrodedescargas.cnig.es/CentroDescargas/btn-poi" TargetMode="External"/><Relationship Id="rId1745" Type="http://schemas.openxmlformats.org/officeDocument/2006/relationships/hyperlink" Target="https://centrodedescargas.cnig.es/CentroDescargas/btn-poi" TargetMode="External"/><Relationship Id="rId37" Type="http://schemas.openxmlformats.org/officeDocument/2006/relationships/hyperlink" Target="https://centrodedescargas.cnig.es/CentroDescargas/btn-poi" TargetMode="External"/><Relationship Id="rId102" Type="http://schemas.openxmlformats.org/officeDocument/2006/relationships/hyperlink" Target="https://centrodedescargas.cnig.es/CentroDescargas/btn-poi" TargetMode="External"/><Relationship Id="rId547" Type="http://schemas.openxmlformats.org/officeDocument/2006/relationships/hyperlink" Target="https://centrodedescargas.cnig.es/CentroDescargas/btn-poi" TargetMode="External"/><Relationship Id="rId754" Type="http://schemas.openxmlformats.org/officeDocument/2006/relationships/hyperlink" Target="https://centrodedescargas.cnig.es/CentroDescargas/btn-poi" TargetMode="External"/><Relationship Id="rId961" Type="http://schemas.openxmlformats.org/officeDocument/2006/relationships/hyperlink" Target="https://centrodedescargas.cnig.es/CentroDescargas/btn-poi" TargetMode="External"/><Relationship Id="rId1384" Type="http://schemas.openxmlformats.org/officeDocument/2006/relationships/hyperlink" Target="https://centrodedescargas.cnig.es/CentroDescargas/btn-poi" TargetMode="External"/><Relationship Id="rId1591" Type="http://schemas.openxmlformats.org/officeDocument/2006/relationships/hyperlink" Target="https://centrodedescargas.cnig.es/CentroDescargas/btn-poi" TargetMode="External"/><Relationship Id="rId1605" Type="http://schemas.openxmlformats.org/officeDocument/2006/relationships/hyperlink" Target="https://centrodedescargas.cnig.es/CentroDescargas/btn-poi" TargetMode="External"/><Relationship Id="rId1689" Type="http://schemas.openxmlformats.org/officeDocument/2006/relationships/hyperlink" Target="https://centrodedescargas.cnig.es/CentroDescargas/btn-poi" TargetMode="External"/><Relationship Id="rId1812" Type="http://schemas.openxmlformats.org/officeDocument/2006/relationships/hyperlink" Target="https://centrodedescargas.cnig.es/CentroDescargas/btn-poi" TargetMode="External"/><Relationship Id="rId90" Type="http://schemas.openxmlformats.org/officeDocument/2006/relationships/hyperlink" Target="https://centrodedescargas.cnig.es/CentroDescargas/btn-poi" TargetMode="External"/><Relationship Id="rId186" Type="http://schemas.openxmlformats.org/officeDocument/2006/relationships/hyperlink" Target="https://centrodedescargas.cnig.es/CentroDescargas/btn-poi" TargetMode="External"/><Relationship Id="rId393" Type="http://schemas.openxmlformats.org/officeDocument/2006/relationships/hyperlink" Target="https://centrodedescargas.cnig.es/CentroDescargas/btn-poi" TargetMode="External"/><Relationship Id="rId407" Type="http://schemas.openxmlformats.org/officeDocument/2006/relationships/hyperlink" Target="https://centrodedescargas.cnig.es/CentroDescargas/btn-poi" TargetMode="External"/><Relationship Id="rId614" Type="http://schemas.openxmlformats.org/officeDocument/2006/relationships/hyperlink" Target="https://centrodedescargas.cnig.es/CentroDescargas/btn-poi" TargetMode="External"/><Relationship Id="rId821" Type="http://schemas.openxmlformats.org/officeDocument/2006/relationships/hyperlink" Target="https://centrodedescargas.cnig.es/CentroDescargas/btn-poi" TargetMode="External"/><Relationship Id="rId1037" Type="http://schemas.openxmlformats.org/officeDocument/2006/relationships/hyperlink" Target="https://centrodedescargas.cnig.es/CentroDescargas/btn-poi" TargetMode="External"/><Relationship Id="rId1244" Type="http://schemas.openxmlformats.org/officeDocument/2006/relationships/hyperlink" Target="https://centrodedescargas.cnig.es/CentroDescargas/btn-poi" TargetMode="External"/><Relationship Id="rId1451" Type="http://schemas.openxmlformats.org/officeDocument/2006/relationships/hyperlink" Target="https://centrodedescargas.cnig.es/CentroDescargas/btn-poi" TargetMode="External"/><Relationship Id="rId253" Type="http://schemas.openxmlformats.org/officeDocument/2006/relationships/hyperlink" Target="https://centrodedescargas.cnig.es/CentroDescargas/btn-poi" TargetMode="External"/><Relationship Id="rId460" Type="http://schemas.openxmlformats.org/officeDocument/2006/relationships/hyperlink" Target="https://centrodedescargas.cnig.es/CentroDescargas/btn-poi" TargetMode="External"/><Relationship Id="rId698" Type="http://schemas.openxmlformats.org/officeDocument/2006/relationships/hyperlink" Target="https://centrodedescargas.cnig.es/CentroDescargas/btn-poi" TargetMode="External"/><Relationship Id="rId919" Type="http://schemas.openxmlformats.org/officeDocument/2006/relationships/hyperlink" Target="https://centrodedescargas.cnig.es/CentroDescargas/btn-poi" TargetMode="External"/><Relationship Id="rId1090" Type="http://schemas.openxmlformats.org/officeDocument/2006/relationships/hyperlink" Target="https://centrodedescargas.cnig.es/CentroDescargas/btn-poi" TargetMode="External"/><Relationship Id="rId1104" Type="http://schemas.openxmlformats.org/officeDocument/2006/relationships/hyperlink" Target="https://centrodedescargas.cnig.es/CentroDescargas/btn-poi" TargetMode="External"/><Relationship Id="rId1311" Type="http://schemas.openxmlformats.org/officeDocument/2006/relationships/hyperlink" Target="https://centrodedescargas.cnig.es/CentroDescargas/btn-poi" TargetMode="External"/><Relationship Id="rId1549" Type="http://schemas.openxmlformats.org/officeDocument/2006/relationships/hyperlink" Target="https://centrodedescargas.cnig.es/CentroDescargas/btn-poi" TargetMode="External"/><Relationship Id="rId1756" Type="http://schemas.openxmlformats.org/officeDocument/2006/relationships/hyperlink" Target="https://centrodedescargas.cnig.es/CentroDescargas/btn-poi" TargetMode="External"/><Relationship Id="rId48" Type="http://schemas.openxmlformats.org/officeDocument/2006/relationships/hyperlink" Target="https://centrodedescargas.cnig.es/CentroDescargas/btn-poi" TargetMode="External"/><Relationship Id="rId113" Type="http://schemas.openxmlformats.org/officeDocument/2006/relationships/hyperlink" Target="https://centrodedescargas.cnig.es/CentroDescargas/btn-poi" TargetMode="External"/><Relationship Id="rId320" Type="http://schemas.openxmlformats.org/officeDocument/2006/relationships/hyperlink" Target="https://centrodedescargas.cnig.es/CentroDescargas/btn-poi" TargetMode="External"/><Relationship Id="rId558" Type="http://schemas.openxmlformats.org/officeDocument/2006/relationships/hyperlink" Target="https://centrodedescargas.cnig.es/CentroDescargas/btn-poi" TargetMode="External"/><Relationship Id="rId765" Type="http://schemas.openxmlformats.org/officeDocument/2006/relationships/hyperlink" Target="https://centrodedescargas.cnig.es/CentroDescargas/btn-poi" TargetMode="External"/><Relationship Id="rId972" Type="http://schemas.openxmlformats.org/officeDocument/2006/relationships/hyperlink" Target="https://centrodedescargas.cnig.es/CentroDescargas/btn-poi" TargetMode="External"/><Relationship Id="rId1188" Type="http://schemas.openxmlformats.org/officeDocument/2006/relationships/hyperlink" Target="https://centrodedescargas.cnig.es/CentroDescargas/btn-poi" TargetMode="External"/><Relationship Id="rId1395" Type="http://schemas.openxmlformats.org/officeDocument/2006/relationships/hyperlink" Target="https://centrodedescargas.cnig.es/CentroDescargas/btn-poi" TargetMode="External"/><Relationship Id="rId1409" Type="http://schemas.openxmlformats.org/officeDocument/2006/relationships/hyperlink" Target="https://centrodedescargas.cnig.es/CentroDescargas/btn-poi" TargetMode="External"/><Relationship Id="rId1616" Type="http://schemas.openxmlformats.org/officeDocument/2006/relationships/hyperlink" Target="https://centrodedescargas.cnig.es/CentroDescargas/btn-poi" TargetMode="External"/><Relationship Id="rId1823" Type="http://schemas.openxmlformats.org/officeDocument/2006/relationships/hyperlink" Target="https://centrodedescargas.cnig.es/CentroDescargas/btn-poi" TargetMode="External"/><Relationship Id="rId197" Type="http://schemas.openxmlformats.org/officeDocument/2006/relationships/hyperlink" Target="https://centrodedescargas.cnig.es/CentroDescargas/btn-poi" TargetMode="External"/><Relationship Id="rId418" Type="http://schemas.openxmlformats.org/officeDocument/2006/relationships/hyperlink" Target="https://centrodedescargas.cnig.es/CentroDescargas/btn-poi" TargetMode="External"/><Relationship Id="rId625" Type="http://schemas.openxmlformats.org/officeDocument/2006/relationships/hyperlink" Target="https://centrodedescargas.cnig.es/CentroDescargas/btn-poi" TargetMode="External"/><Relationship Id="rId832" Type="http://schemas.openxmlformats.org/officeDocument/2006/relationships/hyperlink" Target="https://centrodedescargas.cnig.es/CentroDescargas/btn-poi" TargetMode="External"/><Relationship Id="rId1048" Type="http://schemas.openxmlformats.org/officeDocument/2006/relationships/hyperlink" Target="https://centrodedescargas.cnig.es/CentroDescargas/btn-poi" TargetMode="External"/><Relationship Id="rId1255" Type="http://schemas.openxmlformats.org/officeDocument/2006/relationships/hyperlink" Target="https://centrodedescargas.cnig.es/CentroDescargas/btn-poi" TargetMode="External"/><Relationship Id="rId1462" Type="http://schemas.openxmlformats.org/officeDocument/2006/relationships/hyperlink" Target="https://centrodedescargas.cnig.es/CentroDescargas/btn-poi" TargetMode="External"/><Relationship Id="rId264" Type="http://schemas.openxmlformats.org/officeDocument/2006/relationships/hyperlink" Target="https://centrodedescargas.cnig.es/CentroDescargas/btn-poi" TargetMode="External"/><Relationship Id="rId471" Type="http://schemas.openxmlformats.org/officeDocument/2006/relationships/hyperlink" Target="https://centrodedescargas.cnig.es/CentroDescargas/btn-poi" TargetMode="External"/><Relationship Id="rId1115" Type="http://schemas.openxmlformats.org/officeDocument/2006/relationships/hyperlink" Target="https://centrodedescargas.cnig.es/CentroDescargas/btn-poi" TargetMode="External"/><Relationship Id="rId1322" Type="http://schemas.openxmlformats.org/officeDocument/2006/relationships/hyperlink" Target="https://centrodedescargas.cnig.es/CentroDescargas/btn-poi" TargetMode="External"/><Relationship Id="rId1767" Type="http://schemas.openxmlformats.org/officeDocument/2006/relationships/hyperlink" Target="https://centrodedescargas.cnig.es/CentroDescargas/btn-poi" TargetMode="External"/><Relationship Id="rId59" Type="http://schemas.openxmlformats.org/officeDocument/2006/relationships/hyperlink" Target="https://centrodedescargas.cnig.es/CentroDescargas/btn-poi" TargetMode="External"/><Relationship Id="rId124" Type="http://schemas.openxmlformats.org/officeDocument/2006/relationships/hyperlink" Target="https://centrodedescargas.cnig.es/CentroDescargas/btn-poi" TargetMode="External"/><Relationship Id="rId569" Type="http://schemas.openxmlformats.org/officeDocument/2006/relationships/hyperlink" Target="https://centrodedescargas.cnig.es/CentroDescargas/btn-poi" TargetMode="External"/><Relationship Id="rId776" Type="http://schemas.openxmlformats.org/officeDocument/2006/relationships/hyperlink" Target="https://centrodedescargas.cnig.es/CentroDescargas/btn-poi" TargetMode="External"/><Relationship Id="rId983" Type="http://schemas.openxmlformats.org/officeDocument/2006/relationships/hyperlink" Target="https://centrodedescargas.cnig.es/CentroDescargas/btn-poi" TargetMode="External"/><Relationship Id="rId1199" Type="http://schemas.openxmlformats.org/officeDocument/2006/relationships/hyperlink" Target="https://centrodedescargas.cnig.es/CentroDescargas/btn-poi" TargetMode="External"/><Relationship Id="rId1627" Type="http://schemas.openxmlformats.org/officeDocument/2006/relationships/hyperlink" Target="https://centrodedescargas.cnig.es/CentroDescargas/btn-poi" TargetMode="External"/><Relationship Id="rId331" Type="http://schemas.openxmlformats.org/officeDocument/2006/relationships/hyperlink" Target="https://centrodedescargas.cnig.es/CentroDescargas/btn-poi" TargetMode="External"/><Relationship Id="rId429" Type="http://schemas.openxmlformats.org/officeDocument/2006/relationships/hyperlink" Target="https://centrodedescargas.cnig.es/CentroDescargas/btn-poi" TargetMode="External"/><Relationship Id="rId636" Type="http://schemas.openxmlformats.org/officeDocument/2006/relationships/hyperlink" Target="https://centrodedescargas.cnig.es/CentroDescargas/btn-poi" TargetMode="External"/><Relationship Id="rId1059" Type="http://schemas.openxmlformats.org/officeDocument/2006/relationships/hyperlink" Target="https://centrodedescargas.cnig.es/CentroDescargas/btn-poi" TargetMode="External"/><Relationship Id="rId1266" Type="http://schemas.openxmlformats.org/officeDocument/2006/relationships/hyperlink" Target="https://centrodedescargas.cnig.es/CentroDescargas/btn-poi" TargetMode="External"/><Relationship Id="rId1473" Type="http://schemas.openxmlformats.org/officeDocument/2006/relationships/hyperlink" Target="https://centrodedescargas.cnig.es/CentroDescargas/btn-poi" TargetMode="External"/><Relationship Id="rId843" Type="http://schemas.openxmlformats.org/officeDocument/2006/relationships/hyperlink" Target="https://centrodedescargas.cnig.es/CentroDescargas/btn-poi" TargetMode="External"/><Relationship Id="rId1126" Type="http://schemas.openxmlformats.org/officeDocument/2006/relationships/hyperlink" Target="https://centrodedescargas.cnig.es/CentroDescargas/btn-poi" TargetMode="External"/><Relationship Id="rId1680" Type="http://schemas.openxmlformats.org/officeDocument/2006/relationships/hyperlink" Target="https://centrodedescargas.cnig.es/CentroDescargas/btn-poi" TargetMode="External"/><Relationship Id="rId1778" Type="http://schemas.openxmlformats.org/officeDocument/2006/relationships/hyperlink" Target="https://centrodedescargas.cnig.es/CentroDescargas/btn-poi" TargetMode="External"/><Relationship Id="rId275" Type="http://schemas.openxmlformats.org/officeDocument/2006/relationships/hyperlink" Target="https://centrodedescargas.cnig.es/CentroDescargas/btn-poi" TargetMode="External"/><Relationship Id="rId482" Type="http://schemas.openxmlformats.org/officeDocument/2006/relationships/hyperlink" Target="https://centrodedescargas.cnig.es/CentroDescargas/btn-poi" TargetMode="External"/><Relationship Id="rId703" Type="http://schemas.openxmlformats.org/officeDocument/2006/relationships/hyperlink" Target="https://centrodedescargas.cnig.es/CentroDescargas/btn-poi" TargetMode="External"/><Relationship Id="rId910" Type="http://schemas.openxmlformats.org/officeDocument/2006/relationships/hyperlink" Target="https://centrodedescargas.cnig.es/CentroDescargas/btn-poi" TargetMode="External"/><Relationship Id="rId1333" Type="http://schemas.openxmlformats.org/officeDocument/2006/relationships/hyperlink" Target="https://centrodedescargas.cnig.es/CentroDescargas/btn-poi" TargetMode="External"/><Relationship Id="rId1540" Type="http://schemas.openxmlformats.org/officeDocument/2006/relationships/hyperlink" Target="https://centrodedescargas.cnig.es/CentroDescargas/btn-poi" TargetMode="External"/><Relationship Id="rId1638" Type="http://schemas.openxmlformats.org/officeDocument/2006/relationships/hyperlink" Target="https://centrodedescargas.cnig.es/CentroDescargas/btn-poi" TargetMode="External"/><Relationship Id="rId135" Type="http://schemas.openxmlformats.org/officeDocument/2006/relationships/hyperlink" Target="https://centrodedescargas.cnig.es/CentroDescargas/btn-poi" TargetMode="External"/><Relationship Id="rId342" Type="http://schemas.openxmlformats.org/officeDocument/2006/relationships/hyperlink" Target="https://centrodedescargas.cnig.es/CentroDescargas/btn-poi" TargetMode="External"/><Relationship Id="rId787" Type="http://schemas.openxmlformats.org/officeDocument/2006/relationships/hyperlink" Target="https://centrodedescargas.cnig.es/CentroDescargas/btn-poi" TargetMode="External"/><Relationship Id="rId994" Type="http://schemas.openxmlformats.org/officeDocument/2006/relationships/hyperlink" Target="https://centrodedescargas.cnig.es/CentroDescargas/btn-poi" TargetMode="External"/><Relationship Id="rId1400" Type="http://schemas.openxmlformats.org/officeDocument/2006/relationships/hyperlink" Target="https://centrodedescargas.cnig.es/CentroDescargas/btn-poi" TargetMode="External"/><Relationship Id="rId202" Type="http://schemas.openxmlformats.org/officeDocument/2006/relationships/hyperlink" Target="https://centrodedescargas.cnig.es/CentroDescargas/btn-poi" TargetMode="External"/><Relationship Id="rId647" Type="http://schemas.openxmlformats.org/officeDocument/2006/relationships/hyperlink" Target="https://centrodedescargas.cnig.es/CentroDescargas/btn-poi" TargetMode="External"/><Relationship Id="rId854" Type="http://schemas.openxmlformats.org/officeDocument/2006/relationships/hyperlink" Target="https://centrodedescargas.cnig.es/CentroDescargas/btn-poi" TargetMode="External"/><Relationship Id="rId1277" Type="http://schemas.openxmlformats.org/officeDocument/2006/relationships/hyperlink" Target="https://centrodedescargas.cnig.es/CentroDescargas/btn-poi" TargetMode="External"/><Relationship Id="rId1484" Type="http://schemas.openxmlformats.org/officeDocument/2006/relationships/hyperlink" Target="https://centrodedescargas.cnig.es/CentroDescargas/btn-poi" TargetMode="External"/><Relationship Id="rId1691" Type="http://schemas.openxmlformats.org/officeDocument/2006/relationships/hyperlink" Target="https://centrodedescargas.cnig.es/CentroDescargas/btn-poi" TargetMode="External"/><Relationship Id="rId1705" Type="http://schemas.openxmlformats.org/officeDocument/2006/relationships/hyperlink" Target="https://centrodedescargas.cnig.es/CentroDescargas/btn-poi" TargetMode="External"/><Relationship Id="rId286" Type="http://schemas.openxmlformats.org/officeDocument/2006/relationships/hyperlink" Target="https://centrodedescargas.cnig.es/CentroDescargas/btn-poi" TargetMode="External"/><Relationship Id="rId493" Type="http://schemas.openxmlformats.org/officeDocument/2006/relationships/hyperlink" Target="https://centrodedescargas.cnig.es/CentroDescargas/btn-poi" TargetMode="External"/><Relationship Id="rId507" Type="http://schemas.openxmlformats.org/officeDocument/2006/relationships/hyperlink" Target="https://centrodedescargas.cnig.es/CentroDescargas/btn-poi" TargetMode="External"/><Relationship Id="rId714" Type="http://schemas.openxmlformats.org/officeDocument/2006/relationships/hyperlink" Target="https://centrodedescargas.cnig.es/CentroDescargas/btn-poi" TargetMode="External"/><Relationship Id="rId921" Type="http://schemas.openxmlformats.org/officeDocument/2006/relationships/hyperlink" Target="https://centrodedescargas.cnig.es/CentroDescargas/btn-poi" TargetMode="External"/><Relationship Id="rId1137" Type="http://schemas.openxmlformats.org/officeDocument/2006/relationships/hyperlink" Target="https://centrodedescargas.cnig.es/CentroDescargas/btn-poi" TargetMode="External"/><Relationship Id="rId1344" Type="http://schemas.openxmlformats.org/officeDocument/2006/relationships/hyperlink" Target="https://centrodedescargas.cnig.es/CentroDescargas/btn-poi" TargetMode="External"/><Relationship Id="rId1551" Type="http://schemas.openxmlformats.org/officeDocument/2006/relationships/hyperlink" Target="https://centrodedescargas.cnig.es/CentroDescargas/btn-poi" TargetMode="External"/><Relationship Id="rId1789" Type="http://schemas.openxmlformats.org/officeDocument/2006/relationships/hyperlink" Target="https://centrodedescargas.cnig.es/CentroDescargas/btn-poi" TargetMode="External"/><Relationship Id="rId50" Type="http://schemas.openxmlformats.org/officeDocument/2006/relationships/hyperlink" Target="https://centrodedescargas.cnig.es/CentroDescargas/btn-poi" TargetMode="External"/><Relationship Id="rId146" Type="http://schemas.openxmlformats.org/officeDocument/2006/relationships/hyperlink" Target="https://centrodedescargas.cnig.es/CentroDescargas/btn-poi" TargetMode="External"/><Relationship Id="rId353" Type="http://schemas.openxmlformats.org/officeDocument/2006/relationships/hyperlink" Target="https://centrodedescargas.cnig.es/CentroDescargas/btn-poi" TargetMode="External"/><Relationship Id="rId560" Type="http://schemas.openxmlformats.org/officeDocument/2006/relationships/hyperlink" Target="https://centrodedescargas.cnig.es/CentroDescargas/btn-poi" TargetMode="External"/><Relationship Id="rId798" Type="http://schemas.openxmlformats.org/officeDocument/2006/relationships/hyperlink" Target="https://centrodedescargas.cnig.es/CentroDescargas/btn-poi" TargetMode="External"/><Relationship Id="rId1190" Type="http://schemas.openxmlformats.org/officeDocument/2006/relationships/hyperlink" Target="https://centrodedescargas.cnig.es/CentroDescargas/btn-poi" TargetMode="External"/><Relationship Id="rId1204" Type="http://schemas.openxmlformats.org/officeDocument/2006/relationships/hyperlink" Target="https://centrodedescargas.cnig.es/CentroDescargas/btn-poi" TargetMode="External"/><Relationship Id="rId1411" Type="http://schemas.openxmlformats.org/officeDocument/2006/relationships/hyperlink" Target="https://centrodedescargas.cnig.es/CentroDescargas/btn-poi" TargetMode="External"/><Relationship Id="rId1649" Type="http://schemas.openxmlformats.org/officeDocument/2006/relationships/hyperlink" Target="https://centrodedescargas.cnig.es/CentroDescargas/btn-poi" TargetMode="External"/><Relationship Id="rId213" Type="http://schemas.openxmlformats.org/officeDocument/2006/relationships/hyperlink" Target="https://centrodedescargas.cnig.es/CentroDescargas/btn-poi" TargetMode="External"/><Relationship Id="rId420" Type="http://schemas.openxmlformats.org/officeDocument/2006/relationships/hyperlink" Target="https://centrodedescargas.cnig.es/CentroDescargas/btn-poi" TargetMode="External"/><Relationship Id="rId658" Type="http://schemas.openxmlformats.org/officeDocument/2006/relationships/hyperlink" Target="https://centrodedescargas.cnig.es/CentroDescargas/btn-poi" TargetMode="External"/><Relationship Id="rId865" Type="http://schemas.openxmlformats.org/officeDocument/2006/relationships/hyperlink" Target="https://centrodedescargas.cnig.es/CentroDescargas/btn-poi" TargetMode="External"/><Relationship Id="rId1050" Type="http://schemas.openxmlformats.org/officeDocument/2006/relationships/hyperlink" Target="https://centrodedescargas.cnig.es/CentroDescargas/btn-poi" TargetMode="External"/><Relationship Id="rId1288" Type="http://schemas.openxmlformats.org/officeDocument/2006/relationships/hyperlink" Target="https://centrodedescargas.cnig.es/CentroDescargas/btn-poi" TargetMode="External"/><Relationship Id="rId1495" Type="http://schemas.openxmlformats.org/officeDocument/2006/relationships/hyperlink" Target="https://centrodedescargas.cnig.es/CentroDescargas/btn-poi" TargetMode="External"/><Relationship Id="rId1509" Type="http://schemas.openxmlformats.org/officeDocument/2006/relationships/hyperlink" Target="https://centrodedescargas.cnig.es/CentroDescargas/btn-poi" TargetMode="External"/><Relationship Id="rId1716" Type="http://schemas.openxmlformats.org/officeDocument/2006/relationships/hyperlink" Target="https://centrodedescargas.cnig.es/CentroDescargas/btn-poi" TargetMode="External"/><Relationship Id="rId297" Type="http://schemas.openxmlformats.org/officeDocument/2006/relationships/hyperlink" Target="https://centrodedescargas.cnig.es/CentroDescargas/btn-poi" TargetMode="External"/><Relationship Id="rId518" Type="http://schemas.openxmlformats.org/officeDocument/2006/relationships/hyperlink" Target="https://centrodedescargas.cnig.es/CentroDescargas/btn-poi" TargetMode="External"/><Relationship Id="rId725" Type="http://schemas.openxmlformats.org/officeDocument/2006/relationships/hyperlink" Target="https://centrodedescargas.cnig.es/CentroDescargas/btn-poi" TargetMode="External"/><Relationship Id="rId932" Type="http://schemas.openxmlformats.org/officeDocument/2006/relationships/hyperlink" Target="https://centrodedescargas.cnig.es/CentroDescargas/btn-poi" TargetMode="External"/><Relationship Id="rId1148" Type="http://schemas.openxmlformats.org/officeDocument/2006/relationships/hyperlink" Target="https://centrodedescargas.cnig.es/CentroDescargas/btn-poi" TargetMode="External"/><Relationship Id="rId1355" Type="http://schemas.openxmlformats.org/officeDocument/2006/relationships/hyperlink" Target="https://centrodedescargas.cnig.es/CentroDescargas/btn-poi" TargetMode="External"/><Relationship Id="rId1562" Type="http://schemas.openxmlformats.org/officeDocument/2006/relationships/hyperlink" Target="https://centrodedescargas.cnig.es/CentroDescargas/btn-poi" TargetMode="External"/><Relationship Id="rId157" Type="http://schemas.openxmlformats.org/officeDocument/2006/relationships/hyperlink" Target="https://centrodedescargas.cnig.es/CentroDescargas/btn-poi" TargetMode="External"/><Relationship Id="rId364" Type="http://schemas.openxmlformats.org/officeDocument/2006/relationships/hyperlink" Target="https://centrodedescargas.cnig.es/CentroDescargas/btn-poi" TargetMode="External"/><Relationship Id="rId1008" Type="http://schemas.openxmlformats.org/officeDocument/2006/relationships/hyperlink" Target="https://centrodedescargas.cnig.es/CentroDescargas/btn-poi" TargetMode="External"/><Relationship Id="rId1215" Type="http://schemas.openxmlformats.org/officeDocument/2006/relationships/hyperlink" Target="https://centrodedescargas.cnig.es/CentroDescargas/btn-poi" TargetMode="External"/><Relationship Id="rId1422" Type="http://schemas.openxmlformats.org/officeDocument/2006/relationships/hyperlink" Target="https://centrodedescargas.cnig.es/CentroDescargas/btn-poi" TargetMode="External"/><Relationship Id="rId61" Type="http://schemas.openxmlformats.org/officeDocument/2006/relationships/hyperlink" Target="https://centrodedescargas.cnig.es/CentroDescargas/btn-poi" TargetMode="External"/><Relationship Id="rId571" Type="http://schemas.openxmlformats.org/officeDocument/2006/relationships/hyperlink" Target="https://centrodedescargas.cnig.es/CentroDescargas/btn-poi" TargetMode="External"/><Relationship Id="rId669" Type="http://schemas.openxmlformats.org/officeDocument/2006/relationships/hyperlink" Target="https://centrodedescargas.cnig.es/CentroDescargas/btn-poi" TargetMode="External"/><Relationship Id="rId876" Type="http://schemas.openxmlformats.org/officeDocument/2006/relationships/hyperlink" Target="https://centrodedescargas.cnig.es/CentroDescargas/btn-poi" TargetMode="External"/><Relationship Id="rId1299" Type="http://schemas.openxmlformats.org/officeDocument/2006/relationships/hyperlink" Target="https://centrodedescargas.cnig.es/CentroDescargas/btn-poi" TargetMode="External"/><Relationship Id="rId1727" Type="http://schemas.openxmlformats.org/officeDocument/2006/relationships/hyperlink" Target="https://centrodedescargas.cnig.es/CentroDescargas/btn-poi" TargetMode="External"/><Relationship Id="rId19" Type="http://schemas.openxmlformats.org/officeDocument/2006/relationships/hyperlink" Target="https://centrodedescargas.cnig.es/CentroDescargas/btn-poi" TargetMode="External"/><Relationship Id="rId224" Type="http://schemas.openxmlformats.org/officeDocument/2006/relationships/hyperlink" Target="https://centrodedescargas.cnig.es/CentroDescargas/btn-poi" TargetMode="External"/><Relationship Id="rId431" Type="http://schemas.openxmlformats.org/officeDocument/2006/relationships/hyperlink" Target="https://centrodedescargas.cnig.es/CentroDescargas/btn-poi" TargetMode="External"/><Relationship Id="rId529" Type="http://schemas.openxmlformats.org/officeDocument/2006/relationships/hyperlink" Target="https://centrodedescargas.cnig.es/CentroDescargas/btn-poi" TargetMode="External"/><Relationship Id="rId736" Type="http://schemas.openxmlformats.org/officeDocument/2006/relationships/hyperlink" Target="https://centrodedescargas.cnig.es/CentroDescargas/btn-poi" TargetMode="External"/><Relationship Id="rId1061" Type="http://schemas.openxmlformats.org/officeDocument/2006/relationships/hyperlink" Target="https://centrodedescargas.cnig.es/CentroDescargas/btn-poi" TargetMode="External"/><Relationship Id="rId1159" Type="http://schemas.openxmlformats.org/officeDocument/2006/relationships/hyperlink" Target="https://centrodedescargas.cnig.es/CentroDescargas/btn-poi" TargetMode="External"/><Relationship Id="rId1366" Type="http://schemas.openxmlformats.org/officeDocument/2006/relationships/hyperlink" Target="https://centrodedescargas.cnig.es/CentroDescargas/btn-poi" TargetMode="External"/><Relationship Id="rId168" Type="http://schemas.openxmlformats.org/officeDocument/2006/relationships/hyperlink" Target="https://centrodedescargas.cnig.es/CentroDescargas/btn-poi" TargetMode="External"/><Relationship Id="rId943" Type="http://schemas.openxmlformats.org/officeDocument/2006/relationships/hyperlink" Target="https://centrodedescargas.cnig.es/CentroDescargas/btn-poi" TargetMode="External"/><Relationship Id="rId1019" Type="http://schemas.openxmlformats.org/officeDocument/2006/relationships/hyperlink" Target="https://centrodedescargas.cnig.es/CentroDescargas/btn-poi" TargetMode="External"/><Relationship Id="rId1573" Type="http://schemas.openxmlformats.org/officeDocument/2006/relationships/hyperlink" Target="https://centrodedescargas.cnig.es/CentroDescargas/btn-poi" TargetMode="External"/><Relationship Id="rId1780" Type="http://schemas.openxmlformats.org/officeDocument/2006/relationships/hyperlink" Target="https://centrodedescargas.cnig.es/CentroDescargas/btn-poi" TargetMode="External"/><Relationship Id="rId72" Type="http://schemas.openxmlformats.org/officeDocument/2006/relationships/hyperlink" Target="https://centrodedescargas.cnig.es/CentroDescargas/btn-poi" TargetMode="External"/><Relationship Id="rId375" Type="http://schemas.openxmlformats.org/officeDocument/2006/relationships/hyperlink" Target="https://centrodedescargas.cnig.es/CentroDescargas/btn-poi" TargetMode="External"/><Relationship Id="rId582" Type="http://schemas.openxmlformats.org/officeDocument/2006/relationships/hyperlink" Target="https://centrodedescargas.cnig.es/CentroDescargas/btn-poi" TargetMode="External"/><Relationship Id="rId803" Type="http://schemas.openxmlformats.org/officeDocument/2006/relationships/hyperlink" Target="https://centrodedescargas.cnig.es/CentroDescargas/btn-poi" TargetMode="External"/><Relationship Id="rId1226" Type="http://schemas.openxmlformats.org/officeDocument/2006/relationships/hyperlink" Target="https://centrodedescargas.cnig.es/CentroDescargas/btn-poi" TargetMode="External"/><Relationship Id="rId1433" Type="http://schemas.openxmlformats.org/officeDocument/2006/relationships/hyperlink" Target="https://centrodedescargas.cnig.es/CentroDescargas/btn-poi" TargetMode="External"/><Relationship Id="rId1640" Type="http://schemas.openxmlformats.org/officeDocument/2006/relationships/hyperlink" Target="https://centrodedescargas.cnig.es/CentroDescargas/btn-poi" TargetMode="External"/><Relationship Id="rId1738" Type="http://schemas.openxmlformats.org/officeDocument/2006/relationships/hyperlink" Target="https://centrodedescargas.cnig.es/CentroDescargas/btn-poi" TargetMode="External"/><Relationship Id="rId3" Type="http://schemas.openxmlformats.org/officeDocument/2006/relationships/hyperlink" Target="https://centrodedescargas.cnig.es/CentroDescargas/btn-poi" TargetMode="External"/><Relationship Id="rId235" Type="http://schemas.openxmlformats.org/officeDocument/2006/relationships/hyperlink" Target="https://centrodedescargas.cnig.es/CentroDescargas/btn-poi" TargetMode="External"/><Relationship Id="rId442" Type="http://schemas.openxmlformats.org/officeDocument/2006/relationships/hyperlink" Target="https://centrodedescargas.cnig.es/CentroDescargas/btn-poi" TargetMode="External"/><Relationship Id="rId887" Type="http://schemas.openxmlformats.org/officeDocument/2006/relationships/hyperlink" Target="https://centrodedescargas.cnig.es/CentroDescargas/btn-poi" TargetMode="External"/><Relationship Id="rId1072" Type="http://schemas.openxmlformats.org/officeDocument/2006/relationships/hyperlink" Target="https://centrodedescargas.cnig.es/CentroDescargas/btn-poi" TargetMode="External"/><Relationship Id="rId1500" Type="http://schemas.openxmlformats.org/officeDocument/2006/relationships/hyperlink" Target="https://centrodedescargas.cnig.es/CentroDescargas/btn-poi" TargetMode="External"/><Relationship Id="rId302" Type="http://schemas.openxmlformats.org/officeDocument/2006/relationships/hyperlink" Target="https://centrodedescargas.cnig.es/CentroDescargas/btn-poi" TargetMode="External"/><Relationship Id="rId747" Type="http://schemas.openxmlformats.org/officeDocument/2006/relationships/hyperlink" Target="https://centrodedescargas.cnig.es/CentroDescargas/btn-poi" TargetMode="External"/><Relationship Id="rId954" Type="http://schemas.openxmlformats.org/officeDocument/2006/relationships/hyperlink" Target="https://centrodedescargas.cnig.es/CentroDescargas/btn-poi" TargetMode="External"/><Relationship Id="rId1377" Type="http://schemas.openxmlformats.org/officeDocument/2006/relationships/hyperlink" Target="https://centrodedescargas.cnig.es/CentroDescargas/btn-poi" TargetMode="External"/><Relationship Id="rId1584" Type="http://schemas.openxmlformats.org/officeDocument/2006/relationships/hyperlink" Target="https://centrodedescargas.cnig.es/CentroDescargas/btn-poi" TargetMode="External"/><Relationship Id="rId1791" Type="http://schemas.openxmlformats.org/officeDocument/2006/relationships/hyperlink" Target="https://centrodedescargas.cnig.es/CentroDescargas/btn-poi" TargetMode="External"/><Relationship Id="rId1805" Type="http://schemas.openxmlformats.org/officeDocument/2006/relationships/hyperlink" Target="https://centrodedescargas.cnig.es/CentroDescargas/btn-poi" TargetMode="External"/><Relationship Id="rId83" Type="http://schemas.openxmlformats.org/officeDocument/2006/relationships/hyperlink" Target="https://centrodedescargas.cnig.es/CentroDescargas/btn-poi" TargetMode="External"/><Relationship Id="rId179" Type="http://schemas.openxmlformats.org/officeDocument/2006/relationships/hyperlink" Target="https://centrodedescargas.cnig.es/CentroDescargas/btn-poi" TargetMode="External"/><Relationship Id="rId386" Type="http://schemas.openxmlformats.org/officeDocument/2006/relationships/hyperlink" Target="https://centrodedescargas.cnig.es/CentroDescargas/btn-poi" TargetMode="External"/><Relationship Id="rId593" Type="http://schemas.openxmlformats.org/officeDocument/2006/relationships/hyperlink" Target="https://centrodedescargas.cnig.es/CentroDescargas/btn-poi" TargetMode="External"/><Relationship Id="rId607" Type="http://schemas.openxmlformats.org/officeDocument/2006/relationships/hyperlink" Target="https://centrodedescargas.cnig.es/CentroDescargas/btn-poi" TargetMode="External"/><Relationship Id="rId814" Type="http://schemas.openxmlformats.org/officeDocument/2006/relationships/hyperlink" Target="https://centrodedescargas.cnig.es/CentroDescargas/btn-poi" TargetMode="External"/><Relationship Id="rId1237" Type="http://schemas.openxmlformats.org/officeDocument/2006/relationships/hyperlink" Target="https://centrodedescargas.cnig.es/CentroDescargas/btn-poi" TargetMode="External"/><Relationship Id="rId1444" Type="http://schemas.openxmlformats.org/officeDocument/2006/relationships/hyperlink" Target="https://centrodedescargas.cnig.es/CentroDescargas/btn-poi" TargetMode="External"/><Relationship Id="rId1651" Type="http://schemas.openxmlformats.org/officeDocument/2006/relationships/hyperlink" Target="https://centrodedescargas.cnig.es/CentroDescargas/btn-poi" TargetMode="External"/><Relationship Id="rId246" Type="http://schemas.openxmlformats.org/officeDocument/2006/relationships/hyperlink" Target="https://centrodedescargas.cnig.es/CentroDescargas/btn-poi" TargetMode="External"/><Relationship Id="rId453" Type="http://schemas.openxmlformats.org/officeDocument/2006/relationships/hyperlink" Target="https://centrodedescargas.cnig.es/CentroDescargas/btn-poi" TargetMode="External"/><Relationship Id="rId660" Type="http://schemas.openxmlformats.org/officeDocument/2006/relationships/hyperlink" Target="https://centrodedescargas.cnig.es/CentroDescargas/btn-poi" TargetMode="External"/><Relationship Id="rId898" Type="http://schemas.openxmlformats.org/officeDocument/2006/relationships/hyperlink" Target="https://centrodedescargas.cnig.es/CentroDescargas/btn-poi" TargetMode="External"/><Relationship Id="rId1083" Type="http://schemas.openxmlformats.org/officeDocument/2006/relationships/hyperlink" Target="https://centrodedescargas.cnig.es/CentroDescargas/btn-poi" TargetMode="External"/><Relationship Id="rId1290" Type="http://schemas.openxmlformats.org/officeDocument/2006/relationships/hyperlink" Target="https://centrodedescargas.cnig.es/CentroDescargas/btn-poi" TargetMode="External"/><Relationship Id="rId1304" Type="http://schemas.openxmlformats.org/officeDocument/2006/relationships/hyperlink" Target="https://centrodedescargas.cnig.es/CentroDescargas/btn-poi" TargetMode="External"/><Relationship Id="rId1511" Type="http://schemas.openxmlformats.org/officeDocument/2006/relationships/hyperlink" Target="https://centrodedescargas.cnig.es/CentroDescargas/btn-poi" TargetMode="External"/><Relationship Id="rId1749" Type="http://schemas.openxmlformats.org/officeDocument/2006/relationships/hyperlink" Target="https://centrodedescargas.cnig.es/CentroDescargas/btn-poi" TargetMode="External"/><Relationship Id="rId106" Type="http://schemas.openxmlformats.org/officeDocument/2006/relationships/hyperlink" Target="https://centrodedescargas.cnig.es/CentroDescargas/btn-poi" TargetMode="External"/><Relationship Id="rId313" Type="http://schemas.openxmlformats.org/officeDocument/2006/relationships/hyperlink" Target="https://centrodedescargas.cnig.es/CentroDescargas/btn-poi" TargetMode="External"/><Relationship Id="rId758" Type="http://schemas.openxmlformats.org/officeDocument/2006/relationships/hyperlink" Target="https://centrodedescargas.cnig.es/CentroDescargas/btn-poi" TargetMode="External"/><Relationship Id="rId965" Type="http://schemas.openxmlformats.org/officeDocument/2006/relationships/hyperlink" Target="https://centrodedescargas.cnig.es/CentroDescargas/btn-poi" TargetMode="External"/><Relationship Id="rId1150" Type="http://schemas.openxmlformats.org/officeDocument/2006/relationships/hyperlink" Target="https://centrodedescargas.cnig.es/CentroDescargas/btn-poi" TargetMode="External"/><Relationship Id="rId1388" Type="http://schemas.openxmlformats.org/officeDocument/2006/relationships/hyperlink" Target="https://centrodedescargas.cnig.es/CentroDescargas/btn-poi" TargetMode="External"/><Relationship Id="rId1595" Type="http://schemas.openxmlformats.org/officeDocument/2006/relationships/hyperlink" Target="https://centrodedescargas.cnig.es/CentroDescargas/btn-poi" TargetMode="External"/><Relationship Id="rId1609" Type="http://schemas.openxmlformats.org/officeDocument/2006/relationships/hyperlink" Target="https://centrodedescargas.cnig.es/CentroDescargas/btn-poi" TargetMode="External"/><Relationship Id="rId1816" Type="http://schemas.openxmlformats.org/officeDocument/2006/relationships/hyperlink" Target="https://centrodedescargas.cnig.es/CentroDescargas/btn-poi" TargetMode="External"/><Relationship Id="rId10" Type="http://schemas.openxmlformats.org/officeDocument/2006/relationships/hyperlink" Target="https://centrodedescargas.cnig.es/CentroDescargas/btn-poi" TargetMode="External"/><Relationship Id="rId94" Type="http://schemas.openxmlformats.org/officeDocument/2006/relationships/hyperlink" Target="https://centrodedescargas.cnig.es/CentroDescargas/btn-poi" TargetMode="External"/><Relationship Id="rId397" Type="http://schemas.openxmlformats.org/officeDocument/2006/relationships/hyperlink" Target="https://centrodedescargas.cnig.es/CentroDescargas/btn-poi" TargetMode="External"/><Relationship Id="rId520" Type="http://schemas.openxmlformats.org/officeDocument/2006/relationships/hyperlink" Target="https://centrodedescargas.cnig.es/CentroDescargas/btn-poi" TargetMode="External"/><Relationship Id="rId618" Type="http://schemas.openxmlformats.org/officeDocument/2006/relationships/hyperlink" Target="https://centrodedescargas.cnig.es/CentroDescargas/btn-poi" TargetMode="External"/><Relationship Id="rId825" Type="http://schemas.openxmlformats.org/officeDocument/2006/relationships/hyperlink" Target="https://centrodedescargas.cnig.es/CentroDescargas/btn-poi" TargetMode="External"/><Relationship Id="rId1248" Type="http://schemas.openxmlformats.org/officeDocument/2006/relationships/hyperlink" Target="https://centrodedescargas.cnig.es/CentroDescargas/btn-poi" TargetMode="External"/><Relationship Id="rId1455" Type="http://schemas.openxmlformats.org/officeDocument/2006/relationships/hyperlink" Target="https://centrodedescargas.cnig.es/CentroDescargas/btn-poi" TargetMode="External"/><Relationship Id="rId1662" Type="http://schemas.openxmlformats.org/officeDocument/2006/relationships/hyperlink" Target="https://centrodedescargas.cnig.es/CentroDescargas/btn-poi" TargetMode="External"/><Relationship Id="rId257" Type="http://schemas.openxmlformats.org/officeDocument/2006/relationships/hyperlink" Target="https://centrodedescargas.cnig.es/CentroDescargas/btn-poi" TargetMode="External"/><Relationship Id="rId464" Type="http://schemas.openxmlformats.org/officeDocument/2006/relationships/hyperlink" Target="https://centrodedescargas.cnig.es/CentroDescargas/btn-poi" TargetMode="External"/><Relationship Id="rId1010" Type="http://schemas.openxmlformats.org/officeDocument/2006/relationships/hyperlink" Target="https://centrodedescargas.cnig.es/CentroDescargas/btn-poi" TargetMode="External"/><Relationship Id="rId1094" Type="http://schemas.openxmlformats.org/officeDocument/2006/relationships/hyperlink" Target="https://centrodedescargas.cnig.es/CentroDescargas/btn-poi" TargetMode="External"/><Relationship Id="rId1108" Type="http://schemas.openxmlformats.org/officeDocument/2006/relationships/hyperlink" Target="https://centrodedescargas.cnig.es/CentroDescargas/btn-poi" TargetMode="External"/><Relationship Id="rId1315" Type="http://schemas.openxmlformats.org/officeDocument/2006/relationships/hyperlink" Target="https://centrodedescargas.cnig.es/CentroDescargas/btn-poi" TargetMode="External"/><Relationship Id="rId117" Type="http://schemas.openxmlformats.org/officeDocument/2006/relationships/hyperlink" Target="https://centrodedescargas.cnig.es/CentroDescargas/btn-poi" TargetMode="External"/><Relationship Id="rId671" Type="http://schemas.openxmlformats.org/officeDocument/2006/relationships/hyperlink" Target="https://centrodedescargas.cnig.es/CentroDescargas/btn-poi" TargetMode="External"/><Relationship Id="rId769" Type="http://schemas.openxmlformats.org/officeDocument/2006/relationships/hyperlink" Target="https://centrodedescargas.cnig.es/CentroDescargas/btn-poi" TargetMode="External"/><Relationship Id="rId976" Type="http://schemas.openxmlformats.org/officeDocument/2006/relationships/hyperlink" Target="https://centrodedescargas.cnig.es/CentroDescargas/btn-poi" TargetMode="External"/><Relationship Id="rId1399" Type="http://schemas.openxmlformats.org/officeDocument/2006/relationships/hyperlink" Target="https://centrodedescargas.cnig.es/CentroDescargas/btn-poi" TargetMode="External"/><Relationship Id="rId324" Type="http://schemas.openxmlformats.org/officeDocument/2006/relationships/hyperlink" Target="https://centrodedescargas.cnig.es/CentroDescargas/btn-poi" TargetMode="External"/><Relationship Id="rId531" Type="http://schemas.openxmlformats.org/officeDocument/2006/relationships/hyperlink" Target="https://centrodedescargas.cnig.es/CentroDescargas/btn-poi" TargetMode="External"/><Relationship Id="rId629" Type="http://schemas.openxmlformats.org/officeDocument/2006/relationships/hyperlink" Target="https://centrodedescargas.cnig.es/CentroDescargas/btn-poi" TargetMode="External"/><Relationship Id="rId1161" Type="http://schemas.openxmlformats.org/officeDocument/2006/relationships/hyperlink" Target="https://centrodedescargas.cnig.es/CentroDescargas/btn-poi" TargetMode="External"/><Relationship Id="rId1259" Type="http://schemas.openxmlformats.org/officeDocument/2006/relationships/hyperlink" Target="https://centrodedescargas.cnig.es/CentroDescargas/btn-poi" TargetMode="External"/><Relationship Id="rId1466" Type="http://schemas.openxmlformats.org/officeDocument/2006/relationships/hyperlink" Target="https://centrodedescargas.cnig.es/CentroDescargas/btn-poi" TargetMode="External"/><Relationship Id="rId836" Type="http://schemas.openxmlformats.org/officeDocument/2006/relationships/hyperlink" Target="https://centrodedescargas.cnig.es/CentroDescargas/btn-poi" TargetMode="External"/><Relationship Id="rId1021" Type="http://schemas.openxmlformats.org/officeDocument/2006/relationships/hyperlink" Target="https://centrodedescargas.cnig.es/CentroDescargas/btn-poi" TargetMode="External"/><Relationship Id="rId1119" Type="http://schemas.openxmlformats.org/officeDocument/2006/relationships/hyperlink" Target="https://centrodedescargas.cnig.es/CentroDescargas/btn-poi" TargetMode="External"/><Relationship Id="rId1673" Type="http://schemas.openxmlformats.org/officeDocument/2006/relationships/hyperlink" Target="https://centrodedescargas.cnig.es/CentroDescargas/btn-poi" TargetMode="External"/><Relationship Id="rId903" Type="http://schemas.openxmlformats.org/officeDocument/2006/relationships/hyperlink" Target="https://centrodedescargas.cnig.es/CentroDescargas/btn-poi" TargetMode="External"/><Relationship Id="rId1326" Type="http://schemas.openxmlformats.org/officeDocument/2006/relationships/hyperlink" Target="https://centrodedescargas.cnig.es/CentroDescargas/btn-poi" TargetMode="External"/><Relationship Id="rId1533" Type="http://schemas.openxmlformats.org/officeDocument/2006/relationships/hyperlink" Target="https://centrodedescargas.cnig.es/CentroDescargas/btn-poi" TargetMode="External"/><Relationship Id="rId1740" Type="http://schemas.openxmlformats.org/officeDocument/2006/relationships/hyperlink" Target="https://centrodedescargas.cnig.es/CentroDescargas/btn-poi" TargetMode="External"/><Relationship Id="rId32" Type="http://schemas.openxmlformats.org/officeDocument/2006/relationships/hyperlink" Target="https://centrodedescargas.cnig.es/CentroDescargas/btn-poi" TargetMode="External"/><Relationship Id="rId1600" Type="http://schemas.openxmlformats.org/officeDocument/2006/relationships/hyperlink" Target="https://centrodedescargas.cnig.es/CentroDescargas/btn-poi" TargetMode="External"/><Relationship Id="rId181" Type="http://schemas.openxmlformats.org/officeDocument/2006/relationships/hyperlink" Target="https://centrodedescargas.cnig.es/CentroDescargas/btn-poi" TargetMode="External"/><Relationship Id="rId279" Type="http://schemas.openxmlformats.org/officeDocument/2006/relationships/hyperlink" Target="https://centrodedescargas.cnig.es/CentroDescargas/btn-poi" TargetMode="External"/><Relationship Id="rId486" Type="http://schemas.openxmlformats.org/officeDocument/2006/relationships/hyperlink" Target="https://centrodedescargas.cnig.es/CentroDescargas/btn-poi" TargetMode="External"/><Relationship Id="rId693" Type="http://schemas.openxmlformats.org/officeDocument/2006/relationships/hyperlink" Target="https://centrodedescargas.cnig.es/CentroDescargas/btn-poi" TargetMode="External"/><Relationship Id="rId139" Type="http://schemas.openxmlformats.org/officeDocument/2006/relationships/hyperlink" Target="https://centrodedescargas.cnig.es/CentroDescargas/btn-poi" TargetMode="External"/><Relationship Id="rId346" Type="http://schemas.openxmlformats.org/officeDocument/2006/relationships/hyperlink" Target="https://centrodedescargas.cnig.es/CentroDescargas/btn-poi" TargetMode="External"/><Relationship Id="rId553" Type="http://schemas.openxmlformats.org/officeDocument/2006/relationships/hyperlink" Target="https://centrodedescargas.cnig.es/CentroDescargas/btn-poi" TargetMode="External"/><Relationship Id="rId760" Type="http://schemas.openxmlformats.org/officeDocument/2006/relationships/hyperlink" Target="https://centrodedescargas.cnig.es/CentroDescargas/btn-poi" TargetMode="External"/><Relationship Id="rId998" Type="http://schemas.openxmlformats.org/officeDocument/2006/relationships/hyperlink" Target="https://centrodedescargas.cnig.es/CentroDescargas/btn-poi" TargetMode="External"/><Relationship Id="rId1183" Type="http://schemas.openxmlformats.org/officeDocument/2006/relationships/hyperlink" Target="https://centrodedescargas.cnig.es/CentroDescargas/btn-poi" TargetMode="External"/><Relationship Id="rId1390" Type="http://schemas.openxmlformats.org/officeDocument/2006/relationships/hyperlink" Target="https://centrodedescargas.cnig.es/CentroDescargas/btn-poi" TargetMode="External"/><Relationship Id="rId206" Type="http://schemas.openxmlformats.org/officeDocument/2006/relationships/hyperlink" Target="https://centrodedescargas.cnig.es/CentroDescargas/btn-poi" TargetMode="External"/><Relationship Id="rId413" Type="http://schemas.openxmlformats.org/officeDocument/2006/relationships/hyperlink" Target="https://centrodedescargas.cnig.es/CentroDescargas/btn-poi" TargetMode="External"/><Relationship Id="rId858" Type="http://schemas.openxmlformats.org/officeDocument/2006/relationships/hyperlink" Target="https://centrodedescargas.cnig.es/CentroDescargas/btn-poi" TargetMode="External"/><Relationship Id="rId1043" Type="http://schemas.openxmlformats.org/officeDocument/2006/relationships/hyperlink" Target="https://centrodedescargas.cnig.es/CentroDescargas/btn-poi" TargetMode="External"/><Relationship Id="rId1488" Type="http://schemas.openxmlformats.org/officeDocument/2006/relationships/hyperlink" Target="https://centrodedescargas.cnig.es/CentroDescargas/btn-poi" TargetMode="External"/><Relationship Id="rId1695" Type="http://schemas.openxmlformats.org/officeDocument/2006/relationships/hyperlink" Target="https://centrodedescargas.cnig.es/CentroDescargas/btn-poi" TargetMode="External"/><Relationship Id="rId620" Type="http://schemas.openxmlformats.org/officeDocument/2006/relationships/hyperlink" Target="https://centrodedescargas.cnig.es/CentroDescargas/btn-poi" TargetMode="External"/><Relationship Id="rId718" Type="http://schemas.openxmlformats.org/officeDocument/2006/relationships/hyperlink" Target="https://centrodedescargas.cnig.es/CentroDescargas/btn-poi" TargetMode="External"/><Relationship Id="rId925" Type="http://schemas.openxmlformats.org/officeDocument/2006/relationships/hyperlink" Target="https://centrodedescargas.cnig.es/CentroDescargas/btn-poi" TargetMode="External"/><Relationship Id="rId1250" Type="http://schemas.openxmlformats.org/officeDocument/2006/relationships/hyperlink" Target="https://centrodedescargas.cnig.es/CentroDescargas/btn-poi" TargetMode="External"/><Relationship Id="rId1348" Type="http://schemas.openxmlformats.org/officeDocument/2006/relationships/hyperlink" Target="https://centrodedescargas.cnig.es/CentroDescargas/btn-poi" TargetMode="External"/><Relationship Id="rId1555" Type="http://schemas.openxmlformats.org/officeDocument/2006/relationships/hyperlink" Target="https://centrodedescargas.cnig.es/CentroDescargas/btn-poi" TargetMode="External"/><Relationship Id="rId1762" Type="http://schemas.openxmlformats.org/officeDocument/2006/relationships/hyperlink" Target="https://centrodedescargas.cnig.es/CentroDescargas/btn-poi" TargetMode="External"/><Relationship Id="rId1110" Type="http://schemas.openxmlformats.org/officeDocument/2006/relationships/hyperlink" Target="https://centrodedescargas.cnig.es/CentroDescargas/btn-poi" TargetMode="External"/><Relationship Id="rId1208" Type="http://schemas.openxmlformats.org/officeDocument/2006/relationships/hyperlink" Target="https://centrodedescargas.cnig.es/CentroDescargas/btn-poi" TargetMode="External"/><Relationship Id="rId1415" Type="http://schemas.openxmlformats.org/officeDocument/2006/relationships/hyperlink" Target="https://centrodedescargas.cnig.es/CentroDescargas/btn-poi" TargetMode="External"/><Relationship Id="rId54" Type="http://schemas.openxmlformats.org/officeDocument/2006/relationships/hyperlink" Target="https://centrodedescargas.cnig.es/CentroDescargas/btn-poi" TargetMode="External"/><Relationship Id="rId1622" Type="http://schemas.openxmlformats.org/officeDocument/2006/relationships/hyperlink" Target="https://centrodedescargas.cnig.es/CentroDescargas/btn-poi" TargetMode="External"/><Relationship Id="rId270" Type="http://schemas.openxmlformats.org/officeDocument/2006/relationships/hyperlink" Target="https://centrodedescargas.cnig.es/CentroDescargas/btn-poi" TargetMode="External"/><Relationship Id="rId130" Type="http://schemas.openxmlformats.org/officeDocument/2006/relationships/hyperlink" Target="https://centrodedescargas.cnig.es/CentroDescargas/btn-poi" TargetMode="External"/><Relationship Id="rId368" Type="http://schemas.openxmlformats.org/officeDocument/2006/relationships/hyperlink" Target="https://centrodedescargas.cnig.es/CentroDescargas/btn-poi" TargetMode="External"/><Relationship Id="rId575" Type="http://schemas.openxmlformats.org/officeDocument/2006/relationships/hyperlink" Target="https://centrodedescargas.cnig.es/CentroDescargas/btn-poi" TargetMode="External"/><Relationship Id="rId782" Type="http://schemas.openxmlformats.org/officeDocument/2006/relationships/hyperlink" Target="https://centrodedescargas.cnig.es/CentroDescargas/btn-poi" TargetMode="External"/><Relationship Id="rId228" Type="http://schemas.openxmlformats.org/officeDocument/2006/relationships/hyperlink" Target="https://centrodedescargas.cnig.es/CentroDescargas/btn-poi" TargetMode="External"/><Relationship Id="rId435" Type="http://schemas.openxmlformats.org/officeDocument/2006/relationships/hyperlink" Target="https://centrodedescargas.cnig.es/CentroDescargas/btn-poi" TargetMode="External"/><Relationship Id="rId642" Type="http://schemas.openxmlformats.org/officeDocument/2006/relationships/hyperlink" Target="https://centrodedescargas.cnig.es/CentroDescargas/btn-poi" TargetMode="External"/><Relationship Id="rId1065" Type="http://schemas.openxmlformats.org/officeDocument/2006/relationships/hyperlink" Target="https://centrodedescargas.cnig.es/CentroDescargas/btn-poi" TargetMode="External"/><Relationship Id="rId1272" Type="http://schemas.openxmlformats.org/officeDocument/2006/relationships/hyperlink" Target="https://centrodedescargas.cnig.es/CentroDescargas/btn-poi" TargetMode="External"/><Relationship Id="rId502" Type="http://schemas.openxmlformats.org/officeDocument/2006/relationships/hyperlink" Target="https://centrodedescargas.cnig.es/CentroDescargas/btn-poi" TargetMode="External"/><Relationship Id="rId947" Type="http://schemas.openxmlformats.org/officeDocument/2006/relationships/hyperlink" Target="https://centrodedescargas.cnig.es/CentroDescargas/btn-poi" TargetMode="External"/><Relationship Id="rId1132" Type="http://schemas.openxmlformats.org/officeDocument/2006/relationships/hyperlink" Target="https://centrodedescargas.cnig.es/CentroDescargas/btn-poi" TargetMode="External"/><Relationship Id="rId1577" Type="http://schemas.openxmlformats.org/officeDocument/2006/relationships/hyperlink" Target="https://centrodedescargas.cnig.es/CentroDescargas/btn-poi" TargetMode="External"/><Relationship Id="rId1784" Type="http://schemas.openxmlformats.org/officeDocument/2006/relationships/hyperlink" Target="https://centrodedescargas.cnig.es/CentroDescargas/btn-poi" TargetMode="External"/><Relationship Id="rId76" Type="http://schemas.openxmlformats.org/officeDocument/2006/relationships/hyperlink" Target="https://centrodedescargas.cnig.es/CentroDescargas/btn-poi" TargetMode="External"/><Relationship Id="rId807" Type="http://schemas.openxmlformats.org/officeDocument/2006/relationships/hyperlink" Target="https://centrodedescargas.cnig.es/CentroDescargas/btn-poi" TargetMode="External"/><Relationship Id="rId1437" Type="http://schemas.openxmlformats.org/officeDocument/2006/relationships/hyperlink" Target="https://centrodedescargas.cnig.es/CentroDescargas/btn-poi" TargetMode="External"/><Relationship Id="rId1644" Type="http://schemas.openxmlformats.org/officeDocument/2006/relationships/hyperlink" Target="https://centrodedescargas.cnig.es/CentroDescargas/btn-poi" TargetMode="External"/><Relationship Id="rId1504" Type="http://schemas.openxmlformats.org/officeDocument/2006/relationships/hyperlink" Target="https://centrodedescargas.cnig.es/CentroDescargas/btn-poi" TargetMode="External"/><Relationship Id="rId1711" Type="http://schemas.openxmlformats.org/officeDocument/2006/relationships/hyperlink" Target="https://centrodedescargas.cnig.es/CentroDescargas/btn-poi" TargetMode="External"/><Relationship Id="rId292" Type="http://schemas.openxmlformats.org/officeDocument/2006/relationships/hyperlink" Target="https://centrodedescargas.cnig.es/CentroDescargas/btn-poi" TargetMode="External"/><Relationship Id="rId1809" Type="http://schemas.openxmlformats.org/officeDocument/2006/relationships/hyperlink" Target="https://centrodedescargas.cnig.es/CentroDescargas/btn-poi" TargetMode="External"/><Relationship Id="rId597" Type="http://schemas.openxmlformats.org/officeDocument/2006/relationships/hyperlink" Target="https://centrodedescargas.cnig.es/CentroDescargas/btn-poi" TargetMode="External"/><Relationship Id="rId152" Type="http://schemas.openxmlformats.org/officeDocument/2006/relationships/hyperlink" Target="https://centrodedescargas.cnig.es/CentroDescargas/btn-poi" TargetMode="External"/><Relationship Id="rId457" Type="http://schemas.openxmlformats.org/officeDocument/2006/relationships/hyperlink" Target="https://centrodedescargas.cnig.es/CentroDescargas/btn-poi" TargetMode="External"/><Relationship Id="rId1087" Type="http://schemas.openxmlformats.org/officeDocument/2006/relationships/hyperlink" Target="https://centrodedescargas.cnig.es/CentroDescargas/btn-poi" TargetMode="External"/><Relationship Id="rId1294" Type="http://schemas.openxmlformats.org/officeDocument/2006/relationships/hyperlink" Target="https://centrodedescargas.cnig.es/CentroDescargas/btn-poi" TargetMode="External"/><Relationship Id="rId664" Type="http://schemas.openxmlformats.org/officeDocument/2006/relationships/hyperlink" Target="https://centrodedescargas.cnig.es/CentroDescargas/btn-poi" TargetMode="External"/><Relationship Id="rId871" Type="http://schemas.openxmlformats.org/officeDocument/2006/relationships/hyperlink" Target="https://centrodedescargas.cnig.es/CentroDescargas/btn-poi" TargetMode="External"/><Relationship Id="rId969" Type="http://schemas.openxmlformats.org/officeDocument/2006/relationships/hyperlink" Target="https://centrodedescargas.cnig.es/CentroDescargas/btn-poi" TargetMode="External"/><Relationship Id="rId1599" Type="http://schemas.openxmlformats.org/officeDocument/2006/relationships/hyperlink" Target="https://centrodedescargas.cnig.es/CentroDescargas/btn-poi" TargetMode="External"/><Relationship Id="rId317" Type="http://schemas.openxmlformats.org/officeDocument/2006/relationships/hyperlink" Target="https://centrodedescargas.cnig.es/CentroDescargas/btn-poi" TargetMode="External"/><Relationship Id="rId524" Type="http://schemas.openxmlformats.org/officeDocument/2006/relationships/hyperlink" Target="https://centrodedescargas.cnig.es/CentroDescargas/btn-poi" TargetMode="External"/><Relationship Id="rId731" Type="http://schemas.openxmlformats.org/officeDocument/2006/relationships/hyperlink" Target="https://centrodedescargas.cnig.es/CentroDescargas/btn-poi" TargetMode="External"/><Relationship Id="rId1154" Type="http://schemas.openxmlformats.org/officeDocument/2006/relationships/hyperlink" Target="https://centrodedescargas.cnig.es/CentroDescargas/btn-poi" TargetMode="External"/><Relationship Id="rId1361" Type="http://schemas.openxmlformats.org/officeDocument/2006/relationships/hyperlink" Target="https://centrodedescargas.cnig.es/CentroDescargas/btn-poi" TargetMode="External"/><Relationship Id="rId1459" Type="http://schemas.openxmlformats.org/officeDocument/2006/relationships/hyperlink" Target="https://centrodedescargas.cnig.es/CentroDescargas/btn-poi" TargetMode="External"/><Relationship Id="rId98" Type="http://schemas.openxmlformats.org/officeDocument/2006/relationships/hyperlink" Target="https://centrodedescargas.cnig.es/CentroDescargas/btn-poi" TargetMode="External"/><Relationship Id="rId829" Type="http://schemas.openxmlformats.org/officeDocument/2006/relationships/hyperlink" Target="https://centrodedescargas.cnig.es/CentroDescargas/btn-poi" TargetMode="External"/><Relationship Id="rId1014" Type="http://schemas.openxmlformats.org/officeDocument/2006/relationships/hyperlink" Target="https://centrodedescargas.cnig.es/CentroDescargas/btn-poi" TargetMode="External"/><Relationship Id="rId1221" Type="http://schemas.openxmlformats.org/officeDocument/2006/relationships/hyperlink" Target="https://centrodedescargas.cnig.es/CentroDescargas/btn-poi" TargetMode="External"/><Relationship Id="rId1666" Type="http://schemas.openxmlformats.org/officeDocument/2006/relationships/hyperlink" Target="https://centrodedescargas.cnig.es/CentroDescargas/btn-poi" TargetMode="External"/><Relationship Id="rId1319" Type="http://schemas.openxmlformats.org/officeDocument/2006/relationships/hyperlink" Target="https://centrodedescargas.cnig.es/CentroDescargas/btn-poi" TargetMode="External"/><Relationship Id="rId1526" Type="http://schemas.openxmlformats.org/officeDocument/2006/relationships/hyperlink" Target="https://centrodedescargas.cnig.es/CentroDescargas/btn-poi" TargetMode="External"/><Relationship Id="rId1733" Type="http://schemas.openxmlformats.org/officeDocument/2006/relationships/hyperlink" Target="https://centrodedescargas.cnig.es/CentroDescargas/btn-poi" TargetMode="External"/><Relationship Id="rId25" Type="http://schemas.openxmlformats.org/officeDocument/2006/relationships/hyperlink" Target="https://centrodedescargas.cnig.es/CentroDescargas/btn-poi" TargetMode="External"/><Relationship Id="rId1800" Type="http://schemas.openxmlformats.org/officeDocument/2006/relationships/hyperlink" Target="https://centrodedescargas.cnig.es/CentroDescargas/btn-poi" TargetMode="External"/><Relationship Id="rId174" Type="http://schemas.openxmlformats.org/officeDocument/2006/relationships/hyperlink" Target="https://centrodedescargas.cnig.es/CentroDescargas/btn-poi" TargetMode="External"/><Relationship Id="rId381" Type="http://schemas.openxmlformats.org/officeDocument/2006/relationships/hyperlink" Target="https://centrodedescargas.cnig.es/CentroDescargas/btn-poi" TargetMode="External"/><Relationship Id="rId241" Type="http://schemas.openxmlformats.org/officeDocument/2006/relationships/hyperlink" Target="https://centrodedescargas.cnig.es/CentroDescargas/btn-poi" TargetMode="External"/><Relationship Id="rId479" Type="http://schemas.openxmlformats.org/officeDocument/2006/relationships/hyperlink" Target="https://centrodedescargas.cnig.es/CentroDescargas/btn-poi" TargetMode="External"/><Relationship Id="rId686" Type="http://schemas.openxmlformats.org/officeDocument/2006/relationships/hyperlink" Target="https://centrodedescargas.cnig.es/CentroDescargas/btn-poi" TargetMode="External"/><Relationship Id="rId893" Type="http://schemas.openxmlformats.org/officeDocument/2006/relationships/hyperlink" Target="https://centrodedescargas.cnig.es/CentroDescargas/btn-poi" TargetMode="External"/><Relationship Id="rId339" Type="http://schemas.openxmlformats.org/officeDocument/2006/relationships/hyperlink" Target="https://centrodedescargas.cnig.es/CentroDescargas/btn-poi" TargetMode="External"/><Relationship Id="rId546" Type="http://schemas.openxmlformats.org/officeDocument/2006/relationships/hyperlink" Target="https://centrodedescargas.cnig.es/CentroDescargas/btn-poi" TargetMode="External"/><Relationship Id="rId753" Type="http://schemas.openxmlformats.org/officeDocument/2006/relationships/hyperlink" Target="https://centrodedescargas.cnig.es/CentroDescargas/btn-poi" TargetMode="External"/><Relationship Id="rId1176" Type="http://schemas.openxmlformats.org/officeDocument/2006/relationships/hyperlink" Target="https://centrodedescargas.cnig.es/CentroDescargas/btn-poi" TargetMode="External"/><Relationship Id="rId1383" Type="http://schemas.openxmlformats.org/officeDocument/2006/relationships/hyperlink" Target="https://centrodedescargas.cnig.es/CentroDescargas/btn-poi" TargetMode="External"/><Relationship Id="rId101" Type="http://schemas.openxmlformats.org/officeDocument/2006/relationships/hyperlink" Target="https://centrodedescargas.cnig.es/CentroDescargas/btn-poi" TargetMode="External"/><Relationship Id="rId406" Type="http://schemas.openxmlformats.org/officeDocument/2006/relationships/hyperlink" Target="https://centrodedescargas.cnig.es/CentroDescargas/btn-poi" TargetMode="External"/><Relationship Id="rId960" Type="http://schemas.openxmlformats.org/officeDocument/2006/relationships/hyperlink" Target="https://centrodedescargas.cnig.es/CentroDescargas/btn-poi" TargetMode="External"/><Relationship Id="rId1036" Type="http://schemas.openxmlformats.org/officeDocument/2006/relationships/hyperlink" Target="https://centrodedescargas.cnig.es/CentroDescargas/btn-poi" TargetMode="External"/><Relationship Id="rId1243" Type="http://schemas.openxmlformats.org/officeDocument/2006/relationships/hyperlink" Target="https://centrodedescargas.cnig.es/CentroDescargas/btn-poi" TargetMode="External"/><Relationship Id="rId1590" Type="http://schemas.openxmlformats.org/officeDocument/2006/relationships/hyperlink" Target="https://centrodedescargas.cnig.es/CentroDescargas/btn-poi" TargetMode="External"/><Relationship Id="rId1688" Type="http://schemas.openxmlformats.org/officeDocument/2006/relationships/hyperlink" Target="https://centrodedescargas.cnig.es/CentroDescargas/btn-poi" TargetMode="External"/><Relationship Id="rId613" Type="http://schemas.openxmlformats.org/officeDocument/2006/relationships/hyperlink" Target="https://centrodedescargas.cnig.es/CentroDescargas/btn-poi" TargetMode="External"/><Relationship Id="rId820" Type="http://schemas.openxmlformats.org/officeDocument/2006/relationships/hyperlink" Target="https://centrodedescargas.cnig.es/CentroDescargas/btn-poi" TargetMode="External"/><Relationship Id="rId918" Type="http://schemas.openxmlformats.org/officeDocument/2006/relationships/hyperlink" Target="https://centrodedescargas.cnig.es/CentroDescargas/btn-poi" TargetMode="External"/><Relationship Id="rId1450" Type="http://schemas.openxmlformats.org/officeDocument/2006/relationships/hyperlink" Target="https://centrodedescargas.cnig.es/CentroDescargas/btn-poi" TargetMode="External"/><Relationship Id="rId1548" Type="http://schemas.openxmlformats.org/officeDocument/2006/relationships/hyperlink" Target="https://centrodedescargas.cnig.es/CentroDescargas/btn-poi" TargetMode="External"/><Relationship Id="rId1755" Type="http://schemas.openxmlformats.org/officeDocument/2006/relationships/hyperlink" Target="https://centrodedescargas.cnig.es/CentroDescargas/btn-poi" TargetMode="External"/><Relationship Id="rId1103" Type="http://schemas.openxmlformats.org/officeDocument/2006/relationships/hyperlink" Target="https://centrodedescargas.cnig.es/CentroDescargas/btn-poi" TargetMode="External"/><Relationship Id="rId1310" Type="http://schemas.openxmlformats.org/officeDocument/2006/relationships/hyperlink" Target="https://centrodedescargas.cnig.es/CentroDescargas/btn-poi" TargetMode="External"/><Relationship Id="rId1408" Type="http://schemas.openxmlformats.org/officeDocument/2006/relationships/hyperlink" Target="https://centrodedescargas.cnig.es/CentroDescargas/btn-poi" TargetMode="External"/><Relationship Id="rId47" Type="http://schemas.openxmlformats.org/officeDocument/2006/relationships/hyperlink" Target="https://centrodedescargas.cnig.es/CentroDescargas/btn-poi" TargetMode="External"/><Relationship Id="rId1615" Type="http://schemas.openxmlformats.org/officeDocument/2006/relationships/hyperlink" Target="https://centrodedescargas.cnig.es/CentroDescargas/btn-poi" TargetMode="External"/><Relationship Id="rId1822" Type="http://schemas.openxmlformats.org/officeDocument/2006/relationships/hyperlink" Target="https://centrodedescargas.cnig.es/CentroDescargas/btn-poi" TargetMode="External"/><Relationship Id="rId196" Type="http://schemas.openxmlformats.org/officeDocument/2006/relationships/hyperlink" Target="https://centrodedescargas.cnig.es/CentroDescargas/btn-poi" TargetMode="External"/><Relationship Id="rId263" Type="http://schemas.openxmlformats.org/officeDocument/2006/relationships/hyperlink" Target="https://centrodedescargas.cnig.es/CentroDescargas/btn-poi" TargetMode="External"/><Relationship Id="rId470" Type="http://schemas.openxmlformats.org/officeDocument/2006/relationships/hyperlink" Target="https://centrodedescargas.cnig.es/CentroDescargas/btn-poi" TargetMode="External"/><Relationship Id="rId123" Type="http://schemas.openxmlformats.org/officeDocument/2006/relationships/hyperlink" Target="https://centrodedescargas.cnig.es/CentroDescargas/btn-poi" TargetMode="External"/><Relationship Id="rId330" Type="http://schemas.openxmlformats.org/officeDocument/2006/relationships/hyperlink" Target="https://centrodedescargas.cnig.es/CentroDescargas/btn-poi" TargetMode="External"/><Relationship Id="rId568" Type="http://schemas.openxmlformats.org/officeDocument/2006/relationships/hyperlink" Target="https://centrodedescargas.cnig.es/CentroDescargas/btn-poi" TargetMode="External"/><Relationship Id="rId775" Type="http://schemas.openxmlformats.org/officeDocument/2006/relationships/hyperlink" Target="https://centrodedescargas.cnig.es/CentroDescargas/btn-poi" TargetMode="External"/><Relationship Id="rId982" Type="http://schemas.openxmlformats.org/officeDocument/2006/relationships/hyperlink" Target="https://centrodedescargas.cnig.es/CentroDescargas/btn-poi" TargetMode="External"/><Relationship Id="rId1198" Type="http://schemas.openxmlformats.org/officeDocument/2006/relationships/hyperlink" Target="https://centrodedescargas.cnig.es/CentroDescargas/btn-poi" TargetMode="External"/><Relationship Id="rId428" Type="http://schemas.openxmlformats.org/officeDocument/2006/relationships/hyperlink" Target="https://centrodedescargas.cnig.es/CentroDescargas/btn-poi" TargetMode="External"/><Relationship Id="rId635" Type="http://schemas.openxmlformats.org/officeDocument/2006/relationships/hyperlink" Target="https://centrodedescargas.cnig.es/CentroDescargas/btn-poi" TargetMode="External"/><Relationship Id="rId842" Type="http://schemas.openxmlformats.org/officeDocument/2006/relationships/hyperlink" Target="https://centrodedescargas.cnig.es/CentroDescargas/btn-poi" TargetMode="External"/><Relationship Id="rId1058" Type="http://schemas.openxmlformats.org/officeDocument/2006/relationships/hyperlink" Target="https://centrodedescargas.cnig.es/CentroDescargas/btn-poi" TargetMode="External"/><Relationship Id="rId1265" Type="http://schemas.openxmlformats.org/officeDocument/2006/relationships/hyperlink" Target="https://centrodedescargas.cnig.es/CentroDescargas/btn-poi" TargetMode="External"/><Relationship Id="rId1472" Type="http://schemas.openxmlformats.org/officeDocument/2006/relationships/hyperlink" Target="https://centrodedescargas.cnig.es/CentroDescargas/btn-poi" TargetMode="External"/><Relationship Id="rId702" Type="http://schemas.openxmlformats.org/officeDocument/2006/relationships/hyperlink" Target="https://centrodedescargas.cnig.es/CentroDescargas/btn-poi" TargetMode="External"/><Relationship Id="rId1125" Type="http://schemas.openxmlformats.org/officeDocument/2006/relationships/hyperlink" Target="https://centrodedescargas.cnig.es/CentroDescargas/btn-poi" TargetMode="External"/><Relationship Id="rId1332" Type="http://schemas.openxmlformats.org/officeDocument/2006/relationships/hyperlink" Target="https://centrodedescargas.cnig.es/CentroDescargas/btn-poi" TargetMode="External"/><Relationship Id="rId1777" Type="http://schemas.openxmlformats.org/officeDocument/2006/relationships/hyperlink" Target="https://centrodedescargas.cnig.es/CentroDescargas/btn-poi" TargetMode="External"/><Relationship Id="rId69" Type="http://schemas.openxmlformats.org/officeDocument/2006/relationships/hyperlink" Target="https://centrodedescargas.cnig.es/CentroDescargas/btn-poi" TargetMode="External"/><Relationship Id="rId1637" Type="http://schemas.openxmlformats.org/officeDocument/2006/relationships/hyperlink" Target="https://centrodedescargas.cnig.es/CentroDescargas/btn-poi" TargetMode="External"/><Relationship Id="rId1704" Type="http://schemas.openxmlformats.org/officeDocument/2006/relationships/hyperlink" Target="https://centrodedescargas.cnig.es/CentroDescargas/btn-poi" TargetMode="External"/><Relationship Id="rId285" Type="http://schemas.openxmlformats.org/officeDocument/2006/relationships/hyperlink" Target="https://centrodedescargas.cnig.es/CentroDescargas/btn-poi" TargetMode="External"/><Relationship Id="rId492" Type="http://schemas.openxmlformats.org/officeDocument/2006/relationships/hyperlink" Target="https://centrodedescargas.cnig.es/CentroDescargas/btn-poi" TargetMode="External"/><Relationship Id="rId797" Type="http://schemas.openxmlformats.org/officeDocument/2006/relationships/hyperlink" Target="https://centrodedescargas.cnig.es/CentroDescargas/btn-poi" TargetMode="External"/><Relationship Id="rId145" Type="http://schemas.openxmlformats.org/officeDocument/2006/relationships/hyperlink" Target="https://centrodedescargas.cnig.es/CentroDescargas/btn-poi" TargetMode="External"/><Relationship Id="rId352" Type="http://schemas.openxmlformats.org/officeDocument/2006/relationships/hyperlink" Target="https://centrodedescargas.cnig.es/CentroDescargas/btn-poi" TargetMode="External"/><Relationship Id="rId1287" Type="http://schemas.openxmlformats.org/officeDocument/2006/relationships/hyperlink" Target="https://centrodedescargas.cnig.es/CentroDescargas/btn-poi" TargetMode="External"/><Relationship Id="rId212" Type="http://schemas.openxmlformats.org/officeDocument/2006/relationships/hyperlink" Target="https://centrodedescargas.cnig.es/CentroDescargas/btn-poi" TargetMode="External"/><Relationship Id="rId657" Type="http://schemas.openxmlformats.org/officeDocument/2006/relationships/hyperlink" Target="https://centrodedescargas.cnig.es/CentroDescargas/btn-poi" TargetMode="External"/><Relationship Id="rId864" Type="http://schemas.openxmlformats.org/officeDocument/2006/relationships/hyperlink" Target="https://centrodedescargas.cnig.es/CentroDescargas/btn-poi" TargetMode="External"/><Relationship Id="rId1494" Type="http://schemas.openxmlformats.org/officeDocument/2006/relationships/hyperlink" Target="https://centrodedescargas.cnig.es/CentroDescargas/btn-poi" TargetMode="External"/><Relationship Id="rId1799" Type="http://schemas.openxmlformats.org/officeDocument/2006/relationships/hyperlink" Target="https://centrodedescargas.cnig.es/CentroDescargas/btn-poi" TargetMode="External"/><Relationship Id="rId517" Type="http://schemas.openxmlformats.org/officeDocument/2006/relationships/hyperlink" Target="https://centrodedescargas.cnig.es/CentroDescargas/btn-poi" TargetMode="External"/><Relationship Id="rId724" Type="http://schemas.openxmlformats.org/officeDocument/2006/relationships/hyperlink" Target="https://centrodedescargas.cnig.es/CentroDescargas/btn-poi" TargetMode="External"/><Relationship Id="rId931" Type="http://schemas.openxmlformats.org/officeDocument/2006/relationships/hyperlink" Target="https://centrodedescargas.cnig.es/CentroDescargas/btn-poi" TargetMode="External"/><Relationship Id="rId1147" Type="http://schemas.openxmlformats.org/officeDocument/2006/relationships/hyperlink" Target="https://centrodedescargas.cnig.es/CentroDescargas/btn-poi" TargetMode="External"/><Relationship Id="rId1354" Type="http://schemas.openxmlformats.org/officeDocument/2006/relationships/hyperlink" Target="https://centrodedescargas.cnig.es/CentroDescargas/btn-poi" TargetMode="External"/><Relationship Id="rId1561" Type="http://schemas.openxmlformats.org/officeDocument/2006/relationships/hyperlink" Target="https://centrodedescargas.cnig.es/CentroDescargas/btn-poi" TargetMode="External"/><Relationship Id="rId60" Type="http://schemas.openxmlformats.org/officeDocument/2006/relationships/hyperlink" Target="https://centrodedescargas.cnig.es/CentroDescargas/btn-poi" TargetMode="External"/><Relationship Id="rId1007" Type="http://schemas.openxmlformats.org/officeDocument/2006/relationships/hyperlink" Target="https://centrodedescargas.cnig.es/CentroDescargas/btn-poi" TargetMode="External"/><Relationship Id="rId1214" Type="http://schemas.openxmlformats.org/officeDocument/2006/relationships/hyperlink" Target="https://centrodedescargas.cnig.es/CentroDescargas/btn-poi" TargetMode="External"/><Relationship Id="rId1421" Type="http://schemas.openxmlformats.org/officeDocument/2006/relationships/hyperlink" Target="https://centrodedescargas.cnig.es/CentroDescargas/btn-poi" TargetMode="External"/><Relationship Id="rId1659" Type="http://schemas.openxmlformats.org/officeDocument/2006/relationships/hyperlink" Target="https://centrodedescargas.cnig.es/CentroDescargas/btn-poi" TargetMode="External"/><Relationship Id="rId1519" Type="http://schemas.openxmlformats.org/officeDocument/2006/relationships/hyperlink" Target="https://centrodedescargas.cnig.es/CentroDescargas/btn-poi" TargetMode="External"/><Relationship Id="rId1726" Type="http://schemas.openxmlformats.org/officeDocument/2006/relationships/hyperlink" Target="https://centrodedescargas.cnig.es/CentroDescargas/btn-poi" TargetMode="External"/><Relationship Id="rId18" Type="http://schemas.openxmlformats.org/officeDocument/2006/relationships/hyperlink" Target="https://centrodedescargas.cnig.es/CentroDescargas/btn-poi" TargetMode="External"/><Relationship Id="rId167" Type="http://schemas.openxmlformats.org/officeDocument/2006/relationships/hyperlink" Target="https://centrodedescargas.cnig.es/CentroDescargas/btn-poi" TargetMode="External"/><Relationship Id="rId374" Type="http://schemas.openxmlformats.org/officeDocument/2006/relationships/hyperlink" Target="https://centrodedescargas.cnig.es/CentroDescargas/btn-poi" TargetMode="External"/><Relationship Id="rId581" Type="http://schemas.openxmlformats.org/officeDocument/2006/relationships/hyperlink" Target="https://centrodedescargas.cnig.es/CentroDescargas/btn-poi" TargetMode="External"/><Relationship Id="rId234" Type="http://schemas.openxmlformats.org/officeDocument/2006/relationships/hyperlink" Target="https://centrodedescargas.cnig.es/CentroDescargas/btn-poi" TargetMode="External"/><Relationship Id="rId679" Type="http://schemas.openxmlformats.org/officeDocument/2006/relationships/hyperlink" Target="https://centrodedescargas.cnig.es/CentroDescargas/btn-poi" TargetMode="External"/><Relationship Id="rId886" Type="http://schemas.openxmlformats.org/officeDocument/2006/relationships/hyperlink" Target="https://centrodedescargas.cnig.es/CentroDescargas/btn-poi" TargetMode="External"/><Relationship Id="rId2" Type="http://schemas.openxmlformats.org/officeDocument/2006/relationships/hyperlink" Target="https://centrodedescargas.cnig.es/CentroDescargas/btn-poi" TargetMode="External"/><Relationship Id="rId441" Type="http://schemas.openxmlformats.org/officeDocument/2006/relationships/hyperlink" Target="https://centrodedescargas.cnig.es/CentroDescargas/btn-poi" TargetMode="External"/><Relationship Id="rId539" Type="http://schemas.openxmlformats.org/officeDocument/2006/relationships/hyperlink" Target="https://centrodedescargas.cnig.es/CentroDescargas/btn-poi" TargetMode="External"/><Relationship Id="rId746" Type="http://schemas.openxmlformats.org/officeDocument/2006/relationships/hyperlink" Target="https://centrodedescargas.cnig.es/CentroDescargas/btn-poi" TargetMode="External"/><Relationship Id="rId1071" Type="http://schemas.openxmlformats.org/officeDocument/2006/relationships/hyperlink" Target="https://centrodedescargas.cnig.es/CentroDescargas/btn-poi" TargetMode="External"/><Relationship Id="rId1169" Type="http://schemas.openxmlformats.org/officeDocument/2006/relationships/hyperlink" Target="https://centrodedescargas.cnig.es/CentroDescargas/btn-poi" TargetMode="External"/><Relationship Id="rId1376" Type="http://schemas.openxmlformats.org/officeDocument/2006/relationships/hyperlink" Target="https://centrodedescargas.cnig.es/CentroDescargas/btn-poi" TargetMode="External"/><Relationship Id="rId1583" Type="http://schemas.openxmlformats.org/officeDocument/2006/relationships/hyperlink" Target="https://centrodedescargas.cnig.es/CentroDescargas/btn-poi" TargetMode="External"/><Relationship Id="rId301" Type="http://schemas.openxmlformats.org/officeDocument/2006/relationships/hyperlink" Target="https://centrodedescargas.cnig.es/CentroDescargas/btn-poi" TargetMode="External"/><Relationship Id="rId953" Type="http://schemas.openxmlformats.org/officeDocument/2006/relationships/hyperlink" Target="https://centrodedescargas.cnig.es/CentroDescargas/btn-poi" TargetMode="External"/><Relationship Id="rId1029" Type="http://schemas.openxmlformats.org/officeDocument/2006/relationships/hyperlink" Target="https://centrodedescargas.cnig.es/CentroDescargas/btn-poi" TargetMode="External"/><Relationship Id="rId1236" Type="http://schemas.openxmlformats.org/officeDocument/2006/relationships/hyperlink" Target="https://centrodedescargas.cnig.es/CentroDescargas/btn-poi" TargetMode="External"/><Relationship Id="rId1790" Type="http://schemas.openxmlformats.org/officeDocument/2006/relationships/hyperlink" Target="https://centrodedescargas.cnig.es/CentroDescargas/btn-poi" TargetMode="External"/><Relationship Id="rId82" Type="http://schemas.openxmlformats.org/officeDocument/2006/relationships/hyperlink" Target="https://centrodedescargas.cnig.es/CentroDescargas/btn-poi" TargetMode="External"/><Relationship Id="rId606" Type="http://schemas.openxmlformats.org/officeDocument/2006/relationships/hyperlink" Target="https://centrodedescargas.cnig.es/CentroDescargas/btn-poi" TargetMode="External"/><Relationship Id="rId813" Type="http://schemas.openxmlformats.org/officeDocument/2006/relationships/hyperlink" Target="https://centrodedescargas.cnig.es/CentroDescargas/btn-poi" TargetMode="External"/><Relationship Id="rId1443" Type="http://schemas.openxmlformats.org/officeDocument/2006/relationships/hyperlink" Target="https://centrodedescargas.cnig.es/CentroDescargas/btn-poi" TargetMode="External"/><Relationship Id="rId1650" Type="http://schemas.openxmlformats.org/officeDocument/2006/relationships/hyperlink" Target="https://centrodedescargas.cnig.es/CentroDescargas/btn-poi" TargetMode="External"/><Relationship Id="rId1748" Type="http://schemas.openxmlformats.org/officeDocument/2006/relationships/hyperlink" Target="https://centrodedescargas.cnig.es/CentroDescargas/btn-poi" TargetMode="External"/><Relationship Id="rId1303" Type="http://schemas.openxmlformats.org/officeDocument/2006/relationships/hyperlink" Target="https://centrodedescargas.cnig.es/CentroDescargas/btn-poi" TargetMode="External"/><Relationship Id="rId1510" Type="http://schemas.openxmlformats.org/officeDocument/2006/relationships/hyperlink" Target="https://centrodedescargas.cnig.es/CentroDescargas/btn-poi" TargetMode="External"/><Relationship Id="rId1608" Type="http://schemas.openxmlformats.org/officeDocument/2006/relationships/hyperlink" Target="https://centrodedescargas.cnig.es/CentroDescargas/btn-poi" TargetMode="External"/><Relationship Id="rId1815" Type="http://schemas.openxmlformats.org/officeDocument/2006/relationships/hyperlink" Target="https://centrodedescargas.cnig.es/CentroDescargas/btn-poi" TargetMode="External"/><Relationship Id="rId189" Type="http://schemas.openxmlformats.org/officeDocument/2006/relationships/hyperlink" Target="https://centrodedescargas.cnig.es/CentroDescargas/btn-poi" TargetMode="External"/><Relationship Id="rId396" Type="http://schemas.openxmlformats.org/officeDocument/2006/relationships/hyperlink" Target="https://centrodedescargas.cnig.es/CentroDescargas/btn-poi" TargetMode="External"/><Relationship Id="rId256" Type="http://schemas.openxmlformats.org/officeDocument/2006/relationships/hyperlink" Target="https://centrodedescargas.cnig.es/CentroDescargas/btn-poi" TargetMode="External"/><Relationship Id="rId463" Type="http://schemas.openxmlformats.org/officeDocument/2006/relationships/hyperlink" Target="https://centrodedescargas.cnig.es/CentroDescargas/btn-poi" TargetMode="External"/><Relationship Id="rId670" Type="http://schemas.openxmlformats.org/officeDocument/2006/relationships/hyperlink" Target="https://centrodedescargas.cnig.es/CentroDescargas/btn-poi" TargetMode="External"/><Relationship Id="rId1093" Type="http://schemas.openxmlformats.org/officeDocument/2006/relationships/hyperlink" Target="https://centrodedescargas.cnig.es/CentroDescargas/btn-poi" TargetMode="External"/><Relationship Id="rId116" Type="http://schemas.openxmlformats.org/officeDocument/2006/relationships/hyperlink" Target="https://centrodedescargas.cnig.es/CentroDescargas/btn-poi" TargetMode="External"/><Relationship Id="rId323" Type="http://schemas.openxmlformats.org/officeDocument/2006/relationships/hyperlink" Target="https://centrodedescargas.cnig.es/CentroDescargas/btn-poi" TargetMode="External"/><Relationship Id="rId530" Type="http://schemas.openxmlformats.org/officeDocument/2006/relationships/hyperlink" Target="https://centrodedescargas.cnig.es/CentroDescargas/btn-poi" TargetMode="External"/><Relationship Id="rId768" Type="http://schemas.openxmlformats.org/officeDocument/2006/relationships/hyperlink" Target="https://centrodedescargas.cnig.es/CentroDescargas/btn-poi" TargetMode="External"/><Relationship Id="rId975" Type="http://schemas.openxmlformats.org/officeDocument/2006/relationships/hyperlink" Target="https://centrodedescargas.cnig.es/CentroDescargas/btn-poi" TargetMode="External"/><Relationship Id="rId1160" Type="http://schemas.openxmlformats.org/officeDocument/2006/relationships/hyperlink" Target="https://centrodedescargas.cnig.es/CentroDescargas/btn-poi" TargetMode="External"/><Relationship Id="rId1398" Type="http://schemas.openxmlformats.org/officeDocument/2006/relationships/hyperlink" Target="https://centrodedescargas.cnig.es/CentroDescargas/btn-poi" TargetMode="External"/><Relationship Id="rId628" Type="http://schemas.openxmlformats.org/officeDocument/2006/relationships/hyperlink" Target="https://centrodedescargas.cnig.es/CentroDescargas/btn-poi" TargetMode="External"/><Relationship Id="rId835" Type="http://schemas.openxmlformats.org/officeDocument/2006/relationships/hyperlink" Target="https://centrodedescargas.cnig.es/CentroDescargas/btn-poi" TargetMode="External"/><Relationship Id="rId1258" Type="http://schemas.openxmlformats.org/officeDocument/2006/relationships/hyperlink" Target="https://centrodedescargas.cnig.es/CentroDescargas/btn-poi" TargetMode="External"/><Relationship Id="rId1465" Type="http://schemas.openxmlformats.org/officeDocument/2006/relationships/hyperlink" Target="https://centrodedescargas.cnig.es/CentroDescargas/btn-poi" TargetMode="External"/><Relationship Id="rId1672" Type="http://schemas.openxmlformats.org/officeDocument/2006/relationships/hyperlink" Target="https://centrodedescargas.cnig.es/CentroDescargas/btn-poi" TargetMode="External"/><Relationship Id="rId1020" Type="http://schemas.openxmlformats.org/officeDocument/2006/relationships/hyperlink" Target="https://centrodedescargas.cnig.es/CentroDescargas/btn-poi" TargetMode="External"/><Relationship Id="rId1118" Type="http://schemas.openxmlformats.org/officeDocument/2006/relationships/hyperlink" Target="https://centrodedescargas.cnig.es/CentroDescargas/btn-poi" TargetMode="External"/><Relationship Id="rId1325" Type="http://schemas.openxmlformats.org/officeDocument/2006/relationships/hyperlink" Target="https://centrodedescargas.cnig.es/CentroDescargas/btn-poi" TargetMode="External"/><Relationship Id="rId1532" Type="http://schemas.openxmlformats.org/officeDocument/2006/relationships/hyperlink" Target="https://centrodedescargas.cnig.es/CentroDescargas/btn-poi" TargetMode="External"/><Relationship Id="rId902" Type="http://schemas.openxmlformats.org/officeDocument/2006/relationships/hyperlink" Target="https://centrodedescargas.cnig.es/CentroDescargas/btn-poi" TargetMode="External"/><Relationship Id="rId31" Type="http://schemas.openxmlformats.org/officeDocument/2006/relationships/hyperlink" Target="https://centrodedescargas.cnig.es/CentroDescargas/btn-poi" TargetMode="External"/><Relationship Id="rId180" Type="http://schemas.openxmlformats.org/officeDocument/2006/relationships/hyperlink" Target="https://centrodedescargas.cnig.es/CentroDescargas/btn-poi" TargetMode="External"/><Relationship Id="rId278" Type="http://schemas.openxmlformats.org/officeDocument/2006/relationships/hyperlink" Target="https://centrodedescargas.cnig.es/CentroDescargas/btn-poi" TargetMode="External"/><Relationship Id="rId485" Type="http://schemas.openxmlformats.org/officeDocument/2006/relationships/hyperlink" Target="https://centrodedescargas.cnig.es/CentroDescargas/btn-poi" TargetMode="External"/><Relationship Id="rId692" Type="http://schemas.openxmlformats.org/officeDocument/2006/relationships/hyperlink" Target="https://centrodedescargas.cnig.es/CentroDescargas/btn-poi" TargetMode="External"/><Relationship Id="rId138" Type="http://schemas.openxmlformats.org/officeDocument/2006/relationships/hyperlink" Target="https://centrodedescargas.cnig.es/CentroDescargas/btn-poi" TargetMode="External"/><Relationship Id="rId345" Type="http://schemas.openxmlformats.org/officeDocument/2006/relationships/hyperlink" Target="https://centrodedescargas.cnig.es/CentroDescargas/btn-poi" TargetMode="External"/><Relationship Id="rId552" Type="http://schemas.openxmlformats.org/officeDocument/2006/relationships/hyperlink" Target="https://centrodedescargas.cnig.es/CentroDescargas/btn-poi" TargetMode="External"/><Relationship Id="rId997" Type="http://schemas.openxmlformats.org/officeDocument/2006/relationships/hyperlink" Target="https://centrodedescargas.cnig.es/CentroDescargas/btn-poi" TargetMode="External"/><Relationship Id="rId1182" Type="http://schemas.openxmlformats.org/officeDocument/2006/relationships/hyperlink" Target="https://centrodedescargas.cnig.es/CentroDescargas/btn-poi" TargetMode="External"/><Relationship Id="rId205" Type="http://schemas.openxmlformats.org/officeDocument/2006/relationships/hyperlink" Target="https://centrodedescargas.cnig.es/CentroDescargas/btn-poi" TargetMode="External"/><Relationship Id="rId412" Type="http://schemas.openxmlformats.org/officeDocument/2006/relationships/hyperlink" Target="https://centrodedescargas.cnig.es/CentroDescargas/btn-poi" TargetMode="External"/><Relationship Id="rId857" Type="http://schemas.openxmlformats.org/officeDocument/2006/relationships/hyperlink" Target="https://centrodedescargas.cnig.es/CentroDescargas/btn-poi" TargetMode="External"/><Relationship Id="rId1042" Type="http://schemas.openxmlformats.org/officeDocument/2006/relationships/hyperlink" Target="https://centrodedescargas.cnig.es/CentroDescargas/btn-poi" TargetMode="External"/><Relationship Id="rId1487" Type="http://schemas.openxmlformats.org/officeDocument/2006/relationships/hyperlink" Target="https://centrodedescargas.cnig.es/CentroDescargas/btn-poi" TargetMode="External"/><Relationship Id="rId1694" Type="http://schemas.openxmlformats.org/officeDocument/2006/relationships/hyperlink" Target="https://centrodedescargas.cnig.es/CentroDescargas/btn-poi" TargetMode="External"/><Relationship Id="rId717" Type="http://schemas.openxmlformats.org/officeDocument/2006/relationships/hyperlink" Target="https://centrodedescargas.cnig.es/CentroDescargas/btn-poi" TargetMode="External"/><Relationship Id="rId924" Type="http://schemas.openxmlformats.org/officeDocument/2006/relationships/hyperlink" Target="https://centrodedescargas.cnig.es/CentroDescargas/btn-poi" TargetMode="External"/><Relationship Id="rId1347" Type="http://schemas.openxmlformats.org/officeDocument/2006/relationships/hyperlink" Target="https://centrodedescargas.cnig.es/CentroDescargas/btn-poi" TargetMode="External"/><Relationship Id="rId1554" Type="http://schemas.openxmlformats.org/officeDocument/2006/relationships/hyperlink" Target="https://centrodedescargas.cnig.es/CentroDescargas/btn-poi" TargetMode="External"/><Relationship Id="rId1761" Type="http://schemas.openxmlformats.org/officeDocument/2006/relationships/hyperlink" Target="https://centrodedescargas.cnig.es/CentroDescargas/btn-poi" TargetMode="External"/><Relationship Id="rId53" Type="http://schemas.openxmlformats.org/officeDocument/2006/relationships/hyperlink" Target="https://centrodedescargas.cnig.es/CentroDescargas/btn-poi" TargetMode="External"/><Relationship Id="rId1207" Type="http://schemas.openxmlformats.org/officeDocument/2006/relationships/hyperlink" Target="https://centrodedescargas.cnig.es/CentroDescargas/btn-poi" TargetMode="External"/><Relationship Id="rId1414" Type="http://schemas.openxmlformats.org/officeDocument/2006/relationships/hyperlink" Target="https://centrodedescargas.cnig.es/CentroDescargas/btn-poi" TargetMode="External"/><Relationship Id="rId1621" Type="http://schemas.openxmlformats.org/officeDocument/2006/relationships/hyperlink" Target="https://centrodedescargas.cnig.es/CentroDescargas/btn-poi" TargetMode="External"/><Relationship Id="rId1719" Type="http://schemas.openxmlformats.org/officeDocument/2006/relationships/hyperlink" Target="https://centrodedescargas.cnig.es/CentroDescargas/btn-poi" TargetMode="External"/><Relationship Id="rId367" Type="http://schemas.openxmlformats.org/officeDocument/2006/relationships/hyperlink" Target="https://centrodedescargas.cnig.es/CentroDescargas/btn-poi" TargetMode="External"/><Relationship Id="rId574" Type="http://schemas.openxmlformats.org/officeDocument/2006/relationships/hyperlink" Target="https://centrodedescargas.cnig.es/CentroDescargas/btn-poi" TargetMode="External"/><Relationship Id="rId227" Type="http://schemas.openxmlformats.org/officeDocument/2006/relationships/hyperlink" Target="https://centrodedescargas.cnig.es/CentroDescargas/btn-poi" TargetMode="External"/><Relationship Id="rId781" Type="http://schemas.openxmlformats.org/officeDocument/2006/relationships/hyperlink" Target="https://centrodedescargas.cnig.es/CentroDescargas/btn-poi" TargetMode="External"/><Relationship Id="rId879" Type="http://schemas.openxmlformats.org/officeDocument/2006/relationships/hyperlink" Target="https://centrodedescargas.cnig.es/CentroDescargas/btn-poi" TargetMode="External"/><Relationship Id="rId434" Type="http://schemas.openxmlformats.org/officeDocument/2006/relationships/hyperlink" Target="https://centrodedescargas.cnig.es/CentroDescargas/btn-poi" TargetMode="External"/><Relationship Id="rId641" Type="http://schemas.openxmlformats.org/officeDocument/2006/relationships/hyperlink" Target="https://centrodedescargas.cnig.es/CentroDescargas/btn-poi" TargetMode="External"/><Relationship Id="rId739" Type="http://schemas.openxmlformats.org/officeDocument/2006/relationships/hyperlink" Target="https://centrodedescargas.cnig.es/CentroDescargas/btn-poi" TargetMode="External"/><Relationship Id="rId1064" Type="http://schemas.openxmlformats.org/officeDocument/2006/relationships/hyperlink" Target="https://centrodedescargas.cnig.es/CentroDescargas/btn-poi" TargetMode="External"/><Relationship Id="rId1271" Type="http://schemas.openxmlformats.org/officeDocument/2006/relationships/hyperlink" Target="https://centrodedescargas.cnig.es/CentroDescargas/btn-poi" TargetMode="External"/><Relationship Id="rId1369" Type="http://schemas.openxmlformats.org/officeDocument/2006/relationships/hyperlink" Target="https://centrodedescargas.cnig.es/CentroDescargas/btn-poi" TargetMode="External"/><Relationship Id="rId1576" Type="http://schemas.openxmlformats.org/officeDocument/2006/relationships/hyperlink" Target="https://centrodedescargas.cnig.es/CentroDescargas/btn-poi" TargetMode="External"/><Relationship Id="rId501" Type="http://schemas.openxmlformats.org/officeDocument/2006/relationships/hyperlink" Target="https://centrodedescargas.cnig.es/CentroDescargas/btn-poi" TargetMode="External"/><Relationship Id="rId946" Type="http://schemas.openxmlformats.org/officeDocument/2006/relationships/hyperlink" Target="https://centrodedescargas.cnig.es/CentroDescargas/btn-poi" TargetMode="External"/><Relationship Id="rId1131" Type="http://schemas.openxmlformats.org/officeDocument/2006/relationships/hyperlink" Target="https://centrodedescargas.cnig.es/CentroDescargas/btn-poi" TargetMode="External"/><Relationship Id="rId1229" Type="http://schemas.openxmlformats.org/officeDocument/2006/relationships/hyperlink" Target="https://centrodedescargas.cnig.es/CentroDescargas/btn-poi" TargetMode="External"/><Relationship Id="rId1783" Type="http://schemas.openxmlformats.org/officeDocument/2006/relationships/hyperlink" Target="https://centrodedescargas.cnig.es/CentroDescargas/btn-poi" TargetMode="External"/><Relationship Id="rId75" Type="http://schemas.openxmlformats.org/officeDocument/2006/relationships/hyperlink" Target="https://centrodedescargas.cnig.es/CentroDescargas/btn-poi" TargetMode="External"/><Relationship Id="rId806" Type="http://schemas.openxmlformats.org/officeDocument/2006/relationships/hyperlink" Target="https://centrodedescargas.cnig.es/CentroDescargas/btn-poi" TargetMode="External"/><Relationship Id="rId1436" Type="http://schemas.openxmlformats.org/officeDocument/2006/relationships/hyperlink" Target="https://centrodedescargas.cnig.es/CentroDescargas/btn-poi" TargetMode="External"/><Relationship Id="rId1643" Type="http://schemas.openxmlformats.org/officeDocument/2006/relationships/hyperlink" Target="https://centrodedescargas.cnig.es/CentroDescargas/btn-poi" TargetMode="External"/><Relationship Id="rId1503" Type="http://schemas.openxmlformats.org/officeDocument/2006/relationships/hyperlink" Target="https://centrodedescargas.cnig.es/CentroDescargas/btn-poi" TargetMode="External"/><Relationship Id="rId1710" Type="http://schemas.openxmlformats.org/officeDocument/2006/relationships/hyperlink" Target="https://centrodedescargas.cnig.es/CentroDescargas/btn-poi" TargetMode="External"/><Relationship Id="rId291" Type="http://schemas.openxmlformats.org/officeDocument/2006/relationships/hyperlink" Target="https://centrodedescargas.cnig.es/CentroDescargas/btn-poi" TargetMode="External"/><Relationship Id="rId1808" Type="http://schemas.openxmlformats.org/officeDocument/2006/relationships/hyperlink" Target="https://centrodedescargas.cnig.es/CentroDescargas/btn-poi" TargetMode="External"/><Relationship Id="rId151" Type="http://schemas.openxmlformats.org/officeDocument/2006/relationships/hyperlink" Target="https://centrodedescargas.cnig.es/CentroDescargas/btn-poi" TargetMode="External"/><Relationship Id="rId389" Type="http://schemas.openxmlformats.org/officeDocument/2006/relationships/hyperlink" Target="https://centrodedescargas.cnig.es/CentroDescargas/btn-poi" TargetMode="External"/><Relationship Id="rId596" Type="http://schemas.openxmlformats.org/officeDocument/2006/relationships/hyperlink" Target="https://centrodedescargas.cnig.es/CentroDescargas/btn-poi" TargetMode="External"/><Relationship Id="rId249" Type="http://schemas.openxmlformats.org/officeDocument/2006/relationships/hyperlink" Target="https://centrodedescargas.cnig.es/CentroDescargas/btn-poi" TargetMode="External"/><Relationship Id="rId456" Type="http://schemas.openxmlformats.org/officeDocument/2006/relationships/hyperlink" Target="https://centrodedescargas.cnig.es/CentroDescargas/btn-poi" TargetMode="External"/><Relationship Id="rId663" Type="http://schemas.openxmlformats.org/officeDocument/2006/relationships/hyperlink" Target="https://centrodedescargas.cnig.es/CentroDescargas/btn-poi" TargetMode="External"/><Relationship Id="rId870" Type="http://schemas.openxmlformats.org/officeDocument/2006/relationships/hyperlink" Target="https://centrodedescargas.cnig.es/CentroDescargas/btn-poi" TargetMode="External"/><Relationship Id="rId1086" Type="http://schemas.openxmlformats.org/officeDocument/2006/relationships/hyperlink" Target="https://centrodedescargas.cnig.es/CentroDescargas/btn-poi" TargetMode="External"/><Relationship Id="rId1293" Type="http://schemas.openxmlformats.org/officeDocument/2006/relationships/hyperlink" Target="https://centrodedescargas.cnig.es/CentroDescargas/btn-poi" TargetMode="External"/><Relationship Id="rId109" Type="http://schemas.openxmlformats.org/officeDocument/2006/relationships/hyperlink" Target="https://centrodedescargas.cnig.es/CentroDescargas/btn-poi" TargetMode="External"/><Relationship Id="rId316" Type="http://schemas.openxmlformats.org/officeDocument/2006/relationships/hyperlink" Target="https://centrodedescargas.cnig.es/CentroDescargas/btn-poi" TargetMode="External"/><Relationship Id="rId523" Type="http://schemas.openxmlformats.org/officeDocument/2006/relationships/hyperlink" Target="https://centrodedescargas.cnig.es/CentroDescargas/btn-poi" TargetMode="External"/><Relationship Id="rId968" Type="http://schemas.openxmlformats.org/officeDocument/2006/relationships/hyperlink" Target="https://centrodedescargas.cnig.es/CentroDescargas/btn-poi" TargetMode="External"/><Relationship Id="rId1153" Type="http://schemas.openxmlformats.org/officeDocument/2006/relationships/hyperlink" Target="https://centrodedescargas.cnig.es/CentroDescargas/btn-poi" TargetMode="External"/><Relationship Id="rId1598" Type="http://schemas.openxmlformats.org/officeDocument/2006/relationships/hyperlink" Target="https://centrodedescargas.cnig.es/CentroDescargas/btn-poi" TargetMode="External"/><Relationship Id="rId97" Type="http://schemas.openxmlformats.org/officeDocument/2006/relationships/hyperlink" Target="https://centrodedescargas.cnig.es/CentroDescargas/btn-poi" TargetMode="External"/><Relationship Id="rId730" Type="http://schemas.openxmlformats.org/officeDocument/2006/relationships/hyperlink" Target="https://centrodedescargas.cnig.es/CentroDescargas/btn-poi" TargetMode="External"/><Relationship Id="rId828" Type="http://schemas.openxmlformats.org/officeDocument/2006/relationships/hyperlink" Target="https://centrodedescargas.cnig.es/CentroDescargas/btn-poi" TargetMode="External"/><Relationship Id="rId1013" Type="http://schemas.openxmlformats.org/officeDocument/2006/relationships/hyperlink" Target="https://centrodedescargas.cnig.es/CentroDescargas/btn-poi" TargetMode="External"/><Relationship Id="rId1360" Type="http://schemas.openxmlformats.org/officeDocument/2006/relationships/hyperlink" Target="https://centrodedescargas.cnig.es/CentroDescargas/btn-poi" TargetMode="External"/><Relationship Id="rId1458" Type="http://schemas.openxmlformats.org/officeDocument/2006/relationships/hyperlink" Target="https://centrodedescargas.cnig.es/CentroDescargas/btn-poi" TargetMode="External"/><Relationship Id="rId1665" Type="http://schemas.openxmlformats.org/officeDocument/2006/relationships/hyperlink" Target="https://centrodedescargas.cnig.es/CentroDescargas/btn-poi" TargetMode="External"/><Relationship Id="rId1220" Type="http://schemas.openxmlformats.org/officeDocument/2006/relationships/hyperlink" Target="https://centrodedescargas.cnig.es/CentroDescargas/btn-poi" TargetMode="External"/><Relationship Id="rId1318" Type="http://schemas.openxmlformats.org/officeDocument/2006/relationships/hyperlink" Target="https://centrodedescargas.cnig.es/CentroDescargas/btn-poi" TargetMode="External"/><Relationship Id="rId1525" Type="http://schemas.openxmlformats.org/officeDocument/2006/relationships/hyperlink" Target="https://centrodedescargas.cnig.es/CentroDescargas/btn-poi" TargetMode="External"/><Relationship Id="rId1732" Type="http://schemas.openxmlformats.org/officeDocument/2006/relationships/hyperlink" Target="https://centrodedescargas.cnig.es/CentroDescargas/btn-poi" TargetMode="External"/><Relationship Id="rId24" Type="http://schemas.openxmlformats.org/officeDocument/2006/relationships/hyperlink" Target="https://centrodedescargas.cnig.es/CentroDescargas/btn-poi" TargetMode="External"/><Relationship Id="rId173" Type="http://schemas.openxmlformats.org/officeDocument/2006/relationships/hyperlink" Target="https://centrodedescargas.cnig.es/CentroDescargas/btn-poi" TargetMode="External"/><Relationship Id="rId380" Type="http://schemas.openxmlformats.org/officeDocument/2006/relationships/hyperlink" Target="https://centrodedescargas.cnig.es/CentroDescargas/btn-poi" TargetMode="External"/><Relationship Id="rId240" Type="http://schemas.openxmlformats.org/officeDocument/2006/relationships/hyperlink" Target="https://centrodedescargas.cnig.es/CentroDescargas/btn-poi" TargetMode="External"/><Relationship Id="rId478" Type="http://schemas.openxmlformats.org/officeDocument/2006/relationships/hyperlink" Target="https://centrodedescargas.cnig.es/CentroDescargas/btn-poi" TargetMode="External"/><Relationship Id="rId685" Type="http://schemas.openxmlformats.org/officeDocument/2006/relationships/hyperlink" Target="https://centrodedescargas.cnig.es/CentroDescargas/btn-poi" TargetMode="External"/><Relationship Id="rId892" Type="http://schemas.openxmlformats.org/officeDocument/2006/relationships/hyperlink" Target="https://centrodedescargas.cnig.es/CentroDescargas/btn-poi" TargetMode="External"/><Relationship Id="rId100" Type="http://schemas.openxmlformats.org/officeDocument/2006/relationships/hyperlink" Target="https://centrodedescargas.cnig.es/CentroDescargas/btn-poi" TargetMode="External"/><Relationship Id="rId338" Type="http://schemas.openxmlformats.org/officeDocument/2006/relationships/hyperlink" Target="https://centrodedescargas.cnig.es/CentroDescargas/btn-poi" TargetMode="External"/><Relationship Id="rId545" Type="http://schemas.openxmlformats.org/officeDocument/2006/relationships/hyperlink" Target="https://centrodedescargas.cnig.es/CentroDescargas/btn-poi" TargetMode="External"/><Relationship Id="rId752" Type="http://schemas.openxmlformats.org/officeDocument/2006/relationships/hyperlink" Target="https://centrodedescargas.cnig.es/CentroDescargas/btn-poi" TargetMode="External"/><Relationship Id="rId1175" Type="http://schemas.openxmlformats.org/officeDocument/2006/relationships/hyperlink" Target="https://centrodedescargas.cnig.es/CentroDescargas/btn-poi" TargetMode="External"/><Relationship Id="rId1382" Type="http://schemas.openxmlformats.org/officeDocument/2006/relationships/hyperlink" Target="https://centrodedescargas.cnig.es/CentroDescargas/btn-poi" TargetMode="External"/><Relationship Id="rId405" Type="http://schemas.openxmlformats.org/officeDocument/2006/relationships/hyperlink" Target="https://centrodedescargas.cnig.es/CentroDescargas/btn-poi" TargetMode="External"/><Relationship Id="rId612" Type="http://schemas.openxmlformats.org/officeDocument/2006/relationships/hyperlink" Target="https://centrodedescargas.cnig.es/CentroDescargas/btn-poi" TargetMode="External"/><Relationship Id="rId1035" Type="http://schemas.openxmlformats.org/officeDocument/2006/relationships/hyperlink" Target="https://centrodedescargas.cnig.es/CentroDescargas/btn-poi" TargetMode="External"/><Relationship Id="rId1242" Type="http://schemas.openxmlformats.org/officeDocument/2006/relationships/hyperlink" Target="https://centrodedescargas.cnig.es/CentroDescargas/btn-poi" TargetMode="External"/><Relationship Id="rId1687" Type="http://schemas.openxmlformats.org/officeDocument/2006/relationships/hyperlink" Target="https://centrodedescargas.cnig.es/CentroDescargas/btn-poi" TargetMode="External"/><Relationship Id="rId917" Type="http://schemas.openxmlformats.org/officeDocument/2006/relationships/hyperlink" Target="https://centrodedescargas.cnig.es/CentroDescargas/btn-poi" TargetMode="External"/><Relationship Id="rId1102" Type="http://schemas.openxmlformats.org/officeDocument/2006/relationships/hyperlink" Target="https://centrodedescargas.cnig.es/CentroDescargas/btn-poi" TargetMode="External"/><Relationship Id="rId1547" Type="http://schemas.openxmlformats.org/officeDocument/2006/relationships/hyperlink" Target="https://centrodedescargas.cnig.es/CentroDescargas/btn-poi" TargetMode="External"/><Relationship Id="rId1754" Type="http://schemas.openxmlformats.org/officeDocument/2006/relationships/hyperlink" Target="https://centrodedescargas.cnig.es/CentroDescargas/btn-poi" TargetMode="External"/><Relationship Id="rId46" Type="http://schemas.openxmlformats.org/officeDocument/2006/relationships/hyperlink" Target="https://centrodedescargas.cnig.es/CentroDescargas/btn-poi" TargetMode="External"/><Relationship Id="rId1407" Type="http://schemas.openxmlformats.org/officeDocument/2006/relationships/hyperlink" Target="https://centrodedescargas.cnig.es/CentroDescargas/btn-poi" TargetMode="External"/><Relationship Id="rId1614" Type="http://schemas.openxmlformats.org/officeDocument/2006/relationships/hyperlink" Target="https://centrodedescargas.cnig.es/CentroDescargas/btn-poi" TargetMode="External"/><Relationship Id="rId1821" Type="http://schemas.openxmlformats.org/officeDocument/2006/relationships/hyperlink" Target="https://centrodedescargas.cnig.es/CentroDescargas/btn-poi" TargetMode="External"/><Relationship Id="rId195" Type="http://schemas.openxmlformats.org/officeDocument/2006/relationships/hyperlink" Target="https://centrodedescargas.cnig.es/CentroDescargas/btn-poi" TargetMode="External"/><Relationship Id="rId262" Type="http://schemas.openxmlformats.org/officeDocument/2006/relationships/hyperlink" Target="https://centrodedescargas.cnig.es/CentroDescargas/btn-poi" TargetMode="External"/><Relationship Id="rId567" Type="http://schemas.openxmlformats.org/officeDocument/2006/relationships/hyperlink" Target="https://centrodedescargas.cnig.es/CentroDescargas/btn-poi" TargetMode="External"/><Relationship Id="rId1197" Type="http://schemas.openxmlformats.org/officeDocument/2006/relationships/hyperlink" Target="https://centrodedescargas.cnig.es/CentroDescargas/btn-poi" TargetMode="External"/><Relationship Id="rId122" Type="http://schemas.openxmlformats.org/officeDocument/2006/relationships/hyperlink" Target="https://centrodedescargas.cnig.es/CentroDescargas/btn-poi" TargetMode="External"/><Relationship Id="rId774" Type="http://schemas.openxmlformats.org/officeDocument/2006/relationships/hyperlink" Target="https://centrodedescargas.cnig.es/CentroDescargas/btn-poi" TargetMode="External"/><Relationship Id="rId981" Type="http://schemas.openxmlformats.org/officeDocument/2006/relationships/hyperlink" Target="https://centrodedescargas.cnig.es/CentroDescargas/btn-poi" TargetMode="External"/><Relationship Id="rId1057" Type="http://schemas.openxmlformats.org/officeDocument/2006/relationships/hyperlink" Target="https://centrodedescargas.cnig.es/CentroDescargas/btn-poi" TargetMode="External"/><Relationship Id="rId427" Type="http://schemas.openxmlformats.org/officeDocument/2006/relationships/hyperlink" Target="https://centrodedescargas.cnig.es/CentroDescargas/btn-poi" TargetMode="External"/><Relationship Id="rId634" Type="http://schemas.openxmlformats.org/officeDocument/2006/relationships/hyperlink" Target="https://centrodedescargas.cnig.es/CentroDescargas/btn-poi" TargetMode="External"/><Relationship Id="rId841" Type="http://schemas.openxmlformats.org/officeDocument/2006/relationships/hyperlink" Target="https://centrodedescargas.cnig.es/CentroDescargas/btn-poi" TargetMode="External"/><Relationship Id="rId1264" Type="http://schemas.openxmlformats.org/officeDocument/2006/relationships/hyperlink" Target="https://centrodedescargas.cnig.es/CentroDescargas/btn-poi" TargetMode="External"/><Relationship Id="rId1471" Type="http://schemas.openxmlformats.org/officeDocument/2006/relationships/hyperlink" Target="https://centrodedescargas.cnig.es/CentroDescargas/btn-poi" TargetMode="External"/><Relationship Id="rId1569" Type="http://schemas.openxmlformats.org/officeDocument/2006/relationships/hyperlink" Target="https://centrodedescargas.cnig.es/CentroDescargas/btn-poi" TargetMode="External"/><Relationship Id="rId701" Type="http://schemas.openxmlformats.org/officeDocument/2006/relationships/hyperlink" Target="https://centrodedescargas.cnig.es/CentroDescargas/btn-poi" TargetMode="External"/><Relationship Id="rId939" Type="http://schemas.openxmlformats.org/officeDocument/2006/relationships/hyperlink" Target="https://centrodedescargas.cnig.es/CentroDescargas/btn-poi" TargetMode="External"/><Relationship Id="rId1124" Type="http://schemas.openxmlformats.org/officeDocument/2006/relationships/hyperlink" Target="https://centrodedescargas.cnig.es/CentroDescargas/btn-poi" TargetMode="External"/><Relationship Id="rId1331" Type="http://schemas.openxmlformats.org/officeDocument/2006/relationships/hyperlink" Target="https://centrodedescargas.cnig.es/CentroDescargas/btn-poi" TargetMode="External"/><Relationship Id="rId1776" Type="http://schemas.openxmlformats.org/officeDocument/2006/relationships/hyperlink" Target="https://centrodedescargas.cnig.es/CentroDescargas/btn-poi" TargetMode="External"/><Relationship Id="rId68" Type="http://schemas.openxmlformats.org/officeDocument/2006/relationships/hyperlink" Target="https://centrodedescargas.cnig.es/CentroDescargas/btn-poi" TargetMode="External"/><Relationship Id="rId1429" Type="http://schemas.openxmlformats.org/officeDocument/2006/relationships/hyperlink" Target="https://centrodedescargas.cnig.es/CentroDescargas/btn-poi" TargetMode="External"/><Relationship Id="rId1636" Type="http://schemas.openxmlformats.org/officeDocument/2006/relationships/hyperlink" Target="https://centrodedescargas.cnig.es/CentroDescargas/btn-poi" TargetMode="External"/><Relationship Id="rId1703" Type="http://schemas.openxmlformats.org/officeDocument/2006/relationships/hyperlink" Target="https://centrodedescargas.cnig.es/CentroDescargas/btn-poi" TargetMode="External"/><Relationship Id="rId284" Type="http://schemas.openxmlformats.org/officeDocument/2006/relationships/hyperlink" Target="https://centrodedescargas.cnig.es/CentroDescargas/btn-poi" TargetMode="External"/><Relationship Id="rId491" Type="http://schemas.openxmlformats.org/officeDocument/2006/relationships/hyperlink" Target="https://centrodedescargas.cnig.es/CentroDescargas/btn-poi" TargetMode="External"/><Relationship Id="rId144" Type="http://schemas.openxmlformats.org/officeDocument/2006/relationships/hyperlink" Target="https://centrodedescargas.cnig.es/CentroDescargas/btn-poi" TargetMode="External"/><Relationship Id="rId589" Type="http://schemas.openxmlformats.org/officeDocument/2006/relationships/hyperlink" Target="https://centrodedescargas.cnig.es/CentroDescargas/btn-poi" TargetMode="External"/><Relationship Id="rId796" Type="http://schemas.openxmlformats.org/officeDocument/2006/relationships/hyperlink" Target="https://centrodedescargas.cnig.es/CentroDescargas/btn-poi" TargetMode="External"/><Relationship Id="rId351" Type="http://schemas.openxmlformats.org/officeDocument/2006/relationships/hyperlink" Target="https://centrodedescargas.cnig.es/CentroDescargas/btn-poi" TargetMode="External"/><Relationship Id="rId449" Type="http://schemas.openxmlformats.org/officeDocument/2006/relationships/hyperlink" Target="https://centrodedescargas.cnig.es/CentroDescargas/btn-poi" TargetMode="External"/><Relationship Id="rId656" Type="http://schemas.openxmlformats.org/officeDocument/2006/relationships/hyperlink" Target="https://centrodedescargas.cnig.es/CentroDescargas/btn-poi" TargetMode="External"/><Relationship Id="rId863" Type="http://schemas.openxmlformats.org/officeDocument/2006/relationships/hyperlink" Target="https://centrodedescargas.cnig.es/CentroDescargas/btn-poi" TargetMode="External"/><Relationship Id="rId1079" Type="http://schemas.openxmlformats.org/officeDocument/2006/relationships/hyperlink" Target="https://centrodedescargas.cnig.es/CentroDescargas/btn-poi" TargetMode="External"/><Relationship Id="rId1286" Type="http://schemas.openxmlformats.org/officeDocument/2006/relationships/hyperlink" Target="https://centrodedescargas.cnig.es/CentroDescargas/btn-poi" TargetMode="External"/><Relationship Id="rId1493" Type="http://schemas.openxmlformats.org/officeDocument/2006/relationships/hyperlink" Target="https://centrodedescargas.cnig.es/CentroDescargas/btn-poi" TargetMode="External"/><Relationship Id="rId211" Type="http://schemas.openxmlformats.org/officeDocument/2006/relationships/hyperlink" Target="https://centrodedescargas.cnig.es/CentroDescargas/btn-poi" TargetMode="External"/><Relationship Id="rId309" Type="http://schemas.openxmlformats.org/officeDocument/2006/relationships/hyperlink" Target="https://centrodedescargas.cnig.es/CentroDescargas/btn-poi" TargetMode="External"/><Relationship Id="rId516" Type="http://schemas.openxmlformats.org/officeDocument/2006/relationships/hyperlink" Target="https://centrodedescargas.cnig.es/CentroDescargas/btn-poi" TargetMode="External"/><Relationship Id="rId1146" Type="http://schemas.openxmlformats.org/officeDocument/2006/relationships/hyperlink" Target="https://centrodedescargas.cnig.es/CentroDescargas/btn-poi" TargetMode="External"/><Relationship Id="rId1798" Type="http://schemas.openxmlformats.org/officeDocument/2006/relationships/hyperlink" Target="https://centrodedescargas.cnig.es/CentroDescargas/btn-poi" TargetMode="External"/><Relationship Id="rId723" Type="http://schemas.openxmlformats.org/officeDocument/2006/relationships/hyperlink" Target="https://centrodedescargas.cnig.es/CentroDescargas/btn-poi" TargetMode="External"/><Relationship Id="rId930" Type="http://schemas.openxmlformats.org/officeDocument/2006/relationships/hyperlink" Target="https://centrodedescargas.cnig.es/CentroDescargas/btn-poi" TargetMode="External"/><Relationship Id="rId1006" Type="http://schemas.openxmlformats.org/officeDocument/2006/relationships/hyperlink" Target="https://centrodedescargas.cnig.es/CentroDescargas/btn-poi" TargetMode="External"/><Relationship Id="rId1353" Type="http://schemas.openxmlformats.org/officeDocument/2006/relationships/hyperlink" Target="https://centrodedescargas.cnig.es/CentroDescargas/btn-poi" TargetMode="External"/><Relationship Id="rId1560" Type="http://schemas.openxmlformats.org/officeDocument/2006/relationships/hyperlink" Target="https://centrodedescargas.cnig.es/CentroDescargas/btn-poi" TargetMode="External"/><Relationship Id="rId1658" Type="http://schemas.openxmlformats.org/officeDocument/2006/relationships/hyperlink" Target="https://centrodedescargas.cnig.es/CentroDescargas/btn-poi" TargetMode="External"/><Relationship Id="rId1213" Type="http://schemas.openxmlformats.org/officeDocument/2006/relationships/hyperlink" Target="https://centrodedescargas.cnig.es/CentroDescargas/btn-poi" TargetMode="External"/><Relationship Id="rId1420" Type="http://schemas.openxmlformats.org/officeDocument/2006/relationships/hyperlink" Target="https://centrodedescargas.cnig.es/CentroDescargas/btn-poi" TargetMode="External"/><Relationship Id="rId1518" Type="http://schemas.openxmlformats.org/officeDocument/2006/relationships/hyperlink" Target="https://centrodedescargas.cnig.es/CentroDescargas/btn-poi" TargetMode="External"/><Relationship Id="rId1725" Type="http://schemas.openxmlformats.org/officeDocument/2006/relationships/hyperlink" Target="https://centrodedescargas.cnig.es/CentroDescargas/btn-poi" TargetMode="External"/><Relationship Id="rId17" Type="http://schemas.openxmlformats.org/officeDocument/2006/relationships/hyperlink" Target="https://centrodedescargas.cnig.es/CentroDescargas/btn-poi" TargetMode="External"/><Relationship Id="rId166" Type="http://schemas.openxmlformats.org/officeDocument/2006/relationships/hyperlink" Target="https://centrodedescargas.cnig.es/CentroDescargas/btn-poi" TargetMode="External"/><Relationship Id="rId373" Type="http://schemas.openxmlformats.org/officeDocument/2006/relationships/hyperlink" Target="https://centrodedescargas.cnig.es/CentroDescargas/btn-poi" TargetMode="External"/><Relationship Id="rId580" Type="http://schemas.openxmlformats.org/officeDocument/2006/relationships/hyperlink" Target="https://centrodedescargas.cnig.es/CentroDescargas/btn-poi" TargetMode="External"/><Relationship Id="rId1" Type="http://schemas.openxmlformats.org/officeDocument/2006/relationships/hyperlink" Target="https://centrodedescargas.cnig.es/CentroDescargas/btn-poi" TargetMode="External"/><Relationship Id="rId233" Type="http://schemas.openxmlformats.org/officeDocument/2006/relationships/hyperlink" Target="https://centrodedescargas.cnig.es/CentroDescargas/btn-poi" TargetMode="External"/><Relationship Id="rId440" Type="http://schemas.openxmlformats.org/officeDocument/2006/relationships/hyperlink" Target="https://centrodedescargas.cnig.es/CentroDescargas/btn-poi" TargetMode="External"/><Relationship Id="rId678" Type="http://schemas.openxmlformats.org/officeDocument/2006/relationships/hyperlink" Target="https://centrodedescargas.cnig.es/CentroDescargas/btn-poi" TargetMode="External"/><Relationship Id="rId885" Type="http://schemas.openxmlformats.org/officeDocument/2006/relationships/hyperlink" Target="https://centrodedescargas.cnig.es/CentroDescargas/btn-poi" TargetMode="External"/><Relationship Id="rId1070" Type="http://schemas.openxmlformats.org/officeDocument/2006/relationships/hyperlink" Target="https://centrodedescargas.cnig.es/CentroDescargas/btn-poi" TargetMode="External"/><Relationship Id="rId300" Type="http://schemas.openxmlformats.org/officeDocument/2006/relationships/hyperlink" Target="https://centrodedescargas.cnig.es/CentroDescargas/btn-poi" TargetMode="External"/><Relationship Id="rId538" Type="http://schemas.openxmlformats.org/officeDocument/2006/relationships/hyperlink" Target="https://centrodedescargas.cnig.es/CentroDescargas/btn-poi" TargetMode="External"/><Relationship Id="rId745" Type="http://schemas.openxmlformats.org/officeDocument/2006/relationships/hyperlink" Target="https://centrodedescargas.cnig.es/CentroDescargas/btn-poi" TargetMode="External"/><Relationship Id="rId952" Type="http://schemas.openxmlformats.org/officeDocument/2006/relationships/hyperlink" Target="https://centrodedescargas.cnig.es/CentroDescargas/btn-poi" TargetMode="External"/><Relationship Id="rId1168" Type="http://schemas.openxmlformats.org/officeDocument/2006/relationships/hyperlink" Target="https://centrodedescargas.cnig.es/CentroDescargas/btn-poi" TargetMode="External"/><Relationship Id="rId1375" Type="http://schemas.openxmlformats.org/officeDocument/2006/relationships/hyperlink" Target="https://centrodedescargas.cnig.es/CentroDescargas/btn-poi" TargetMode="External"/><Relationship Id="rId1582" Type="http://schemas.openxmlformats.org/officeDocument/2006/relationships/hyperlink" Target="https://centrodedescargas.cnig.es/CentroDescargas/btn-poi" TargetMode="External"/><Relationship Id="rId81" Type="http://schemas.openxmlformats.org/officeDocument/2006/relationships/hyperlink" Target="https://centrodedescargas.cnig.es/CentroDescargas/btn-poi" TargetMode="External"/><Relationship Id="rId605" Type="http://schemas.openxmlformats.org/officeDocument/2006/relationships/hyperlink" Target="https://centrodedescargas.cnig.es/CentroDescargas/btn-poi" TargetMode="External"/><Relationship Id="rId812" Type="http://schemas.openxmlformats.org/officeDocument/2006/relationships/hyperlink" Target="https://centrodedescargas.cnig.es/CentroDescargas/btn-poi" TargetMode="External"/><Relationship Id="rId1028" Type="http://schemas.openxmlformats.org/officeDocument/2006/relationships/hyperlink" Target="https://centrodedescargas.cnig.es/CentroDescargas/btn-poi" TargetMode="External"/><Relationship Id="rId1235" Type="http://schemas.openxmlformats.org/officeDocument/2006/relationships/hyperlink" Target="https://centrodedescargas.cnig.es/CentroDescargas/btn-poi" TargetMode="External"/><Relationship Id="rId1442" Type="http://schemas.openxmlformats.org/officeDocument/2006/relationships/hyperlink" Target="https://centrodedescargas.cnig.es/CentroDescargas/btn-poi" TargetMode="External"/><Relationship Id="rId1302" Type="http://schemas.openxmlformats.org/officeDocument/2006/relationships/hyperlink" Target="https://centrodedescargas.cnig.es/CentroDescargas/btn-poi" TargetMode="External"/><Relationship Id="rId1747" Type="http://schemas.openxmlformats.org/officeDocument/2006/relationships/hyperlink" Target="https://centrodedescargas.cnig.es/CentroDescargas/btn-poi" TargetMode="External"/><Relationship Id="rId39" Type="http://schemas.openxmlformats.org/officeDocument/2006/relationships/hyperlink" Target="https://centrodedescargas.cnig.es/CentroDescargas/btn-poi" TargetMode="External"/><Relationship Id="rId1607" Type="http://schemas.openxmlformats.org/officeDocument/2006/relationships/hyperlink" Target="https://centrodedescargas.cnig.es/CentroDescargas/btn-poi" TargetMode="External"/><Relationship Id="rId1814" Type="http://schemas.openxmlformats.org/officeDocument/2006/relationships/hyperlink" Target="https://centrodedescargas.cnig.es/CentroDescargas/btn-poi" TargetMode="External"/><Relationship Id="rId188" Type="http://schemas.openxmlformats.org/officeDocument/2006/relationships/hyperlink" Target="https://centrodedescargas.cnig.es/CentroDescargas/btn-poi" TargetMode="External"/><Relationship Id="rId395" Type="http://schemas.openxmlformats.org/officeDocument/2006/relationships/hyperlink" Target="https://centrodedescargas.cnig.es/CentroDescargas/btn-poi" TargetMode="External"/><Relationship Id="rId255" Type="http://schemas.openxmlformats.org/officeDocument/2006/relationships/hyperlink" Target="https://centrodedescargas.cnig.es/CentroDescargas/btn-poi" TargetMode="External"/><Relationship Id="rId462" Type="http://schemas.openxmlformats.org/officeDocument/2006/relationships/hyperlink" Target="https://centrodedescargas.cnig.es/CentroDescargas/btn-poi" TargetMode="External"/><Relationship Id="rId1092" Type="http://schemas.openxmlformats.org/officeDocument/2006/relationships/hyperlink" Target="https://centrodedescargas.cnig.es/CentroDescargas/btn-poi" TargetMode="External"/><Relationship Id="rId1397" Type="http://schemas.openxmlformats.org/officeDocument/2006/relationships/hyperlink" Target="https://centrodedescargas.cnig.es/CentroDescargas/btn-poi" TargetMode="External"/><Relationship Id="rId115" Type="http://schemas.openxmlformats.org/officeDocument/2006/relationships/hyperlink" Target="https://centrodedescargas.cnig.es/CentroDescargas/btn-poi" TargetMode="External"/><Relationship Id="rId322" Type="http://schemas.openxmlformats.org/officeDocument/2006/relationships/hyperlink" Target="https://centrodedescargas.cnig.es/CentroDescargas/btn-poi" TargetMode="External"/><Relationship Id="rId767" Type="http://schemas.openxmlformats.org/officeDocument/2006/relationships/hyperlink" Target="https://centrodedescargas.cnig.es/CentroDescargas/btn-poi" TargetMode="External"/><Relationship Id="rId974" Type="http://schemas.openxmlformats.org/officeDocument/2006/relationships/hyperlink" Target="https://centrodedescargas.cnig.es/CentroDescargas/btn-poi" TargetMode="External"/><Relationship Id="rId627" Type="http://schemas.openxmlformats.org/officeDocument/2006/relationships/hyperlink" Target="https://centrodedescargas.cnig.es/CentroDescargas/btn-poi" TargetMode="External"/><Relationship Id="rId834" Type="http://schemas.openxmlformats.org/officeDocument/2006/relationships/hyperlink" Target="https://centrodedescargas.cnig.es/CentroDescargas/btn-poi" TargetMode="External"/><Relationship Id="rId1257" Type="http://schemas.openxmlformats.org/officeDocument/2006/relationships/hyperlink" Target="https://centrodedescargas.cnig.es/CentroDescargas/btn-poi" TargetMode="External"/><Relationship Id="rId1464" Type="http://schemas.openxmlformats.org/officeDocument/2006/relationships/hyperlink" Target="https://centrodedescargas.cnig.es/CentroDescargas/btn-poi" TargetMode="External"/><Relationship Id="rId1671" Type="http://schemas.openxmlformats.org/officeDocument/2006/relationships/hyperlink" Target="https://centrodedescargas.cnig.es/CentroDescargas/btn-poi" TargetMode="External"/><Relationship Id="rId901" Type="http://schemas.openxmlformats.org/officeDocument/2006/relationships/hyperlink" Target="https://centrodedescargas.cnig.es/CentroDescargas/btn-poi" TargetMode="External"/><Relationship Id="rId1117" Type="http://schemas.openxmlformats.org/officeDocument/2006/relationships/hyperlink" Target="https://centrodedescargas.cnig.es/CentroDescargas/btn-poi" TargetMode="External"/><Relationship Id="rId1324" Type="http://schemas.openxmlformats.org/officeDocument/2006/relationships/hyperlink" Target="https://centrodedescargas.cnig.es/CentroDescargas/btn-poi" TargetMode="External"/><Relationship Id="rId1531" Type="http://schemas.openxmlformats.org/officeDocument/2006/relationships/hyperlink" Target="https://centrodedescargas.cnig.es/CentroDescargas/btn-poi" TargetMode="External"/><Relationship Id="rId1769" Type="http://schemas.openxmlformats.org/officeDocument/2006/relationships/hyperlink" Target="https://centrodedescargas.cnig.es/CentroDescargas/btn-poi" TargetMode="External"/><Relationship Id="rId30" Type="http://schemas.openxmlformats.org/officeDocument/2006/relationships/hyperlink" Target="https://centrodedescargas.cnig.es/CentroDescargas/btn-poi" TargetMode="External"/><Relationship Id="rId1629" Type="http://schemas.openxmlformats.org/officeDocument/2006/relationships/hyperlink" Target="https://centrodedescargas.cnig.es/CentroDescargas/btn-poi" TargetMode="External"/><Relationship Id="rId277" Type="http://schemas.openxmlformats.org/officeDocument/2006/relationships/hyperlink" Target="https://centrodedescargas.cnig.es/CentroDescargas/btn-poi" TargetMode="External"/><Relationship Id="rId484" Type="http://schemas.openxmlformats.org/officeDocument/2006/relationships/hyperlink" Target="https://centrodedescargas.cnig.es/CentroDescargas/btn-poi" TargetMode="External"/><Relationship Id="rId137" Type="http://schemas.openxmlformats.org/officeDocument/2006/relationships/hyperlink" Target="https://centrodedescargas.cnig.es/CentroDescargas/btn-poi" TargetMode="External"/><Relationship Id="rId344" Type="http://schemas.openxmlformats.org/officeDocument/2006/relationships/hyperlink" Target="https://centrodedescargas.cnig.es/CentroDescargas/btn-poi" TargetMode="External"/><Relationship Id="rId691" Type="http://schemas.openxmlformats.org/officeDocument/2006/relationships/hyperlink" Target="https://centrodedescargas.cnig.es/CentroDescargas/btn-poi" TargetMode="External"/><Relationship Id="rId789" Type="http://schemas.openxmlformats.org/officeDocument/2006/relationships/hyperlink" Target="https://centrodedescargas.cnig.es/CentroDescargas/btn-poi" TargetMode="External"/><Relationship Id="rId996" Type="http://schemas.openxmlformats.org/officeDocument/2006/relationships/hyperlink" Target="https://centrodedescargas.cnig.es/CentroDescargas/btn-poi" TargetMode="External"/><Relationship Id="rId551" Type="http://schemas.openxmlformats.org/officeDocument/2006/relationships/hyperlink" Target="https://centrodedescargas.cnig.es/CentroDescargas/btn-poi" TargetMode="External"/><Relationship Id="rId649" Type="http://schemas.openxmlformats.org/officeDocument/2006/relationships/hyperlink" Target="https://centrodedescargas.cnig.es/CentroDescargas/btn-poi" TargetMode="External"/><Relationship Id="rId856" Type="http://schemas.openxmlformats.org/officeDocument/2006/relationships/hyperlink" Target="https://centrodedescargas.cnig.es/CentroDescargas/btn-poi" TargetMode="External"/><Relationship Id="rId1181" Type="http://schemas.openxmlformats.org/officeDocument/2006/relationships/hyperlink" Target="https://centrodedescargas.cnig.es/CentroDescargas/btn-poi" TargetMode="External"/><Relationship Id="rId1279" Type="http://schemas.openxmlformats.org/officeDocument/2006/relationships/hyperlink" Target="https://centrodedescargas.cnig.es/CentroDescargas/btn-poi" TargetMode="External"/><Relationship Id="rId1486" Type="http://schemas.openxmlformats.org/officeDocument/2006/relationships/hyperlink" Target="https://centrodedescargas.cnig.es/CentroDescargas/btn-poi" TargetMode="External"/><Relationship Id="rId204" Type="http://schemas.openxmlformats.org/officeDocument/2006/relationships/hyperlink" Target="https://centrodedescargas.cnig.es/CentroDescargas/btn-poi" TargetMode="External"/><Relationship Id="rId411" Type="http://schemas.openxmlformats.org/officeDocument/2006/relationships/hyperlink" Target="https://centrodedescargas.cnig.es/CentroDescargas/btn-poi" TargetMode="External"/><Relationship Id="rId509" Type="http://schemas.openxmlformats.org/officeDocument/2006/relationships/hyperlink" Target="https://centrodedescargas.cnig.es/CentroDescargas/btn-poi" TargetMode="External"/><Relationship Id="rId1041" Type="http://schemas.openxmlformats.org/officeDocument/2006/relationships/hyperlink" Target="https://centrodedescargas.cnig.es/CentroDescargas/btn-poi" TargetMode="External"/><Relationship Id="rId1139" Type="http://schemas.openxmlformats.org/officeDocument/2006/relationships/hyperlink" Target="https://centrodedescargas.cnig.es/CentroDescargas/btn-poi" TargetMode="External"/><Relationship Id="rId1346" Type="http://schemas.openxmlformats.org/officeDocument/2006/relationships/hyperlink" Target="https://centrodedescargas.cnig.es/CentroDescargas/btn-poi" TargetMode="External"/><Relationship Id="rId1693" Type="http://schemas.openxmlformats.org/officeDocument/2006/relationships/hyperlink" Target="https://centrodedescargas.cnig.es/CentroDescargas/btn-poi" TargetMode="External"/><Relationship Id="rId716" Type="http://schemas.openxmlformats.org/officeDocument/2006/relationships/hyperlink" Target="https://centrodedescargas.cnig.es/CentroDescargas/btn-poi" TargetMode="External"/><Relationship Id="rId923" Type="http://schemas.openxmlformats.org/officeDocument/2006/relationships/hyperlink" Target="https://centrodedescargas.cnig.es/CentroDescargas/btn-poi" TargetMode="External"/><Relationship Id="rId1553" Type="http://schemas.openxmlformats.org/officeDocument/2006/relationships/hyperlink" Target="https://centrodedescargas.cnig.es/CentroDescargas/btn-poi" TargetMode="External"/><Relationship Id="rId1760" Type="http://schemas.openxmlformats.org/officeDocument/2006/relationships/hyperlink" Target="https://centrodedescargas.cnig.es/CentroDescargas/btn-poi" TargetMode="External"/><Relationship Id="rId52" Type="http://schemas.openxmlformats.org/officeDocument/2006/relationships/hyperlink" Target="https://centrodedescargas.cnig.es/CentroDescargas/btn-poi" TargetMode="External"/><Relationship Id="rId1206" Type="http://schemas.openxmlformats.org/officeDocument/2006/relationships/hyperlink" Target="https://centrodedescargas.cnig.es/CentroDescargas/btn-poi" TargetMode="External"/><Relationship Id="rId1413" Type="http://schemas.openxmlformats.org/officeDocument/2006/relationships/hyperlink" Target="https://centrodedescargas.cnig.es/CentroDescargas/btn-poi" TargetMode="External"/><Relationship Id="rId1620" Type="http://schemas.openxmlformats.org/officeDocument/2006/relationships/hyperlink" Target="https://centrodedescargas.cnig.es/CentroDescargas/btn-poi" TargetMode="External"/><Relationship Id="rId1718" Type="http://schemas.openxmlformats.org/officeDocument/2006/relationships/hyperlink" Target="https://centrodedescargas.cnig.es/CentroDescargas/btn-poi" TargetMode="External"/><Relationship Id="rId299" Type="http://schemas.openxmlformats.org/officeDocument/2006/relationships/hyperlink" Target="https://centrodedescargas.cnig.es/CentroDescargas/btn-poi" TargetMode="External"/><Relationship Id="rId159" Type="http://schemas.openxmlformats.org/officeDocument/2006/relationships/hyperlink" Target="https://centrodedescargas.cnig.es/CentroDescargas/btn-poi" TargetMode="External"/><Relationship Id="rId366" Type="http://schemas.openxmlformats.org/officeDocument/2006/relationships/hyperlink" Target="https://centrodedescargas.cnig.es/CentroDescargas/btn-poi" TargetMode="External"/><Relationship Id="rId573" Type="http://schemas.openxmlformats.org/officeDocument/2006/relationships/hyperlink" Target="https://centrodedescargas.cnig.es/CentroDescargas/btn-poi" TargetMode="External"/><Relationship Id="rId780" Type="http://schemas.openxmlformats.org/officeDocument/2006/relationships/hyperlink" Target="https://centrodedescargas.cnig.es/CentroDescargas/btn-poi" TargetMode="External"/><Relationship Id="rId226" Type="http://schemas.openxmlformats.org/officeDocument/2006/relationships/hyperlink" Target="https://centrodedescargas.cnig.es/CentroDescargas/btn-poi" TargetMode="External"/><Relationship Id="rId433" Type="http://schemas.openxmlformats.org/officeDocument/2006/relationships/hyperlink" Target="https://centrodedescargas.cnig.es/CentroDescargas/btn-poi" TargetMode="External"/><Relationship Id="rId878" Type="http://schemas.openxmlformats.org/officeDocument/2006/relationships/hyperlink" Target="https://centrodedescargas.cnig.es/CentroDescargas/btn-poi" TargetMode="External"/><Relationship Id="rId1063" Type="http://schemas.openxmlformats.org/officeDocument/2006/relationships/hyperlink" Target="https://centrodedescargas.cnig.es/CentroDescargas/btn-poi" TargetMode="External"/><Relationship Id="rId1270" Type="http://schemas.openxmlformats.org/officeDocument/2006/relationships/hyperlink" Target="https://centrodedescargas.cnig.es/CentroDescargas/btn-poi" TargetMode="External"/><Relationship Id="rId640" Type="http://schemas.openxmlformats.org/officeDocument/2006/relationships/hyperlink" Target="https://centrodedescargas.cnig.es/CentroDescargas/btn-poi" TargetMode="External"/><Relationship Id="rId738" Type="http://schemas.openxmlformats.org/officeDocument/2006/relationships/hyperlink" Target="https://centrodedescargas.cnig.es/CentroDescargas/btn-poi" TargetMode="External"/><Relationship Id="rId945" Type="http://schemas.openxmlformats.org/officeDocument/2006/relationships/hyperlink" Target="https://centrodedescargas.cnig.es/CentroDescargas/btn-poi" TargetMode="External"/><Relationship Id="rId1368" Type="http://schemas.openxmlformats.org/officeDocument/2006/relationships/hyperlink" Target="https://centrodedescargas.cnig.es/CentroDescargas/btn-poi" TargetMode="External"/><Relationship Id="rId1575" Type="http://schemas.openxmlformats.org/officeDocument/2006/relationships/hyperlink" Target="https://centrodedescargas.cnig.es/CentroDescargas/btn-poi" TargetMode="External"/><Relationship Id="rId1782" Type="http://schemas.openxmlformats.org/officeDocument/2006/relationships/hyperlink" Target="https://centrodedescargas.cnig.es/CentroDescargas/btn-poi" TargetMode="External"/><Relationship Id="rId74" Type="http://schemas.openxmlformats.org/officeDocument/2006/relationships/hyperlink" Target="https://centrodedescargas.cnig.es/CentroDescargas/btn-poi" TargetMode="External"/><Relationship Id="rId500" Type="http://schemas.openxmlformats.org/officeDocument/2006/relationships/hyperlink" Target="https://centrodedescargas.cnig.es/CentroDescargas/btn-poi" TargetMode="External"/><Relationship Id="rId805" Type="http://schemas.openxmlformats.org/officeDocument/2006/relationships/hyperlink" Target="https://centrodedescargas.cnig.es/CentroDescargas/btn-poi" TargetMode="External"/><Relationship Id="rId1130" Type="http://schemas.openxmlformats.org/officeDocument/2006/relationships/hyperlink" Target="https://centrodedescargas.cnig.es/CentroDescargas/btn-poi" TargetMode="External"/><Relationship Id="rId1228" Type="http://schemas.openxmlformats.org/officeDocument/2006/relationships/hyperlink" Target="https://centrodedescargas.cnig.es/CentroDescargas/btn-poi" TargetMode="External"/><Relationship Id="rId1435" Type="http://schemas.openxmlformats.org/officeDocument/2006/relationships/hyperlink" Target="https://centrodedescargas.cnig.es/CentroDescargas/btn-poi" TargetMode="External"/><Relationship Id="rId1642" Type="http://schemas.openxmlformats.org/officeDocument/2006/relationships/hyperlink" Target="https://centrodedescargas.cnig.es/CentroDescargas/btn-poi" TargetMode="External"/><Relationship Id="rId1502" Type="http://schemas.openxmlformats.org/officeDocument/2006/relationships/hyperlink" Target="https://centrodedescargas.cnig.es/CentroDescargas/btn-poi" TargetMode="External"/><Relationship Id="rId1807" Type="http://schemas.openxmlformats.org/officeDocument/2006/relationships/hyperlink" Target="https://centrodedescargas.cnig.es/CentroDescargas/btn-poi" TargetMode="External"/><Relationship Id="rId290" Type="http://schemas.openxmlformats.org/officeDocument/2006/relationships/hyperlink" Target="https://centrodedescargas.cnig.es/CentroDescargas/btn-poi" TargetMode="External"/><Relationship Id="rId388" Type="http://schemas.openxmlformats.org/officeDocument/2006/relationships/hyperlink" Target="https://centrodedescargas.cnig.es/CentroDescargas/btn-poi" TargetMode="External"/><Relationship Id="rId150" Type="http://schemas.openxmlformats.org/officeDocument/2006/relationships/hyperlink" Target="https://centrodedescargas.cnig.es/CentroDescargas/btn-poi" TargetMode="External"/><Relationship Id="rId595" Type="http://schemas.openxmlformats.org/officeDocument/2006/relationships/hyperlink" Target="https://centrodedescargas.cnig.es/CentroDescargas/btn-poi" TargetMode="External"/><Relationship Id="rId248" Type="http://schemas.openxmlformats.org/officeDocument/2006/relationships/hyperlink" Target="https://centrodedescargas.cnig.es/CentroDescargas/btn-poi" TargetMode="External"/><Relationship Id="rId455" Type="http://schemas.openxmlformats.org/officeDocument/2006/relationships/hyperlink" Target="https://centrodedescargas.cnig.es/CentroDescargas/btn-poi" TargetMode="External"/><Relationship Id="rId662" Type="http://schemas.openxmlformats.org/officeDocument/2006/relationships/hyperlink" Target="https://centrodedescargas.cnig.es/CentroDescargas/btn-poi" TargetMode="External"/><Relationship Id="rId1085" Type="http://schemas.openxmlformats.org/officeDocument/2006/relationships/hyperlink" Target="https://centrodedescargas.cnig.es/CentroDescargas/btn-poi" TargetMode="External"/><Relationship Id="rId1292" Type="http://schemas.openxmlformats.org/officeDocument/2006/relationships/hyperlink" Target="https://centrodedescargas.cnig.es/CentroDescargas/btn-poi" TargetMode="External"/><Relationship Id="rId108" Type="http://schemas.openxmlformats.org/officeDocument/2006/relationships/hyperlink" Target="https://centrodedescargas.cnig.es/CentroDescargas/btn-poi" TargetMode="External"/><Relationship Id="rId315" Type="http://schemas.openxmlformats.org/officeDocument/2006/relationships/hyperlink" Target="https://centrodedescargas.cnig.es/CentroDescargas/btn-poi" TargetMode="External"/><Relationship Id="rId522" Type="http://schemas.openxmlformats.org/officeDocument/2006/relationships/hyperlink" Target="https://centrodedescargas.cnig.es/CentroDescargas/btn-poi" TargetMode="External"/><Relationship Id="rId967" Type="http://schemas.openxmlformats.org/officeDocument/2006/relationships/hyperlink" Target="https://centrodedescargas.cnig.es/CentroDescargas/btn-poi" TargetMode="External"/><Relationship Id="rId1152" Type="http://schemas.openxmlformats.org/officeDocument/2006/relationships/hyperlink" Target="https://centrodedescargas.cnig.es/CentroDescargas/btn-poi" TargetMode="External"/><Relationship Id="rId1597" Type="http://schemas.openxmlformats.org/officeDocument/2006/relationships/hyperlink" Target="https://centrodedescargas.cnig.es/CentroDescargas/btn-poi" TargetMode="External"/><Relationship Id="rId96" Type="http://schemas.openxmlformats.org/officeDocument/2006/relationships/hyperlink" Target="https://centrodedescargas.cnig.es/CentroDescargas/btn-poi" TargetMode="External"/><Relationship Id="rId827" Type="http://schemas.openxmlformats.org/officeDocument/2006/relationships/hyperlink" Target="https://centrodedescargas.cnig.es/CentroDescargas/btn-poi" TargetMode="External"/><Relationship Id="rId1012" Type="http://schemas.openxmlformats.org/officeDocument/2006/relationships/hyperlink" Target="https://centrodedescargas.cnig.es/CentroDescargas/btn-poi" TargetMode="External"/><Relationship Id="rId1457" Type="http://schemas.openxmlformats.org/officeDocument/2006/relationships/hyperlink" Target="https://centrodedescargas.cnig.es/CentroDescargas/btn-poi" TargetMode="External"/><Relationship Id="rId1664" Type="http://schemas.openxmlformats.org/officeDocument/2006/relationships/hyperlink" Target="https://centrodedescargas.cnig.es/CentroDescargas/btn-poi" TargetMode="External"/><Relationship Id="rId1317" Type="http://schemas.openxmlformats.org/officeDocument/2006/relationships/hyperlink" Target="https://centrodedescargas.cnig.es/CentroDescargas/btn-poi" TargetMode="External"/><Relationship Id="rId1524" Type="http://schemas.openxmlformats.org/officeDocument/2006/relationships/hyperlink" Target="https://centrodedescargas.cnig.es/CentroDescargas/btn-poi" TargetMode="External"/><Relationship Id="rId1731" Type="http://schemas.openxmlformats.org/officeDocument/2006/relationships/hyperlink" Target="https://centrodedescargas.cnig.es/CentroDescargas/btn-poi" TargetMode="External"/><Relationship Id="rId23" Type="http://schemas.openxmlformats.org/officeDocument/2006/relationships/hyperlink" Target="https://centrodedescargas.cnig.es/CentroDescargas/btn-poi" TargetMode="External"/><Relationship Id="rId1829" Type="http://schemas.openxmlformats.org/officeDocument/2006/relationships/hyperlink" Target="https://centrodedescargas.cnig.es/CentroDescargas/btn-poi" TargetMode="External"/><Relationship Id="rId172" Type="http://schemas.openxmlformats.org/officeDocument/2006/relationships/hyperlink" Target="https://centrodedescargas.cnig.es/CentroDescargas/btn-poi" TargetMode="External"/><Relationship Id="rId477" Type="http://schemas.openxmlformats.org/officeDocument/2006/relationships/hyperlink" Target="https://centrodedescargas.cnig.es/CentroDescargas/btn-poi" TargetMode="External"/><Relationship Id="rId684" Type="http://schemas.openxmlformats.org/officeDocument/2006/relationships/hyperlink" Target="https://centrodedescargas.cnig.es/CentroDescargas/btn-poi" TargetMode="External"/><Relationship Id="rId337" Type="http://schemas.openxmlformats.org/officeDocument/2006/relationships/hyperlink" Target="https://centrodedescargas.cnig.es/CentroDescargas/btn-poi" TargetMode="External"/><Relationship Id="rId891" Type="http://schemas.openxmlformats.org/officeDocument/2006/relationships/hyperlink" Target="https://centrodedescargas.cnig.es/CentroDescargas/btn-poi" TargetMode="External"/><Relationship Id="rId989" Type="http://schemas.openxmlformats.org/officeDocument/2006/relationships/hyperlink" Target="https://centrodedescargas.cnig.es/CentroDescargas/btn-poi" TargetMode="External"/><Relationship Id="rId544" Type="http://schemas.openxmlformats.org/officeDocument/2006/relationships/hyperlink" Target="https://centrodedescargas.cnig.es/CentroDescargas/btn-poi" TargetMode="External"/><Relationship Id="rId751" Type="http://schemas.openxmlformats.org/officeDocument/2006/relationships/hyperlink" Target="https://centrodedescargas.cnig.es/CentroDescargas/btn-poi" TargetMode="External"/><Relationship Id="rId849" Type="http://schemas.openxmlformats.org/officeDocument/2006/relationships/hyperlink" Target="https://centrodedescargas.cnig.es/CentroDescargas/btn-poi" TargetMode="External"/><Relationship Id="rId1174" Type="http://schemas.openxmlformats.org/officeDocument/2006/relationships/hyperlink" Target="https://centrodedescargas.cnig.es/CentroDescargas/btn-poi" TargetMode="External"/><Relationship Id="rId1381" Type="http://schemas.openxmlformats.org/officeDocument/2006/relationships/hyperlink" Target="https://centrodedescargas.cnig.es/CentroDescargas/btn-poi" TargetMode="External"/><Relationship Id="rId1479" Type="http://schemas.openxmlformats.org/officeDocument/2006/relationships/hyperlink" Target="https://centrodedescargas.cnig.es/CentroDescargas/btn-poi" TargetMode="External"/><Relationship Id="rId1686" Type="http://schemas.openxmlformats.org/officeDocument/2006/relationships/hyperlink" Target="https://centrodedescargas.cnig.es/CentroDescargas/btn-poi" TargetMode="External"/><Relationship Id="rId404" Type="http://schemas.openxmlformats.org/officeDocument/2006/relationships/hyperlink" Target="https://centrodedescargas.cnig.es/CentroDescargas/btn-poi" TargetMode="External"/><Relationship Id="rId611" Type="http://schemas.openxmlformats.org/officeDocument/2006/relationships/hyperlink" Target="https://centrodedescargas.cnig.es/CentroDescargas/btn-poi" TargetMode="External"/><Relationship Id="rId1034" Type="http://schemas.openxmlformats.org/officeDocument/2006/relationships/hyperlink" Target="https://centrodedescargas.cnig.es/CentroDescargas/btn-poi" TargetMode="External"/><Relationship Id="rId1241" Type="http://schemas.openxmlformats.org/officeDocument/2006/relationships/hyperlink" Target="https://centrodedescargas.cnig.es/CentroDescargas/btn-poi" TargetMode="External"/><Relationship Id="rId1339" Type="http://schemas.openxmlformats.org/officeDocument/2006/relationships/hyperlink" Target="https://centrodedescargas.cnig.es/CentroDescargas/btn-poi" TargetMode="External"/><Relationship Id="rId709" Type="http://schemas.openxmlformats.org/officeDocument/2006/relationships/hyperlink" Target="https://centrodedescargas.cnig.es/CentroDescargas/btn-poi" TargetMode="External"/><Relationship Id="rId916" Type="http://schemas.openxmlformats.org/officeDocument/2006/relationships/hyperlink" Target="https://centrodedescargas.cnig.es/CentroDescargas/btn-poi" TargetMode="External"/><Relationship Id="rId1101" Type="http://schemas.openxmlformats.org/officeDocument/2006/relationships/hyperlink" Target="https://centrodedescargas.cnig.es/CentroDescargas/btn-poi" TargetMode="External"/><Relationship Id="rId1546" Type="http://schemas.openxmlformats.org/officeDocument/2006/relationships/hyperlink" Target="https://centrodedescargas.cnig.es/CentroDescargas/btn-poi" TargetMode="External"/><Relationship Id="rId1753" Type="http://schemas.openxmlformats.org/officeDocument/2006/relationships/hyperlink" Target="https://centrodedescargas.cnig.es/CentroDescargas/btn-poi" TargetMode="External"/><Relationship Id="rId45" Type="http://schemas.openxmlformats.org/officeDocument/2006/relationships/hyperlink" Target="https://centrodedescargas.cnig.es/CentroDescargas/btn-poi" TargetMode="External"/><Relationship Id="rId1406" Type="http://schemas.openxmlformats.org/officeDocument/2006/relationships/hyperlink" Target="https://centrodedescargas.cnig.es/CentroDescargas/btn-poi" TargetMode="External"/><Relationship Id="rId1613" Type="http://schemas.openxmlformats.org/officeDocument/2006/relationships/hyperlink" Target="https://centrodedescargas.cnig.es/CentroDescargas/btn-poi" TargetMode="External"/><Relationship Id="rId1820" Type="http://schemas.openxmlformats.org/officeDocument/2006/relationships/hyperlink" Target="https://centrodedescargas.cnig.es/CentroDescargas/btn-poi" TargetMode="External"/><Relationship Id="rId194" Type="http://schemas.openxmlformats.org/officeDocument/2006/relationships/hyperlink" Target="https://centrodedescargas.cnig.es/CentroDescargas/btn-poi" TargetMode="External"/><Relationship Id="rId261" Type="http://schemas.openxmlformats.org/officeDocument/2006/relationships/hyperlink" Target="https://centrodedescargas.cnig.es/CentroDescargas/btn-poi" TargetMode="External"/><Relationship Id="rId499" Type="http://schemas.openxmlformats.org/officeDocument/2006/relationships/hyperlink" Target="https://centrodedescargas.cnig.es/CentroDescargas/btn-poi" TargetMode="External"/><Relationship Id="rId359" Type="http://schemas.openxmlformats.org/officeDocument/2006/relationships/hyperlink" Target="https://centrodedescargas.cnig.es/CentroDescargas/btn-poi" TargetMode="External"/><Relationship Id="rId566" Type="http://schemas.openxmlformats.org/officeDocument/2006/relationships/hyperlink" Target="https://centrodedescargas.cnig.es/CentroDescargas/btn-poi" TargetMode="External"/><Relationship Id="rId773" Type="http://schemas.openxmlformats.org/officeDocument/2006/relationships/hyperlink" Target="https://centrodedescargas.cnig.es/CentroDescargas/btn-poi" TargetMode="External"/><Relationship Id="rId1196" Type="http://schemas.openxmlformats.org/officeDocument/2006/relationships/hyperlink" Target="https://centrodedescargas.cnig.es/CentroDescargas/btn-poi" TargetMode="External"/><Relationship Id="rId121" Type="http://schemas.openxmlformats.org/officeDocument/2006/relationships/hyperlink" Target="https://centrodedescargas.cnig.es/CentroDescargas/btn-poi" TargetMode="External"/><Relationship Id="rId219" Type="http://schemas.openxmlformats.org/officeDocument/2006/relationships/hyperlink" Target="https://centrodedescargas.cnig.es/CentroDescargas/btn-poi" TargetMode="External"/><Relationship Id="rId426" Type="http://schemas.openxmlformats.org/officeDocument/2006/relationships/hyperlink" Target="https://centrodedescargas.cnig.es/CentroDescargas/btn-poi" TargetMode="External"/><Relationship Id="rId633" Type="http://schemas.openxmlformats.org/officeDocument/2006/relationships/hyperlink" Target="https://centrodedescargas.cnig.es/CentroDescargas/btn-poi" TargetMode="External"/><Relationship Id="rId980" Type="http://schemas.openxmlformats.org/officeDocument/2006/relationships/hyperlink" Target="https://centrodedescargas.cnig.es/CentroDescargas/btn-poi" TargetMode="External"/><Relationship Id="rId1056" Type="http://schemas.openxmlformats.org/officeDocument/2006/relationships/hyperlink" Target="https://centrodedescargas.cnig.es/CentroDescargas/btn-poi" TargetMode="External"/><Relationship Id="rId1263" Type="http://schemas.openxmlformats.org/officeDocument/2006/relationships/hyperlink" Target="https://centrodedescargas.cnig.es/CentroDescargas/btn-poi" TargetMode="External"/><Relationship Id="rId840" Type="http://schemas.openxmlformats.org/officeDocument/2006/relationships/hyperlink" Target="https://centrodedescargas.cnig.es/CentroDescargas/btn-poi" TargetMode="External"/><Relationship Id="rId938" Type="http://schemas.openxmlformats.org/officeDocument/2006/relationships/hyperlink" Target="https://centrodedescargas.cnig.es/CentroDescargas/btn-poi" TargetMode="External"/><Relationship Id="rId1470" Type="http://schemas.openxmlformats.org/officeDocument/2006/relationships/hyperlink" Target="https://centrodedescargas.cnig.es/CentroDescargas/btn-poi" TargetMode="External"/><Relationship Id="rId1568" Type="http://schemas.openxmlformats.org/officeDocument/2006/relationships/hyperlink" Target="https://centrodedescargas.cnig.es/CentroDescargas/btn-poi" TargetMode="External"/><Relationship Id="rId1775" Type="http://schemas.openxmlformats.org/officeDocument/2006/relationships/hyperlink" Target="https://centrodedescargas.cnig.es/CentroDescargas/btn-poi" TargetMode="External"/><Relationship Id="rId67" Type="http://schemas.openxmlformats.org/officeDocument/2006/relationships/hyperlink" Target="https://centrodedescargas.cnig.es/CentroDescargas/btn-poi" TargetMode="External"/><Relationship Id="rId700" Type="http://schemas.openxmlformats.org/officeDocument/2006/relationships/hyperlink" Target="https://centrodedescargas.cnig.es/CentroDescargas/btn-poi" TargetMode="External"/><Relationship Id="rId1123" Type="http://schemas.openxmlformats.org/officeDocument/2006/relationships/hyperlink" Target="https://centrodedescargas.cnig.es/CentroDescargas/btn-poi" TargetMode="External"/><Relationship Id="rId1330" Type="http://schemas.openxmlformats.org/officeDocument/2006/relationships/hyperlink" Target="https://centrodedescargas.cnig.es/CentroDescargas/btn-poi" TargetMode="External"/><Relationship Id="rId1428" Type="http://schemas.openxmlformats.org/officeDocument/2006/relationships/hyperlink" Target="https://centrodedescargas.cnig.es/CentroDescargas/btn-poi" TargetMode="External"/><Relationship Id="rId1635" Type="http://schemas.openxmlformats.org/officeDocument/2006/relationships/hyperlink" Target="https://centrodedescargas.cnig.es/CentroDescargas/btn-poi" TargetMode="External"/><Relationship Id="rId1702" Type="http://schemas.openxmlformats.org/officeDocument/2006/relationships/hyperlink" Target="https://centrodedescargas.cnig.es/CentroDescargas/btn-poi" TargetMode="External"/><Relationship Id="rId283" Type="http://schemas.openxmlformats.org/officeDocument/2006/relationships/hyperlink" Target="https://centrodedescargas.cnig.es/CentroDescargas/btn-poi" TargetMode="External"/><Relationship Id="rId490" Type="http://schemas.openxmlformats.org/officeDocument/2006/relationships/hyperlink" Target="https://centrodedescargas.cnig.es/CentroDescargas/btn-poi" TargetMode="External"/><Relationship Id="rId143" Type="http://schemas.openxmlformats.org/officeDocument/2006/relationships/hyperlink" Target="https://centrodedescargas.cnig.es/CentroDescargas/btn-poi" TargetMode="External"/><Relationship Id="rId350" Type="http://schemas.openxmlformats.org/officeDocument/2006/relationships/hyperlink" Target="https://centrodedescargas.cnig.es/CentroDescargas/btn-poi" TargetMode="External"/><Relationship Id="rId588" Type="http://schemas.openxmlformats.org/officeDocument/2006/relationships/hyperlink" Target="https://centrodedescargas.cnig.es/CentroDescargas/btn-poi" TargetMode="External"/><Relationship Id="rId795" Type="http://schemas.openxmlformats.org/officeDocument/2006/relationships/hyperlink" Target="https://centrodedescargas.cnig.es/CentroDescargas/btn-poi" TargetMode="External"/><Relationship Id="rId9" Type="http://schemas.openxmlformats.org/officeDocument/2006/relationships/hyperlink" Target="https://centrodedescargas.cnig.es/CentroDescargas/btn-poi" TargetMode="External"/><Relationship Id="rId210" Type="http://schemas.openxmlformats.org/officeDocument/2006/relationships/hyperlink" Target="https://centrodedescargas.cnig.es/CentroDescargas/btn-poi" TargetMode="External"/><Relationship Id="rId448" Type="http://schemas.openxmlformats.org/officeDocument/2006/relationships/hyperlink" Target="https://centrodedescargas.cnig.es/CentroDescargas/btn-poi" TargetMode="External"/><Relationship Id="rId655" Type="http://schemas.openxmlformats.org/officeDocument/2006/relationships/hyperlink" Target="https://centrodedescargas.cnig.es/CentroDescargas/btn-poi" TargetMode="External"/><Relationship Id="rId862" Type="http://schemas.openxmlformats.org/officeDocument/2006/relationships/hyperlink" Target="https://centrodedescargas.cnig.es/CentroDescargas/btn-poi" TargetMode="External"/><Relationship Id="rId1078" Type="http://schemas.openxmlformats.org/officeDocument/2006/relationships/hyperlink" Target="https://centrodedescargas.cnig.es/CentroDescargas/btn-poi" TargetMode="External"/><Relationship Id="rId1285" Type="http://schemas.openxmlformats.org/officeDocument/2006/relationships/hyperlink" Target="https://centrodedescargas.cnig.es/CentroDescargas/btn-poi" TargetMode="External"/><Relationship Id="rId1492" Type="http://schemas.openxmlformats.org/officeDocument/2006/relationships/hyperlink" Target="https://centrodedescargas.cnig.es/CentroDescargas/btn-poi" TargetMode="External"/><Relationship Id="rId308" Type="http://schemas.openxmlformats.org/officeDocument/2006/relationships/hyperlink" Target="https://centrodedescargas.cnig.es/CentroDescargas/btn-poi" TargetMode="External"/><Relationship Id="rId515" Type="http://schemas.openxmlformats.org/officeDocument/2006/relationships/hyperlink" Target="https://centrodedescargas.cnig.es/CentroDescargas/btn-poi" TargetMode="External"/><Relationship Id="rId722" Type="http://schemas.openxmlformats.org/officeDocument/2006/relationships/hyperlink" Target="https://centrodedescargas.cnig.es/CentroDescargas/btn-poi" TargetMode="External"/><Relationship Id="rId1145" Type="http://schemas.openxmlformats.org/officeDocument/2006/relationships/hyperlink" Target="https://centrodedescargas.cnig.es/CentroDescargas/btn-poi" TargetMode="External"/><Relationship Id="rId1352" Type="http://schemas.openxmlformats.org/officeDocument/2006/relationships/hyperlink" Target="https://centrodedescargas.cnig.es/CentroDescargas/btn-poi" TargetMode="External"/><Relationship Id="rId1797" Type="http://schemas.openxmlformats.org/officeDocument/2006/relationships/hyperlink" Target="https://centrodedescargas.cnig.es/CentroDescargas/btn-poi" TargetMode="External"/><Relationship Id="rId89" Type="http://schemas.openxmlformats.org/officeDocument/2006/relationships/hyperlink" Target="https://centrodedescargas.cnig.es/CentroDescargas/btn-poi" TargetMode="External"/><Relationship Id="rId1005" Type="http://schemas.openxmlformats.org/officeDocument/2006/relationships/hyperlink" Target="https://centrodedescargas.cnig.es/CentroDescargas/btn-poi" TargetMode="External"/><Relationship Id="rId1212" Type="http://schemas.openxmlformats.org/officeDocument/2006/relationships/hyperlink" Target="https://centrodedescargas.cnig.es/CentroDescargas/btn-poi" TargetMode="External"/><Relationship Id="rId1657" Type="http://schemas.openxmlformats.org/officeDocument/2006/relationships/hyperlink" Target="https://centrodedescargas.cnig.es/CentroDescargas/btn-poi" TargetMode="External"/><Relationship Id="rId1517" Type="http://schemas.openxmlformats.org/officeDocument/2006/relationships/hyperlink" Target="https://centrodedescargas.cnig.es/CentroDescargas/btn-poi" TargetMode="External"/><Relationship Id="rId1724" Type="http://schemas.openxmlformats.org/officeDocument/2006/relationships/hyperlink" Target="https://centrodedescargas.cnig.es/CentroDescargas/btn-poi" TargetMode="External"/><Relationship Id="rId16" Type="http://schemas.openxmlformats.org/officeDocument/2006/relationships/hyperlink" Target="https://centrodedescargas.cnig.es/CentroDescargas/btn-poi" TargetMode="External"/><Relationship Id="rId165" Type="http://schemas.openxmlformats.org/officeDocument/2006/relationships/hyperlink" Target="https://centrodedescargas.cnig.es/CentroDescargas/btn-poi" TargetMode="External"/><Relationship Id="rId372" Type="http://schemas.openxmlformats.org/officeDocument/2006/relationships/hyperlink" Target="https://centrodedescargas.cnig.es/CentroDescargas/btn-poi" TargetMode="External"/><Relationship Id="rId677" Type="http://schemas.openxmlformats.org/officeDocument/2006/relationships/hyperlink" Target="https://centrodedescargas.cnig.es/CentroDescargas/btn-poi" TargetMode="External"/><Relationship Id="rId232" Type="http://schemas.openxmlformats.org/officeDocument/2006/relationships/hyperlink" Target="https://centrodedescargas.cnig.es/CentroDescargas/btn-poi" TargetMode="External"/><Relationship Id="rId884" Type="http://schemas.openxmlformats.org/officeDocument/2006/relationships/hyperlink" Target="https://centrodedescargas.cnig.es/CentroDescargas/btn-poi" TargetMode="External"/><Relationship Id="rId537" Type="http://schemas.openxmlformats.org/officeDocument/2006/relationships/hyperlink" Target="https://centrodedescargas.cnig.es/CentroDescargas/btn-poi" TargetMode="External"/><Relationship Id="rId744" Type="http://schemas.openxmlformats.org/officeDocument/2006/relationships/hyperlink" Target="https://centrodedescargas.cnig.es/CentroDescargas/btn-poi" TargetMode="External"/><Relationship Id="rId951" Type="http://schemas.openxmlformats.org/officeDocument/2006/relationships/hyperlink" Target="https://centrodedescargas.cnig.es/CentroDescargas/btn-poi" TargetMode="External"/><Relationship Id="rId1167" Type="http://schemas.openxmlformats.org/officeDocument/2006/relationships/hyperlink" Target="https://centrodedescargas.cnig.es/CentroDescargas/btn-poi" TargetMode="External"/><Relationship Id="rId1374" Type="http://schemas.openxmlformats.org/officeDocument/2006/relationships/hyperlink" Target="https://centrodedescargas.cnig.es/CentroDescargas/btn-poi" TargetMode="External"/><Relationship Id="rId1581" Type="http://schemas.openxmlformats.org/officeDocument/2006/relationships/hyperlink" Target="https://centrodedescargas.cnig.es/CentroDescargas/btn-poi" TargetMode="External"/><Relationship Id="rId1679" Type="http://schemas.openxmlformats.org/officeDocument/2006/relationships/hyperlink" Target="https://centrodedescargas.cnig.es/CentroDescargas/btn-poi" TargetMode="External"/><Relationship Id="rId80" Type="http://schemas.openxmlformats.org/officeDocument/2006/relationships/hyperlink" Target="https://centrodedescargas.cnig.es/CentroDescargas/btn-poi" TargetMode="External"/><Relationship Id="rId604" Type="http://schemas.openxmlformats.org/officeDocument/2006/relationships/hyperlink" Target="https://centrodedescargas.cnig.es/CentroDescargas/btn-poi" TargetMode="External"/><Relationship Id="rId811" Type="http://schemas.openxmlformats.org/officeDocument/2006/relationships/hyperlink" Target="https://centrodedescargas.cnig.es/CentroDescargas/btn-poi" TargetMode="External"/><Relationship Id="rId1027" Type="http://schemas.openxmlformats.org/officeDocument/2006/relationships/hyperlink" Target="https://centrodedescargas.cnig.es/CentroDescargas/btn-poi" TargetMode="External"/><Relationship Id="rId1234" Type="http://schemas.openxmlformats.org/officeDocument/2006/relationships/hyperlink" Target="https://centrodedescargas.cnig.es/CentroDescargas/btn-poi" TargetMode="External"/><Relationship Id="rId1441" Type="http://schemas.openxmlformats.org/officeDocument/2006/relationships/hyperlink" Target="https://centrodedescargas.cnig.es/CentroDescargas/btn-poi" TargetMode="External"/><Relationship Id="rId909" Type="http://schemas.openxmlformats.org/officeDocument/2006/relationships/hyperlink" Target="https://centrodedescargas.cnig.es/CentroDescargas/btn-poi" TargetMode="External"/><Relationship Id="rId1301" Type="http://schemas.openxmlformats.org/officeDocument/2006/relationships/hyperlink" Target="https://centrodedescargas.cnig.es/CentroDescargas/btn-poi" TargetMode="External"/><Relationship Id="rId1539" Type="http://schemas.openxmlformats.org/officeDocument/2006/relationships/hyperlink" Target="https://centrodedescargas.cnig.es/CentroDescargas/btn-poi" TargetMode="External"/><Relationship Id="rId1746" Type="http://schemas.openxmlformats.org/officeDocument/2006/relationships/hyperlink" Target="https://centrodedescargas.cnig.es/CentroDescargas/btn-poi" TargetMode="External"/><Relationship Id="rId38" Type="http://schemas.openxmlformats.org/officeDocument/2006/relationships/hyperlink" Target="https://centrodedescargas.cnig.es/CentroDescargas/btn-poi" TargetMode="External"/><Relationship Id="rId1606" Type="http://schemas.openxmlformats.org/officeDocument/2006/relationships/hyperlink" Target="https://centrodedescargas.cnig.es/CentroDescargas/btn-poi" TargetMode="External"/><Relationship Id="rId1813" Type="http://schemas.openxmlformats.org/officeDocument/2006/relationships/hyperlink" Target="https://centrodedescargas.cnig.es/CentroDescargas/btn-poi" TargetMode="External"/><Relationship Id="rId187" Type="http://schemas.openxmlformats.org/officeDocument/2006/relationships/hyperlink" Target="https://centrodedescargas.cnig.es/CentroDescargas/btn-poi" TargetMode="External"/><Relationship Id="rId394" Type="http://schemas.openxmlformats.org/officeDocument/2006/relationships/hyperlink" Target="https://centrodedescargas.cnig.es/CentroDescargas/btn-poi" TargetMode="External"/><Relationship Id="rId254" Type="http://schemas.openxmlformats.org/officeDocument/2006/relationships/hyperlink" Target="https://centrodedescargas.cnig.es/CentroDescargas/btn-poi" TargetMode="External"/><Relationship Id="rId699" Type="http://schemas.openxmlformats.org/officeDocument/2006/relationships/hyperlink" Target="https://centrodedescargas.cnig.es/CentroDescargas/btn-poi" TargetMode="External"/><Relationship Id="rId1091" Type="http://schemas.openxmlformats.org/officeDocument/2006/relationships/hyperlink" Target="https://centrodedescargas.cnig.es/CentroDescargas/btn-poi" TargetMode="External"/><Relationship Id="rId114" Type="http://schemas.openxmlformats.org/officeDocument/2006/relationships/hyperlink" Target="https://centrodedescargas.cnig.es/CentroDescargas/btn-poi" TargetMode="External"/><Relationship Id="rId461" Type="http://schemas.openxmlformats.org/officeDocument/2006/relationships/hyperlink" Target="https://centrodedescargas.cnig.es/CentroDescargas/btn-poi" TargetMode="External"/><Relationship Id="rId559" Type="http://schemas.openxmlformats.org/officeDocument/2006/relationships/hyperlink" Target="https://centrodedescargas.cnig.es/CentroDescargas/btn-poi" TargetMode="External"/><Relationship Id="rId766" Type="http://schemas.openxmlformats.org/officeDocument/2006/relationships/hyperlink" Target="https://centrodedescargas.cnig.es/CentroDescargas/btn-poi" TargetMode="External"/><Relationship Id="rId1189" Type="http://schemas.openxmlformats.org/officeDocument/2006/relationships/hyperlink" Target="https://centrodedescargas.cnig.es/CentroDescargas/btn-poi" TargetMode="External"/><Relationship Id="rId1396" Type="http://schemas.openxmlformats.org/officeDocument/2006/relationships/hyperlink" Target="https://centrodedescargas.cnig.es/CentroDescargas/btn-poi" TargetMode="External"/><Relationship Id="rId321" Type="http://schemas.openxmlformats.org/officeDocument/2006/relationships/hyperlink" Target="https://centrodedescargas.cnig.es/CentroDescargas/btn-poi" TargetMode="External"/><Relationship Id="rId419" Type="http://schemas.openxmlformats.org/officeDocument/2006/relationships/hyperlink" Target="https://centrodedescargas.cnig.es/CentroDescargas/btn-poi" TargetMode="External"/><Relationship Id="rId626" Type="http://schemas.openxmlformats.org/officeDocument/2006/relationships/hyperlink" Target="https://centrodedescargas.cnig.es/CentroDescargas/btn-poi" TargetMode="External"/><Relationship Id="rId973" Type="http://schemas.openxmlformats.org/officeDocument/2006/relationships/hyperlink" Target="https://centrodedescargas.cnig.es/CentroDescargas/btn-poi" TargetMode="External"/><Relationship Id="rId1049" Type="http://schemas.openxmlformats.org/officeDocument/2006/relationships/hyperlink" Target="https://centrodedescargas.cnig.es/CentroDescargas/btn-poi" TargetMode="External"/><Relationship Id="rId1256" Type="http://schemas.openxmlformats.org/officeDocument/2006/relationships/hyperlink" Target="https://centrodedescargas.cnig.es/CentroDescargas/btn-poi" TargetMode="External"/><Relationship Id="rId833" Type="http://schemas.openxmlformats.org/officeDocument/2006/relationships/hyperlink" Target="https://centrodedescargas.cnig.es/CentroDescargas/btn-poi" TargetMode="External"/><Relationship Id="rId1116" Type="http://schemas.openxmlformats.org/officeDocument/2006/relationships/hyperlink" Target="https://centrodedescargas.cnig.es/CentroDescargas/btn-poi" TargetMode="External"/><Relationship Id="rId1463" Type="http://schemas.openxmlformats.org/officeDocument/2006/relationships/hyperlink" Target="https://centrodedescargas.cnig.es/CentroDescargas/btn-poi" TargetMode="External"/><Relationship Id="rId1670" Type="http://schemas.openxmlformats.org/officeDocument/2006/relationships/hyperlink" Target="https://centrodedescargas.cnig.es/CentroDescargas/btn-poi" TargetMode="External"/><Relationship Id="rId1768" Type="http://schemas.openxmlformats.org/officeDocument/2006/relationships/hyperlink" Target="https://centrodedescargas.cnig.es/CentroDescargas/btn-poi" TargetMode="External"/><Relationship Id="rId900" Type="http://schemas.openxmlformats.org/officeDocument/2006/relationships/hyperlink" Target="https://centrodedescargas.cnig.es/CentroDescargas/btn-poi" TargetMode="External"/><Relationship Id="rId1323" Type="http://schemas.openxmlformats.org/officeDocument/2006/relationships/hyperlink" Target="https://centrodedescargas.cnig.es/CentroDescargas/btn-poi" TargetMode="External"/><Relationship Id="rId1530" Type="http://schemas.openxmlformats.org/officeDocument/2006/relationships/hyperlink" Target="https://centrodedescargas.cnig.es/CentroDescargas/btn-poi" TargetMode="External"/><Relationship Id="rId1628" Type="http://schemas.openxmlformats.org/officeDocument/2006/relationships/hyperlink" Target="https://centrodedescargas.cnig.es/CentroDescargas/btn-poi" TargetMode="External"/><Relationship Id="rId276" Type="http://schemas.openxmlformats.org/officeDocument/2006/relationships/hyperlink" Target="https://centrodedescargas.cnig.es/CentroDescargas/btn-poi" TargetMode="External"/><Relationship Id="rId483" Type="http://schemas.openxmlformats.org/officeDocument/2006/relationships/hyperlink" Target="https://centrodedescargas.cnig.es/CentroDescargas/btn-poi" TargetMode="External"/><Relationship Id="rId690" Type="http://schemas.openxmlformats.org/officeDocument/2006/relationships/hyperlink" Target="https://centrodedescargas.cnig.es/CentroDescargas/btn-poi" TargetMode="External"/><Relationship Id="rId136" Type="http://schemas.openxmlformats.org/officeDocument/2006/relationships/hyperlink" Target="https://centrodedescargas.cnig.es/CentroDescargas/btn-poi" TargetMode="External"/><Relationship Id="rId343" Type="http://schemas.openxmlformats.org/officeDocument/2006/relationships/hyperlink" Target="https://centrodedescargas.cnig.es/CentroDescargas/btn-poi" TargetMode="External"/><Relationship Id="rId550" Type="http://schemas.openxmlformats.org/officeDocument/2006/relationships/hyperlink" Target="https://centrodedescargas.cnig.es/CentroDescargas/btn-poi" TargetMode="External"/><Relationship Id="rId788" Type="http://schemas.openxmlformats.org/officeDocument/2006/relationships/hyperlink" Target="https://centrodedescargas.cnig.es/CentroDescargas/btn-poi" TargetMode="External"/><Relationship Id="rId995" Type="http://schemas.openxmlformats.org/officeDocument/2006/relationships/hyperlink" Target="https://centrodedescargas.cnig.es/CentroDescargas/btn-poi" TargetMode="External"/><Relationship Id="rId1180" Type="http://schemas.openxmlformats.org/officeDocument/2006/relationships/hyperlink" Target="https://centrodedescargas.cnig.es/CentroDescargas/btn-poi" TargetMode="External"/><Relationship Id="rId203" Type="http://schemas.openxmlformats.org/officeDocument/2006/relationships/hyperlink" Target="https://centrodedescargas.cnig.es/CentroDescargas/btn-poi" TargetMode="External"/><Relationship Id="rId648" Type="http://schemas.openxmlformats.org/officeDocument/2006/relationships/hyperlink" Target="https://centrodedescargas.cnig.es/CentroDescargas/btn-poi" TargetMode="External"/><Relationship Id="rId855" Type="http://schemas.openxmlformats.org/officeDocument/2006/relationships/hyperlink" Target="https://centrodedescargas.cnig.es/CentroDescargas/btn-poi" TargetMode="External"/><Relationship Id="rId1040" Type="http://schemas.openxmlformats.org/officeDocument/2006/relationships/hyperlink" Target="https://centrodedescargas.cnig.es/CentroDescargas/btn-poi" TargetMode="External"/><Relationship Id="rId1278" Type="http://schemas.openxmlformats.org/officeDocument/2006/relationships/hyperlink" Target="https://centrodedescargas.cnig.es/CentroDescargas/btn-poi" TargetMode="External"/><Relationship Id="rId1485" Type="http://schemas.openxmlformats.org/officeDocument/2006/relationships/hyperlink" Target="https://centrodedescargas.cnig.es/CentroDescargas/btn-poi" TargetMode="External"/><Relationship Id="rId1692" Type="http://schemas.openxmlformats.org/officeDocument/2006/relationships/hyperlink" Target="https://centrodedescargas.cnig.es/CentroDescargas/btn-poi" TargetMode="External"/><Relationship Id="rId410" Type="http://schemas.openxmlformats.org/officeDocument/2006/relationships/hyperlink" Target="https://centrodedescargas.cnig.es/CentroDescargas/btn-poi" TargetMode="External"/><Relationship Id="rId508" Type="http://schemas.openxmlformats.org/officeDocument/2006/relationships/hyperlink" Target="https://centrodedescargas.cnig.es/CentroDescargas/btn-poi" TargetMode="External"/><Relationship Id="rId715" Type="http://schemas.openxmlformats.org/officeDocument/2006/relationships/hyperlink" Target="https://centrodedescargas.cnig.es/CentroDescargas/btn-poi" TargetMode="External"/><Relationship Id="rId922" Type="http://schemas.openxmlformats.org/officeDocument/2006/relationships/hyperlink" Target="https://centrodedescargas.cnig.es/CentroDescargas/btn-poi" TargetMode="External"/><Relationship Id="rId1138" Type="http://schemas.openxmlformats.org/officeDocument/2006/relationships/hyperlink" Target="https://centrodedescargas.cnig.es/CentroDescargas/btn-poi" TargetMode="External"/><Relationship Id="rId1345" Type="http://schemas.openxmlformats.org/officeDocument/2006/relationships/hyperlink" Target="https://centrodedescargas.cnig.es/CentroDescargas/btn-poi" TargetMode="External"/><Relationship Id="rId1552" Type="http://schemas.openxmlformats.org/officeDocument/2006/relationships/hyperlink" Target="https://centrodedescargas.cnig.es/CentroDescargas/btn-poi" TargetMode="External"/><Relationship Id="rId1205" Type="http://schemas.openxmlformats.org/officeDocument/2006/relationships/hyperlink" Target="https://centrodedescargas.cnig.es/CentroDescargas/btn-poi" TargetMode="External"/><Relationship Id="rId51" Type="http://schemas.openxmlformats.org/officeDocument/2006/relationships/hyperlink" Target="https://centrodedescargas.cnig.es/CentroDescargas/btn-poi" TargetMode="External"/><Relationship Id="rId1412" Type="http://schemas.openxmlformats.org/officeDocument/2006/relationships/hyperlink" Target="https://centrodedescargas.cnig.es/CentroDescargas/btn-poi" TargetMode="External"/><Relationship Id="rId1717" Type="http://schemas.openxmlformats.org/officeDocument/2006/relationships/hyperlink" Target="https://centrodedescargas.cnig.es/CentroDescargas/btn-poi" TargetMode="External"/><Relationship Id="rId298" Type="http://schemas.openxmlformats.org/officeDocument/2006/relationships/hyperlink" Target="https://centrodedescargas.cnig.es/CentroDescargas/btn-poi" TargetMode="External"/><Relationship Id="rId158" Type="http://schemas.openxmlformats.org/officeDocument/2006/relationships/hyperlink" Target="https://centrodedescargas.cnig.es/CentroDescargas/btn-poi" TargetMode="External"/><Relationship Id="rId365" Type="http://schemas.openxmlformats.org/officeDocument/2006/relationships/hyperlink" Target="https://centrodedescargas.cnig.es/CentroDescargas/btn-poi" TargetMode="External"/><Relationship Id="rId572" Type="http://schemas.openxmlformats.org/officeDocument/2006/relationships/hyperlink" Target="https://centrodedescargas.cnig.es/CentroDescargas/btn-poi" TargetMode="External"/><Relationship Id="rId225" Type="http://schemas.openxmlformats.org/officeDocument/2006/relationships/hyperlink" Target="https://centrodedescargas.cnig.es/CentroDescargas/btn-poi" TargetMode="External"/><Relationship Id="rId432" Type="http://schemas.openxmlformats.org/officeDocument/2006/relationships/hyperlink" Target="https://centrodedescargas.cnig.es/CentroDescargas/btn-poi" TargetMode="External"/><Relationship Id="rId877" Type="http://schemas.openxmlformats.org/officeDocument/2006/relationships/hyperlink" Target="https://centrodedescargas.cnig.es/CentroDescargas/btn-poi" TargetMode="External"/><Relationship Id="rId1062" Type="http://schemas.openxmlformats.org/officeDocument/2006/relationships/hyperlink" Target="https://centrodedescargas.cnig.es/CentroDescargas/btn-poi" TargetMode="External"/><Relationship Id="rId737" Type="http://schemas.openxmlformats.org/officeDocument/2006/relationships/hyperlink" Target="https://centrodedescargas.cnig.es/CentroDescargas/btn-poi" TargetMode="External"/><Relationship Id="rId944" Type="http://schemas.openxmlformats.org/officeDocument/2006/relationships/hyperlink" Target="https://centrodedescargas.cnig.es/CentroDescargas/btn-poi" TargetMode="External"/><Relationship Id="rId1367" Type="http://schemas.openxmlformats.org/officeDocument/2006/relationships/hyperlink" Target="https://centrodedescargas.cnig.es/CentroDescargas/btn-poi" TargetMode="External"/><Relationship Id="rId1574" Type="http://schemas.openxmlformats.org/officeDocument/2006/relationships/hyperlink" Target="https://centrodedescargas.cnig.es/CentroDescargas/btn-poi" TargetMode="External"/><Relationship Id="rId1781" Type="http://schemas.openxmlformats.org/officeDocument/2006/relationships/hyperlink" Target="https://centrodedescargas.cnig.es/CentroDescargas/btn-poi" TargetMode="External"/><Relationship Id="rId73" Type="http://schemas.openxmlformats.org/officeDocument/2006/relationships/hyperlink" Target="https://centrodedescargas.cnig.es/CentroDescargas/btn-poi" TargetMode="External"/><Relationship Id="rId804" Type="http://schemas.openxmlformats.org/officeDocument/2006/relationships/hyperlink" Target="https://centrodedescargas.cnig.es/CentroDescargas/btn-poi" TargetMode="External"/><Relationship Id="rId1227" Type="http://schemas.openxmlformats.org/officeDocument/2006/relationships/hyperlink" Target="https://centrodedescargas.cnig.es/CentroDescargas/btn-poi" TargetMode="External"/><Relationship Id="rId1434" Type="http://schemas.openxmlformats.org/officeDocument/2006/relationships/hyperlink" Target="https://centrodedescargas.cnig.es/CentroDescargas/btn-poi" TargetMode="External"/><Relationship Id="rId1641" Type="http://schemas.openxmlformats.org/officeDocument/2006/relationships/hyperlink" Target="https://centrodedescargas.cnig.es/CentroDescargas/btn-poi" TargetMode="External"/><Relationship Id="rId1501" Type="http://schemas.openxmlformats.org/officeDocument/2006/relationships/hyperlink" Target="https://centrodedescargas.cnig.es/CentroDescargas/btn-poi" TargetMode="External"/><Relationship Id="rId1739" Type="http://schemas.openxmlformats.org/officeDocument/2006/relationships/hyperlink" Target="https://centrodedescargas.cnig.es/CentroDescargas/btn-poi" TargetMode="External"/><Relationship Id="rId1806" Type="http://schemas.openxmlformats.org/officeDocument/2006/relationships/hyperlink" Target="https://centrodedescargas.cnig.es/CentroDescargas/btn-poi" TargetMode="External"/><Relationship Id="rId387" Type="http://schemas.openxmlformats.org/officeDocument/2006/relationships/hyperlink" Target="https://centrodedescargas.cnig.es/CentroDescargas/btn-poi" TargetMode="External"/><Relationship Id="rId594" Type="http://schemas.openxmlformats.org/officeDocument/2006/relationships/hyperlink" Target="https://centrodedescargas.cnig.es/CentroDescargas/btn-poi" TargetMode="External"/><Relationship Id="rId247" Type="http://schemas.openxmlformats.org/officeDocument/2006/relationships/hyperlink" Target="https://centrodedescargas.cnig.es/CentroDescargas/btn-poi" TargetMode="External"/><Relationship Id="rId899" Type="http://schemas.openxmlformats.org/officeDocument/2006/relationships/hyperlink" Target="https://centrodedescargas.cnig.es/CentroDescargas/btn-poi" TargetMode="External"/><Relationship Id="rId1084" Type="http://schemas.openxmlformats.org/officeDocument/2006/relationships/hyperlink" Target="https://centrodedescargas.cnig.es/CentroDescargas/btn-poi" TargetMode="External"/><Relationship Id="rId107" Type="http://schemas.openxmlformats.org/officeDocument/2006/relationships/hyperlink" Target="https://centrodedescargas.cnig.es/CentroDescargas/btn-poi" TargetMode="External"/><Relationship Id="rId454" Type="http://schemas.openxmlformats.org/officeDocument/2006/relationships/hyperlink" Target="https://centrodedescargas.cnig.es/CentroDescargas/btn-poi" TargetMode="External"/><Relationship Id="rId661" Type="http://schemas.openxmlformats.org/officeDocument/2006/relationships/hyperlink" Target="https://centrodedescargas.cnig.es/CentroDescargas/btn-poi" TargetMode="External"/><Relationship Id="rId759" Type="http://schemas.openxmlformats.org/officeDocument/2006/relationships/hyperlink" Target="https://centrodedescargas.cnig.es/CentroDescargas/btn-poi" TargetMode="External"/><Relationship Id="rId966" Type="http://schemas.openxmlformats.org/officeDocument/2006/relationships/hyperlink" Target="https://centrodedescargas.cnig.es/CentroDescargas/btn-poi" TargetMode="External"/><Relationship Id="rId1291" Type="http://schemas.openxmlformats.org/officeDocument/2006/relationships/hyperlink" Target="https://centrodedescargas.cnig.es/CentroDescargas/btn-poi" TargetMode="External"/><Relationship Id="rId1389" Type="http://schemas.openxmlformats.org/officeDocument/2006/relationships/hyperlink" Target="https://centrodedescargas.cnig.es/CentroDescargas/btn-poi" TargetMode="External"/><Relationship Id="rId1596" Type="http://schemas.openxmlformats.org/officeDocument/2006/relationships/hyperlink" Target="https://centrodedescargas.cnig.es/CentroDescargas/btn-poi" TargetMode="External"/><Relationship Id="rId314" Type="http://schemas.openxmlformats.org/officeDocument/2006/relationships/hyperlink" Target="https://centrodedescargas.cnig.es/CentroDescargas/btn-poi" TargetMode="External"/><Relationship Id="rId521" Type="http://schemas.openxmlformats.org/officeDocument/2006/relationships/hyperlink" Target="https://centrodedescargas.cnig.es/CentroDescargas/btn-poi" TargetMode="External"/><Relationship Id="rId619" Type="http://schemas.openxmlformats.org/officeDocument/2006/relationships/hyperlink" Target="https://centrodedescargas.cnig.es/CentroDescargas/btn-poi" TargetMode="External"/><Relationship Id="rId1151" Type="http://schemas.openxmlformats.org/officeDocument/2006/relationships/hyperlink" Target="https://centrodedescargas.cnig.es/CentroDescargas/btn-poi" TargetMode="External"/><Relationship Id="rId1249" Type="http://schemas.openxmlformats.org/officeDocument/2006/relationships/hyperlink" Target="https://centrodedescargas.cnig.es/CentroDescargas/btn-poi" TargetMode="External"/><Relationship Id="rId95" Type="http://schemas.openxmlformats.org/officeDocument/2006/relationships/hyperlink" Target="https://centrodedescargas.cnig.es/CentroDescargas/btn-poi" TargetMode="External"/><Relationship Id="rId826" Type="http://schemas.openxmlformats.org/officeDocument/2006/relationships/hyperlink" Target="https://centrodedescargas.cnig.es/CentroDescargas/btn-poi" TargetMode="External"/><Relationship Id="rId1011" Type="http://schemas.openxmlformats.org/officeDocument/2006/relationships/hyperlink" Target="https://centrodedescargas.cnig.es/CentroDescargas/btn-poi" TargetMode="External"/><Relationship Id="rId1109" Type="http://schemas.openxmlformats.org/officeDocument/2006/relationships/hyperlink" Target="https://centrodedescargas.cnig.es/CentroDescargas/btn-poi" TargetMode="External"/><Relationship Id="rId1456" Type="http://schemas.openxmlformats.org/officeDocument/2006/relationships/hyperlink" Target="https://centrodedescargas.cnig.es/CentroDescargas/btn-poi" TargetMode="External"/><Relationship Id="rId1663" Type="http://schemas.openxmlformats.org/officeDocument/2006/relationships/hyperlink" Target="https://centrodedescargas.cnig.es/CentroDescargas/btn-poi" TargetMode="External"/><Relationship Id="rId1316" Type="http://schemas.openxmlformats.org/officeDocument/2006/relationships/hyperlink" Target="https://centrodedescargas.cnig.es/CentroDescargas/btn-poi" TargetMode="External"/><Relationship Id="rId1523" Type="http://schemas.openxmlformats.org/officeDocument/2006/relationships/hyperlink" Target="https://centrodedescargas.cnig.es/CentroDescargas/btn-poi" TargetMode="External"/><Relationship Id="rId1730" Type="http://schemas.openxmlformats.org/officeDocument/2006/relationships/hyperlink" Target="https://centrodedescargas.cnig.es/CentroDescargas/btn-poi" TargetMode="External"/><Relationship Id="rId22" Type="http://schemas.openxmlformats.org/officeDocument/2006/relationships/hyperlink" Target="https://centrodedescargas.cnig.es/CentroDescargas/btn-poi" TargetMode="External"/><Relationship Id="rId1828" Type="http://schemas.openxmlformats.org/officeDocument/2006/relationships/hyperlink" Target="https://centrodedescargas.cnig.es/CentroDescargas/btn-poi" TargetMode="External"/><Relationship Id="rId171" Type="http://schemas.openxmlformats.org/officeDocument/2006/relationships/hyperlink" Target="https://centrodedescargas.cnig.es/CentroDescargas/btn-poi" TargetMode="External"/><Relationship Id="rId269" Type="http://schemas.openxmlformats.org/officeDocument/2006/relationships/hyperlink" Target="https://centrodedescargas.cnig.es/CentroDescargas/btn-poi" TargetMode="External"/><Relationship Id="rId476" Type="http://schemas.openxmlformats.org/officeDocument/2006/relationships/hyperlink" Target="https://centrodedescargas.cnig.es/CentroDescargas/btn-poi" TargetMode="External"/><Relationship Id="rId683" Type="http://schemas.openxmlformats.org/officeDocument/2006/relationships/hyperlink" Target="https://centrodedescargas.cnig.es/CentroDescargas/btn-poi" TargetMode="External"/><Relationship Id="rId890" Type="http://schemas.openxmlformats.org/officeDocument/2006/relationships/hyperlink" Target="https://centrodedescargas.cnig.es/CentroDescargas/btn-poi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centrodedescargas.cnig.es/CentroDescargas/detalleArchivo?sec=12165696" TargetMode="External"/><Relationship Id="rId21" Type="http://schemas.openxmlformats.org/officeDocument/2006/relationships/hyperlink" Target="https://centrodedescargas.cnig.es/CentroDescargas/detalleArchivo?sec=12165696" TargetMode="External"/><Relationship Id="rId42" Type="http://schemas.openxmlformats.org/officeDocument/2006/relationships/hyperlink" Target="https://centrodedescargas.cnig.es/CentroDescargas/detalleArchivo?sec=12165696" TargetMode="External"/><Relationship Id="rId63" Type="http://schemas.openxmlformats.org/officeDocument/2006/relationships/hyperlink" Target="https://centrodedescargas.cnig.es/CentroDescargas/detalleArchivo?sec=12165696" TargetMode="External"/><Relationship Id="rId84" Type="http://schemas.openxmlformats.org/officeDocument/2006/relationships/hyperlink" Target="https://centrodedescargas.cnig.es/CentroDescargas/detalleArchivo?sec=12165696" TargetMode="External"/><Relationship Id="rId138" Type="http://schemas.openxmlformats.org/officeDocument/2006/relationships/hyperlink" Target="https://centrodedescargas.cnig.es/CentroDescargas/detalleArchivo?sec=12165696" TargetMode="External"/><Relationship Id="rId16" Type="http://schemas.openxmlformats.org/officeDocument/2006/relationships/hyperlink" Target="https://centrodedescargas.cnig.es/CentroDescargas/detalleArchivo?sec=12165696" TargetMode="External"/><Relationship Id="rId107" Type="http://schemas.openxmlformats.org/officeDocument/2006/relationships/hyperlink" Target="https://centrodedescargas.cnig.es/CentroDescargas/detalleArchivo?sec=12165696" TargetMode="External"/><Relationship Id="rId11" Type="http://schemas.openxmlformats.org/officeDocument/2006/relationships/hyperlink" Target="https://centrodedescargas.cnig.es/CentroDescargas/detalleArchivo?sec=12165696" TargetMode="External"/><Relationship Id="rId32" Type="http://schemas.openxmlformats.org/officeDocument/2006/relationships/hyperlink" Target="https://centrodedescargas.cnig.es/CentroDescargas/detalleArchivo?sec=12165696" TargetMode="External"/><Relationship Id="rId37" Type="http://schemas.openxmlformats.org/officeDocument/2006/relationships/hyperlink" Target="https://centrodedescargas.cnig.es/CentroDescargas/detalleArchivo?sec=12165696" TargetMode="External"/><Relationship Id="rId53" Type="http://schemas.openxmlformats.org/officeDocument/2006/relationships/hyperlink" Target="https://centrodedescargas.cnig.es/CentroDescargas/detalleArchivo?sec=12165696" TargetMode="External"/><Relationship Id="rId58" Type="http://schemas.openxmlformats.org/officeDocument/2006/relationships/hyperlink" Target="https://centrodedescargas.cnig.es/CentroDescargas/detalleArchivo?sec=12165696" TargetMode="External"/><Relationship Id="rId74" Type="http://schemas.openxmlformats.org/officeDocument/2006/relationships/hyperlink" Target="https://centrodedescargas.cnig.es/CentroDescargas/detalleArchivo?sec=12165696" TargetMode="External"/><Relationship Id="rId79" Type="http://schemas.openxmlformats.org/officeDocument/2006/relationships/hyperlink" Target="https://centrodedescargas.cnig.es/CentroDescargas/detalleArchivo?sec=12165696" TargetMode="External"/><Relationship Id="rId102" Type="http://schemas.openxmlformats.org/officeDocument/2006/relationships/hyperlink" Target="https://centrodedescargas.cnig.es/CentroDescargas/detalleArchivo?sec=12165696" TargetMode="External"/><Relationship Id="rId123" Type="http://schemas.openxmlformats.org/officeDocument/2006/relationships/hyperlink" Target="https://centrodedescargas.cnig.es/CentroDescargas/detalleArchivo?sec=12165696" TargetMode="External"/><Relationship Id="rId128" Type="http://schemas.openxmlformats.org/officeDocument/2006/relationships/hyperlink" Target="https://centrodedescargas.cnig.es/CentroDescargas/detalleArchivo?sec=12165696" TargetMode="External"/><Relationship Id="rId5" Type="http://schemas.openxmlformats.org/officeDocument/2006/relationships/hyperlink" Target="https://centrodedescargas.cnig.es/CentroDescargas/detalleArchivo?sec=12165696" TargetMode="External"/><Relationship Id="rId90" Type="http://schemas.openxmlformats.org/officeDocument/2006/relationships/hyperlink" Target="https://centrodedescargas.cnig.es/CentroDescargas/detalleArchivo?sec=12165696" TargetMode="External"/><Relationship Id="rId95" Type="http://schemas.openxmlformats.org/officeDocument/2006/relationships/hyperlink" Target="https://centrodedescargas.cnig.es/CentroDescargas/detalleArchivo?sec=12165696" TargetMode="External"/><Relationship Id="rId22" Type="http://schemas.openxmlformats.org/officeDocument/2006/relationships/hyperlink" Target="https://centrodedescargas.cnig.es/CentroDescargas/detalleArchivo?sec=12165696" TargetMode="External"/><Relationship Id="rId27" Type="http://schemas.openxmlformats.org/officeDocument/2006/relationships/hyperlink" Target="https://centrodedescargas.cnig.es/CentroDescargas/detalleArchivo?sec=12165696" TargetMode="External"/><Relationship Id="rId43" Type="http://schemas.openxmlformats.org/officeDocument/2006/relationships/hyperlink" Target="https://centrodedescargas.cnig.es/CentroDescargas/detalleArchivo?sec=12165696" TargetMode="External"/><Relationship Id="rId48" Type="http://schemas.openxmlformats.org/officeDocument/2006/relationships/hyperlink" Target="https://centrodedescargas.cnig.es/CentroDescargas/detalleArchivo?sec=12165696" TargetMode="External"/><Relationship Id="rId64" Type="http://schemas.openxmlformats.org/officeDocument/2006/relationships/hyperlink" Target="https://centrodedescargas.cnig.es/CentroDescargas/detalleArchivo?sec=12165696" TargetMode="External"/><Relationship Id="rId69" Type="http://schemas.openxmlformats.org/officeDocument/2006/relationships/hyperlink" Target="https://centrodedescargas.cnig.es/CentroDescargas/detalleArchivo?sec=12165696" TargetMode="External"/><Relationship Id="rId113" Type="http://schemas.openxmlformats.org/officeDocument/2006/relationships/hyperlink" Target="https://centrodedescargas.cnig.es/CentroDescargas/detalleArchivo?sec=12165696" TargetMode="External"/><Relationship Id="rId118" Type="http://schemas.openxmlformats.org/officeDocument/2006/relationships/hyperlink" Target="https://centrodedescargas.cnig.es/CentroDescargas/detalleArchivo?sec=12165696" TargetMode="External"/><Relationship Id="rId134" Type="http://schemas.openxmlformats.org/officeDocument/2006/relationships/hyperlink" Target="https://centrodedescargas.cnig.es/CentroDescargas/detalleArchivo?sec=12165696" TargetMode="External"/><Relationship Id="rId80" Type="http://schemas.openxmlformats.org/officeDocument/2006/relationships/hyperlink" Target="https://centrodedescargas.cnig.es/CentroDescargas/detalleArchivo?sec=12165696" TargetMode="External"/><Relationship Id="rId85" Type="http://schemas.openxmlformats.org/officeDocument/2006/relationships/hyperlink" Target="https://centrodedescargas.cnig.es/CentroDescargas/detalleArchivo?sec=12165696" TargetMode="External"/><Relationship Id="rId12" Type="http://schemas.openxmlformats.org/officeDocument/2006/relationships/hyperlink" Target="https://centrodedescargas.cnig.es/CentroDescargas/detalleArchivo?sec=12165696" TargetMode="External"/><Relationship Id="rId17" Type="http://schemas.openxmlformats.org/officeDocument/2006/relationships/hyperlink" Target="https://centrodedescargas.cnig.es/CentroDescargas/detalleArchivo?sec=12165696" TargetMode="External"/><Relationship Id="rId33" Type="http://schemas.openxmlformats.org/officeDocument/2006/relationships/hyperlink" Target="https://centrodedescargas.cnig.es/CentroDescargas/detalleArchivo?sec=12165696" TargetMode="External"/><Relationship Id="rId38" Type="http://schemas.openxmlformats.org/officeDocument/2006/relationships/hyperlink" Target="https://centrodedescargas.cnig.es/CentroDescargas/detalleArchivo?sec=12165696" TargetMode="External"/><Relationship Id="rId59" Type="http://schemas.openxmlformats.org/officeDocument/2006/relationships/hyperlink" Target="https://centrodedescargas.cnig.es/CentroDescargas/detalleArchivo?sec=12165696" TargetMode="External"/><Relationship Id="rId103" Type="http://schemas.openxmlformats.org/officeDocument/2006/relationships/hyperlink" Target="https://centrodedescargas.cnig.es/CentroDescargas/detalleArchivo?sec=12165696" TargetMode="External"/><Relationship Id="rId108" Type="http://schemas.openxmlformats.org/officeDocument/2006/relationships/hyperlink" Target="https://centrodedescargas.cnig.es/CentroDescargas/detalleArchivo?sec=12165696" TargetMode="External"/><Relationship Id="rId124" Type="http://schemas.openxmlformats.org/officeDocument/2006/relationships/hyperlink" Target="https://centrodedescargas.cnig.es/CentroDescargas/detalleArchivo?sec=12165696" TargetMode="External"/><Relationship Id="rId129" Type="http://schemas.openxmlformats.org/officeDocument/2006/relationships/hyperlink" Target="https://centrodedescargas.cnig.es/CentroDescargas/detalleArchivo?sec=12165696" TargetMode="External"/><Relationship Id="rId54" Type="http://schemas.openxmlformats.org/officeDocument/2006/relationships/hyperlink" Target="https://centrodedescargas.cnig.es/CentroDescargas/detalleArchivo?sec=12165696" TargetMode="External"/><Relationship Id="rId70" Type="http://schemas.openxmlformats.org/officeDocument/2006/relationships/hyperlink" Target="https://centrodedescargas.cnig.es/CentroDescargas/detalleArchivo?sec=12165696" TargetMode="External"/><Relationship Id="rId75" Type="http://schemas.openxmlformats.org/officeDocument/2006/relationships/hyperlink" Target="https://centrodedescargas.cnig.es/CentroDescargas/detalleArchivo?sec=12165696" TargetMode="External"/><Relationship Id="rId91" Type="http://schemas.openxmlformats.org/officeDocument/2006/relationships/hyperlink" Target="https://centrodedescargas.cnig.es/CentroDescargas/detalleArchivo?sec=12165696" TargetMode="External"/><Relationship Id="rId96" Type="http://schemas.openxmlformats.org/officeDocument/2006/relationships/hyperlink" Target="https://centrodedescargas.cnig.es/CentroDescargas/detalleArchivo?sec=12165696" TargetMode="External"/><Relationship Id="rId1" Type="http://schemas.openxmlformats.org/officeDocument/2006/relationships/hyperlink" Target="https://centrodedescargas.cnig.es/CentroDescargas/detalleArchivo?sec=12165696" TargetMode="External"/><Relationship Id="rId6" Type="http://schemas.openxmlformats.org/officeDocument/2006/relationships/hyperlink" Target="https://centrodedescargas.cnig.es/CentroDescargas/detalleArchivo?sec=12165696" TargetMode="External"/><Relationship Id="rId23" Type="http://schemas.openxmlformats.org/officeDocument/2006/relationships/hyperlink" Target="https://centrodedescargas.cnig.es/CentroDescargas/detalleArchivo?sec=12165696" TargetMode="External"/><Relationship Id="rId28" Type="http://schemas.openxmlformats.org/officeDocument/2006/relationships/hyperlink" Target="https://centrodedescargas.cnig.es/CentroDescargas/detalleArchivo?sec=12165696" TargetMode="External"/><Relationship Id="rId49" Type="http://schemas.openxmlformats.org/officeDocument/2006/relationships/hyperlink" Target="https://centrodedescargas.cnig.es/CentroDescargas/detalleArchivo?sec=12165696" TargetMode="External"/><Relationship Id="rId114" Type="http://schemas.openxmlformats.org/officeDocument/2006/relationships/hyperlink" Target="https://centrodedescargas.cnig.es/CentroDescargas/detalleArchivo?sec=12165696" TargetMode="External"/><Relationship Id="rId119" Type="http://schemas.openxmlformats.org/officeDocument/2006/relationships/hyperlink" Target="https://centrodedescargas.cnig.es/CentroDescargas/detalleArchivo?sec=12165696" TargetMode="External"/><Relationship Id="rId44" Type="http://schemas.openxmlformats.org/officeDocument/2006/relationships/hyperlink" Target="https://centrodedescargas.cnig.es/CentroDescargas/detalleArchivo?sec=12165696" TargetMode="External"/><Relationship Id="rId60" Type="http://schemas.openxmlformats.org/officeDocument/2006/relationships/hyperlink" Target="https://centrodedescargas.cnig.es/CentroDescargas/detalleArchivo?sec=12165696" TargetMode="External"/><Relationship Id="rId65" Type="http://schemas.openxmlformats.org/officeDocument/2006/relationships/hyperlink" Target="https://centrodedescargas.cnig.es/CentroDescargas/detalleArchivo?sec=12165696" TargetMode="External"/><Relationship Id="rId81" Type="http://schemas.openxmlformats.org/officeDocument/2006/relationships/hyperlink" Target="https://centrodedescargas.cnig.es/CentroDescargas/detalleArchivo?sec=12165696" TargetMode="External"/><Relationship Id="rId86" Type="http://schemas.openxmlformats.org/officeDocument/2006/relationships/hyperlink" Target="https://centrodedescargas.cnig.es/CentroDescargas/detalleArchivo?sec=12165696" TargetMode="External"/><Relationship Id="rId130" Type="http://schemas.openxmlformats.org/officeDocument/2006/relationships/hyperlink" Target="https://centrodedescargas.cnig.es/CentroDescargas/detalleArchivo?sec=12165696" TargetMode="External"/><Relationship Id="rId135" Type="http://schemas.openxmlformats.org/officeDocument/2006/relationships/hyperlink" Target="https://centrodedescargas.cnig.es/CentroDescargas/detalleArchivo?sec=12165696" TargetMode="External"/><Relationship Id="rId13" Type="http://schemas.openxmlformats.org/officeDocument/2006/relationships/hyperlink" Target="https://centrodedescargas.cnig.es/CentroDescargas/detalleArchivo?sec=12165696" TargetMode="External"/><Relationship Id="rId18" Type="http://schemas.openxmlformats.org/officeDocument/2006/relationships/hyperlink" Target="https://centrodedescargas.cnig.es/CentroDescargas/detalleArchivo?sec=12165696" TargetMode="External"/><Relationship Id="rId39" Type="http://schemas.openxmlformats.org/officeDocument/2006/relationships/hyperlink" Target="https://centrodedescargas.cnig.es/CentroDescargas/detalleArchivo?sec=12165696" TargetMode="External"/><Relationship Id="rId109" Type="http://schemas.openxmlformats.org/officeDocument/2006/relationships/hyperlink" Target="https://centrodedescargas.cnig.es/CentroDescargas/detalleArchivo?sec=12165696" TargetMode="External"/><Relationship Id="rId34" Type="http://schemas.openxmlformats.org/officeDocument/2006/relationships/hyperlink" Target="https://centrodedescargas.cnig.es/CentroDescargas/detalleArchivo?sec=12165696" TargetMode="External"/><Relationship Id="rId50" Type="http://schemas.openxmlformats.org/officeDocument/2006/relationships/hyperlink" Target="https://centrodedescargas.cnig.es/CentroDescargas/detalleArchivo?sec=12165696" TargetMode="External"/><Relationship Id="rId55" Type="http://schemas.openxmlformats.org/officeDocument/2006/relationships/hyperlink" Target="https://centrodedescargas.cnig.es/CentroDescargas/detalleArchivo?sec=12165696" TargetMode="External"/><Relationship Id="rId76" Type="http://schemas.openxmlformats.org/officeDocument/2006/relationships/hyperlink" Target="https://centrodedescargas.cnig.es/CentroDescargas/detalleArchivo?sec=12165696" TargetMode="External"/><Relationship Id="rId97" Type="http://schemas.openxmlformats.org/officeDocument/2006/relationships/hyperlink" Target="https://centrodedescargas.cnig.es/CentroDescargas/detalleArchivo?sec=12165696" TargetMode="External"/><Relationship Id="rId104" Type="http://schemas.openxmlformats.org/officeDocument/2006/relationships/hyperlink" Target="https://centrodedescargas.cnig.es/CentroDescargas/detalleArchivo?sec=12165696" TargetMode="External"/><Relationship Id="rId120" Type="http://schemas.openxmlformats.org/officeDocument/2006/relationships/hyperlink" Target="https://centrodedescargas.cnig.es/CentroDescargas/detalleArchivo?sec=12165696" TargetMode="External"/><Relationship Id="rId125" Type="http://schemas.openxmlformats.org/officeDocument/2006/relationships/hyperlink" Target="https://centrodedescargas.cnig.es/CentroDescargas/detalleArchivo?sec=12165696" TargetMode="External"/><Relationship Id="rId7" Type="http://schemas.openxmlformats.org/officeDocument/2006/relationships/hyperlink" Target="https://centrodedescargas.cnig.es/CentroDescargas/detalleArchivo?sec=12165696" TargetMode="External"/><Relationship Id="rId71" Type="http://schemas.openxmlformats.org/officeDocument/2006/relationships/hyperlink" Target="https://centrodedescargas.cnig.es/CentroDescargas/detalleArchivo?sec=12165696" TargetMode="External"/><Relationship Id="rId92" Type="http://schemas.openxmlformats.org/officeDocument/2006/relationships/hyperlink" Target="https://centrodedescargas.cnig.es/CentroDescargas/detalleArchivo?sec=12165696" TargetMode="External"/><Relationship Id="rId2" Type="http://schemas.openxmlformats.org/officeDocument/2006/relationships/hyperlink" Target="https://centrodedescargas.cnig.es/CentroDescargas/detalleArchivo?sec=12165696" TargetMode="External"/><Relationship Id="rId29" Type="http://schemas.openxmlformats.org/officeDocument/2006/relationships/hyperlink" Target="https://centrodedescargas.cnig.es/CentroDescargas/detalleArchivo?sec=12165696" TargetMode="External"/><Relationship Id="rId24" Type="http://schemas.openxmlformats.org/officeDocument/2006/relationships/hyperlink" Target="https://centrodedescargas.cnig.es/CentroDescargas/detalleArchivo?sec=12165696" TargetMode="External"/><Relationship Id="rId40" Type="http://schemas.openxmlformats.org/officeDocument/2006/relationships/hyperlink" Target="https://centrodedescargas.cnig.es/CentroDescargas/detalleArchivo?sec=12165696" TargetMode="External"/><Relationship Id="rId45" Type="http://schemas.openxmlformats.org/officeDocument/2006/relationships/hyperlink" Target="https://centrodedescargas.cnig.es/CentroDescargas/detalleArchivo?sec=12165696" TargetMode="External"/><Relationship Id="rId66" Type="http://schemas.openxmlformats.org/officeDocument/2006/relationships/hyperlink" Target="https://centrodedescargas.cnig.es/CentroDescargas/detalleArchivo?sec=12165696" TargetMode="External"/><Relationship Id="rId87" Type="http://schemas.openxmlformats.org/officeDocument/2006/relationships/hyperlink" Target="https://centrodedescargas.cnig.es/CentroDescargas/detalleArchivo?sec=12165696" TargetMode="External"/><Relationship Id="rId110" Type="http://schemas.openxmlformats.org/officeDocument/2006/relationships/hyperlink" Target="https://centrodedescargas.cnig.es/CentroDescargas/detalleArchivo?sec=12165696" TargetMode="External"/><Relationship Id="rId115" Type="http://schemas.openxmlformats.org/officeDocument/2006/relationships/hyperlink" Target="https://centrodedescargas.cnig.es/CentroDescargas/detalleArchivo?sec=12165696" TargetMode="External"/><Relationship Id="rId131" Type="http://schemas.openxmlformats.org/officeDocument/2006/relationships/hyperlink" Target="https://centrodedescargas.cnig.es/CentroDescargas/detalleArchivo?sec=12165696" TargetMode="External"/><Relationship Id="rId136" Type="http://schemas.openxmlformats.org/officeDocument/2006/relationships/hyperlink" Target="https://centrodedescargas.cnig.es/CentroDescargas/detalleArchivo?sec=12165696" TargetMode="External"/><Relationship Id="rId61" Type="http://schemas.openxmlformats.org/officeDocument/2006/relationships/hyperlink" Target="https://centrodedescargas.cnig.es/CentroDescargas/detalleArchivo?sec=12165696" TargetMode="External"/><Relationship Id="rId82" Type="http://schemas.openxmlformats.org/officeDocument/2006/relationships/hyperlink" Target="https://centrodedescargas.cnig.es/CentroDescargas/detalleArchivo?sec=12165696" TargetMode="External"/><Relationship Id="rId19" Type="http://schemas.openxmlformats.org/officeDocument/2006/relationships/hyperlink" Target="https://centrodedescargas.cnig.es/CentroDescargas/detalleArchivo?sec=12165696" TargetMode="External"/><Relationship Id="rId14" Type="http://schemas.openxmlformats.org/officeDocument/2006/relationships/hyperlink" Target="https://centrodedescargas.cnig.es/CentroDescargas/detalleArchivo?sec=12165696" TargetMode="External"/><Relationship Id="rId30" Type="http://schemas.openxmlformats.org/officeDocument/2006/relationships/hyperlink" Target="https://centrodedescargas.cnig.es/CentroDescargas/detalleArchivo?sec=12165696" TargetMode="External"/><Relationship Id="rId35" Type="http://schemas.openxmlformats.org/officeDocument/2006/relationships/hyperlink" Target="https://centrodedescargas.cnig.es/CentroDescargas/detalleArchivo?sec=12165696" TargetMode="External"/><Relationship Id="rId56" Type="http://schemas.openxmlformats.org/officeDocument/2006/relationships/hyperlink" Target="https://centrodedescargas.cnig.es/CentroDescargas/detalleArchivo?sec=12165696" TargetMode="External"/><Relationship Id="rId77" Type="http://schemas.openxmlformats.org/officeDocument/2006/relationships/hyperlink" Target="https://centrodedescargas.cnig.es/CentroDescargas/detalleArchivo?sec=12165696" TargetMode="External"/><Relationship Id="rId100" Type="http://schemas.openxmlformats.org/officeDocument/2006/relationships/hyperlink" Target="https://centrodedescargas.cnig.es/CentroDescargas/detalleArchivo?sec=12165696" TargetMode="External"/><Relationship Id="rId105" Type="http://schemas.openxmlformats.org/officeDocument/2006/relationships/hyperlink" Target="https://centrodedescargas.cnig.es/CentroDescargas/detalleArchivo?sec=12165696" TargetMode="External"/><Relationship Id="rId126" Type="http://schemas.openxmlformats.org/officeDocument/2006/relationships/hyperlink" Target="https://centrodedescargas.cnig.es/CentroDescargas/detalleArchivo?sec=12165696" TargetMode="External"/><Relationship Id="rId8" Type="http://schemas.openxmlformats.org/officeDocument/2006/relationships/hyperlink" Target="https://centrodedescargas.cnig.es/CentroDescargas/detalleArchivo?sec=12165696" TargetMode="External"/><Relationship Id="rId51" Type="http://schemas.openxmlformats.org/officeDocument/2006/relationships/hyperlink" Target="https://centrodedescargas.cnig.es/CentroDescargas/detalleArchivo?sec=12165696" TargetMode="External"/><Relationship Id="rId72" Type="http://schemas.openxmlformats.org/officeDocument/2006/relationships/hyperlink" Target="https://centrodedescargas.cnig.es/CentroDescargas/detalleArchivo?sec=12165696" TargetMode="External"/><Relationship Id="rId93" Type="http://schemas.openxmlformats.org/officeDocument/2006/relationships/hyperlink" Target="https://centrodedescargas.cnig.es/CentroDescargas/detalleArchivo?sec=12165696" TargetMode="External"/><Relationship Id="rId98" Type="http://schemas.openxmlformats.org/officeDocument/2006/relationships/hyperlink" Target="https://centrodedescargas.cnig.es/CentroDescargas/detalleArchivo?sec=12165696" TargetMode="External"/><Relationship Id="rId121" Type="http://schemas.openxmlformats.org/officeDocument/2006/relationships/hyperlink" Target="https://centrodedescargas.cnig.es/CentroDescargas/detalleArchivo?sec=12165696" TargetMode="External"/><Relationship Id="rId3" Type="http://schemas.openxmlformats.org/officeDocument/2006/relationships/hyperlink" Target="https://centrodedescargas.cnig.es/CentroDescargas/detalleArchivo?sec=12165696" TargetMode="External"/><Relationship Id="rId25" Type="http://schemas.openxmlformats.org/officeDocument/2006/relationships/hyperlink" Target="https://centrodedescargas.cnig.es/CentroDescargas/detalleArchivo?sec=12165696" TargetMode="External"/><Relationship Id="rId46" Type="http://schemas.openxmlformats.org/officeDocument/2006/relationships/hyperlink" Target="https://centrodedescargas.cnig.es/CentroDescargas/detalleArchivo?sec=12165696" TargetMode="External"/><Relationship Id="rId67" Type="http://schemas.openxmlformats.org/officeDocument/2006/relationships/hyperlink" Target="https://centrodedescargas.cnig.es/CentroDescargas/detalleArchivo?sec=12165696" TargetMode="External"/><Relationship Id="rId116" Type="http://schemas.openxmlformats.org/officeDocument/2006/relationships/hyperlink" Target="https://centrodedescargas.cnig.es/CentroDescargas/detalleArchivo?sec=12165696" TargetMode="External"/><Relationship Id="rId137" Type="http://schemas.openxmlformats.org/officeDocument/2006/relationships/hyperlink" Target="https://data.unesco.org/explore/assets/whc001/" TargetMode="External"/><Relationship Id="rId20" Type="http://schemas.openxmlformats.org/officeDocument/2006/relationships/hyperlink" Target="https://centrodedescargas.cnig.es/CentroDescargas/detalleArchivo?sec=12165696" TargetMode="External"/><Relationship Id="rId41" Type="http://schemas.openxmlformats.org/officeDocument/2006/relationships/hyperlink" Target="https://centrodedescargas.cnig.es/CentroDescargas/detalleArchivo?sec=12165696" TargetMode="External"/><Relationship Id="rId62" Type="http://schemas.openxmlformats.org/officeDocument/2006/relationships/hyperlink" Target="https://centrodedescargas.cnig.es/CentroDescargas/detalleArchivo?sec=12165696" TargetMode="External"/><Relationship Id="rId83" Type="http://schemas.openxmlformats.org/officeDocument/2006/relationships/hyperlink" Target="https://centrodedescargas.cnig.es/CentroDescargas/detalleArchivo?sec=12165696" TargetMode="External"/><Relationship Id="rId88" Type="http://schemas.openxmlformats.org/officeDocument/2006/relationships/hyperlink" Target="https://centrodedescargas.cnig.es/CentroDescargas/detalleArchivo?sec=12165696" TargetMode="External"/><Relationship Id="rId111" Type="http://schemas.openxmlformats.org/officeDocument/2006/relationships/hyperlink" Target="https://centrodedescargas.cnig.es/CentroDescargas/detalleArchivo?sec=12165696" TargetMode="External"/><Relationship Id="rId132" Type="http://schemas.openxmlformats.org/officeDocument/2006/relationships/hyperlink" Target="https://centrodedescargas.cnig.es/CentroDescargas/detalleArchivo?sec=12165696" TargetMode="External"/><Relationship Id="rId15" Type="http://schemas.openxmlformats.org/officeDocument/2006/relationships/hyperlink" Target="https://centrodedescargas.cnig.es/CentroDescargas/detalleArchivo?sec=12165696" TargetMode="External"/><Relationship Id="rId36" Type="http://schemas.openxmlformats.org/officeDocument/2006/relationships/hyperlink" Target="https://centrodedescargas.cnig.es/CentroDescargas/detalleArchivo?sec=12165696" TargetMode="External"/><Relationship Id="rId57" Type="http://schemas.openxmlformats.org/officeDocument/2006/relationships/hyperlink" Target="https://centrodedescargas.cnig.es/CentroDescargas/detalleArchivo?sec=12165696" TargetMode="External"/><Relationship Id="rId106" Type="http://schemas.openxmlformats.org/officeDocument/2006/relationships/hyperlink" Target="https://centrodedescargas.cnig.es/CentroDescargas/detalleArchivo?sec=12165696" TargetMode="External"/><Relationship Id="rId127" Type="http://schemas.openxmlformats.org/officeDocument/2006/relationships/hyperlink" Target="https://centrodedescargas.cnig.es/CentroDescargas/detalleArchivo?sec=12165696" TargetMode="External"/><Relationship Id="rId10" Type="http://schemas.openxmlformats.org/officeDocument/2006/relationships/hyperlink" Target="https://centrodedescargas.cnig.es/CentroDescargas/detalleArchivo?sec=12165696" TargetMode="External"/><Relationship Id="rId31" Type="http://schemas.openxmlformats.org/officeDocument/2006/relationships/hyperlink" Target="https://centrodedescargas.cnig.es/CentroDescargas/detalleArchivo?sec=12165696" TargetMode="External"/><Relationship Id="rId52" Type="http://schemas.openxmlformats.org/officeDocument/2006/relationships/hyperlink" Target="https://centrodedescargas.cnig.es/CentroDescargas/detalleArchivo?sec=12165696" TargetMode="External"/><Relationship Id="rId73" Type="http://schemas.openxmlformats.org/officeDocument/2006/relationships/hyperlink" Target="https://centrodedescargas.cnig.es/CentroDescargas/detalleArchivo?sec=12165696" TargetMode="External"/><Relationship Id="rId78" Type="http://schemas.openxmlformats.org/officeDocument/2006/relationships/hyperlink" Target="https://centrodedescargas.cnig.es/CentroDescargas/detalleArchivo?sec=12165696" TargetMode="External"/><Relationship Id="rId94" Type="http://schemas.openxmlformats.org/officeDocument/2006/relationships/hyperlink" Target="https://centrodedescargas.cnig.es/CentroDescargas/detalleArchivo?sec=12165696" TargetMode="External"/><Relationship Id="rId99" Type="http://schemas.openxmlformats.org/officeDocument/2006/relationships/hyperlink" Target="https://centrodedescargas.cnig.es/CentroDescargas/detalleArchivo?sec=12165696" TargetMode="External"/><Relationship Id="rId101" Type="http://schemas.openxmlformats.org/officeDocument/2006/relationships/hyperlink" Target="https://centrodedescargas.cnig.es/CentroDescargas/detalleArchivo?sec=12165696" TargetMode="External"/><Relationship Id="rId122" Type="http://schemas.openxmlformats.org/officeDocument/2006/relationships/hyperlink" Target="https://centrodedescargas.cnig.es/CentroDescargas/detalleArchivo?sec=12165696" TargetMode="External"/><Relationship Id="rId4" Type="http://schemas.openxmlformats.org/officeDocument/2006/relationships/hyperlink" Target="https://centrodedescargas.cnig.es/CentroDescargas/detalleArchivo?sec=12165696" TargetMode="External"/><Relationship Id="rId9" Type="http://schemas.openxmlformats.org/officeDocument/2006/relationships/hyperlink" Target="https://centrodedescargas.cnig.es/CentroDescargas/detalleArchivo?sec=12165696" TargetMode="External"/><Relationship Id="rId26" Type="http://schemas.openxmlformats.org/officeDocument/2006/relationships/hyperlink" Target="https://centrodedescargas.cnig.es/CentroDescargas/detalleArchivo?sec=12165696" TargetMode="External"/><Relationship Id="rId47" Type="http://schemas.openxmlformats.org/officeDocument/2006/relationships/hyperlink" Target="https://centrodedescargas.cnig.es/CentroDescargas/detalleArchivo?sec=12165696" TargetMode="External"/><Relationship Id="rId68" Type="http://schemas.openxmlformats.org/officeDocument/2006/relationships/hyperlink" Target="https://centrodedescargas.cnig.es/CentroDescargas/detalleArchivo?sec=12165696" TargetMode="External"/><Relationship Id="rId89" Type="http://schemas.openxmlformats.org/officeDocument/2006/relationships/hyperlink" Target="https://centrodedescargas.cnig.es/CentroDescargas/detalleArchivo?sec=12165696" TargetMode="External"/><Relationship Id="rId112" Type="http://schemas.openxmlformats.org/officeDocument/2006/relationships/hyperlink" Target="https://centrodedescargas.cnig.es/CentroDescargas/detalleArchivo?sec=12165696" TargetMode="External"/><Relationship Id="rId133" Type="http://schemas.openxmlformats.org/officeDocument/2006/relationships/hyperlink" Target="https://centrodedescargas.cnig.es/CentroDescargas/detalleArchivo?sec=12165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70" zoomScaleNormal="70" workbookViewId="0">
      <selection activeCell="E13" sqref="E13"/>
    </sheetView>
  </sheetViews>
  <sheetFormatPr defaultColWidth="8.6640625" defaultRowHeight="14.4" x14ac:dyDescent="0.3"/>
  <cols>
    <col min="1" max="1" width="22" customWidth="1"/>
    <col min="2" max="2" width="42" customWidth="1"/>
    <col min="3" max="3" width="70" customWidth="1"/>
    <col min="4" max="6" width="14" customWidth="1"/>
  </cols>
  <sheetData>
    <row r="1" spans="1:6" ht="16.5" customHeight="1" x14ac:dyDescent="0.3">
      <c r="A1" s="10" t="s">
        <v>35</v>
      </c>
    </row>
    <row r="3" spans="1:6" ht="27.75" customHeight="1" x14ac:dyDescent="0.3">
      <c r="A3" s="27" t="s">
        <v>36</v>
      </c>
      <c r="B3" s="27"/>
      <c r="C3" s="27"/>
      <c r="D3" s="27"/>
      <c r="E3" s="27"/>
      <c r="F3" s="27"/>
    </row>
    <row r="4" spans="1:6" ht="27.75" customHeight="1" x14ac:dyDescent="0.3">
      <c r="A4" s="27" t="s">
        <v>37</v>
      </c>
      <c r="B4" s="27"/>
      <c r="C4" s="27"/>
      <c r="D4" s="27"/>
      <c r="E4" s="27"/>
      <c r="F4" s="27"/>
    </row>
    <row r="5" spans="1:6" ht="27.75" customHeight="1" x14ac:dyDescent="0.3">
      <c r="A5" s="27" t="s">
        <v>38</v>
      </c>
      <c r="B5" s="27"/>
      <c r="C5" s="27"/>
      <c r="D5" s="27"/>
      <c r="E5" s="27"/>
      <c r="F5" s="27"/>
    </row>
    <row r="6" spans="1:6" ht="27.75" customHeight="1" x14ac:dyDescent="0.3">
      <c r="A6" s="27" t="s">
        <v>39</v>
      </c>
      <c r="B6" s="27"/>
      <c r="C6" s="27"/>
      <c r="D6" s="27"/>
      <c r="E6" s="27"/>
      <c r="F6" s="27"/>
    </row>
    <row r="7" spans="1:6" ht="27.75" customHeight="1" x14ac:dyDescent="0.3">
      <c r="A7" s="27" t="s">
        <v>40</v>
      </c>
      <c r="B7" s="27"/>
      <c r="C7" s="27"/>
      <c r="D7" s="27"/>
      <c r="E7" s="27"/>
      <c r="F7" s="27"/>
    </row>
    <row r="8" spans="1:6" ht="27.75" customHeight="1" x14ac:dyDescent="0.3">
      <c r="A8" s="27"/>
      <c r="B8" s="27"/>
      <c r="C8" s="27"/>
      <c r="D8" s="27"/>
      <c r="E8" s="27"/>
      <c r="F8" s="27"/>
    </row>
    <row r="9" spans="1:6" ht="27.75" customHeight="1" x14ac:dyDescent="0.3">
      <c r="A9" s="27"/>
      <c r="B9" s="27"/>
      <c r="C9" s="27"/>
      <c r="D9" s="27"/>
      <c r="E9" s="27"/>
      <c r="F9" s="27"/>
    </row>
    <row r="11" spans="1:6" x14ac:dyDescent="0.3">
      <c r="A11" s="11" t="s">
        <v>41</v>
      </c>
    </row>
    <row r="12" spans="1:6" x14ac:dyDescent="0.3">
      <c r="A12" s="12" t="s">
        <v>42</v>
      </c>
      <c r="B12" s="12" t="s">
        <v>43</v>
      </c>
      <c r="C12" s="12" t="s">
        <v>44</v>
      </c>
    </row>
    <row r="13" spans="1:6" ht="30" customHeight="1" x14ac:dyDescent="0.3">
      <c r="A13" s="13" t="s">
        <v>45</v>
      </c>
      <c r="B13" s="14" t="s">
        <v>46</v>
      </c>
      <c r="C13" s="14" t="s">
        <v>47</v>
      </c>
    </row>
    <row r="14" spans="1:6" ht="30" customHeight="1" x14ac:dyDescent="0.3">
      <c r="A14" s="13" t="s">
        <v>48</v>
      </c>
      <c r="B14" s="14" t="s">
        <v>49</v>
      </c>
      <c r="C14" s="14" t="s">
        <v>50</v>
      </c>
    </row>
    <row r="15" spans="1:6" ht="30" customHeight="1" x14ac:dyDescent="0.3">
      <c r="A15" s="13" t="s">
        <v>51</v>
      </c>
      <c r="B15" s="14" t="s">
        <v>52</v>
      </c>
      <c r="C15" s="14" t="s">
        <v>53</v>
      </c>
    </row>
    <row r="16" spans="1:6" ht="30" customHeight="1" x14ac:dyDescent="0.3">
      <c r="A16" s="13" t="s">
        <v>4</v>
      </c>
      <c r="B16" s="14" t="s">
        <v>54</v>
      </c>
      <c r="C16" s="14" t="s">
        <v>55</v>
      </c>
    </row>
    <row r="17" spans="1:3" ht="30" customHeight="1" x14ac:dyDescent="0.3">
      <c r="A17" s="13" t="s">
        <v>56</v>
      </c>
      <c r="B17" s="14" t="s">
        <v>57</v>
      </c>
      <c r="C17" s="14" t="s">
        <v>58</v>
      </c>
    </row>
    <row r="18" spans="1:3" ht="30" customHeight="1" x14ac:dyDescent="0.3">
      <c r="A18" s="13" t="s">
        <v>59</v>
      </c>
      <c r="B18" s="14" t="s">
        <v>60</v>
      </c>
      <c r="C18" s="14" t="s">
        <v>61</v>
      </c>
    </row>
    <row r="19" spans="1:3" ht="44.25" customHeight="1" x14ac:dyDescent="0.3">
      <c r="A19" s="13" t="s">
        <v>62</v>
      </c>
      <c r="B19" s="14" t="s">
        <v>63</v>
      </c>
      <c r="C19" s="14" t="s">
        <v>64</v>
      </c>
    </row>
    <row r="20" spans="1:3" ht="39.75" customHeight="1" x14ac:dyDescent="0.3">
      <c r="A20" s="13" t="s">
        <v>65</v>
      </c>
      <c r="B20" s="14" t="s">
        <v>66</v>
      </c>
      <c r="C20" s="14" t="s">
        <v>67</v>
      </c>
    </row>
    <row r="21" spans="1:3" ht="30" customHeight="1" x14ac:dyDescent="0.3">
      <c r="A21" s="13" t="s">
        <v>68</v>
      </c>
      <c r="B21" s="14" t="s">
        <v>66</v>
      </c>
      <c r="C21" s="14" t="s">
        <v>69</v>
      </c>
    </row>
    <row r="22" spans="1:3" ht="30" customHeight="1" x14ac:dyDescent="0.3">
      <c r="A22" s="13" t="s">
        <v>70</v>
      </c>
      <c r="B22" s="14" t="s">
        <v>71</v>
      </c>
      <c r="C22" s="14" t="s">
        <v>72</v>
      </c>
    </row>
    <row r="23" spans="1:3" ht="30" customHeight="1" x14ac:dyDescent="0.3">
      <c r="A23" s="13" t="s">
        <v>73</v>
      </c>
      <c r="B23" s="14" t="s">
        <v>74</v>
      </c>
      <c r="C23" s="14" t="s">
        <v>75</v>
      </c>
    </row>
    <row r="24" spans="1:3" ht="30" customHeight="1" x14ac:dyDescent="0.3">
      <c r="A24" s="13" t="s">
        <v>76</v>
      </c>
      <c r="B24" s="14" t="s">
        <v>77</v>
      </c>
      <c r="C24" s="14" t="s">
        <v>78</v>
      </c>
    </row>
    <row r="25" spans="1:3" ht="30" customHeight="1" x14ac:dyDescent="0.3">
      <c r="A25" s="13" t="s">
        <v>79</v>
      </c>
      <c r="B25" s="14" t="s">
        <v>80</v>
      </c>
      <c r="C25" s="14" t="s">
        <v>81</v>
      </c>
    </row>
  </sheetData>
  <mergeCells count="7">
    <mergeCell ref="A8:F8"/>
    <mergeCell ref="A9:F9"/>
    <mergeCell ref="A3:F3"/>
    <mergeCell ref="A4:F4"/>
    <mergeCell ref="A5:F5"/>
    <mergeCell ref="A6:F6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Normal="100" workbookViewId="0">
      <pane ySplit="1" topLeftCell="A2" activePane="bottomLeft" state="frozen"/>
      <selection pane="bottomLeft" activeCell="F9" sqref="F9"/>
    </sheetView>
  </sheetViews>
  <sheetFormatPr defaultColWidth="8.6640625" defaultRowHeight="14.4" x14ac:dyDescent="0.3"/>
  <cols>
    <col min="1" max="1" width="11" customWidth="1"/>
    <col min="2" max="2" width="9" customWidth="1"/>
    <col min="3" max="3" width="22" customWidth="1"/>
    <col min="4" max="4" width="46" customWidth="1"/>
    <col min="5" max="5" width="22" customWidth="1"/>
    <col min="6" max="6" width="14" customWidth="1"/>
    <col min="7" max="7" width="30" customWidth="1"/>
  </cols>
  <sheetData>
    <row r="1" spans="1:7" ht="26.25" customHeight="1" x14ac:dyDescent="0.3">
      <c r="A1" s="15" t="s">
        <v>51</v>
      </c>
      <c r="B1" s="15" t="s">
        <v>48</v>
      </c>
      <c r="C1" s="15" t="s">
        <v>82</v>
      </c>
      <c r="D1" s="15" t="s">
        <v>28</v>
      </c>
      <c r="E1" s="15" t="s">
        <v>83</v>
      </c>
      <c r="F1" s="15" t="s">
        <v>84</v>
      </c>
      <c r="G1" s="15" t="s">
        <v>85</v>
      </c>
    </row>
    <row r="2" spans="1:7" x14ac:dyDescent="0.3">
      <c r="A2" s="16" t="s">
        <v>86</v>
      </c>
      <c r="B2" s="16" t="s">
        <v>87</v>
      </c>
      <c r="C2" s="16" t="s">
        <v>88</v>
      </c>
      <c r="D2" s="16" t="s">
        <v>89</v>
      </c>
      <c r="E2" s="17">
        <v>1078</v>
      </c>
      <c r="F2" s="18">
        <v>45915</v>
      </c>
      <c r="G2" s="19" t="s">
        <v>90</v>
      </c>
    </row>
    <row r="3" spans="1:7" ht="26.25" customHeight="1" x14ac:dyDescent="0.3">
      <c r="A3" s="16" t="s">
        <v>91</v>
      </c>
      <c r="B3" s="16" t="s">
        <v>87</v>
      </c>
      <c r="C3" s="16" t="s">
        <v>92</v>
      </c>
      <c r="D3" s="16" t="s">
        <v>93</v>
      </c>
      <c r="E3" s="17">
        <v>984</v>
      </c>
      <c r="F3" s="18">
        <v>45915</v>
      </c>
      <c r="G3" s="19" t="s">
        <v>90</v>
      </c>
    </row>
    <row r="4" spans="1:7" x14ac:dyDescent="0.3">
      <c r="A4" s="16" t="s">
        <v>94</v>
      </c>
      <c r="B4" s="16" t="s">
        <v>87</v>
      </c>
      <c r="C4" s="16" t="s">
        <v>95</v>
      </c>
      <c r="D4" s="16" t="s">
        <v>96</v>
      </c>
      <c r="E4" s="17">
        <v>1061</v>
      </c>
      <c r="F4" s="18">
        <v>45915</v>
      </c>
      <c r="G4" s="19" t="s">
        <v>90</v>
      </c>
    </row>
    <row r="5" spans="1:7" x14ac:dyDescent="0.3">
      <c r="A5" s="16" t="s">
        <v>97</v>
      </c>
      <c r="B5" s="16" t="s">
        <v>87</v>
      </c>
      <c r="C5" s="16" t="s">
        <v>98</v>
      </c>
      <c r="D5" s="16" t="s">
        <v>99</v>
      </c>
      <c r="E5" s="17">
        <v>65</v>
      </c>
      <c r="F5" s="18">
        <v>45915</v>
      </c>
      <c r="G5" s="19" t="s">
        <v>90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18"/>
  <sheetViews>
    <sheetView zoomScale="70" zoomScaleNormal="70" workbookViewId="0">
      <selection activeCell="K13" sqref="K13"/>
    </sheetView>
  </sheetViews>
  <sheetFormatPr defaultColWidth="11" defaultRowHeight="14.4" x14ac:dyDescent="0.3"/>
  <cols>
    <col min="1" max="1" width="10.109375" customWidth="1"/>
    <col min="2" max="2" width="6.77734375" customWidth="1"/>
    <col min="3" max="3" width="7.33203125" customWidth="1"/>
    <col min="4" max="4" width="18.6640625" customWidth="1"/>
    <col min="5" max="5" width="9" customWidth="1"/>
    <col min="6" max="6" width="42" customWidth="1"/>
    <col min="7" max="7" width="48.21875" customWidth="1"/>
    <col min="8" max="8" width="28.77734375" customWidth="1"/>
    <col min="9" max="9" width="19.88671875" customWidth="1"/>
    <col min="10" max="10" width="18.44140625" customWidth="1"/>
    <col min="11" max="11" width="72.44140625" customWidth="1"/>
    <col min="12" max="12" width="16.88671875" customWidth="1"/>
    <col min="13" max="13" width="14.109375" customWidth="1"/>
    <col min="14" max="14" width="24.21875" customWidth="1"/>
    <col min="15" max="15" width="26.109375" customWidth="1"/>
  </cols>
  <sheetData>
    <row r="1" spans="1:15" ht="26.25" customHeight="1" x14ac:dyDescent="0.3">
      <c r="A1" s="15" t="s">
        <v>45</v>
      </c>
      <c r="B1" s="15" t="s">
        <v>48</v>
      </c>
      <c r="C1" s="15" t="s">
        <v>51</v>
      </c>
      <c r="D1" s="15" t="s">
        <v>100</v>
      </c>
      <c r="E1" s="15" t="s">
        <v>4</v>
      </c>
      <c r="F1" s="15" t="s">
        <v>56</v>
      </c>
      <c r="G1" s="15" t="s">
        <v>102</v>
      </c>
      <c r="H1" s="15" t="s">
        <v>59</v>
      </c>
      <c r="I1" s="15" t="s">
        <v>62</v>
      </c>
      <c r="J1" s="15" t="s">
        <v>68</v>
      </c>
      <c r="K1" s="15" t="s">
        <v>70</v>
      </c>
      <c r="L1" s="15" t="s">
        <v>65</v>
      </c>
      <c r="M1" s="15" t="s">
        <v>73</v>
      </c>
      <c r="N1" s="15" t="s">
        <v>103</v>
      </c>
      <c r="O1" s="15" t="s">
        <v>79</v>
      </c>
    </row>
    <row r="2" spans="1:15" ht="22.5" customHeight="1" x14ac:dyDescent="0.3">
      <c r="A2" s="20">
        <f t="shared" ref="A2:A33" si="0">IF($B2="","",ROW()-1)</f>
        <v>1</v>
      </c>
      <c r="B2" s="21" t="s">
        <v>87</v>
      </c>
      <c r="C2" s="21" t="s">
        <v>86</v>
      </c>
      <c r="D2" s="22" t="str">
        <f>IF($C2="","",IFERROR(VLOOKUP($C2,Map_Register!$A$2:$C$5,3,FALSE()),""))</f>
        <v>Border Region</v>
      </c>
      <c r="E2" s="21" t="s">
        <v>13</v>
      </c>
      <c r="F2" s="26" t="s">
        <v>587</v>
      </c>
      <c r="G2" s="21" t="s">
        <v>588</v>
      </c>
      <c r="H2" s="21" t="s">
        <v>6</v>
      </c>
      <c r="I2" s="21"/>
      <c r="J2" s="21"/>
      <c r="K2" s="25" t="s">
        <v>589</v>
      </c>
      <c r="L2" s="21"/>
      <c r="M2" s="21"/>
      <c r="N2" s="21"/>
      <c r="O2" s="21" t="s">
        <v>590</v>
      </c>
    </row>
    <row r="3" spans="1:15" ht="22.5" customHeight="1" x14ac:dyDescent="0.3">
      <c r="A3" s="20">
        <f t="shared" si="0"/>
        <v>2</v>
      </c>
      <c r="B3" s="21" t="s">
        <v>87</v>
      </c>
      <c r="C3" s="21" t="s">
        <v>86</v>
      </c>
      <c r="D3" s="22" t="str">
        <f>IF($C3="","",IFERROR(VLOOKUP($C3,Map_Register!$A$2:$C$5,3,FALSE()),""))</f>
        <v>Border Region</v>
      </c>
      <c r="E3" s="21" t="s">
        <v>13</v>
      </c>
      <c r="F3" s="26"/>
      <c r="G3" s="21" t="s">
        <v>591</v>
      </c>
      <c r="H3" s="21" t="s">
        <v>8</v>
      </c>
      <c r="I3" s="21" t="s">
        <v>107</v>
      </c>
      <c r="J3" s="21" t="s">
        <v>107</v>
      </c>
      <c r="K3" s="25" t="s">
        <v>592</v>
      </c>
      <c r="L3" s="21" t="s">
        <v>108</v>
      </c>
      <c r="M3" s="21"/>
      <c r="N3" s="21"/>
      <c r="O3" s="21" t="s">
        <v>593</v>
      </c>
    </row>
    <row r="4" spans="1:15" ht="22.5" customHeight="1" x14ac:dyDescent="0.3">
      <c r="A4" s="20">
        <f t="shared" si="0"/>
        <v>3</v>
      </c>
      <c r="B4" s="21" t="s">
        <v>87</v>
      </c>
      <c r="C4" s="21" t="s">
        <v>86</v>
      </c>
      <c r="D4" s="22" t="str">
        <f>IF($C4="","",IFERROR(VLOOKUP($C4,Map_Register!$A$2:$C$5,3,FALSE()),""))</f>
        <v>Border Region</v>
      </c>
      <c r="E4" s="21" t="s">
        <v>13</v>
      </c>
      <c r="F4" s="26" t="s">
        <v>594</v>
      </c>
      <c r="G4" s="21" t="s">
        <v>595</v>
      </c>
      <c r="H4" s="21" t="s">
        <v>8</v>
      </c>
      <c r="I4" s="21" t="s">
        <v>107</v>
      </c>
      <c r="J4" s="21" t="s">
        <v>107</v>
      </c>
      <c r="K4" s="25" t="s">
        <v>596</v>
      </c>
      <c r="L4" s="21" t="s">
        <v>108</v>
      </c>
      <c r="M4" s="21"/>
      <c r="N4" s="21"/>
      <c r="O4" s="21" t="s">
        <v>593</v>
      </c>
    </row>
    <row r="5" spans="1:15" ht="22.5" customHeight="1" x14ac:dyDescent="0.3">
      <c r="A5" s="20">
        <f t="shared" si="0"/>
        <v>4</v>
      </c>
      <c r="B5" s="21" t="s">
        <v>87</v>
      </c>
      <c r="C5" s="21" t="s">
        <v>86</v>
      </c>
      <c r="D5" s="22" t="str">
        <f>IF($C5="","",IFERROR(VLOOKUP($C5,Map_Register!$A$2:$C$5,3,FALSE()),""))</f>
        <v>Border Region</v>
      </c>
      <c r="E5" s="21" t="s">
        <v>13</v>
      </c>
      <c r="F5" s="21" t="s">
        <v>597</v>
      </c>
      <c r="G5" s="21" t="s">
        <v>598</v>
      </c>
      <c r="H5" s="21" t="s">
        <v>8</v>
      </c>
      <c r="I5" s="21" t="s">
        <v>562</v>
      </c>
      <c r="J5" s="21" t="s">
        <v>107</v>
      </c>
      <c r="K5" s="25" t="s">
        <v>599</v>
      </c>
      <c r="L5" s="21" t="s">
        <v>108</v>
      </c>
      <c r="M5" s="21"/>
      <c r="N5" s="21"/>
      <c r="O5" s="21" t="s">
        <v>593</v>
      </c>
    </row>
    <row r="6" spans="1:15" ht="12.75" customHeight="1" x14ac:dyDescent="0.3">
      <c r="A6" s="20">
        <f t="shared" si="0"/>
        <v>5</v>
      </c>
      <c r="B6" s="21" t="s">
        <v>87</v>
      </c>
      <c r="C6" s="21" t="s">
        <v>86</v>
      </c>
      <c r="D6" s="22" t="str">
        <f>IF($C6="","",IFERROR(VLOOKUP($C6,Map_Register!$A$2:$C$5,3,FALSE()),""))</f>
        <v>Border Region</v>
      </c>
      <c r="E6" s="21" t="s">
        <v>13</v>
      </c>
      <c r="F6" s="26" t="s">
        <v>587</v>
      </c>
      <c r="G6" s="21" t="s">
        <v>600</v>
      </c>
      <c r="H6" s="21" t="s">
        <v>6</v>
      </c>
      <c r="I6" s="21"/>
      <c r="J6" s="21"/>
      <c r="K6" s="25" t="s">
        <v>601</v>
      </c>
      <c r="L6" s="21"/>
      <c r="M6" s="21"/>
      <c r="N6" s="21"/>
      <c r="O6" s="21" t="s">
        <v>593</v>
      </c>
    </row>
    <row r="7" spans="1:15" ht="12.75" customHeight="1" x14ac:dyDescent="0.3">
      <c r="A7" s="20">
        <f t="shared" si="0"/>
        <v>6</v>
      </c>
      <c r="B7" s="21" t="s">
        <v>87</v>
      </c>
      <c r="C7" s="21" t="s">
        <v>86</v>
      </c>
      <c r="D7" s="22" t="str">
        <f>IF($C7="","",IFERROR(VLOOKUP($C7,Map_Register!$A$2:$C$5,3,FALSE()),""))</f>
        <v>Border Region</v>
      </c>
      <c r="E7" s="21" t="s">
        <v>13</v>
      </c>
      <c r="F7" s="26" t="s">
        <v>602</v>
      </c>
      <c r="G7" s="21" t="s">
        <v>603</v>
      </c>
      <c r="H7" s="21" t="s">
        <v>6</v>
      </c>
      <c r="I7" s="21"/>
      <c r="J7" s="21"/>
      <c r="K7" s="25" t="s">
        <v>604</v>
      </c>
      <c r="L7" s="21"/>
      <c r="M7" s="21"/>
      <c r="N7" s="21"/>
      <c r="O7" s="24" t="s">
        <v>593</v>
      </c>
    </row>
    <row r="8" spans="1:15" ht="12.75" customHeight="1" x14ac:dyDescent="0.3">
      <c r="A8" s="20">
        <f t="shared" si="0"/>
        <v>7</v>
      </c>
      <c r="B8" s="21" t="s">
        <v>87</v>
      </c>
      <c r="C8" s="21" t="s">
        <v>86</v>
      </c>
      <c r="D8" s="22" t="str">
        <f>IF($C8="","",IFERROR(VLOOKUP($C8,Map_Register!$A$2:$C$5,3,FALSE()),""))</f>
        <v>Border Region</v>
      </c>
      <c r="E8" s="21" t="s">
        <v>13</v>
      </c>
      <c r="F8" s="21" t="s">
        <v>605</v>
      </c>
      <c r="G8" s="21" t="s">
        <v>606</v>
      </c>
      <c r="H8" s="21" t="s">
        <v>8</v>
      </c>
      <c r="I8" s="21" t="s">
        <v>562</v>
      </c>
      <c r="J8" s="21" t="s">
        <v>108</v>
      </c>
      <c r="K8" s="25" t="s">
        <v>607</v>
      </c>
      <c r="L8" s="21" t="s">
        <v>107</v>
      </c>
      <c r="M8" s="21"/>
      <c r="N8" s="21"/>
      <c r="O8" s="21" t="s">
        <v>608</v>
      </c>
    </row>
    <row r="9" spans="1:15" ht="12.75" customHeight="1" x14ac:dyDescent="0.3">
      <c r="A9" s="20">
        <f t="shared" si="0"/>
        <v>8</v>
      </c>
      <c r="B9" s="21" t="s">
        <v>87</v>
      </c>
      <c r="C9" s="21" t="s">
        <v>86</v>
      </c>
      <c r="D9" s="22" t="str">
        <f>IF($C9="","",IFERROR(VLOOKUP($C9,Map_Register!$A$2:$C$5,3,FALSE()),""))</f>
        <v>Border Region</v>
      </c>
      <c r="E9" s="21" t="s">
        <v>13</v>
      </c>
      <c r="F9" s="21" t="s">
        <v>609</v>
      </c>
      <c r="G9" s="21" t="s">
        <v>610</v>
      </c>
      <c r="H9" s="21" t="s">
        <v>220</v>
      </c>
      <c r="I9" s="21"/>
      <c r="J9" s="21"/>
      <c r="K9" s="25" t="s">
        <v>611</v>
      </c>
      <c r="L9" s="21"/>
      <c r="M9" s="21"/>
      <c r="N9" s="21" t="s">
        <v>612</v>
      </c>
      <c r="O9" s="21" t="s">
        <v>613</v>
      </c>
    </row>
    <row r="10" spans="1:15" ht="12.75" customHeight="1" x14ac:dyDescent="0.3">
      <c r="A10" s="20">
        <f t="shared" si="0"/>
        <v>9</v>
      </c>
      <c r="B10" s="21" t="s">
        <v>87</v>
      </c>
      <c r="C10" s="21" t="s">
        <v>86</v>
      </c>
      <c r="D10" s="22" t="str">
        <f>IF($C10="","",IFERROR(VLOOKUP($C10,Map_Register!$A$2:$C$5,3,FALSE()),""))</f>
        <v>Border Region</v>
      </c>
      <c r="E10" s="21" t="s">
        <v>13</v>
      </c>
      <c r="F10" s="21" t="s">
        <v>609</v>
      </c>
      <c r="G10" s="21" t="s">
        <v>614</v>
      </c>
      <c r="H10" s="21" t="s">
        <v>6</v>
      </c>
      <c r="I10" s="21"/>
      <c r="J10" s="21"/>
      <c r="K10" s="25" t="s">
        <v>615</v>
      </c>
      <c r="L10" s="21"/>
      <c r="M10" s="21"/>
      <c r="N10" s="21"/>
      <c r="O10" s="21" t="s">
        <v>613</v>
      </c>
    </row>
    <row r="11" spans="1:15" ht="12.75" customHeight="1" x14ac:dyDescent="0.3">
      <c r="A11" s="20">
        <f t="shared" si="0"/>
        <v>10</v>
      </c>
      <c r="B11" s="21" t="s">
        <v>87</v>
      </c>
      <c r="C11" s="21" t="s">
        <v>86</v>
      </c>
      <c r="D11" s="22" t="str">
        <f>IF($C11="","",IFERROR(VLOOKUP($C11,Map_Register!$A$2:$C$5,3,FALSE()),""))</f>
        <v>Border Region</v>
      </c>
      <c r="E11" s="21" t="s">
        <v>13</v>
      </c>
      <c r="F11" s="21" t="s">
        <v>609</v>
      </c>
      <c r="G11" s="21" t="s">
        <v>616</v>
      </c>
      <c r="H11" s="21" t="s">
        <v>6</v>
      </c>
      <c r="I11" s="21"/>
      <c r="J11" s="21"/>
      <c r="K11" s="25" t="s">
        <v>615</v>
      </c>
      <c r="L11" s="21"/>
      <c r="M11" s="21"/>
      <c r="N11" s="21"/>
      <c r="O11" s="21" t="s">
        <v>613</v>
      </c>
    </row>
    <row r="12" spans="1:15" ht="12.75" customHeight="1" x14ac:dyDescent="0.3">
      <c r="A12" s="20">
        <f t="shared" si="0"/>
        <v>11</v>
      </c>
      <c r="B12" s="21" t="s">
        <v>87</v>
      </c>
      <c r="C12" s="21" t="s">
        <v>86</v>
      </c>
      <c r="D12" s="22" t="str">
        <f>IF($C12="","",IFERROR(VLOOKUP($C12,Map_Register!$A$2:$C$5,3,FALSE()),""))</f>
        <v>Border Region</v>
      </c>
      <c r="E12" s="21" t="s">
        <v>13</v>
      </c>
      <c r="F12" s="21" t="s">
        <v>609</v>
      </c>
      <c r="G12" s="21" t="s">
        <v>617</v>
      </c>
      <c r="H12" s="21" t="s">
        <v>6</v>
      </c>
      <c r="I12" s="21"/>
      <c r="J12" s="21"/>
      <c r="K12" s="25" t="s">
        <v>615</v>
      </c>
      <c r="L12" s="21"/>
      <c r="M12" s="21"/>
      <c r="N12" s="21"/>
      <c r="O12" s="21" t="s">
        <v>613</v>
      </c>
    </row>
    <row r="13" spans="1:15" x14ac:dyDescent="0.3">
      <c r="A13" s="20">
        <f t="shared" si="0"/>
        <v>12</v>
      </c>
      <c r="B13" s="21" t="s">
        <v>87</v>
      </c>
      <c r="C13" s="21" t="s">
        <v>94</v>
      </c>
      <c r="D13" s="22" t="str">
        <f>IF($C13="","",IFERROR(VLOOKUP($C13,Map_Register!$A$2:$C$5,3,FALSE()),""))</f>
        <v>Military Zone</v>
      </c>
      <c r="E13" s="21" t="s">
        <v>13</v>
      </c>
      <c r="F13" s="26" t="s">
        <v>587</v>
      </c>
      <c r="G13" s="21" t="s">
        <v>618</v>
      </c>
      <c r="H13" s="21" t="s">
        <v>6</v>
      </c>
      <c r="I13" s="21"/>
      <c r="J13" s="21"/>
      <c r="K13" s="25" t="s">
        <v>601</v>
      </c>
      <c r="L13" s="21"/>
      <c r="M13" s="21"/>
      <c r="N13" s="21"/>
      <c r="O13" s="21" t="s">
        <v>593</v>
      </c>
    </row>
    <row r="14" spans="1:15" x14ac:dyDescent="0.3">
      <c r="A14" s="20">
        <f t="shared" si="0"/>
        <v>13</v>
      </c>
      <c r="B14" s="21" t="s">
        <v>87</v>
      </c>
      <c r="C14" s="21" t="s">
        <v>94</v>
      </c>
      <c r="D14" s="22" t="str">
        <f>IF($C14="","",IFERROR(VLOOKUP($C14,Map_Register!$A$2:$C$5,3,FALSE()),""))</f>
        <v>Military Zone</v>
      </c>
      <c r="E14" s="21" t="s">
        <v>13</v>
      </c>
      <c r="F14" s="21" t="s">
        <v>587</v>
      </c>
      <c r="G14" s="21" t="s">
        <v>619</v>
      </c>
      <c r="H14" s="21" t="s">
        <v>6</v>
      </c>
      <c r="I14" s="20"/>
      <c r="J14" s="20"/>
      <c r="K14" s="25" t="s">
        <v>601</v>
      </c>
      <c r="L14" s="21"/>
      <c r="M14" s="21"/>
      <c r="N14" s="21"/>
      <c r="O14" s="21" t="s">
        <v>593</v>
      </c>
    </row>
    <row r="15" spans="1:15" x14ac:dyDescent="0.3">
      <c r="A15" s="20">
        <f t="shared" si="0"/>
        <v>14</v>
      </c>
      <c r="B15" s="21" t="s">
        <v>87</v>
      </c>
      <c r="C15" s="21" t="s">
        <v>94</v>
      </c>
      <c r="D15" s="22" t="str">
        <f>IF($C15="","",IFERROR(VLOOKUP($C15,Map_Register!$A$2:$C$5,3,FALSE()),""))</f>
        <v>Military Zone</v>
      </c>
      <c r="E15" s="21" t="s">
        <v>13</v>
      </c>
      <c r="F15" s="21" t="s">
        <v>587</v>
      </c>
      <c r="G15" s="21" t="s">
        <v>620</v>
      </c>
      <c r="H15" s="21" t="s">
        <v>6</v>
      </c>
      <c r="I15" s="20"/>
      <c r="J15" s="20"/>
      <c r="K15" s="25" t="s">
        <v>601</v>
      </c>
      <c r="L15" s="21"/>
      <c r="M15" s="21"/>
      <c r="N15" s="21"/>
      <c r="O15" s="21" t="s">
        <v>593</v>
      </c>
    </row>
    <row r="16" spans="1:15" x14ac:dyDescent="0.3">
      <c r="A16" s="20">
        <f t="shared" si="0"/>
        <v>15</v>
      </c>
      <c r="B16" s="21" t="s">
        <v>87</v>
      </c>
      <c r="C16" s="21" t="s">
        <v>94</v>
      </c>
      <c r="D16" s="22" t="str">
        <f>IF($C16="","",IFERROR(VLOOKUP($C16,Map_Register!$A$2:$C$5,3,FALSE()),""))</f>
        <v>Military Zone</v>
      </c>
      <c r="E16" s="21" t="s">
        <v>13</v>
      </c>
      <c r="F16" s="21" t="s">
        <v>587</v>
      </c>
      <c r="G16" s="21" t="s">
        <v>621</v>
      </c>
      <c r="H16" s="21" t="s">
        <v>6</v>
      </c>
      <c r="I16" s="20"/>
      <c r="J16" s="20"/>
      <c r="K16" s="25" t="s">
        <v>601</v>
      </c>
      <c r="L16" s="21"/>
      <c r="M16" s="21"/>
      <c r="N16" s="21"/>
      <c r="O16" s="21" t="s">
        <v>593</v>
      </c>
    </row>
    <row r="17" spans="1:15" x14ac:dyDescent="0.3">
      <c r="A17" s="20">
        <f t="shared" si="0"/>
        <v>16</v>
      </c>
      <c r="B17" s="21" t="s">
        <v>87</v>
      </c>
      <c r="C17" s="21" t="s">
        <v>94</v>
      </c>
      <c r="D17" s="22" t="str">
        <f>IF($C17="","",IFERROR(VLOOKUP($C17,Map_Register!$A$2:$C$5,3,FALSE()),""))</f>
        <v>Military Zone</v>
      </c>
      <c r="E17" s="21" t="s">
        <v>13</v>
      </c>
      <c r="F17" s="21" t="s">
        <v>609</v>
      </c>
      <c r="G17" s="21" t="s">
        <v>622</v>
      </c>
      <c r="H17" s="21" t="s">
        <v>6</v>
      </c>
      <c r="I17" s="20"/>
      <c r="J17" s="20"/>
      <c r="K17" s="25" t="s">
        <v>615</v>
      </c>
      <c r="L17" s="21"/>
      <c r="M17" s="21"/>
      <c r="N17" s="21"/>
      <c r="O17" s="21" t="s">
        <v>613</v>
      </c>
    </row>
    <row r="18" spans="1:15" x14ac:dyDescent="0.3">
      <c r="A18" s="20">
        <f t="shared" si="0"/>
        <v>17</v>
      </c>
      <c r="B18" s="21" t="s">
        <v>87</v>
      </c>
      <c r="C18" s="21" t="s">
        <v>94</v>
      </c>
      <c r="D18" s="22" t="str">
        <f>IF($C18="","",IFERROR(VLOOKUP($C18,Map_Register!$A$2:$C$5,3,FALSE()),""))</f>
        <v>Military Zone</v>
      </c>
      <c r="E18" s="21" t="s">
        <v>13</v>
      </c>
      <c r="F18" s="21" t="s">
        <v>609</v>
      </c>
      <c r="G18" s="21" t="s">
        <v>623</v>
      </c>
      <c r="H18" s="21" t="s">
        <v>6</v>
      </c>
      <c r="I18" s="20"/>
      <c r="J18" s="20"/>
      <c r="K18" s="25" t="s">
        <v>615</v>
      </c>
      <c r="L18" s="21"/>
      <c r="M18" s="21"/>
      <c r="N18" s="21"/>
      <c r="O18" s="21" t="s">
        <v>613</v>
      </c>
    </row>
    <row r="19" spans="1:15" x14ac:dyDescent="0.3">
      <c r="A19" s="20">
        <f t="shared" si="0"/>
        <v>18</v>
      </c>
      <c r="B19" s="21" t="s">
        <v>87</v>
      </c>
      <c r="C19" s="21" t="s">
        <v>94</v>
      </c>
      <c r="D19" s="22" t="str">
        <f>IF($C19="","",IFERROR(VLOOKUP($C19,Map_Register!$A$2:$C$5,3,FALSE()),""))</f>
        <v>Military Zone</v>
      </c>
      <c r="E19" s="21" t="s">
        <v>13</v>
      </c>
      <c r="F19" s="21" t="s">
        <v>609</v>
      </c>
      <c r="G19" s="21" t="s">
        <v>624</v>
      </c>
      <c r="H19" s="21" t="s">
        <v>6</v>
      </c>
      <c r="I19" s="20"/>
      <c r="J19" s="20"/>
      <c r="K19" s="25" t="s">
        <v>615</v>
      </c>
      <c r="L19" s="21"/>
      <c r="M19" s="21"/>
      <c r="N19" s="21"/>
      <c r="O19" s="21" t="s">
        <v>613</v>
      </c>
    </row>
    <row r="20" spans="1:15" x14ac:dyDescent="0.3">
      <c r="A20" s="20">
        <f t="shared" si="0"/>
        <v>19</v>
      </c>
      <c r="B20" s="21" t="s">
        <v>87</v>
      </c>
      <c r="C20" s="21" t="s">
        <v>91</v>
      </c>
      <c r="D20" s="22" t="str">
        <f>IF($C20="","",IFERROR(VLOOKUP($C20,Map_Register!$A$2:$C$5,3,FALSE()),""))</f>
        <v>Cultural Heritage Area</v>
      </c>
      <c r="E20" s="21" t="s">
        <v>13</v>
      </c>
      <c r="F20" s="21" t="s">
        <v>587</v>
      </c>
      <c r="G20" s="20" t="s">
        <v>625</v>
      </c>
      <c r="H20" s="21" t="s">
        <v>6</v>
      </c>
      <c r="I20" s="20"/>
      <c r="J20" s="20"/>
      <c r="K20" s="25" t="s">
        <v>601</v>
      </c>
      <c r="L20" s="21"/>
      <c r="M20" s="21"/>
      <c r="N20" s="21"/>
      <c r="O20" s="21" t="s">
        <v>593</v>
      </c>
    </row>
    <row r="21" spans="1:15" x14ac:dyDescent="0.3">
      <c r="A21" s="20">
        <f t="shared" si="0"/>
        <v>20</v>
      </c>
      <c r="B21" s="21" t="s">
        <v>87</v>
      </c>
      <c r="C21" s="21" t="s">
        <v>91</v>
      </c>
      <c r="D21" s="22" t="str">
        <f>IF($C21="","",IFERROR(VLOOKUP($C21,Map_Register!$A$2:$C$5,3,FALSE()),""))</f>
        <v>Cultural Heritage Area</v>
      </c>
      <c r="E21" s="21" t="s">
        <v>13</v>
      </c>
      <c r="F21" s="21" t="s">
        <v>587</v>
      </c>
      <c r="G21" s="20" t="s">
        <v>626</v>
      </c>
      <c r="H21" s="21" t="s">
        <v>6</v>
      </c>
      <c r="I21" s="20"/>
      <c r="J21" s="20"/>
      <c r="K21" s="25" t="s">
        <v>601</v>
      </c>
      <c r="L21" s="21"/>
      <c r="M21" s="21"/>
      <c r="N21" s="21"/>
      <c r="O21" s="21" t="s">
        <v>593</v>
      </c>
    </row>
    <row r="22" spans="1:15" x14ac:dyDescent="0.3">
      <c r="A22" s="20">
        <f t="shared" si="0"/>
        <v>21</v>
      </c>
      <c r="B22" s="21" t="s">
        <v>87</v>
      </c>
      <c r="C22" s="21" t="s">
        <v>91</v>
      </c>
      <c r="D22" s="22" t="str">
        <f>IF($C22="","",IFERROR(VLOOKUP($C22,Map_Register!$A$2:$C$5,3,FALSE()),""))</f>
        <v>Cultural Heritage Area</v>
      </c>
      <c r="E22" s="21" t="s">
        <v>13</v>
      </c>
      <c r="F22" s="21" t="s">
        <v>587</v>
      </c>
      <c r="G22" s="20" t="s">
        <v>627</v>
      </c>
      <c r="H22" s="21" t="s">
        <v>6</v>
      </c>
      <c r="I22" s="20"/>
      <c r="J22" s="20"/>
      <c r="K22" s="25" t="s">
        <v>601</v>
      </c>
      <c r="L22" s="21"/>
      <c r="M22" s="21"/>
      <c r="N22" s="21"/>
      <c r="O22" s="21" t="s">
        <v>593</v>
      </c>
    </row>
    <row r="23" spans="1:15" x14ac:dyDescent="0.3">
      <c r="A23" s="20">
        <f t="shared" si="0"/>
        <v>22</v>
      </c>
      <c r="B23" s="21" t="s">
        <v>87</v>
      </c>
      <c r="C23" s="21" t="s">
        <v>91</v>
      </c>
      <c r="D23" s="22" t="str">
        <f>IF($C23="","",IFERROR(VLOOKUP($C23,Map_Register!$A$2:$C$5,3,FALSE()),""))</f>
        <v>Cultural Heritage Area</v>
      </c>
      <c r="E23" s="21" t="s">
        <v>13</v>
      </c>
      <c r="F23" s="21" t="s">
        <v>587</v>
      </c>
      <c r="G23" s="20" t="s">
        <v>628</v>
      </c>
      <c r="H23" s="21" t="s">
        <v>6</v>
      </c>
      <c r="I23" s="20"/>
      <c r="J23" s="20"/>
      <c r="K23" s="25" t="s">
        <v>601</v>
      </c>
      <c r="L23" s="21"/>
      <c r="M23" s="21"/>
      <c r="N23" s="21"/>
      <c r="O23" s="21" t="s">
        <v>593</v>
      </c>
    </row>
    <row r="24" spans="1:15" x14ac:dyDescent="0.3">
      <c r="A24" s="20">
        <f t="shared" si="0"/>
        <v>23</v>
      </c>
      <c r="B24" s="21" t="s">
        <v>87</v>
      </c>
      <c r="C24" s="21" t="s">
        <v>91</v>
      </c>
      <c r="D24" s="22" t="str">
        <f>IF($C24="","",IFERROR(VLOOKUP($C24,Map_Register!$A$2:$C$5,3,FALSE()),""))</f>
        <v>Cultural Heritage Area</v>
      </c>
      <c r="E24" s="21" t="s">
        <v>13</v>
      </c>
      <c r="F24" s="21" t="s">
        <v>587</v>
      </c>
      <c r="G24" s="20" t="s">
        <v>629</v>
      </c>
      <c r="H24" s="21" t="s">
        <v>6</v>
      </c>
      <c r="I24" s="20"/>
      <c r="J24" s="20"/>
      <c r="K24" s="25" t="s">
        <v>601</v>
      </c>
      <c r="L24" s="21"/>
      <c r="M24" s="21"/>
      <c r="N24" s="21"/>
      <c r="O24" s="21" t="s">
        <v>593</v>
      </c>
    </row>
    <row r="25" spans="1:15" x14ac:dyDescent="0.3">
      <c r="A25" s="20">
        <f t="shared" si="0"/>
        <v>24</v>
      </c>
      <c r="B25" s="21" t="s">
        <v>87</v>
      </c>
      <c r="C25" s="21" t="s">
        <v>91</v>
      </c>
      <c r="D25" s="22" t="str">
        <f>IF($C25="","",IFERROR(VLOOKUP($C25,Map_Register!$A$2:$C$5,3,FALSE()),""))</f>
        <v>Cultural Heritage Area</v>
      </c>
      <c r="E25" s="21" t="s">
        <v>13</v>
      </c>
      <c r="F25" s="21" t="s">
        <v>587</v>
      </c>
      <c r="G25" s="20" t="s">
        <v>630</v>
      </c>
      <c r="H25" s="21" t="s">
        <v>6</v>
      </c>
      <c r="I25" s="20"/>
      <c r="J25" s="20"/>
      <c r="K25" s="25" t="s">
        <v>601</v>
      </c>
      <c r="L25" s="21"/>
      <c r="M25" s="21"/>
      <c r="N25" s="21"/>
      <c r="O25" s="21" t="s">
        <v>593</v>
      </c>
    </row>
    <row r="26" spans="1:15" x14ac:dyDescent="0.3">
      <c r="A26" s="20">
        <f t="shared" si="0"/>
        <v>25</v>
      </c>
      <c r="B26" s="21" t="s">
        <v>87</v>
      </c>
      <c r="C26" s="21" t="s">
        <v>91</v>
      </c>
      <c r="D26" s="22" t="str">
        <f>IF($C26="","",IFERROR(VLOOKUP($C26,Map_Register!$A$2:$C$5,3,FALSE()),""))</f>
        <v>Cultural Heritage Area</v>
      </c>
      <c r="E26" s="21" t="s">
        <v>13</v>
      </c>
      <c r="F26" s="21" t="s">
        <v>587</v>
      </c>
      <c r="G26" s="20" t="s">
        <v>631</v>
      </c>
      <c r="H26" s="21" t="s">
        <v>6</v>
      </c>
      <c r="I26" s="20"/>
      <c r="J26" s="20"/>
      <c r="K26" s="25" t="s">
        <v>601</v>
      </c>
      <c r="L26" s="21"/>
      <c r="M26" s="21"/>
      <c r="N26" s="21"/>
      <c r="O26" s="21" t="s">
        <v>593</v>
      </c>
    </row>
    <row r="27" spans="1:15" x14ac:dyDescent="0.3">
      <c r="A27" s="20">
        <f t="shared" si="0"/>
        <v>26</v>
      </c>
      <c r="B27" s="21" t="s">
        <v>87</v>
      </c>
      <c r="C27" s="21" t="s">
        <v>91</v>
      </c>
      <c r="D27" s="22" t="str">
        <f>IF($C27="","",IFERROR(VLOOKUP($C27,Map_Register!$A$2:$C$5,3,FALSE()),""))</f>
        <v>Cultural Heritage Area</v>
      </c>
      <c r="E27" s="21" t="s">
        <v>13</v>
      </c>
      <c r="F27" s="21" t="s">
        <v>587</v>
      </c>
      <c r="G27" s="20" t="s">
        <v>632</v>
      </c>
      <c r="H27" s="21" t="s">
        <v>6</v>
      </c>
      <c r="I27" s="20"/>
      <c r="J27" s="20"/>
      <c r="K27" s="25" t="s">
        <v>601</v>
      </c>
      <c r="L27" s="21"/>
      <c r="M27" s="21"/>
      <c r="N27" s="21"/>
      <c r="O27" s="21" t="s">
        <v>593</v>
      </c>
    </row>
    <row r="28" spans="1:15" x14ac:dyDescent="0.3">
      <c r="A28" s="20">
        <f t="shared" si="0"/>
        <v>27</v>
      </c>
      <c r="B28" s="21" t="s">
        <v>87</v>
      </c>
      <c r="C28" s="21" t="s">
        <v>91</v>
      </c>
      <c r="D28" s="22" t="str">
        <f>IF($C28="","",IFERROR(VLOOKUP($C28,Map_Register!$A$2:$C$5,3,FALSE()),""))</f>
        <v>Cultural Heritage Area</v>
      </c>
      <c r="E28" s="21" t="s">
        <v>13</v>
      </c>
      <c r="F28" s="21" t="s">
        <v>587</v>
      </c>
      <c r="G28" s="20" t="s">
        <v>633</v>
      </c>
      <c r="H28" s="21" t="s">
        <v>6</v>
      </c>
      <c r="I28" s="20"/>
      <c r="J28" s="20"/>
      <c r="K28" s="25" t="s">
        <v>601</v>
      </c>
      <c r="L28" s="21"/>
      <c r="M28" s="21"/>
      <c r="N28" s="21"/>
      <c r="O28" s="21" t="s">
        <v>593</v>
      </c>
    </row>
    <row r="29" spans="1:15" x14ac:dyDescent="0.3">
      <c r="A29" s="20">
        <f t="shared" si="0"/>
        <v>28</v>
      </c>
      <c r="B29" s="21" t="s">
        <v>87</v>
      </c>
      <c r="C29" s="21" t="s">
        <v>91</v>
      </c>
      <c r="D29" s="22" t="str">
        <f>IF($C29="","",IFERROR(VLOOKUP($C29,Map_Register!$A$2:$C$5,3,FALSE()),""))</f>
        <v>Cultural Heritage Area</v>
      </c>
      <c r="E29" s="21" t="s">
        <v>13</v>
      </c>
      <c r="F29" s="21" t="s">
        <v>587</v>
      </c>
      <c r="G29" s="20" t="s">
        <v>634</v>
      </c>
      <c r="H29" s="21" t="s">
        <v>6</v>
      </c>
      <c r="I29" s="20"/>
      <c r="J29" s="20"/>
      <c r="K29" s="25" t="s">
        <v>601</v>
      </c>
      <c r="L29" s="21"/>
      <c r="M29" s="21"/>
      <c r="N29" s="21"/>
      <c r="O29" s="21" t="s">
        <v>593</v>
      </c>
    </row>
    <row r="30" spans="1:15" x14ac:dyDescent="0.3">
      <c r="A30" s="20">
        <f t="shared" si="0"/>
        <v>29</v>
      </c>
      <c r="B30" s="21" t="s">
        <v>87</v>
      </c>
      <c r="C30" s="21" t="s">
        <v>91</v>
      </c>
      <c r="D30" s="22" t="str">
        <f>IF($C30="","",IFERROR(VLOOKUP($C30,Map_Register!$A$2:$C$5,3,FALSE()),""))</f>
        <v>Cultural Heritage Area</v>
      </c>
      <c r="E30" s="21" t="s">
        <v>13</v>
      </c>
      <c r="F30" s="21" t="s">
        <v>587</v>
      </c>
      <c r="G30" s="20" t="s">
        <v>635</v>
      </c>
      <c r="H30" s="21" t="s">
        <v>6</v>
      </c>
      <c r="I30" s="20"/>
      <c r="J30" s="20"/>
      <c r="K30" s="25" t="s">
        <v>601</v>
      </c>
      <c r="L30" s="21"/>
      <c r="M30" s="21"/>
      <c r="N30" s="21"/>
      <c r="O30" s="21" t="s">
        <v>593</v>
      </c>
    </row>
    <row r="31" spans="1:15" x14ac:dyDescent="0.3">
      <c r="A31" s="20">
        <f t="shared" si="0"/>
        <v>30</v>
      </c>
      <c r="B31" s="21" t="s">
        <v>87</v>
      </c>
      <c r="C31" s="21" t="s">
        <v>91</v>
      </c>
      <c r="D31" s="22" t="str">
        <f>IF($C31="","",IFERROR(VLOOKUP($C31,Map_Register!$A$2:$C$5,3,FALSE()),""))</f>
        <v>Cultural Heritage Area</v>
      </c>
      <c r="E31" s="21" t="s">
        <v>13</v>
      </c>
      <c r="F31" s="21" t="s">
        <v>587</v>
      </c>
      <c r="G31" s="20" t="s">
        <v>636</v>
      </c>
      <c r="H31" s="21" t="s">
        <v>6</v>
      </c>
      <c r="I31" s="20"/>
      <c r="J31" s="20"/>
      <c r="K31" s="25" t="s">
        <v>601</v>
      </c>
      <c r="L31" s="21"/>
      <c r="M31" s="21"/>
      <c r="N31" s="21"/>
      <c r="O31" s="21" t="s">
        <v>593</v>
      </c>
    </row>
    <row r="32" spans="1:15" x14ac:dyDescent="0.3">
      <c r="A32" s="20">
        <f t="shared" si="0"/>
        <v>31</v>
      </c>
      <c r="B32" s="21" t="s">
        <v>87</v>
      </c>
      <c r="C32" s="21" t="s">
        <v>91</v>
      </c>
      <c r="D32" s="22" t="str">
        <f>IF($C32="","",IFERROR(VLOOKUP($C32,Map_Register!$A$2:$C$5,3,FALSE()),""))</f>
        <v>Cultural Heritage Area</v>
      </c>
      <c r="E32" s="21" t="s">
        <v>13</v>
      </c>
      <c r="F32" s="21" t="s">
        <v>587</v>
      </c>
      <c r="G32" s="20" t="s">
        <v>637</v>
      </c>
      <c r="H32" s="21" t="s">
        <v>6</v>
      </c>
      <c r="I32" s="20"/>
      <c r="J32" s="20"/>
      <c r="K32" s="25" t="s">
        <v>601</v>
      </c>
      <c r="L32" s="21"/>
      <c r="M32" s="21"/>
      <c r="N32" s="21"/>
      <c r="O32" s="21" t="s">
        <v>593</v>
      </c>
    </row>
    <row r="33" spans="1:15" x14ac:dyDescent="0.3">
      <c r="A33" s="20">
        <f t="shared" si="0"/>
        <v>32</v>
      </c>
      <c r="B33" s="21" t="s">
        <v>87</v>
      </c>
      <c r="C33" s="21" t="s">
        <v>91</v>
      </c>
      <c r="D33" s="22" t="str">
        <f>IF($C33="","",IFERROR(VLOOKUP($C33,Map_Register!$A$2:$C$5,3,FALSE()),""))</f>
        <v>Cultural Heritage Area</v>
      </c>
      <c r="E33" s="21" t="s">
        <v>13</v>
      </c>
      <c r="F33" s="21" t="s">
        <v>587</v>
      </c>
      <c r="G33" s="20" t="s">
        <v>638</v>
      </c>
      <c r="H33" s="21" t="s">
        <v>6</v>
      </c>
      <c r="I33" s="20"/>
      <c r="J33" s="20"/>
      <c r="K33" s="25" t="s">
        <v>601</v>
      </c>
      <c r="L33" s="21"/>
      <c r="M33" s="21"/>
      <c r="N33" s="21"/>
      <c r="O33" s="21" t="s">
        <v>593</v>
      </c>
    </row>
    <row r="34" spans="1:15" x14ac:dyDescent="0.3">
      <c r="A34" s="20">
        <f t="shared" ref="A34:A61" si="1">IF($B34="","",ROW()-1)</f>
        <v>33</v>
      </c>
      <c r="B34" s="21" t="s">
        <v>87</v>
      </c>
      <c r="C34" s="21" t="s">
        <v>91</v>
      </c>
      <c r="D34" s="22" t="str">
        <f>IF($C34="","",IFERROR(VLOOKUP($C34,Map_Register!$A$2:$C$5,3,FALSE()),""))</f>
        <v>Cultural Heritage Area</v>
      </c>
      <c r="E34" s="21" t="s">
        <v>13</v>
      </c>
      <c r="F34" s="21" t="s">
        <v>587</v>
      </c>
      <c r="G34" s="20" t="s">
        <v>639</v>
      </c>
      <c r="H34" s="21" t="s">
        <v>6</v>
      </c>
      <c r="I34" s="20"/>
      <c r="J34" s="20"/>
      <c r="K34" s="25" t="s">
        <v>601</v>
      </c>
      <c r="L34" s="21"/>
      <c r="M34" s="21"/>
      <c r="N34" s="21"/>
      <c r="O34" s="21" t="s">
        <v>593</v>
      </c>
    </row>
    <row r="35" spans="1:15" x14ac:dyDescent="0.3">
      <c r="A35" s="20">
        <f t="shared" si="1"/>
        <v>34</v>
      </c>
      <c r="B35" s="21" t="s">
        <v>87</v>
      </c>
      <c r="C35" s="21" t="s">
        <v>91</v>
      </c>
      <c r="D35" s="22" t="str">
        <f>IF($C35="","",IFERROR(VLOOKUP($C35,Map_Register!$A$2:$C$5,3,FALSE()),""))</f>
        <v>Cultural Heritage Area</v>
      </c>
      <c r="E35" s="21" t="s">
        <v>13</v>
      </c>
      <c r="F35" s="21" t="s">
        <v>587</v>
      </c>
      <c r="G35" s="20" t="s">
        <v>640</v>
      </c>
      <c r="H35" s="21" t="s">
        <v>6</v>
      </c>
      <c r="I35" s="20"/>
      <c r="J35" s="20"/>
      <c r="K35" s="25" t="s">
        <v>601</v>
      </c>
      <c r="L35" s="21"/>
      <c r="M35" s="21"/>
      <c r="N35" s="21"/>
      <c r="O35" s="21" t="s">
        <v>593</v>
      </c>
    </row>
    <row r="36" spans="1:15" x14ac:dyDescent="0.3">
      <c r="A36" s="20">
        <f t="shared" si="1"/>
        <v>35</v>
      </c>
      <c r="B36" s="21" t="s">
        <v>87</v>
      </c>
      <c r="C36" s="21" t="s">
        <v>91</v>
      </c>
      <c r="D36" s="22" t="str">
        <f>IF($C36="","",IFERROR(VLOOKUP($C36,Map_Register!$A$2:$C$5,3,FALSE()),""))</f>
        <v>Cultural Heritage Area</v>
      </c>
      <c r="E36" s="21" t="s">
        <v>13</v>
      </c>
      <c r="F36" s="21" t="s">
        <v>587</v>
      </c>
      <c r="G36" s="20" t="s">
        <v>641</v>
      </c>
      <c r="H36" s="21" t="s">
        <v>6</v>
      </c>
      <c r="I36" s="20"/>
      <c r="J36" s="20"/>
      <c r="K36" s="25" t="s">
        <v>601</v>
      </c>
      <c r="L36" s="21"/>
      <c r="M36" s="21"/>
      <c r="N36" s="21"/>
      <c r="O36" s="21" t="s">
        <v>593</v>
      </c>
    </row>
    <row r="37" spans="1:15" x14ac:dyDescent="0.3">
      <c r="A37" s="20">
        <f t="shared" si="1"/>
        <v>36</v>
      </c>
      <c r="B37" s="21" t="s">
        <v>87</v>
      </c>
      <c r="C37" s="21" t="s">
        <v>91</v>
      </c>
      <c r="D37" s="22" t="str">
        <f>IF($C37="","",IFERROR(VLOOKUP($C37,Map_Register!$A$2:$C$5,3,FALSE()),""))</f>
        <v>Cultural Heritage Area</v>
      </c>
      <c r="E37" s="21" t="s">
        <v>13</v>
      </c>
      <c r="F37" s="21" t="s">
        <v>587</v>
      </c>
      <c r="G37" s="20" t="s">
        <v>642</v>
      </c>
      <c r="H37" s="21" t="s">
        <v>6</v>
      </c>
      <c r="I37" s="20"/>
      <c r="J37" s="20"/>
      <c r="K37" s="25" t="s">
        <v>601</v>
      </c>
      <c r="L37" s="21"/>
      <c r="M37" s="21"/>
      <c r="N37" s="21"/>
      <c r="O37" s="21" t="s">
        <v>593</v>
      </c>
    </row>
    <row r="38" spans="1:15" x14ac:dyDescent="0.3">
      <c r="A38" s="20">
        <f t="shared" si="1"/>
        <v>37</v>
      </c>
      <c r="B38" s="21" t="s">
        <v>87</v>
      </c>
      <c r="C38" s="21" t="s">
        <v>91</v>
      </c>
      <c r="D38" s="22" t="str">
        <f>IF($C38="","",IFERROR(VLOOKUP($C38,Map_Register!$A$2:$C$5,3,FALSE()),""))</f>
        <v>Cultural Heritage Area</v>
      </c>
      <c r="E38" s="21" t="s">
        <v>13</v>
      </c>
      <c r="F38" s="21" t="s">
        <v>587</v>
      </c>
      <c r="G38" s="20" t="s">
        <v>643</v>
      </c>
      <c r="H38" s="21" t="s">
        <v>6</v>
      </c>
      <c r="I38" s="20"/>
      <c r="J38" s="20"/>
      <c r="K38" s="25" t="s">
        <v>601</v>
      </c>
      <c r="L38" s="21"/>
      <c r="M38" s="21"/>
      <c r="N38" s="21"/>
      <c r="O38" s="21" t="s">
        <v>593</v>
      </c>
    </row>
    <row r="39" spans="1:15" x14ac:dyDescent="0.3">
      <c r="A39" s="20">
        <f t="shared" si="1"/>
        <v>38</v>
      </c>
      <c r="B39" s="21" t="s">
        <v>87</v>
      </c>
      <c r="C39" s="21" t="s">
        <v>91</v>
      </c>
      <c r="D39" s="22" t="str">
        <f>IF($C39="","",IFERROR(VLOOKUP($C39,Map_Register!$A$2:$C$5,3,FALSE()),""))</f>
        <v>Cultural Heritage Area</v>
      </c>
      <c r="E39" s="21" t="s">
        <v>13</v>
      </c>
      <c r="F39" s="21" t="s">
        <v>587</v>
      </c>
      <c r="G39" s="20" t="s">
        <v>644</v>
      </c>
      <c r="H39" s="21" t="s">
        <v>6</v>
      </c>
      <c r="I39" s="20"/>
      <c r="J39" s="20"/>
      <c r="K39" s="25" t="s">
        <v>601</v>
      </c>
      <c r="L39" s="21"/>
      <c r="M39" s="21"/>
      <c r="N39" s="21"/>
      <c r="O39" s="21" t="s">
        <v>593</v>
      </c>
    </row>
    <row r="40" spans="1:15" x14ac:dyDescent="0.3">
      <c r="A40" s="20">
        <f t="shared" si="1"/>
        <v>39</v>
      </c>
      <c r="B40" s="21" t="s">
        <v>87</v>
      </c>
      <c r="C40" s="21" t="s">
        <v>91</v>
      </c>
      <c r="D40" s="22" t="str">
        <f>IF($C40="","",IFERROR(VLOOKUP($C40,Map_Register!$A$2:$C$5,3,FALSE()),""))</f>
        <v>Cultural Heritage Area</v>
      </c>
      <c r="E40" s="21" t="s">
        <v>13</v>
      </c>
      <c r="F40" s="21" t="s">
        <v>587</v>
      </c>
      <c r="G40" s="20" t="s">
        <v>645</v>
      </c>
      <c r="H40" s="21" t="s">
        <v>6</v>
      </c>
      <c r="I40" s="20"/>
      <c r="J40" s="20"/>
      <c r="K40" s="25" t="s">
        <v>601</v>
      </c>
      <c r="L40" s="21"/>
      <c r="M40" s="21"/>
      <c r="N40" s="21"/>
      <c r="O40" s="21" t="s">
        <v>593</v>
      </c>
    </row>
    <row r="41" spans="1:15" x14ac:dyDescent="0.3">
      <c r="A41" s="20">
        <f t="shared" si="1"/>
        <v>40</v>
      </c>
      <c r="B41" s="21" t="s">
        <v>87</v>
      </c>
      <c r="C41" s="21" t="s">
        <v>97</v>
      </c>
      <c r="D41" s="22" t="str">
        <f>IF($C41="","",IFERROR(VLOOKUP($C41,Map_Register!$A$2:$C$5,3,FALSE()),""))</f>
        <v>Toponym Labels</v>
      </c>
      <c r="E41" s="21" t="s">
        <v>13</v>
      </c>
      <c r="F41" s="21" t="s">
        <v>646</v>
      </c>
      <c r="G41" s="20" t="s">
        <v>647</v>
      </c>
      <c r="H41" s="20" t="s">
        <v>6</v>
      </c>
      <c r="I41" s="20"/>
      <c r="J41" s="20"/>
      <c r="K41" s="20" t="s">
        <v>648</v>
      </c>
      <c r="L41" s="21"/>
      <c r="M41" s="21"/>
      <c r="N41" s="21"/>
      <c r="O41" s="21" t="s">
        <v>590</v>
      </c>
    </row>
    <row r="42" spans="1:15" x14ac:dyDescent="0.3">
      <c r="A42" s="20">
        <f t="shared" si="1"/>
        <v>41</v>
      </c>
      <c r="B42" s="21" t="s">
        <v>87</v>
      </c>
      <c r="C42" s="21" t="s">
        <v>97</v>
      </c>
      <c r="D42" s="22" t="str">
        <f>IF($C42="","",IFERROR(VLOOKUP($C42,Map_Register!$A$2:$C$5,3,FALSE()),""))</f>
        <v>Toponym Labels</v>
      </c>
      <c r="E42" s="21" t="s">
        <v>13</v>
      </c>
      <c r="F42" s="21" t="s">
        <v>649</v>
      </c>
      <c r="G42" s="20" t="s">
        <v>650</v>
      </c>
      <c r="H42" s="20" t="s">
        <v>8</v>
      </c>
      <c r="I42" s="20" t="s">
        <v>107</v>
      </c>
      <c r="J42" s="20" t="s">
        <v>107</v>
      </c>
      <c r="K42" s="20" t="s">
        <v>651</v>
      </c>
      <c r="L42" s="21" t="s">
        <v>108</v>
      </c>
      <c r="M42" s="21"/>
      <c r="N42" s="21"/>
      <c r="O42" s="21" t="s">
        <v>593</v>
      </c>
    </row>
    <row r="43" spans="1:15" x14ac:dyDescent="0.3">
      <c r="A43" s="20">
        <f t="shared" si="1"/>
        <v>42</v>
      </c>
      <c r="B43" s="21" t="s">
        <v>87</v>
      </c>
      <c r="C43" s="21" t="s">
        <v>97</v>
      </c>
      <c r="D43" s="22" t="str">
        <f>IF($C43="","",IFERROR(VLOOKUP($C43,Map_Register!$A$2:$C$5,3,FALSE()),""))</f>
        <v>Toponym Labels</v>
      </c>
      <c r="E43" s="21" t="s">
        <v>13</v>
      </c>
      <c r="F43" s="21" t="s">
        <v>652</v>
      </c>
      <c r="G43" s="20" t="s">
        <v>653</v>
      </c>
      <c r="H43" s="20" t="s">
        <v>8</v>
      </c>
      <c r="I43" s="20" t="s">
        <v>107</v>
      </c>
      <c r="J43" s="20" t="s">
        <v>107</v>
      </c>
      <c r="K43" s="20" t="s">
        <v>651</v>
      </c>
      <c r="L43" s="21" t="s">
        <v>108</v>
      </c>
      <c r="M43" s="21"/>
      <c r="N43" s="21"/>
      <c r="O43" s="21" t="s">
        <v>593</v>
      </c>
    </row>
    <row r="44" spans="1:15" x14ac:dyDescent="0.3">
      <c r="A44" s="20">
        <f t="shared" si="1"/>
        <v>43</v>
      </c>
      <c r="B44" s="21" t="s">
        <v>87</v>
      </c>
      <c r="C44" s="21" t="s">
        <v>97</v>
      </c>
      <c r="D44" s="22" t="str">
        <f>IF($C44="","",IFERROR(VLOOKUP($C44,Map_Register!$A$2:$C$5,3,FALSE()),""))</f>
        <v>Toponym Labels</v>
      </c>
      <c r="E44" s="21" t="s">
        <v>13</v>
      </c>
      <c r="F44" s="21" t="s">
        <v>587</v>
      </c>
      <c r="G44" s="20" t="s">
        <v>654</v>
      </c>
      <c r="H44" s="20" t="s">
        <v>8</v>
      </c>
      <c r="I44" s="20" t="s">
        <v>107</v>
      </c>
      <c r="J44" s="20" t="s">
        <v>107</v>
      </c>
      <c r="K44" s="20" t="s">
        <v>651</v>
      </c>
      <c r="L44" s="21" t="s">
        <v>108</v>
      </c>
      <c r="M44" s="21"/>
      <c r="N44" s="21"/>
      <c r="O44" s="21" t="s">
        <v>593</v>
      </c>
    </row>
    <row r="45" spans="1:15" x14ac:dyDescent="0.3">
      <c r="A45" s="20">
        <f t="shared" si="1"/>
        <v>44</v>
      </c>
      <c r="B45" s="21" t="s">
        <v>87</v>
      </c>
      <c r="C45" s="21" t="s">
        <v>97</v>
      </c>
      <c r="D45" s="22" t="str">
        <f>IF($C45="","",IFERROR(VLOOKUP($C45,Map_Register!$A$2:$C$5,3,FALSE()),""))</f>
        <v>Toponym Labels</v>
      </c>
      <c r="E45" s="21" t="s">
        <v>13</v>
      </c>
      <c r="F45" s="21" t="s">
        <v>649</v>
      </c>
      <c r="G45" s="20" t="s">
        <v>655</v>
      </c>
      <c r="H45" s="20" t="s">
        <v>6</v>
      </c>
      <c r="I45" s="20"/>
      <c r="J45" s="20"/>
      <c r="K45" s="20" t="s">
        <v>656</v>
      </c>
      <c r="L45" s="21"/>
      <c r="M45" s="21"/>
      <c r="N45" s="21"/>
      <c r="O45" s="21" t="s">
        <v>593</v>
      </c>
    </row>
    <row r="46" spans="1:15" x14ac:dyDescent="0.3">
      <c r="A46" s="20">
        <f t="shared" si="1"/>
        <v>45</v>
      </c>
      <c r="B46" s="21" t="s">
        <v>87</v>
      </c>
      <c r="C46" s="21" t="s">
        <v>97</v>
      </c>
      <c r="D46" s="22" t="str">
        <f>IF($C46="","",IFERROR(VLOOKUP($C46,Map_Register!$A$2:$C$5,3,FALSE()),""))</f>
        <v>Toponym Labels</v>
      </c>
      <c r="E46" s="21" t="s">
        <v>13</v>
      </c>
      <c r="F46" s="26" t="s">
        <v>587</v>
      </c>
      <c r="G46" s="20" t="s">
        <v>657</v>
      </c>
      <c r="H46" s="20" t="s">
        <v>6</v>
      </c>
      <c r="I46" s="20"/>
      <c r="J46" s="20"/>
      <c r="K46" s="20" t="s">
        <v>658</v>
      </c>
      <c r="L46" s="21"/>
      <c r="M46" s="21"/>
      <c r="N46" s="21"/>
      <c r="O46" s="21" t="s">
        <v>593</v>
      </c>
    </row>
    <row r="47" spans="1:15" x14ac:dyDescent="0.3">
      <c r="A47" s="20">
        <f t="shared" si="1"/>
        <v>46</v>
      </c>
      <c r="B47" s="21" t="s">
        <v>87</v>
      </c>
      <c r="C47" s="21" t="s">
        <v>97</v>
      </c>
      <c r="D47" s="22" t="str">
        <f>IF($C47="","",IFERROR(VLOOKUP($C47,Map_Register!$A$2:$C$5,3,FALSE()),""))</f>
        <v>Toponym Labels</v>
      </c>
      <c r="E47" s="21" t="s">
        <v>13</v>
      </c>
      <c r="F47" s="26" t="s">
        <v>587</v>
      </c>
      <c r="G47" s="20" t="s">
        <v>659</v>
      </c>
      <c r="H47" s="20" t="s">
        <v>6</v>
      </c>
      <c r="I47" s="20"/>
      <c r="J47" s="20"/>
      <c r="K47" s="20" t="s">
        <v>658</v>
      </c>
      <c r="L47" s="21"/>
      <c r="M47" s="21"/>
      <c r="N47" s="21"/>
      <c r="O47" s="21" t="s">
        <v>593</v>
      </c>
    </row>
    <row r="48" spans="1:15" x14ac:dyDescent="0.3">
      <c r="A48" s="20">
        <f t="shared" si="1"/>
        <v>47</v>
      </c>
      <c r="B48" s="21" t="s">
        <v>87</v>
      </c>
      <c r="C48" s="21" t="s">
        <v>97</v>
      </c>
      <c r="D48" s="22" t="str">
        <f>IF($C48="","",IFERROR(VLOOKUP($C48,Map_Register!$A$2:$C$5,3,FALSE()),""))</f>
        <v>Toponym Labels</v>
      </c>
      <c r="E48" s="21" t="s">
        <v>13</v>
      </c>
      <c r="F48" s="26" t="s">
        <v>587</v>
      </c>
      <c r="G48" s="20" t="s">
        <v>660</v>
      </c>
      <c r="H48" s="20" t="s">
        <v>6</v>
      </c>
      <c r="I48" s="20"/>
      <c r="J48" s="20"/>
      <c r="K48" s="20" t="s">
        <v>658</v>
      </c>
      <c r="L48" s="21"/>
      <c r="M48" s="21"/>
      <c r="N48" s="21"/>
      <c r="O48" s="21" t="s">
        <v>593</v>
      </c>
    </row>
    <row r="49" spans="1:15" x14ac:dyDescent="0.3">
      <c r="A49" s="20">
        <f t="shared" si="1"/>
        <v>48</v>
      </c>
      <c r="B49" s="21" t="s">
        <v>87</v>
      </c>
      <c r="C49" s="21" t="s">
        <v>97</v>
      </c>
      <c r="D49" s="22" t="str">
        <f>IF($C49="","",IFERROR(VLOOKUP($C49,Map_Register!$A$2:$C$5,3,FALSE()),""))</f>
        <v>Toponym Labels</v>
      </c>
      <c r="E49" s="21" t="s">
        <v>13</v>
      </c>
      <c r="F49" s="26" t="s">
        <v>587</v>
      </c>
      <c r="G49" s="20" t="s">
        <v>661</v>
      </c>
      <c r="H49" s="20" t="s">
        <v>6</v>
      </c>
      <c r="I49" s="20"/>
      <c r="J49" s="20"/>
      <c r="K49" s="20" t="s">
        <v>658</v>
      </c>
      <c r="L49" s="21"/>
      <c r="M49" s="21"/>
      <c r="N49" s="21"/>
      <c r="O49" s="21" t="s">
        <v>593</v>
      </c>
    </row>
    <row r="50" spans="1:15" x14ac:dyDescent="0.3">
      <c r="A50" s="20">
        <f t="shared" si="1"/>
        <v>49</v>
      </c>
      <c r="B50" s="21" t="s">
        <v>87</v>
      </c>
      <c r="C50" s="21" t="s">
        <v>97</v>
      </c>
      <c r="D50" s="22" t="str">
        <f>IF($C50="","",IFERROR(VLOOKUP($C50,Map_Register!$A$2:$C$5,3,FALSE()),""))</f>
        <v>Toponym Labels</v>
      </c>
      <c r="E50" s="21" t="s">
        <v>13</v>
      </c>
      <c r="F50" s="26" t="s">
        <v>587</v>
      </c>
      <c r="G50" s="20" t="s">
        <v>662</v>
      </c>
      <c r="H50" s="20" t="s">
        <v>6</v>
      </c>
      <c r="I50" s="20"/>
      <c r="J50" s="20"/>
      <c r="K50" s="20" t="s">
        <v>658</v>
      </c>
      <c r="L50" s="21"/>
      <c r="M50" s="21"/>
      <c r="N50" s="21"/>
      <c r="O50" s="21" t="s">
        <v>593</v>
      </c>
    </row>
    <row r="51" spans="1:15" x14ac:dyDescent="0.3">
      <c r="A51" s="20">
        <f t="shared" si="1"/>
        <v>50</v>
      </c>
      <c r="B51" s="21" t="s">
        <v>87</v>
      </c>
      <c r="C51" s="21" t="s">
        <v>97</v>
      </c>
      <c r="D51" s="22" t="str">
        <f>IF($C51="","",IFERROR(VLOOKUP($C51,Map_Register!$A$2:$C$5,3,FALSE()),""))</f>
        <v>Toponym Labels</v>
      </c>
      <c r="E51" s="21" t="s">
        <v>13</v>
      </c>
      <c r="F51" s="26" t="s">
        <v>587</v>
      </c>
      <c r="G51" s="20" t="s">
        <v>663</v>
      </c>
      <c r="H51" s="20" t="s">
        <v>6</v>
      </c>
      <c r="I51" s="20"/>
      <c r="J51" s="20"/>
      <c r="K51" s="20" t="s">
        <v>658</v>
      </c>
      <c r="L51" s="21"/>
      <c r="M51" s="21"/>
      <c r="N51" s="21"/>
      <c r="O51" s="21" t="s">
        <v>593</v>
      </c>
    </row>
    <row r="52" spans="1:15" x14ac:dyDescent="0.3">
      <c r="A52" s="20">
        <f t="shared" si="1"/>
        <v>51</v>
      </c>
      <c r="B52" s="21" t="s">
        <v>87</v>
      </c>
      <c r="C52" s="21" t="s">
        <v>97</v>
      </c>
      <c r="D52" s="22" t="str">
        <f>IF($C52="","",IFERROR(VLOOKUP($C52,Map_Register!$A$2:$C$5,3,FALSE()),""))</f>
        <v>Toponym Labels</v>
      </c>
      <c r="E52" s="21" t="s">
        <v>13</v>
      </c>
      <c r="F52" s="26" t="s">
        <v>587</v>
      </c>
      <c r="G52" s="20" t="s">
        <v>664</v>
      </c>
      <c r="H52" s="20" t="s">
        <v>6</v>
      </c>
      <c r="I52" s="20"/>
      <c r="J52" s="20"/>
      <c r="K52" s="20" t="s">
        <v>658</v>
      </c>
      <c r="L52" s="21"/>
      <c r="M52" s="21"/>
      <c r="N52" s="21"/>
      <c r="O52" s="21" t="s">
        <v>593</v>
      </c>
    </row>
    <row r="53" spans="1:15" x14ac:dyDescent="0.3">
      <c r="A53" s="20">
        <f t="shared" si="1"/>
        <v>52</v>
      </c>
      <c r="B53" s="21" t="s">
        <v>87</v>
      </c>
      <c r="C53" s="21" t="s">
        <v>97</v>
      </c>
      <c r="D53" s="22" t="str">
        <f>IF($C53="","",IFERROR(VLOOKUP($C53,Map_Register!$A$2:$C$5,3,FALSE()),""))</f>
        <v>Toponym Labels</v>
      </c>
      <c r="E53" s="21" t="s">
        <v>13</v>
      </c>
      <c r="F53" s="26" t="s">
        <v>587</v>
      </c>
      <c r="G53" s="20" t="s">
        <v>665</v>
      </c>
      <c r="H53" s="20" t="s">
        <v>6</v>
      </c>
      <c r="I53" s="20"/>
      <c r="J53" s="20"/>
      <c r="K53" s="20" t="s">
        <v>658</v>
      </c>
      <c r="L53" s="21"/>
      <c r="M53" s="21"/>
      <c r="N53" s="21"/>
      <c r="O53" s="21" t="s">
        <v>593</v>
      </c>
    </row>
    <row r="54" spans="1:15" x14ac:dyDescent="0.3">
      <c r="A54" s="20">
        <f t="shared" si="1"/>
        <v>53</v>
      </c>
      <c r="B54" s="21" t="s">
        <v>87</v>
      </c>
      <c r="C54" s="21" t="s">
        <v>97</v>
      </c>
      <c r="D54" s="22" t="str">
        <f>IF($C54="","",IFERROR(VLOOKUP($C54,Map_Register!$A$2:$C$5,3,FALSE()),""))</f>
        <v>Toponym Labels</v>
      </c>
      <c r="E54" s="21" t="s">
        <v>13</v>
      </c>
      <c r="F54" s="26" t="s">
        <v>587</v>
      </c>
      <c r="G54" s="20" t="s">
        <v>666</v>
      </c>
      <c r="H54" s="20" t="s">
        <v>6</v>
      </c>
      <c r="I54" s="20"/>
      <c r="J54" s="20"/>
      <c r="K54" s="20" t="s">
        <v>658</v>
      </c>
      <c r="L54" s="21"/>
      <c r="M54" s="21"/>
      <c r="N54" s="21"/>
      <c r="O54" s="21" t="s">
        <v>593</v>
      </c>
    </row>
    <row r="55" spans="1:15" x14ac:dyDescent="0.3">
      <c r="A55" s="20">
        <f t="shared" si="1"/>
        <v>54</v>
      </c>
      <c r="B55" s="21" t="s">
        <v>87</v>
      </c>
      <c r="C55" s="21" t="s">
        <v>97</v>
      </c>
      <c r="D55" s="22" t="str">
        <f>IF($C55="","",IFERROR(VLOOKUP($C55,Map_Register!$A$2:$C$5,3,FALSE()),""))</f>
        <v>Toponym Labels</v>
      </c>
      <c r="E55" s="21" t="s">
        <v>13</v>
      </c>
      <c r="F55" s="26" t="s">
        <v>587</v>
      </c>
      <c r="G55" s="20" t="s">
        <v>667</v>
      </c>
      <c r="H55" s="20" t="s">
        <v>6</v>
      </c>
      <c r="I55" s="20"/>
      <c r="J55" s="20"/>
      <c r="K55" s="20" t="s">
        <v>658</v>
      </c>
      <c r="L55" s="21"/>
      <c r="M55" s="21"/>
      <c r="N55" s="21"/>
      <c r="O55" s="21" t="s">
        <v>593</v>
      </c>
    </row>
    <row r="56" spans="1:15" x14ac:dyDescent="0.3">
      <c r="A56" s="20">
        <f t="shared" si="1"/>
        <v>55</v>
      </c>
      <c r="B56" s="21" t="s">
        <v>87</v>
      </c>
      <c r="C56" s="21" t="s">
        <v>97</v>
      </c>
      <c r="D56" s="22" t="str">
        <f>IF($C56="","",IFERROR(VLOOKUP($C56,Map_Register!$A$2:$C$5,3,FALSE()),""))</f>
        <v>Toponym Labels</v>
      </c>
      <c r="E56" s="21" t="s">
        <v>13</v>
      </c>
      <c r="F56" s="26" t="s">
        <v>587</v>
      </c>
      <c r="G56" s="20" t="s">
        <v>668</v>
      </c>
      <c r="H56" s="20" t="s">
        <v>6</v>
      </c>
      <c r="I56" s="20"/>
      <c r="J56" s="20"/>
      <c r="K56" s="20" t="s">
        <v>658</v>
      </c>
      <c r="L56" s="21"/>
      <c r="M56" s="21"/>
      <c r="N56" s="21"/>
      <c r="O56" s="21" t="s">
        <v>593</v>
      </c>
    </row>
    <row r="57" spans="1:15" x14ac:dyDescent="0.3">
      <c r="A57" s="20">
        <f t="shared" si="1"/>
        <v>56</v>
      </c>
      <c r="B57" s="21" t="s">
        <v>87</v>
      </c>
      <c r="C57" s="21" t="s">
        <v>97</v>
      </c>
      <c r="D57" s="22" t="str">
        <f>IF($C57="","",IFERROR(VLOOKUP($C57,Map_Register!$A$2:$C$5,3,FALSE()),""))</f>
        <v>Toponym Labels</v>
      </c>
      <c r="E57" s="21" t="s">
        <v>13</v>
      </c>
      <c r="F57" s="26" t="s">
        <v>587</v>
      </c>
      <c r="G57" s="20" t="s">
        <v>669</v>
      </c>
      <c r="H57" s="20" t="s">
        <v>6</v>
      </c>
      <c r="I57" s="20"/>
      <c r="J57" s="20"/>
      <c r="K57" s="20" t="s">
        <v>658</v>
      </c>
      <c r="L57" s="21"/>
      <c r="M57" s="21"/>
      <c r="N57" s="21"/>
      <c r="O57" s="21" t="s">
        <v>593</v>
      </c>
    </row>
    <row r="58" spans="1:15" x14ac:dyDescent="0.3">
      <c r="A58" s="20">
        <f t="shared" si="1"/>
        <v>57</v>
      </c>
      <c r="B58" s="21" t="s">
        <v>87</v>
      </c>
      <c r="C58" s="21" t="s">
        <v>97</v>
      </c>
      <c r="D58" s="22" t="str">
        <f>IF($C58="","",IFERROR(VLOOKUP($C58,Map_Register!$A$2:$C$5,3,FALSE()),""))</f>
        <v>Toponym Labels</v>
      </c>
      <c r="E58" s="21" t="s">
        <v>13</v>
      </c>
      <c r="F58" s="26" t="s">
        <v>587</v>
      </c>
      <c r="G58" s="20" t="s">
        <v>670</v>
      </c>
      <c r="H58" s="20" t="s">
        <v>6</v>
      </c>
      <c r="I58" s="20"/>
      <c r="J58" s="20"/>
      <c r="K58" s="20" t="s">
        <v>658</v>
      </c>
      <c r="L58" s="21"/>
      <c r="M58" s="21"/>
      <c r="N58" s="21"/>
      <c r="O58" s="21" t="s">
        <v>593</v>
      </c>
    </row>
    <row r="59" spans="1:15" x14ac:dyDescent="0.3">
      <c r="A59" s="20">
        <f t="shared" si="1"/>
        <v>58</v>
      </c>
      <c r="B59" s="21" t="s">
        <v>87</v>
      </c>
      <c r="C59" s="21" t="s">
        <v>97</v>
      </c>
      <c r="D59" s="22" t="str">
        <f>IF($C59="","",IFERROR(VLOOKUP($C59,Map_Register!$A$2:$C$5,3,FALSE()),""))</f>
        <v>Toponym Labels</v>
      </c>
      <c r="E59" s="21" t="s">
        <v>13</v>
      </c>
      <c r="F59" s="26" t="s">
        <v>587</v>
      </c>
      <c r="G59" s="20" t="s">
        <v>671</v>
      </c>
      <c r="H59" s="20" t="s">
        <v>6</v>
      </c>
      <c r="I59" s="20"/>
      <c r="J59" s="20"/>
      <c r="K59" s="20" t="s">
        <v>658</v>
      </c>
      <c r="L59" s="21"/>
      <c r="M59" s="21"/>
      <c r="N59" s="21"/>
      <c r="O59" s="21" t="s">
        <v>593</v>
      </c>
    </row>
    <row r="60" spans="1:15" x14ac:dyDescent="0.3">
      <c r="A60" s="20">
        <f t="shared" si="1"/>
        <v>59</v>
      </c>
      <c r="B60" s="21" t="s">
        <v>87</v>
      </c>
      <c r="C60" s="21" t="s">
        <v>97</v>
      </c>
      <c r="D60" s="22" t="str">
        <f>IF($C60="","",IFERROR(VLOOKUP($C60,Map_Register!$A$2:$C$5,3,FALSE()),""))</f>
        <v>Toponym Labels</v>
      </c>
      <c r="E60" s="21" t="s">
        <v>13</v>
      </c>
      <c r="F60" s="21" t="s">
        <v>609</v>
      </c>
      <c r="G60" s="20" t="s">
        <v>672</v>
      </c>
      <c r="H60" s="20" t="s">
        <v>6</v>
      </c>
      <c r="I60" s="20"/>
      <c r="J60" s="20"/>
      <c r="K60" s="25" t="s">
        <v>615</v>
      </c>
      <c r="L60" s="21"/>
      <c r="M60" s="21"/>
      <c r="N60" s="21"/>
      <c r="O60" s="21" t="s">
        <v>613</v>
      </c>
    </row>
    <row r="61" spans="1:15" ht="26.25" customHeight="1" x14ac:dyDescent="0.3">
      <c r="A61" s="20">
        <f t="shared" si="1"/>
        <v>60</v>
      </c>
      <c r="B61" s="21" t="s">
        <v>87</v>
      </c>
      <c r="C61" s="21" t="s">
        <v>97</v>
      </c>
      <c r="D61" s="22" t="str">
        <f>IF($C61="","",IFERROR(VLOOKUP($C61,Map_Register!$A$2:$C$5,3,FALSE()),""))</f>
        <v>Toponym Labels</v>
      </c>
      <c r="E61" s="21" t="s">
        <v>13</v>
      </c>
      <c r="F61" s="21" t="s">
        <v>609</v>
      </c>
      <c r="G61" s="20" t="s">
        <v>673</v>
      </c>
      <c r="H61" s="20" t="s">
        <v>6</v>
      </c>
      <c r="I61" s="20"/>
      <c r="J61" s="20"/>
      <c r="K61" s="25" t="s">
        <v>674</v>
      </c>
      <c r="L61" s="21"/>
      <c r="M61" s="21"/>
      <c r="N61" s="21"/>
      <c r="O61" s="21" t="s">
        <v>613</v>
      </c>
    </row>
    <row r="62" spans="1:15" x14ac:dyDescent="0.3">
      <c r="A62" s="20"/>
      <c r="B62" s="21"/>
      <c r="C62" s="21"/>
      <c r="D62" s="22"/>
      <c r="E62" s="21"/>
      <c r="G62" s="20"/>
      <c r="H62" s="20"/>
      <c r="I62" s="20"/>
      <c r="J62" s="20"/>
      <c r="K62" s="20"/>
      <c r="L62" s="21"/>
      <c r="M62" s="21"/>
      <c r="N62" s="21"/>
      <c r="O62" s="21"/>
    </row>
    <row r="63" spans="1:15" x14ac:dyDescent="0.3">
      <c r="A63" s="20"/>
      <c r="B63" s="21"/>
      <c r="C63" s="21"/>
      <c r="D63" s="22"/>
      <c r="E63" s="21"/>
      <c r="G63" s="20"/>
      <c r="H63" s="20"/>
      <c r="I63" s="20"/>
      <c r="J63" s="20"/>
      <c r="K63" s="20"/>
      <c r="L63" s="21"/>
      <c r="M63" s="21"/>
      <c r="N63" s="21"/>
      <c r="O63" s="21"/>
    </row>
    <row r="64" spans="1:15" x14ac:dyDescent="0.3">
      <c r="A64" s="20"/>
      <c r="B64" s="21"/>
      <c r="C64" s="21"/>
      <c r="D64" s="22"/>
      <c r="E64" s="21"/>
      <c r="G64" s="20"/>
      <c r="H64" s="20"/>
      <c r="I64" s="20"/>
      <c r="J64" s="20"/>
      <c r="K64" s="20"/>
      <c r="L64" s="21"/>
      <c r="M64" s="21"/>
      <c r="N64" s="21"/>
      <c r="O64" s="21"/>
    </row>
    <row r="65" spans="1:15" x14ac:dyDescent="0.3">
      <c r="A65" s="20"/>
      <c r="B65" s="21"/>
      <c r="C65" s="21"/>
      <c r="D65" s="22"/>
      <c r="E65" s="21"/>
      <c r="G65" s="20"/>
      <c r="H65" s="20"/>
      <c r="I65" s="20"/>
      <c r="J65" s="20"/>
      <c r="K65" s="20"/>
      <c r="L65" s="21"/>
      <c r="M65" s="21"/>
      <c r="N65" s="21"/>
      <c r="O65" s="21"/>
    </row>
    <row r="66" spans="1:15" x14ac:dyDescent="0.3">
      <c r="A66" s="20"/>
      <c r="B66" s="21"/>
      <c r="C66" s="21"/>
      <c r="D66" s="22"/>
      <c r="E66" s="21"/>
      <c r="G66" s="20"/>
      <c r="H66" s="20"/>
      <c r="I66" s="20"/>
      <c r="J66" s="20"/>
      <c r="K66" s="20"/>
      <c r="L66" s="21"/>
      <c r="M66" s="21"/>
      <c r="N66" s="21"/>
      <c r="O66" s="21"/>
    </row>
    <row r="67" spans="1:15" x14ac:dyDescent="0.3">
      <c r="A67" s="20"/>
      <c r="B67" s="21"/>
      <c r="C67" s="21"/>
      <c r="D67" s="22"/>
      <c r="E67" s="21"/>
      <c r="G67" s="20"/>
      <c r="H67" s="20"/>
      <c r="I67" s="20"/>
      <c r="J67" s="20"/>
      <c r="K67" s="20"/>
      <c r="L67" s="21"/>
      <c r="M67" s="21"/>
      <c r="N67" s="21"/>
      <c r="O67" s="21"/>
    </row>
    <row r="68" spans="1:15" x14ac:dyDescent="0.3">
      <c r="A68" s="20"/>
      <c r="B68" s="21"/>
      <c r="C68" s="21"/>
      <c r="D68" s="22"/>
      <c r="E68" s="21"/>
      <c r="G68" s="20"/>
      <c r="H68" s="20"/>
      <c r="I68" s="20"/>
      <c r="J68" s="20"/>
      <c r="K68" s="20"/>
      <c r="L68" s="21"/>
      <c r="M68" s="21"/>
      <c r="N68" s="21"/>
      <c r="O68" s="21"/>
    </row>
    <row r="69" spans="1:15" x14ac:dyDescent="0.3">
      <c r="A69" s="20"/>
      <c r="B69" s="21"/>
      <c r="C69" s="21"/>
      <c r="D69" s="22"/>
      <c r="E69" s="21"/>
      <c r="G69" s="20"/>
      <c r="H69" s="20"/>
      <c r="I69" s="20"/>
      <c r="J69" s="20"/>
      <c r="K69" s="20"/>
      <c r="L69" s="21"/>
      <c r="M69" s="21"/>
      <c r="N69" s="21"/>
      <c r="O69" s="21"/>
    </row>
    <row r="70" spans="1:15" x14ac:dyDescent="0.3">
      <c r="A70" s="20"/>
      <c r="B70" s="21"/>
      <c r="C70" s="21"/>
      <c r="D70" s="22"/>
      <c r="E70" s="21"/>
      <c r="G70" s="20"/>
      <c r="H70" s="20"/>
      <c r="I70" s="20"/>
      <c r="J70" s="20"/>
      <c r="K70" s="20"/>
      <c r="L70" s="21"/>
      <c r="M70" s="21"/>
      <c r="N70" s="21"/>
      <c r="O70" s="21"/>
    </row>
    <row r="71" spans="1:15" x14ac:dyDescent="0.3">
      <c r="A71" s="20"/>
      <c r="B71" s="21"/>
      <c r="C71" s="21"/>
      <c r="D71" s="22"/>
      <c r="E71" s="21"/>
      <c r="G71" s="20"/>
      <c r="H71" s="20"/>
      <c r="I71" s="20"/>
      <c r="J71" s="20"/>
      <c r="K71" s="20"/>
      <c r="L71" s="21"/>
      <c r="M71" s="21"/>
      <c r="N71" s="21"/>
      <c r="O71" s="21"/>
    </row>
    <row r="72" spans="1:15" x14ac:dyDescent="0.3">
      <c r="A72" s="20"/>
      <c r="B72" s="21"/>
      <c r="C72" s="21"/>
      <c r="D72" s="22"/>
      <c r="E72" s="21"/>
      <c r="G72" s="20"/>
      <c r="H72" s="20"/>
      <c r="I72" s="20"/>
      <c r="J72" s="20"/>
      <c r="K72" s="20"/>
      <c r="L72" s="21"/>
      <c r="M72" s="21"/>
      <c r="N72" s="21"/>
      <c r="O72" s="21"/>
    </row>
    <row r="73" spans="1:15" x14ac:dyDescent="0.3">
      <c r="A73" s="20"/>
      <c r="B73" s="21"/>
      <c r="C73" s="21"/>
      <c r="D73" s="22"/>
      <c r="E73" s="21"/>
      <c r="F73" s="21"/>
      <c r="G73" s="20"/>
      <c r="H73" s="20"/>
      <c r="I73" s="20"/>
      <c r="J73" s="20"/>
      <c r="K73" s="20"/>
      <c r="L73" s="21"/>
      <c r="M73" s="21"/>
      <c r="N73" s="21"/>
      <c r="O73" s="21"/>
    </row>
    <row r="74" spans="1:15" x14ac:dyDescent="0.3">
      <c r="A74" s="20"/>
      <c r="B74" s="21"/>
      <c r="C74" s="21"/>
      <c r="D74" s="22"/>
      <c r="E74" s="21"/>
      <c r="G74" s="20"/>
      <c r="H74" s="20"/>
      <c r="I74" s="20"/>
      <c r="J74" s="20"/>
      <c r="K74" s="20"/>
      <c r="L74" s="21"/>
      <c r="M74" s="21"/>
      <c r="N74" s="21"/>
      <c r="O74" s="21"/>
    </row>
    <row r="75" spans="1:15" x14ac:dyDescent="0.3">
      <c r="A75" s="20"/>
      <c r="B75" s="21"/>
      <c r="C75" s="21"/>
      <c r="D75" s="22"/>
      <c r="E75" s="21"/>
      <c r="G75" s="20"/>
      <c r="H75" s="20"/>
      <c r="I75" s="20"/>
      <c r="J75" s="20"/>
      <c r="K75" s="20"/>
      <c r="L75" s="21"/>
      <c r="M75" s="21"/>
      <c r="N75" s="21"/>
      <c r="O75" s="21"/>
    </row>
    <row r="76" spans="1:15" x14ac:dyDescent="0.3">
      <c r="A76" s="20"/>
      <c r="B76" s="21"/>
      <c r="C76" s="21"/>
      <c r="D76" s="22"/>
      <c r="E76" s="21"/>
      <c r="G76" s="20"/>
      <c r="H76" s="20"/>
      <c r="I76" s="20"/>
      <c r="J76" s="20"/>
      <c r="K76" s="20"/>
      <c r="L76" s="21"/>
      <c r="M76" s="21"/>
      <c r="N76" s="21"/>
      <c r="O76" s="21"/>
    </row>
    <row r="77" spans="1:15" x14ac:dyDescent="0.3">
      <c r="A77" s="20"/>
      <c r="B77" s="21"/>
      <c r="C77" s="21"/>
      <c r="D77" s="22"/>
      <c r="E77" s="21"/>
      <c r="G77" s="20"/>
      <c r="H77" s="20"/>
      <c r="I77" s="20"/>
      <c r="J77" s="20"/>
      <c r="K77" s="20"/>
      <c r="L77" s="21"/>
      <c r="M77" s="21"/>
      <c r="N77" s="21"/>
      <c r="O77" s="21"/>
    </row>
    <row r="78" spans="1:15" x14ac:dyDescent="0.3">
      <c r="A78" s="20"/>
      <c r="B78" s="21"/>
      <c r="C78" s="21"/>
      <c r="D78" s="22"/>
      <c r="E78" s="21"/>
      <c r="G78" s="20"/>
      <c r="H78" s="20"/>
      <c r="I78" s="20"/>
      <c r="J78" s="20"/>
      <c r="K78" s="20"/>
      <c r="L78" s="21"/>
      <c r="M78" s="21"/>
      <c r="N78" s="21"/>
      <c r="O78" s="21"/>
    </row>
    <row r="79" spans="1:15" x14ac:dyDescent="0.3">
      <c r="A79" s="20"/>
      <c r="B79" s="21"/>
      <c r="C79" s="21"/>
      <c r="D79" s="22"/>
      <c r="E79" s="21"/>
      <c r="G79" s="20"/>
      <c r="H79" s="20"/>
      <c r="I79" s="20"/>
      <c r="J79" s="20"/>
      <c r="K79" s="20"/>
      <c r="L79" s="21"/>
      <c r="M79" s="21"/>
      <c r="N79" s="21"/>
      <c r="O79" s="21"/>
    </row>
    <row r="80" spans="1:15" x14ac:dyDescent="0.3">
      <c r="A80" s="20"/>
      <c r="B80" s="21"/>
      <c r="C80" s="21"/>
      <c r="D80" s="22"/>
      <c r="E80" s="21"/>
      <c r="F80" s="21"/>
      <c r="G80" s="20"/>
      <c r="H80" s="20"/>
      <c r="I80" s="20"/>
      <c r="J80" s="20"/>
      <c r="K80" s="20"/>
      <c r="L80" s="21"/>
      <c r="M80" s="21"/>
      <c r="N80" s="21"/>
      <c r="O80" s="21"/>
    </row>
    <row r="81" spans="1:15" x14ac:dyDescent="0.3">
      <c r="A81" s="20"/>
      <c r="B81" s="21"/>
      <c r="C81" s="21"/>
      <c r="D81" s="22"/>
      <c r="E81" s="21"/>
      <c r="G81" s="20"/>
      <c r="H81" s="20"/>
      <c r="I81" s="20"/>
      <c r="J81" s="20"/>
      <c r="K81" s="20"/>
      <c r="L81" s="21"/>
      <c r="M81" s="21"/>
      <c r="N81" s="21"/>
      <c r="O81" s="21"/>
    </row>
    <row r="82" spans="1:15" x14ac:dyDescent="0.3">
      <c r="A82" s="20"/>
      <c r="B82" s="21"/>
      <c r="C82" s="21"/>
      <c r="D82" s="22"/>
      <c r="E82" s="21"/>
      <c r="F82" s="21"/>
      <c r="G82" s="20"/>
      <c r="H82" s="20"/>
      <c r="I82" s="20"/>
      <c r="J82" s="20"/>
      <c r="K82" s="20"/>
      <c r="L82" s="21"/>
      <c r="M82" s="21"/>
      <c r="N82" s="21"/>
      <c r="O82" s="21"/>
    </row>
    <row r="83" spans="1:15" x14ac:dyDescent="0.3">
      <c r="A83" s="20"/>
      <c r="B83" s="21"/>
      <c r="C83" s="21"/>
      <c r="D83" s="22"/>
      <c r="E83" s="21"/>
      <c r="G83" s="20"/>
      <c r="H83" s="20"/>
      <c r="I83" s="20"/>
      <c r="J83" s="20"/>
      <c r="K83" s="20"/>
      <c r="L83" s="21"/>
      <c r="M83" s="21"/>
      <c r="N83" s="21"/>
      <c r="O83" s="21"/>
    </row>
    <row r="84" spans="1:15" x14ac:dyDescent="0.3">
      <c r="A84" s="20"/>
      <c r="B84" s="21"/>
      <c r="C84" s="21"/>
      <c r="D84" s="22"/>
      <c r="E84" s="21"/>
      <c r="G84" s="20"/>
      <c r="H84" s="20"/>
      <c r="I84" s="20"/>
      <c r="J84" s="20"/>
      <c r="K84" s="20"/>
      <c r="L84" s="21"/>
      <c r="M84" s="21"/>
      <c r="N84" s="21"/>
      <c r="O84" s="21"/>
    </row>
    <row r="85" spans="1:15" x14ac:dyDescent="0.3">
      <c r="A85" s="20"/>
      <c r="B85" s="21"/>
      <c r="C85" s="21"/>
      <c r="D85" s="22"/>
      <c r="E85" s="21"/>
      <c r="G85" s="20"/>
      <c r="H85" s="20"/>
      <c r="I85" s="20"/>
      <c r="J85" s="20"/>
      <c r="K85" s="20"/>
      <c r="L85" s="21"/>
      <c r="M85" s="21"/>
      <c r="N85" s="21"/>
      <c r="O85" s="21"/>
    </row>
    <row r="86" spans="1:15" x14ac:dyDescent="0.3">
      <c r="A86" s="20"/>
      <c r="B86" s="21"/>
      <c r="C86" s="21"/>
      <c r="D86" s="22"/>
      <c r="E86" s="21"/>
      <c r="G86" s="20"/>
      <c r="H86" s="20"/>
      <c r="I86" s="20"/>
      <c r="J86" s="20"/>
      <c r="K86" s="20"/>
      <c r="L86" s="21"/>
      <c r="M86" s="21"/>
      <c r="N86" s="21"/>
      <c r="O86" s="21"/>
    </row>
    <row r="87" spans="1:15" x14ac:dyDescent="0.3">
      <c r="A87" s="20"/>
      <c r="B87" s="21"/>
      <c r="C87" s="21"/>
      <c r="D87" s="22"/>
      <c r="E87" s="21"/>
      <c r="G87" s="20"/>
      <c r="H87" s="20"/>
      <c r="I87" s="20"/>
      <c r="J87" s="20"/>
      <c r="K87" s="20"/>
      <c r="L87" s="21"/>
      <c r="M87" s="21"/>
      <c r="N87" s="21"/>
      <c r="O87" s="21"/>
    </row>
    <row r="88" spans="1:15" x14ac:dyDescent="0.3">
      <c r="A88" s="20"/>
      <c r="B88" s="21"/>
      <c r="C88" s="21"/>
      <c r="D88" s="22"/>
      <c r="E88" s="21"/>
      <c r="G88" s="20"/>
      <c r="H88" s="20"/>
      <c r="I88" s="20"/>
      <c r="J88" s="20"/>
      <c r="K88" s="20"/>
      <c r="L88" s="21"/>
      <c r="M88" s="21"/>
      <c r="N88" s="21"/>
      <c r="O88" s="21"/>
    </row>
    <row r="89" spans="1:15" x14ac:dyDescent="0.3">
      <c r="A89" s="20"/>
      <c r="B89" s="21"/>
      <c r="C89" s="21"/>
      <c r="D89" s="22"/>
      <c r="E89" s="21"/>
      <c r="G89" s="20"/>
      <c r="H89" s="20"/>
      <c r="I89" s="20"/>
      <c r="J89" s="20"/>
      <c r="K89" s="20"/>
      <c r="L89" s="21"/>
      <c r="M89" s="21"/>
      <c r="N89" s="21"/>
      <c r="O89" s="21"/>
    </row>
    <row r="90" spans="1:15" x14ac:dyDescent="0.3">
      <c r="A90" s="20"/>
      <c r="B90" s="21"/>
      <c r="C90" s="21"/>
      <c r="D90" s="22"/>
      <c r="E90" s="21"/>
      <c r="G90" s="20"/>
      <c r="H90" s="20"/>
      <c r="I90" s="20"/>
      <c r="J90" s="20"/>
      <c r="K90" s="20"/>
      <c r="L90" s="21"/>
      <c r="M90" s="21"/>
      <c r="N90" s="21"/>
      <c r="O90" s="21"/>
    </row>
    <row r="91" spans="1:15" x14ac:dyDescent="0.3">
      <c r="A91" s="20"/>
      <c r="B91" s="21"/>
      <c r="C91" s="21"/>
      <c r="D91" s="22"/>
      <c r="E91" s="21"/>
      <c r="G91" s="20"/>
      <c r="H91" s="20"/>
      <c r="I91" s="20"/>
      <c r="J91" s="20"/>
      <c r="K91" s="20"/>
      <c r="L91" s="21"/>
      <c r="M91" s="21"/>
      <c r="N91" s="21"/>
      <c r="O91" s="21"/>
    </row>
    <row r="92" spans="1:15" x14ac:dyDescent="0.3">
      <c r="A92" s="20"/>
      <c r="B92" s="21"/>
      <c r="C92" s="21"/>
      <c r="D92" s="22"/>
      <c r="E92" s="21"/>
      <c r="G92" s="20"/>
      <c r="H92" s="20"/>
      <c r="I92" s="20"/>
      <c r="J92" s="20"/>
      <c r="K92" s="20"/>
      <c r="L92" s="21"/>
      <c r="M92" s="21"/>
      <c r="N92" s="21"/>
      <c r="O92" s="21"/>
    </row>
    <row r="93" spans="1:15" x14ac:dyDescent="0.3">
      <c r="A93" s="20"/>
      <c r="B93" s="21"/>
      <c r="C93" s="21"/>
      <c r="D93" s="22"/>
      <c r="E93" s="21"/>
      <c r="G93" s="20"/>
      <c r="H93" s="20"/>
      <c r="I93" s="20"/>
      <c r="J93" s="20"/>
      <c r="K93" s="20"/>
      <c r="L93" s="21"/>
      <c r="M93" s="21"/>
      <c r="N93" s="21"/>
      <c r="O93" s="21"/>
    </row>
    <row r="94" spans="1:15" x14ac:dyDescent="0.3">
      <c r="A94" s="20"/>
      <c r="B94" s="21"/>
      <c r="C94" s="21"/>
      <c r="D94" s="22"/>
      <c r="E94" s="21"/>
      <c r="G94" s="20"/>
      <c r="H94" s="20"/>
      <c r="I94" s="20"/>
      <c r="J94" s="20"/>
      <c r="K94" s="20"/>
      <c r="L94" s="21"/>
      <c r="M94" s="21"/>
      <c r="N94" s="21"/>
      <c r="O94" s="21"/>
    </row>
    <row r="95" spans="1:15" x14ac:dyDescent="0.3">
      <c r="A95" s="20"/>
      <c r="B95" s="21"/>
      <c r="C95" s="21"/>
      <c r="D95" s="22"/>
      <c r="E95" s="21"/>
      <c r="G95" s="20"/>
      <c r="H95" s="20"/>
      <c r="I95" s="20"/>
      <c r="J95" s="20"/>
      <c r="K95" s="20"/>
      <c r="L95" s="21"/>
      <c r="M95" s="21"/>
      <c r="N95" s="21"/>
      <c r="O95" s="21"/>
    </row>
    <row r="96" spans="1:15" x14ac:dyDescent="0.3">
      <c r="A96" s="20"/>
      <c r="B96" s="21"/>
      <c r="C96" s="21"/>
      <c r="D96" s="22"/>
      <c r="E96" s="21"/>
      <c r="G96" s="20"/>
      <c r="H96" s="20"/>
      <c r="I96" s="20"/>
      <c r="J96" s="20"/>
      <c r="K96" s="20"/>
      <c r="L96" s="21"/>
      <c r="M96" s="21"/>
      <c r="N96" s="21"/>
      <c r="O96" s="21"/>
    </row>
    <row r="97" spans="1:15" x14ac:dyDescent="0.3">
      <c r="A97" s="20"/>
      <c r="B97" s="21"/>
      <c r="C97" s="21"/>
      <c r="D97" s="22"/>
      <c r="E97" s="21"/>
      <c r="F97" s="21"/>
      <c r="G97" s="20"/>
      <c r="H97" s="20"/>
      <c r="I97" s="20"/>
      <c r="J97" s="20"/>
      <c r="K97" s="20"/>
      <c r="L97" s="21"/>
      <c r="M97" s="21"/>
      <c r="N97" s="21"/>
      <c r="O97" s="21"/>
    </row>
    <row r="98" spans="1:15" x14ac:dyDescent="0.3">
      <c r="A98" s="20"/>
      <c r="B98" s="21"/>
      <c r="C98" s="21"/>
      <c r="D98" s="22"/>
      <c r="E98" s="21"/>
      <c r="G98" s="20"/>
      <c r="H98" s="20"/>
      <c r="I98" s="20"/>
      <c r="J98" s="20"/>
      <c r="K98" s="20"/>
      <c r="L98" s="21"/>
      <c r="M98" s="21"/>
      <c r="N98" s="21"/>
      <c r="O98" s="21"/>
    </row>
    <row r="99" spans="1:15" x14ac:dyDescent="0.3">
      <c r="A99" s="20"/>
      <c r="B99" s="21"/>
      <c r="C99" s="21"/>
      <c r="D99" s="22"/>
      <c r="E99" s="21"/>
      <c r="G99" s="20"/>
      <c r="H99" s="20"/>
      <c r="I99" s="20"/>
      <c r="J99" s="20"/>
      <c r="K99" s="20"/>
      <c r="L99" s="21"/>
      <c r="M99" s="21"/>
      <c r="N99" s="21"/>
      <c r="O99" s="21"/>
    </row>
    <row r="100" spans="1:15" x14ac:dyDescent="0.3">
      <c r="A100" s="20"/>
      <c r="B100" s="21"/>
      <c r="C100" s="21"/>
      <c r="D100" s="22"/>
      <c r="E100" s="21"/>
      <c r="G100" s="20"/>
      <c r="H100" s="20"/>
      <c r="I100" s="20"/>
      <c r="J100" s="20"/>
      <c r="K100" s="20"/>
      <c r="L100" s="21"/>
      <c r="M100" s="21"/>
      <c r="N100" s="21"/>
      <c r="O100" s="21"/>
    </row>
    <row r="101" spans="1:15" x14ac:dyDescent="0.3">
      <c r="A101" s="20"/>
      <c r="B101" s="21"/>
      <c r="C101" s="21"/>
      <c r="D101" s="22"/>
      <c r="E101" s="21"/>
      <c r="G101" s="20"/>
      <c r="H101" s="20"/>
      <c r="I101" s="20"/>
      <c r="J101" s="20"/>
      <c r="K101" s="20"/>
      <c r="L101" s="21"/>
      <c r="M101" s="21"/>
      <c r="N101" s="21"/>
      <c r="O101" s="21"/>
    </row>
    <row r="102" spans="1:15" x14ac:dyDescent="0.3">
      <c r="A102" s="20"/>
      <c r="B102" s="21"/>
      <c r="C102" s="21"/>
      <c r="D102" s="22"/>
      <c r="E102" s="21"/>
      <c r="G102" s="20"/>
      <c r="H102" s="20"/>
      <c r="I102" s="20"/>
      <c r="J102" s="20"/>
      <c r="K102" s="20"/>
      <c r="L102" s="21"/>
      <c r="M102" s="21"/>
      <c r="N102" s="21"/>
      <c r="O102" s="21"/>
    </row>
    <row r="103" spans="1:15" x14ac:dyDescent="0.3">
      <c r="A103" s="20"/>
      <c r="B103" s="21"/>
      <c r="C103" s="21"/>
      <c r="D103" s="22"/>
      <c r="E103" s="21"/>
      <c r="G103" s="20"/>
      <c r="H103" s="20"/>
      <c r="I103" s="20"/>
      <c r="J103" s="20"/>
      <c r="K103" s="20"/>
      <c r="L103" s="21"/>
      <c r="M103" s="21"/>
      <c r="N103" s="21"/>
      <c r="O103" s="21"/>
    </row>
    <row r="104" spans="1:15" x14ac:dyDescent="0.3">
      <c r="A104" s="20"/>
      <c r="B104" s="21"/>
      <c r="C104" s="21"/>
      <c r="D104" s="22"/>
      <c r="E104" s="21"/>
      <c r="G104" s="20"/>
      <c r="H104" s="20"/>
      <c r="I104" s="20"/>
      <c r="J104" s="20"/>
      <c r="K104" s="20"/>
      <c r="L104" s="21"/>
      <c r="M104" s="21"/>
      <c r="N104" s="21"/>
      <c r="O104" s="21"/>
    </row>
    <row r="105" spans="1:15" x14ac:dyDescent="0.3">
      <c r="A105" s="20"/>
      <c r="B105" s="21"/>
      <c r="C105" s="21"/>
      <c r="D105" s="22"/>
      <c r="E105" s="21"/>
      <c r="G105" s="20"/>
      <c r="H105" s="20"/>
      <c r="I105" s="20"/>
      <c r="J105" s="20"/>
      <c r="K105" s="20"/>
      <c r="L105" s="21"/>
      <c r="M105" s="21"/>
      <c r="N105" s="21"/>
      <c r="O105" s="21"/>
    </row>
    <row r="106" spans="1:15" x14ac:dyDescent="0.3">
      <c r="A106" s="20"/>
      <c r="B106" s="21"/>
      <c r="C106" s="21"/>
      <c r="D106" s="22"/>
      <c r="E106" s="21"/>
      <c r="G106" s="20"/>
      <c r="H106" s="20"/>
      <c r="I106" s="20"/>
      <c r="J106" s="20"/>
      <c r="K106" s="20"/>
      <c r="L106" s="21"/>
      <c r="M106" s="21"/>
      <c r="N106" s="21"/>
      <c r="O106" s="21"/>
    </row>
    <row r="107" spans="1:15" x14ac:dyDescent="0.3">
      <c r="A107" s="20"/>
      <c r="B107" s="21"/>
      <c r="C107" s="21"/>
      <c r="D107" s="22"/>
      <c r="E107" s="21"/>
      <c r="G107" s="20"/>
      <c r="H107" s="20"/>
      <c r="I107" s="20"/>
      <c r="J107" s="20"/>
      <c r="K107" s="20"/>
      <c r="L107" s="21"/>
      <c r="M107" s="21"/>
      <c r="N107" s="21"/>
      <c r="O107" s="21"/>
    </row>
    <row r="108" spans="1:15" x14ac:dyDescent="0.3">
      <c r="A108" s="20"/>
      <c r="B108" s="21"/>
      <c r="C108" s="21"/>
      <c r="D108" s="22"/>
      <c r="E108" s="21"/>
      <c r="G108" s="20"/>
      <c r="H108" s="20"/>
      <c r="I108" s="20"/>
      <c r="J108" s="20"/>
      <c r="K108" s="20"/>
      <c r="L108" s="21"/>
      <c r="M108" s="21"/>
      <c r="N108" s="21"/>
      <c r="O108" s="21"/>
    </row>
    <row r="109" spans="1:15" x14ac:dyDescent="0.3">
      <c r="A109" s="20"/>
      <c r="B109" s="21"/>
      <c r="C109" s="21"/>
      <c r="D109" s="22"/>
      <c r="E109" s="21"/>
      <c r="G109" s="20"/>
      <c r="H109" s="20"/>
      <c r="I109" s="20"/>
      <c r="J109" s="20"/>
      <c r="K109" s="20"/>
      <c r="L109" s="21"/>
      <c r="M109" s="21"/>
      <c r="N109" s="21"/>
      <c r="O109" s="21"/>
    </row>
    <row r="110" spans="1:15" x14ac:dyDescent="0.3">
      <c r="A110" s="20"/>
      <c r="B110" s="21"/>
      <c r="C110" s="21"/>
      <c r="D110" s="22"/>
      <c r="E110" s="21"/>
      <c r="G110" s="20"/>
      <c r="H110" s="20"/>
      <c r="I110" s="20"/>
      <c r="J110" s="20"/>
      <c r="K110" s="20"/>
      <c r="L110" s="21"/>
      <c r="M110" s="21"/>
      <c r="N110" s="21"/>
      <c r="O110" s="21"/>
    </row>
    <row r="111" spans="1:15" x14ac:dyDescent="0.3">
      <c r="A111" s="20"/>
      <c r="B111" s="21"/>
      <c r="C111" s="21"/>
      <c r="D111" s="22"/>
      <c r="E111" s="21"/>
      <c r="F111" s="21"/>
      <c r="G111" s="20"/>
      <c r="H111" s="20"/>
      <c r="I111" s="20"/>
      <c r="J111" s="20"/>
      <c r="K111" s="20"/>
      <c r="L111" s="21"/>
      <c r="M111" s="21"/>
      <c r="N111" s="21"/>
      <c r="O111" s="21"/>
    </row>
    <row r="112" spans="1:15" x14ac:dyDescent="0.3">
      <c r="A112" s="20"/>
      <c r="B112" s="21"/>
      <c r="C112" s="21"/>
      <c r="D112" s="22"/>
      <c r="E112" s="21"/>
      <c r="G112" s="20"/>
      <c r="H112" s="20"/>
      <c r="I112" s="20"/>
      <c r="J112" s="20"/>
      <c r="K112" s="20"/>
      <c r="L112" s="21"/>
      <c r="M112" s="21"/>
      <c r="N112" s="21"/>
      <c r="O112" s="21"/>
    </row>
    <row r="113" spans="1:15" x14ac:dyDescent="0.3">
      <c r="A113" s="20"/>
      <c r="B113" s="21"/>
      <c r="C113" s="21"/>
      <c r="D113" s="22"/>
      <c r="E113" s="21"/>
      <c r="G113" s="20"/>
      <c r="H113" s="20"/>
      <c r="I113" s="20"/>
      <c r="J113" s="20"/>
      <c r="K113" s="20"/>
      <c r="L113" s="21"/>
      <c r="M113" s="21"/>
      <c r="N113" s="21"/>
      <c r="O113" s="21"/>
    </row>
    <row r="114" spans="1:15" x14ac:dyDescent="0.3">
      <c r="A114" s="20"/>
      <c r="B114" s="21"/>
      <c r="C114" s="21"/>
      <c r="D114" s="22"/>
      <c r="E114" s="21"/>
      <c r="F114" s="21"/>
      <c r="G114" s="20"/>
      <c r="H114" s="20"/>
      <c r="I114" s="20"/>
      <c r="J114" s="20"/>
      <c r="K114" s="20"/>
      <c r="L114" s="21"/>
      <c r="M114" s="21"/>
      <c r="N114" s="21"/>
      <c r="O114" s="21"/>
    </row>
    <row r="115" spans="1:15" x14ac:dyDescent="0.3">
      <c r="A115" s="20"/>
      <c r="B115" s="21"/>
      <c r="C115" s="21"/>
      <c r="D115" s="22"/>
      <c r="E115" s="21"/>
      <c r="G115" s="20"/>
      <c r="H115" s="20"/>
      <c r="I115" s="20"/>
      <c r="J115" s="20"/>
      <c r="K115" s="20"/>
      <c r="L115" s="21"/>
      <c r="M115" s="21"/>
      <c r="N115" s="21"/>
      <c r="O115" s="21"/>
    </row>
    <row r="116" spans="1:15" x14ac:dyDescent="0.3">
      <c r="A116" s="20"/>
      <c r="B116" s="21"/>
      <c r="C116" s="21"/>
      <c r="D116" s="22"/>
      <c r="E116" s="21"/>
      <c r="G116" s="20"/>
      <c r="H116" s="20"/>
      <c r="I116" s="20"/>
      <c r="J116" s="20"/>
      <c r="K116" s="20"/>
      <c r="L116" s="21"/>
      <c r="M116" s="21"/>
      <c r="N116" s="21"/>
      <c r="O116" s="21"/>
    </row>
    <row r="117" spans="1:15" x14ac:dyDescent="0.3">
      <c r="A117" s="20"/>
      <c r="B117" s="21"/>
      <c r="C117" s="21"/>
      <c r="D117" s="22"/>
      <c r="E117" s="21"/>
      <c r="G117" s="20"/>
      <c r="H117" s="20"/>
      <c r="I117" s="20"/>
      <c r="J117" s="20"/>
      <c r="K117" s="20"/>
      <c r="L117" s="21"/>
      <c r="M117" s="21"/>
      <c r="N117" s="21"/>
      <c r="O117" s="21"/>
    </row>
    <row r="118" spans="1:15" x14ac:dyDescent="0.3">
      <c r="A118" s="20"/>
      <c r="B118" s="21"/>
      <c r="C118" s="21"/>
      <c r="D118" s="22"/>
      <c r="E118" s="21"/>
      <c r="G118" s="20"/>
      <c r="H118" s="20"/>
      <c r="I118" s="20"/>
      <c r="J118" s="20"/>
      <c r="K118" s="20"/>
      <c r="L118" s="21"/>
      <c r="M118" s="21"/>
      <c r="N118" s="21"/>
      <c r="O118" s="21"/>
    </row>
    <row r="119" spans="1:15" x14ac:dyDescent="0.3">
      <c r="A119" s="20"/>
      <c r="B119" s="21"/>
      <c r="C119" s="21"/>
      <c r="D119" s="22"/>
      <c r="E119" s="21"/>
      <c r="G119" s="20"/>
      <c r="H119" s="20"/>
      <c r="I119" s="20"/>
      <c r="J119" s="20"/>
      <c r="K119" s="20"/>
      <c r="L119" s="21"/>
      <c r="M119" s="21"/>
      <c r="N119" s="21"/>
      <c r="O119" s="21"/>
    </row>
    <row r="120" spans="1:15" x14ac:dyDescent="0.3">
      <c r="A120" s="20"/>
      <c r="B120" s="21"/>
      <c r="C120" s="21"/>
      <c r="D120" s="22"/>
      <c r="E120" s="21"/>
      <c r="G120" s="20"/>
      <c r="H120" s="20"/>
      <c r="I120" s="20"/>
      <c r="J120" s="20"/>
      <c r="K120" s="20"/>
      <c r="L120" s="21"/>
      <c r="M120" s="21"/>
      <c r="N120" s="21"/>
      <c r="O120" s="21"/>
    </row>
    <row r="121" spans="1:15" x14ac:dyDescent="0.3">
      <c r="A121" s="20"/>
      <c r="B121" s="21"/>
      <c r="C121" s="21"/>
      <c r="D121" s="22"/>
      <c r="E121" s="21"/>
      <c r="G121" s="20"/>
      <c r="H121" s="20"/>
      <c r="I121" s="20"/>
      <c r="J121" s="20"/>
      <c r="K121" s="20"/>
      <c r="L121" s="21"/>
      <c r="M121" s="21"/>
      <c r="N121" s="21"/>
      <c r="O121" s="21"/>
    </row>
    <row r="122" spans="1:15" x14ac:dyDescent="0.3">
      <c r="A122" s="20"/>
      <c r="B122" s="21"/>
      <c r="C122" s="21"/>
      <c r="D122" s="22"/>
      <c r="E122" s="21"/>
      <c r="G122" s="20"/>
      <c r="H122" s="20"/>
      <c r="I122" s="20"/>
      <c r="J122" s="20"/>
      <c r="K122" s="20"/>
      <c r="L122" s="21"/>
      <c r="M122" s="21"/>
      <c r="N122" s="21"/>
      <c r="O122" s="21"/>
    </row>
    <row r="123" spans="1:15" x14ac:dyDescent="0.3">
      <c r="A123" s="20"/>
      <c r="B123" s="21"/>
      <c r="C123" s="21"/>
      <c r="D123" s="22"/>
      <c r="E123" s="21"/>
      <c r="G123" s="20"/>
      <c r="H123" s="20"/>
      <c r="I123" s="20"/>
      <c r="J123" s="20"/>
      <c r="K123" s="20"/>
      <c r="L123" s="21"/>
      <c r="M123" s="21"/>
      <c r="N123" s="21"/>
      <c r="O123" s="21"/>
    </row>
    <row r="124" spans="1:15" x14ac:dyDescent="0.3">
      <c r="A124" s="20"/>
      <c r="B124" s="21"/>
      <c r="C124" s="21"/>
      <c r="D124" s="22"/>
      <c r="E124" s="21"/>
      <c r="G124" s="20"/>
      <c r="H124" s="20"/>
      <c r="I124" s="20"/>
      <c r="J124" s="20"/>
      <c r="K124" s="20"/>
      <c r="L124" s="21"/>
      <c r="M124" s="21"/>
      <c r="N124" s="21"/>
      <c r="O124" s="21"/>
    </row>
    <row r="125" spans="1:15" x14ac:dyDescent="0.3">
      <c r="A125" s="20"/>
      <c r="B125" s="21"/>
      <c r="C125" s="21"/>
      <c r="D125" s="22"/>
      <c r="E125" s="21"/>
      <c r="F125" s="21"/>
      <c r="G125" s="20"/>
      <c r="H125" s="20"/>
      <c r="I125" s="20"/>
      <c r="J125" s="20"/>
      <c r="K125" s="20"/>
      <c r="L125" s="21"/>
      <c r="M125" s="21"/>
      <c r="N125" s="21"/>
      <c r="O125" s="21"/>
    </row>
    <row r="126" spans="1:15" x14ac:dyDescent="0.3">
      <c r="A126" s="20"/>
      <c r="B126" s="21"/>
      <c r="C126" s="21"/>
      <c r="D126" s="22"/>
      <c r="E126" s="21"/>
      <c r="G126" s="20"/>
      <c r="H126" s="20"/>
      <c r="I126" s="20"/>
      <c r="J126" s="20"/>
      <c r="K126" s="20"/>
      <c r="L126" s="21"/>
      <c r="M126" s="21"/>
      <c r="N126" s="21"/>
      <c r="O126" s="21"/>
    </row>
    <row r="127" spans="1:15" x14ac:dyDescent="0.3">
      <c r="A127" s="20"/>
      <c r="B127" s="21"/>
      <c r="C127" s="21"/>
      <c r="D127" s="22"/>
      <c r="E127" s="21"/>
      <c r="G127" s="20"/>
      <c r="H127" s="20"/>
      <c r="I127" s="20"/>
      <c r="J127" s="20"/>
      <c r="K127" s="20"/>
      <c r="L127" s="21"/>
      <c r="M127" s="21"/>
      <c r="N127" s="21"/>
      <c r="O127" s="21"/>
    </row>
    <row r="128" spans="1:15" x14ac:dyDescent="0.3">
      <c r="A128" s="20"/>
      <c r="B128" s="21"/>
      <c r="C128" s="21"/>
      <c r="D128" s="22"/>
      <c r="E128" s="21"/>
      <c r="G128" s="20"/>
      <c r="H128" s="20"/>
      <c r="I128" s="20"/>
      <c r="J128" s="20"/>
      <c r="K128" s="20"/>
      <c r="L128" s="21"/>
      <c r="M128" s="21"/>
      <c r="N128" s="21"/>
      <c r="O128" s="21"/>
    </row>
    <row r="129" spans="1:15" x14ac:dyDescent="0.3">
      <c r="A129" s="20"/>
      <c r="B129" s="21"/>
      <c r="C129" s="21"/>
      <c r="D129" s="22"/>
      <c r="E129" s="21"/>
      <c r="G129" s="20"/>
      <c r="H129" s="20"/>
      <c r="I129" s="20"/>
      <c r="J129" s="20"/>
      <c r="K129" s="20"/>
      <c r="L129" s="21"/>
      <c r="M129" s="21"/>
      <c r="N129" s="21"/>
      <c r="O129" s="21"/>
    </row>
    <row r="130" spans="1:15" x14ac:dyDescent="0.3">
      <c r="A130" s="20"/>
      <c r="B130" s="21"/>
      <c r="C130" s="21"/>
      <c r="D130" s="22"/>
      <c r="E130" s="21"/>
      <c r="G130" s="20"/>
      <c r="H130" s="20"/>
      <c r="I130" s="20"/>
      <c r="J130" s="20"/>
      <c r="K130" s="20"/>
      <c r="L130" s="21"/>
      <c r="M130" s="21"/>
      <c r="N130" s="21"/>
      <c r="O130" s="21"/>
    </row>
    <row r="131" spans="1:15" x14ac:dyDescent="0.3">
      <c r="A131" s="20"/>
      <c r="B131" s="21"/>
      <c r="C131" s="21"/>
      <c r="D131" s="22"/>
      <c r="E131" s="21"/>
      <c r="G131" s="20"/>
      <c r="H131" s="20"/>
      <c r="I131" s="20"/>
      <c r="J131" s="20"/>
      <c r="K131" s="20"/>
      <c r="L131" s="21"/>
      <c r="M131" s="21"/>
      <c r="N131" s="21"/>
      <c r="O131" s="21"/>
    </row>
    <row r="132" spans="1:15" x14ac:dyDescent="0.3">
      <c r="A132" s="20"/>
      <c r="B132" s="21"/>
      <c r="C132" s="21"/>
      <c r="D132" s="22"/>
      <c r="E132" s="21"/>
      <c r="G132" s="20"/>
      <c r="H132" s="20"/>
      <c r="I132" s="20"/>
      <c r="J132" s="20"/>
      <c r="K132" s="20"/>
      <c r="L132" s="21"/>
      <c r="M132" s="21"/>
      <c r="N132" s="21"/>
      <c r="O132" s="21"/>
    </row>
    <row r="133" spans="1:15" x14ac:dyDescent="0.3">
      <c r="A133" s="20"/>
      <c r="B133" s="21"/>
      <c r="C133" s="21"/>
      <c r="D133" s="22"/>
      <c r="E133" s="21"/>
      <c r="G133" s="20"/>
      <c r="H133" s="20"/>
      <c r="I133" s="20"/>
      <c r="J133" s="20"/>
      <c r="K133" s="20"/>
      <c r="L133" s="21"/>
      <c r="M133" s="21"/>
      <c r="N133" s="21"/>
      <c r="O133" s="21"/>
    </row>
    <row r="134" spans="1:15" x14ac:dyDescent="0.3">
      <c r="A134" s="20"/>
      <c r="B134" s="21"/>
      <c r="C134" s="21"/>
      <c r="D134" s="22"/>
      <c r="E134" s="21"/>
      <c r="G134" s="20"/>
      <c r="H134" s="20"/>
      <c r="I134" s="20"/>
      <c r="J134" s="20"/>
      <c r="K134" s="20"/>
      <c r="L134" s="21"/>
      <c r="M134" s="21"/>
      <c r="N134" s="21"/>
      <c r="O134" s="21"/>
    </row>
    <row r="135" spans="1:15" x14ac:dyDescent="0.3">
      <c r="A135" s="20"/>
      <c r="B135" s="21"/>
      <c r="C135" s="21"/>
      <c r="D135" s="22"/>
      <c r="E135" s="21"/>
      <c r="G135" s="20"/>
      <c r="H135" s="20"/>
      <c r="I135" s="20"/>
      <c r="J135" s="20"/>
      <c r="K135" s="20"/>
      <c r="L135" s="21"/>
      <c r="M135" s="21"/>
      <c r="N135" s="21"/>
      <c r="O135" s="21"/>
    </row>
    <row r="136" spans="1:15" x14ac:dyDescent="0.3">
      <c r="A136" s="20"/>
      <c r="B136" s="21"/>
      <c r="C136" s="21"/>
      <c r="D136" s="22"/>
      <c r="E136" s="21"/>
      <c r="G136" s="20"/>
      <c r="H136" s="20"/>
      <c r="I136" s="20"/>
      <c r="J136" s="20"/>
      <c r="K136" s="20"/>
      <c r="L136" s="21"/>
      <c r="M136" s="21"/>
      <c r="N136" s="21"/>
      <c r="O136" s="21"/>
    </row>
    <row r="137" spans="1:15" x14ac:dyDescent="0.3">
      <c r="A137" s="20"/>
      <c r="B137" s="21"/>
      <c r="C137" s="21"/>
      <c r="D137" s="22"/>
      <c r="E137" s="21"/>
      <c r="G137" s="20"/>
      <c r="H137" s="20"/>
      <c r="I137" s="20"/>
      <c r="J137" s="20"/>
      <c r="K137" s="20"/>
      <c r="L137" s="21"/>
      <c r="M137" s="21"/>
      <c r="N137" s="21"/>
      <c r="O137" s="21"/>
    </row>
    <row r="138" spans="1:15" x14ac:dyDescent="0.3">
      <c r="A138" s="20"/>
      <c r="B138" s="21"/>
      <c r="C138" s="21"/>
      <c r="D138" s="22"/>
      <c r="E138" s="21"/>
      <c r="G138" s="20"/>
      <c r="H138" s="20"/>
      <c r="I138" s="20"/>
      <c r="J138" s="20"/>
      <c r="K138" s="20"/>
      <c r="L138" s="21"/>
      <c r="M138" s="21"/>
      <c r="N138" s="21"/>
      <c r="O138" s="21"/>
    </row>
    <row r="139" spans="1:15" x14ac:dyDescent="0.3">
      <c r="A139" s="20"/>
      <c r="B139" s="21"/>
      <c r="C139" s="21"/>
      <c r="D139" s="22"/>
      <c r="E139" s="21"/>
      <c r="G139" s="20"/>
      <c r="H139" s="20"/>
      <c r="I139" s="20"/>
      <c r="J139" s="20"/>
      <c r="K139" s="20"/>
      <c r="L139" s="21"/>
      <c r="M139" s="21"/>
      <c r="N139" s="21"/>
      <c r="O139" s="21"/>
    </row>
    <row r="140" spans="1:15" x14ac:dyDescent="0.3">
      <c r="A140" s="20"/>
      <c r="B140" s="21"/>
      <c r="C140" s="21"/>
      <c r="D140" s="22"/>
      <c r="E140" s="21"/>
      <c r="G140" s="20"/>
      <c r="H140" s="20"/>
      <c r="I140" s="20"/>
      <c r="J140" s="20"/>
      <c r="K140" s="20"/>
      <c r="L140" s="21"/>
      <c r="M140" s="21"/>
      <c r="N140" s="21"/>
      <c r="O140" s="21"/>
    </row>
    <row r="141" spans="1:15" x14ac:dyDescent="0.3">
      <c r="A141" s="20"/>
      <c r="B141" s="21"/>
      <c r="C141" s="21"/>
      <c r="D141" s="22"/>
      <c r="E141" s="21"/>
      <c r="G141" s="20"/>
      <c r="H141" s="20"/>
      <c r="I141" s="20"/>
      <c r="J141" s="20"/>
      <c r="K141" s="20"/>
      <c r="L141" s="21"/>
      <c r="M141" s="21"/>
      <c r="N141" s="21"/>
      <c r="O141" s="21"/>
    </row>
    <row r="142" spans="1:15" x14ac:dyDescent="0.3">
      <c r="A142" s="20"/>
      <c r="B142" s="21"/>
      <c r="C142" s="21"/>
      <c r="D142" s="22"/>
      <c r="E142" s="21"/>
      <c r="G142" s="20"/>
      <c r="H142" s="20"/>
      <c r="I142" s="20"/>
      <c r="J142" s="20"/>
      <c r="K142" s="20"/>
      <c r="L142" s="21"/>
      <c r="M142" s="21"/>
      <c r="N142" s="21"/>
      <c r="O142" s="21"/>
    </row>
    <row r="143" spans="1:15" x14ac:dyDescent="0.3">
      <c r="A143" s="20"/>
      <c r="B143" s="21"/>
      <c r="C143" s="21"/>
      <c r="D143" s="22"/>
      <c r="E143" s="21"/>
      <c r="F143" s="21"/>
      <c r="G143" s="20"/>
      <c r="H143" s="20"/>
      <c r="I143" s="20"/>
      <c r="J143" s="20"/>
      <c r="K143" s="20"/>
      <c r="L143" s="21"/>
      <c r="M143" s="21"/>
      <c r="N143" s="21"/>
      <c r="O143" s="21"/>
    </row>
    <row r="144" spans="1:15" x14ac:dyDescent="0.3">
      <c r="A144" s="20"/>
      <c r="B144" s="21"/>
      <c r="C144" s="21"/>
      <c r="D144" s="22"/>
      <c r="E144" s="21"/>
      <c r="F144" s="21"/>
      <c r="G144" s="21"/>
      <c r="H144" s="21"/>
      <c r="I144" s="21"/>
      <c r="J144" s="21"/>
      <c r="K144" s="25"/>
      <c r="L144" s="21"/>
      <c r="M144" s="21"/>
      <c r="N144" s="21"/>
      <c r="O144" s="21"/>
    </row>
    <row r="145" spans="1:15" x14ac:dyDescent="0.3">
      <c r="A145" s="20"/>
      <c r="B145" s="21"/>
      <c r="C145" s="21"/>
      <c r="D145" s="22"/>
      <c r="E145" s="21"/>
      <c r="F145" s="21"/>
      <c r="G145" s="21"/>
      <c r="H145" s="21"/>
      <c r="I145" s="21"/>
      <c r="J145" s="21"/>
      <c r="K145" s="25"/>
      <c r="L145" s="21"/>
      <c r="M145" s="21"/>
      <c r="N145" s="21"/>
      <c r="O145" s="21"/>
    </row>
    <row r="146" spans="1:15" x14ac:dyDescent="0.3">
      <c r="A146" s="20"/>
      <c r="B146" s="21"/>
      <c r="C146" s="21"/>
      <c r="D146" s="22"/>
      <c r="E146" s="21"/>
      <c r="F146" s="21"/>
      <c r="G146" s="21"/>
      <c r="H146" s="21"/>
      <c r="I146" s="21"/>
      <c r="J146" s="21"/>
      <c r="K146" s="25"/>
      <c r="L146" s="21"/>
      <c r="M146" s="21"/>
      <c r="N146" s="21"/>
      <c r="O146" s="21"/>
    </row>
    <row r="147" spans="1:15" x14ac:dyDescent="0.3">
      <c r="A147" s="20"/>
      <c r="B147" s="21"/>
      <c r="C147" s="21"/>
      <c r="D147" s="22"/>
      <c r="E147" s="21"/>
      <c r="F147" s="21"/>
      <c r="G147" s="21"/>
      <c r="H147" s="21"/>
      <c r="I147" s="21"/>
      <c r="J147" s="21"/>
      <c r="K147" s="25"/>
      <c r="L147" s="21"/>
      <c r="M147" s="21"/>
      <c r="N147" s="21"/>
      <c r="O147" s="21"/>
    </row>
    <row r="148" spans="1:15" x14ac:dyDescent="0.3">
      <c r="A148" s="20"/>
      <c r="B148" s="21"/>
      <c r="C148" s="21"/>
      <c r="D148" s="22"/>
      <c r="E148" s="21"/>
      <c r="F148" s="21"/>
      <c r="G148" s="21"/>
      <c r="H148" s="21"/>
      <c r="I148" s="21"/>
      <c r="J148" s="21"/>
      <c r="K148" s="25"/>
      <c r="L148" s="21"/>
      <c r="M148" s="21"/>
      <c r="N148" s="21"/>
      <c r="O148" s="21"/>
    </row>
    <row r="149" spans="1:15" x14ac:dyDescent="0.3">
      <c r="A149" s="20"/>
      <c r="B149" s="21"/>
      <c r="C149" s="21"/>
      <c r="D149" s="22"/>
      <c r="E149" s="21"/>
      <c r="F149" s="21"/>
      <c r="G149" s="21"/>
      <c r="H149" s="21"/>
      <c r="I149" s="21"/>
      <c r="J149" s="21"/>
      <c r="K149" s="25"/>
      <c r="L149" s="21"/>
      <c r="M149" s="21"/>
      <c r="N149" s="21"/>
      <c r="O149" s="21"/>
    </row>
    <row r="150" spans="1:15" x14ac:dyDescent="0.3">
      <c r="A150" s="20"/>
      <c r="B150" s="21"/>
      <c r="C150" s="21"/>
      <c r="D150" s="22"/>
      <c r="E150" s="21"/>
      <c r="F150" s="21"/>
      <c r="G150" s="21"/>
      <c r="H150" s="21"/>
      <c r="I150" s="21"/>
      <c r="J150" s="21"/>
      <c r="K150" s="25"/>
      <c r="L150" s="21"/>
      <c r="M150" s="21"/>
      <c r="N150" s="21"/>
      <c r="O150" s="21"/>
    </row>
    <row r="151" spans="1:15" x14ac:dyDescent="0.3">
      <c r="A151" s="20"/>
      <c r="B151" s="21"/>
      <c r="C151" s="21"/>
      <c r="D151" s="22"/>
      <c r="E151" s="21"/>
      <c r="F151" s="21"/>
      <c r="G151" s="21"/>
      <c r="H151" s="21"/>
      <c r="I151" s="21"/>
      <c r="J151" s="21"/>
      <c r="K151" s="25"/>
      <c r="L151" s="21"/>
      <c r="M151" s="21"/>
      <c r="N151" s="21"/>
      <c r="O151" s="21"/>
    </row>
    <row r="152" spans="1:15" x14ac:dyDescent="0.3">
      <c r="A152" s="20"/>
      <c r="B152" s="21"/>
      <c r="C152" s="21"/>
      <c r="D152" s="22"/>
      <c r="E152" s="21"/>
      <c r="F152" s="21"/>
      <c r="G152" s="21"/>
      <c r="H152" s="21"/>
      <c r="I152" s="21"/>
      <c r="J152" s="21"/>
      <c r="K152" s="25"/>
      <c r="L152" s="21"/>
      <c r="M152" s="21"/>
      <c r="N152" s="21"/>
      <c r="O152" s="21"/>
    </row>
    <row r="153" spans="1:15" x14ac:dyDescent="0.3">
      <c r="A153" s="20"/>
      <c r="B153" s="21"/>
      <c r="C153" s="21"/>
      <c r="D153" s="22"/>
      <c r="E153" s="21"/>
      <c r="F153" s="21"/>
      <c r="G153" s="21"/>
      <c r="H153" s="21"/>
      <c r="I153" s="21"/>
      <c r="J153" s="21"/>
      <c r="K153" s="25"/>
      <c r="L153" s="21"/>
      <c r="M153" s="21"/>
      <c r="N153" s="21"/>
      <c r="O153" s="21"/>
    </row>
    <row r="154" spans="1:15" x14ac:dyDescent="0.3">
      <c r="A154" s="20"/>
      <c r="B154" s="21"/>
      <c r="C154" s="21"/>
      <c r="D154" s="22"/>
      <c r="E154" s="21"/>
      <c r="F154" s="21"/>
      <c r="G154" s="21"/>
      <c r="H154" s="21"/>
      <c r="I154" s="21"/>
      <c r="J154" s="21"/>
      <c r="K154" s="25"/>
      <c r="L154" s="21"/>
      <c r="M154" s="21"/>
      <c r="N154" s="21"/>
      <c r="O154" s="21"/>
    </row>
    <row r="155" spans="1:15" x14ac:dyDescent="0.3">
      <c r="A155" s="20"/>
      <c r="B155" s="21"/>
      <c r="C155" s="21"/>
      <c r="D155" s="22"/>
      <c r="E155" s="21"/>
      <c r="F155" s="21"/>
      <c r="G155" s="21"/>
      <c r="H155" s="21"/>
      <c r="I155" s="21"/>
      <c r="J155" s="21"/>
      <c r="K155" s="25"/>
      <c r="L155" s="21"/>
      <c r="M155" s="21"/>
      <c r="N155" s="21"/>
      <c r="O155" s="21"/>
    </row>
    <row r="156" spans="1:15" x14ac:dyDescent="0.3">
      <c r="A156" s="20"/>
      <c r="B156" s="21"/>
      <c r="C156" s="21"/>
      <c r="D156" s="22"/>
      <c r="E156" s="21"/>
      <c r="F156" s="21"/>
      <c r="G156" s="21"/>
      <c r="H156" s="21"/>
      <c r="I156" s="21"/>
      <c r="J156" s="21"/>
      <c r="K156" s="25"/>
      <c r="L156" s="21"/>
      <c r="M156" s="21"/>
      <c r="N156" s="21"/>
      <c r="O156" s="21"/>
    </row>
    <row r="157" spans="1:15" x14ac:dyDescent="0.3">
      <c r="A157" s="20"/>
      <c r="B157" s="21"/>
      <c r="C157" s="21"/>
      <c r="D157" s="22"/>
      <c r="E157" s="21"/>
      <c r="F157" s="21"/>
      <c r="G157" s="21"/>
      <c r="H157" s="21"/>
      <c r="I157" s="21"/>
      <c r="J157" s="21"/>
      <c r="K157" s="25"/>
      <c r="L157" s="21"/>
      <c r="M157" s="21"/>
      <c r="N157" s="21"/>
      <c r="O157" s="21"/>
    </row>
    <row r="158" spans="1:15" x14ac:dyDescent="0.3">
      <c r="A158" s="20"/>
      <c r="B158" s="21"/>
      <c r="C158" s="21"/>
      <c r="D158" s="22"/>
      <c r="E158" s="21"/>
      <c r="F158" s="21"/>
      <c r="G158" s="21"/>
      <c r="H158" s="21"/>
      <c r="I158" s="21"/>
      <c r="J158" s="21"/>
      <c r="K158" s="25"/>
      <c r="L158" s="21"/>
      <c r="M158" s="21"/>
      <c r="N158" s="21"/>
      <c r="O158" s="21"/>
    </row>
    <row r="159" spans="1:15" x14ac:dyDescent="0.3">
      <c r="A159" s="20"/>
      <c r="B159" s="21"/>
      <c r="C159" s="21"/>
      <c r="D159" s="22"/>
      <c r="E159" s="21"/>
      <c r="F159" s="21"/>
      <c r="G159" s="21"/>
      <c r="H159" s="21"/>
      <c r="I159" s="21"/>
      <c r="J159" s="21"/>
      <c r="K159" s="25"/>
      <c r="L159" s="21"/>
      <c r="M159" s="21"/>
      <c r="N159" s="21"/>
      <c r="O159" s="21"/>
    </row>
    <row r="160" spans="1:15" x14ac:dyDescent="0.3">
      <c r="A160" s="20"/>
      <c r="B160" s="21"/>
      <c r="C160" s="21"/>
      <c r="D160" s="22"/>
      <c r="E160" s="21"/>
      <c r="F160" s="21"/>
      <c r="G160" s="21"/>
      <c r="H160" s="21"/>
      <c r="I160" s="21"/>
      <c r="J160" s="21"/>
      <c r="K160" s="25"/>
      <c r="L160" s="21"/>
      <c r="M160" s="21"/>
      <c r="N160" s="21"/>
      <c r="O160" s="21"/>
    </row>
    <row r="161" spans="1:15" x14ac:dyDescent="0.3">
      <c r="A161" s="20"/>
      <c r="B161" s="21"/>
      <c r="C161" s="21"/>
      <c r="D161" s="22"/>
      <c r="E161" s="21"/>
      <c r="F161" s="21"/>
      <c r="G161" s="21"/>
      <c r="H161" s="21"/>
      <c r="I161" s="21"/>
      <c r="J161" s="21"/>
      <c r="K161" s="25"/>
      <c r="L161" s="21"/>
      <c r="M161" s="21"/>
      <c r="N161" s="21"/>
      <c r="O161" s="21"/>
    </row>
    <row r="162" spans="1:15" x14ac:dyDescent="0.3">
      <c r="A162" s="20"/>
      <c r="B162" s="21"/>
      <c r="C162" s="21"/>
      <c r="D162" s="22"/>
      <c r="E162" s="21"/>
      <c r="F162" s="21"/>
      <c r="G162" s="21"/>
      <c r="H162" s="21"/>
      <c r="I162" s="21"/>
      <c r="J162" s="21"/>
      <c r="K162" s="25"/>
      <c r="L162" s="21"/>
      <c r="M162" s="21"/>
      <c r="N162" s="21"/>
      <c r="O162" s="21"/>
    </row>
    <row r="163" spans="1:15" x14ac:dyDescent="0.3">
      <c r="A163" s="20"/>
      <c r="B163" s="21"/>
      <c r="C163" s="21"/>
      <c r="D163" s="22"/>
      <c r="E163" s="21"/>
      <c r="F163" s="21"/>
      <c r="G163" s="21"/>
      <c r="H163" s="21"/>
      <c r="I163" s="21"/>
      <c r="J163" s="21"/>
      <c r="K163" s="25"/>
      <c r="L163" s="21"/>
      <c r="M163" s="21"/>
      <c r="N163" s="21"/>
      <c r="O163" s="21"/>
    </row>
    <row r="164" spans="1:15" x14ac:dyDescent="0.3">
      <c r="A164" s="20"/>
      <c r="B164" s="21"/>
      <c r="C164" s="21"/>
      <c r="D164" s="22"/>
      <c r="E164" s="21"/>
      <c r="F164" s="21"/>
      <c r="G164" s="21"/>
      <c r="H164" s="21"/>
      <c r="I164" s="21"/>
      <c r="J164" s="21"/>
      <c r="K164" s="25"/>
      <c r="L164" s="21"/>
      <c r="M164" s="21"/>
      <c r="N164" s="21"/>
      <c r="O164" s="21"/>
    </row>
    <row r="165" spans="1:15" x14ac:dyDescent="0.3">
      <c r="A165" s="20"/>
      <c r="B165" s="21"/>
      <c r="C165" s="21"/>
      <c r="D165" s="22"/>
      <c r="E165" s="21"/>
      <c r="F165" s="21"/>
      <c r="G165" s="21"/>
      <c r="H165" s="21"/>
      <c r="I165" s="21"/>
      <c r="J165" s="21"/>
      <c r="K165" s="25"/>
      <c r="L165" s="21"/>
      <c r="M165" s="21"/>
      <c r="N165" s="21"/>
      <c r="O165" s="21"/>
    </row>
    <row r="166" spans="1:15" x14ac:dyDescent="0.3">
      <c r="A166" s="20"/>
      <c r="B166" s="21"/>
      <c r="C166" s="21"/>
      <c r="D166" s="22"/>
      <c r="E166" s="21"/>
      <c r="F166" s="21"/>
      <c r="G166" s="21"/>
      <c r="H166" s="21"/>
      <c r="I166" s="21"/>
      <c r="J166" s="21"/>
      <c r="K166" s="25"/>
      <c r="L166" s="21"/>
      <c r="M166" s="21"/>
      <c r="N166" s="21"/>
      <c r="O166" s="21"/>
    </row>
    <row r="167" spans="1:15" x14ac:dyDescent="0.3">
      <c r="A167" s="20"/>
      <c r="B167" s="21"/>
      <c r="C167" s="21"/>
      <c r="D167" s="22"/>
      <c r="E167" s="21"/>
      <c r="F167" s="21"/>
      <c r="G167" s="21"/>
      <c r="H167" s="21"/>
      <c r="I167" s="21"/>
      <c r="J167" s="21"/>
      <c r="K167" s="25"/>
      <c r="L167" s="21"/>
      <c r="M167" s="21"/>
      <c r="N167" s="21"/>
      <c r="O167" s="21"/>
    </row>
    <row r="168" spans="1:15" x14ac:dyDescent="0.3">
      <c r="A168" s="20"/>
      <c r="B168" s="21"/>
      <c r="C168" s="21"/>
      <c r="D168" s="22"/>
      <c r="E168" s="21"/>
      <c r="F168" s="21"/>
      <c r="G168" s="21"/>
      <c r="H168" s="21"/>
      <c r="I168" s="21"/>
      <c r="J168" s="21"/>
      <c r="K168" s="25"/>
      <c r="L168" s="21"/>
      <c r="M168" s="21"/>
      <c r="N168" s="21"/>
      <c r="O168" s="21"/>
    </row>
    <row r="169" spans="1:15" x14ac:dyDescent="0.3">
      <c r="A169" s="20"/>
      <c r="B169" s="21"/>
      <c r="C169" s="21"/>
      <c r="D169" s="22"/>
      <c r="E169" s="21"/>
      <c r="F169" s="21"/>
      <c r="G169" s="21"/>
      <c r="H169" s="21"/>
      <c r="I169" s="21"/>
      <c r="J169" s="21"/>
      <c r="K169" s="25"/>
      <c r="L169" s="21"/>
      <c r="M169" s="21"/>
      <c r="N169" s="21"/>
      <c r="O169" s="21"/>
    </row>
    <row r="170" spans="1:15" x14ac:dyDescent="0.3">
      <c r="A170" s="20"/>
      <c r="B170" s="21"/>
      <c r="C170" s="21"/>
      <c r="D170" s="22"/>
      <c r="E170" s="21"/>
      <c r="F170" s="21"/>
      <c r="G170" s="21"/>
      <c r="H170" s="21"/>
      <c r="I170" s="21"/>
      <c r="J170" s="21"/>
      <c r="K170" s="25"/>
      <c r="L170" s="21"/>
      <c r="M170" s="21"/>
      <c r="N170" s="21"/>
      <c r="O170" s="21"/>
    </row>
    <row r="171" spans="1:15" x14ac:dyDescent="0.3">
      <c r="A171" s="20"/>
      <c r="B171" s="21"/>
      <c r="C171" s="21"/>
      <c r="D171" s="22"/>
      <c r="E171" s="21"/>
      <c r="F171" s="21"/>
      <c r="G171" s="21"/>
      <c r="H171" s="21"/>
      <c r="I171" s="21"/>
      <c r="J171" s="21"/>
      <c r="K171" s="25"/>
      <c r="L171" s="21"/>
      <c r="M171" s="21"/>
      <c r="N171" s="21"/>
      <c r="O171" s="21"/>
    </row>
    <row r="172" spans="1:15" x14ac:dyDescent="0.3">
      <c r="A172" s="20"/>
      <c r="B172" s="21"/>
      <c r="C172" s="21"/>
      <c r="D172" s="22"/>
      <c r="E172" s="21"/>
      <c r="F172" s="21"/>
      <c r="G172" s="21"/>
      <c r="H172" s="21"/>
      <c r="I172" s="21"/>
      <c r="J172" s="21"/>
      <c r="K172" s="25"/>
      <c r="L172" s="21"/>
      <c r="M172" s="21"/>
      <c r="N172" s="21"/>
      <c r="O172" s="21"/>
    </row>
    <row r="173" spans="1:15" x14ac:dyDescent="0.3">
      <c r="A173" s="20"/>
      <c r="B173" s="21"/>
      <c r="C173" s="21"/>
      <c r="D173" s="22"/>
      <c r="E173" s="21"/>
      <c r="F173" s="21"/>
      <c r="G173" s="21"/>
      <c r="H173" s="21"/>
      <c r="I173" s="21"/>
      <c r="J173" s="21"/>
      <c r="K173" s="25"/>
      <c r="L173" s="21"/>
      <c r="M173" s="21"/>
      <c r="N173" s="21"/>
      <c r="O173" s="21"/>
    </row>
    <row r="174" spans="1:15" x14ac:dyDescent="0.3">
      <c r="A174" s="20"/>
      <c r="B174" s="21"/>
      <c r="C174" s="21"/>
      <c r="D174" s="22"/>
      <c r="E174" s="21"/>
      <c r="F174" s="21"/>
      <c r="G174" s="21"/>
      <c r="H174" s="21"/>
      <c r="I174" s="21"/>
      <c r="J174" s="21"/>
      <c r="K174" s="25"/>
      <c r="L174" s="21"/>
      <c r="M174" s="21"/>
      <c r="N174" s="21"/>
      <c r="O174" s="21"/>
    </row>
    <row r="175" spans="1:15" x14ac:dyDescent="0.3">
      <c r="A175" s="20"/>
      <c r="B175" s="21"/>
      <c r="C175" s="21"/>
      <c r="D175" s="22"/>
      <c r="E175" s="21"/>
      <c r="F175" s="21"/>
      <c r="G175" s="21"/>
      <c r="H175" s="21"/>
      <c r="I175" s="21"/>
      <c r="J175" s="21"/>
      <c r="K175" s="25"/>
      <c r="L175" s="21"/>
      <c r="M175" s="21"/>
      <c r="N175" s="21"/>
      <c r="O175" s="21"/>
    </row>
    <row r="176" spans="1:15" x14ac:dyDescent="0.3">
      <c r="A176" s="20"/>
      <c r="B176" s="21"/>
      <c r="C176" s="21"/>
      <c r="D176" s="22"/>
      <c r="E176" s="21"/>
      <c r="F176" s="21"/>
      <c r="G176" s="21"/>
      <c r="H176" s="21"/>
      <c r="I176" s="21"/>
      <c r="J176" s="21"/>
      <c r="K176" s="25"/>
      <c r="L176" s="21"/>
      <c r="M176" s="21"/>
      <c r="N176" s="21"/>
      <c r="O176" s="21"/>
    </row>
    <row r="177" spans="1:15" x14ac:dyDescent="0.3">
      <c r="A177" s="20"/>
      <c r="B177" s="21"/>
      <c r="C177" s="21"/>
      <c r="D177" s="22"/>
      <c r="E177" s="21"/>
      <c r="F177" s="21"/>
      <c r="G177" s="21"/>
      <c r="H177" s="21"/>
      <c r="I177" s="21"/>
      <c r="J177" s="21"/>
      <c r="K177" s="25"/>
      <c r="L177" s="21"/>
      <c r="M177" s="21"/>
      <c r="N177" s="21"/>
      <c r="O177" s="21"/>
    </row>
    <row r="178" spans="1:15" x14ac:dyDescent="0.3">
      <c r="A178" s="20"/>
      <c r="B178" s="21"/>
      <c r="C178" s="21"/>
      <c r="D178" s="22"/>
      <c r="E178" s="21"/>
      <c r="F178" s="21"/>
      <c r="G178" s="21"/>
      <c r="H178" s="21"/>
      <c r="I178" s="21"/>
      <c r="J178" s="21"/>
      <c r="K178" s="25"/>
      <c r="L178" s="21"/>
      <c r="M178" s="21"/>
      <c r="N178" s="21"/>
      <c r="O178" s="21"/>
    </row>
    <row r="179" spans="1:15" x14ac:dyDescent="0.3">
      <c r="A179" s="20"/>
      <c r="B179" s="21"/>
      <c r="C179" s="21"/>
      <c r="D179" s="22"/>
      <c r="E179" s="21"/>
      <c r="F179" s="21"/>
      <c r="G179" s="21"/>
      <c r="H179" s="21"/>
      <c r="I179" s="21"/>
      <c r="J179" s="21"/>
      <c r="K179" s="25"/>
      <c r="L179" s="21"/>
      <c r="M179" s="21"/>
      <c r="N179" s="21"/>
      <c r="O179" s="21"/>
    </row>
    <row r="180" spans="1:15" x14ac:dyDescent="0.3">
      <c r="A180" s="20"/>
      <c r="B180" s="21"/>
      <c r="C180" s="21"/>
      <c r="D180" s="22"/>
      <c r="E180" s="21"/>
      <c r="F180" s="21"/>
      <c r="G180" s="21"/>
      <c r="H180" s="21"/>
      <c r="I180" s="21"/>
      <c r="J180" s="21"/>
      <c r="K180" s="25"/>
      <c r="L180" s="21"/>
      <c r="M180" s="21"/>
      <c r="N180" s="21"/>
      <c r="O180" s="21"/>
    </row>
    <row r="181" spans="1:15" x14ac:dyDescent="0.3">
      <c r="A181" s="20"/>
      <c r="B181" s="21"/>
      <c r="C181" s="21"/>
      <c r="D181" s="22"/>
      <c r="E181" s="21"/>
      <c r="F181" s="21"/>
      <c r="G181" s="21"/>
      <c r="H181" s="21"/>
      <c r="I181" s="21"/>
      <c r="J181" s="21"/>
      <c r="K181" s="25"/>
      <c r="L181" s="21"/>
      <c r="M181" s="21"/>
      <c r="N181" s="21"/>
      <c r="O181" s="21"/>
    </row>
    <row r="182" spans="1:15" x14ac:dyDescent="0.3">
      <c r="A182" s="20"/>
      <c r="B182" s="21"/>
      <c r="C182" s="21"/>
      <c r="D182" s="22"/>
      <c r="E182" s="21"/>
      <c r="F182" s="21"/>
      <c r="G182" s="21"/>
      <c r="H182" s="21"/>
      <c r="I182" s="21"/>
      <c r="J182" s="21"/>
      <c r="K182" s="25"/>
      <c r="L182" s="21"/>
      <c r="M182" s="21"/>
      <c r="N182" s="21"/>
      <c r="O182" s="21"/>
    </row>
    <row r="183" spans="1:15" x14ac:dyDescent="0.3">
      <c r="A183" s="20"/>
      <c r="B183" s="21"/>
      <c r="C183" s="21"/>
      <c r="D183" s="22"/>
      <c r="E183" s="21"/>
      <c r="F183" s="21"/>
      <c r="G183" s="21"/>
      <c r="H183" s="21"/>
      <c r="I183" s="21"/>
      <c r="J183" s="21"/>
      <c r="K183" s="25"/>
      <c r="L183" s="21"/>
      <c r="M183" s="21"/>
      <c r="N183" s="21"/>
      <c r="O183" s="21"/>
    </row>
    <row r="184" spans="1:15" x14ac:dyDescent="0.3">
      <c r="A184" s="20"/>
      <c r="B184" s="21"/>
      <c r="C184" s="21"/>
      <c r="D184" s="22"/>
      <c r="E184" s="21"/>
      <c r="F184" s="21"/>
      <c r="G184" s="21"/>
      <c r="H184" s="21"/>
      <c r="I184" s="21"/>
      <c r="J184" s="21"/>
      <c r="K184" s="25"/>
      <c r="L184" s="21"/>
      <c r="M184" s="21"/>
      <c r="N184" s="21"/>
      <c r="O184" s="21"/>
    </row>
    <row r="185" spans="1:15" x14ac:dyDescent="0.3">
      <c r="A185" s="20"/>
      <c r="B185" s="21"/>
      <c r="C185" s="21"/>
      <c r="D185" s="22"/>
      <c r="E185" s="21"/>
      <c r="F185" s="21"/>
      <c r="G185" s="21"/>
      <c r="H185" s="21"/>
      <c r="I185" s="21"/>
      <c r="J185" s="21"/>
      <c r="K185" s="25"/>
      <c r="L185" s="21"/>
      <c r="M185" s="21"/>
      <c r="N185" s="21"/>
      <c r="O185" s="21"/>
    </row>
    <row r="186" spans="1:15" x14ac:dyDescent="0.3">
      <c r="A186" s="20"/>
      <c r="B186" s="21"/>
      <c r="C186" s="21"/>
      <c r="D186" s="22"/>
      <c r="E186" s="21"/>
      <c r="F186" s="21"/>
      <c r="G186" s="21"/>
      <c r="H186" s="21"/>
      <c r="I186" s="21"/>
      <c r="J186" s="21"/>
      <c r="K186" s="25"/>
      <c r="L186" s="21"/>
      <c r="M186" s="21"/>
      <c r="N186" s="21"/>
      <c r="O186" s="21"/>
    </row>
    <row r="187" spans="1:15" x14ac:dyDescent="0.3">
      <c r="A187" s="20"/>
      <c r="B187" s="21"/>
      <c r="C187" s="21"/>
      <c r="D187" s="22"/>
      <c r="E187" s="21"/>
      <c r="F187" s="21"/>
      <c r="G187" s="21"/>
      <c r="H187" s="21"/>
      <c r="I187" s="21"/>
      <c r="J187" s="21"/>
      <c r="K187" s="25"/>
      <c r="L187" s="21"/>
      <c r="M187" s="21"/>
      <c r="N187" s="21"/>
      <c r="O187" s="21"/>
    </row>
    <row r="188" spans="1:15" x14ac:dyDescent="0.3">
      <c r="A188" s="20"/>
      <c r="B188" s="21"/>
      <c r="C188" s="21"/>
      <c r="D188" s="22"/>
      <c r="E188" s="21"/>
      <c r="F188" s="21"/>
      <c r="G188" s="21"/>
      <c r="H188" s="21"/>
      <c r="I188" s="21"/>
      <c r="J188" s="21"/>
      <c r="K188" s="25"/>
      <c r="L188" s="21"/>
      <c r="M188" s="21"/>
      <c r="N188" s="21"/>
      <c r="O188" s="21"/>
    </row>
    <row r="189" spans="1:15" x14ac:dyDescent="0.3">
      <c r="A189" s="20"/>
      <c r="B189" s="21"/>
      <c r="C189" s="21"/>
      <c r="D189" s="22"/>
      <c r="E189" s="21"/>
      <c r="F189" s="21"/>
      <c r="G189" s="21"/>
      <c r="H189" s="21"/>
      <c r="I189" s="21"/>
      <c r="J189" s="21"/>
      <c r="K189" s="25"/>
      <c r="L189" s="21"/>
      <c r="M189" s="21"/>
      <c r="N189" s="21"/>
      <c r="O189" s="21"/>
    </row>
    <row r="190" spans="1:15" x14ac:dyDescent="0.3">
      <c r="A190" s="20"/>
      <c r="B190" s="21"/>
      <c r="C190" s="21"/>
      <c r="D190" s="22"/>
      <c r="E190" s="21"/>
      <c r="F190" s="21"/>
      <c r="G190" s="21"/>
      <c r="H190" s="21"/>
      <c r="I190" s="21"/>
      <c r="J190" s="21"/>
      <c r="K190" s="25"/>
      <c r="L190" s="21"/>
      <c r="M190" s="21"/>
      <c r="N190" s="21"/>
      <c r="O190" s="21"/>
    </row>
    <row r="191" spans="1:15" x14ac:dyDescent="0.3">
      <c r="A191" s="20"/>
      <c r="B191" s="21"/>
      <c r="C191" s="21"/>
      <c r="D191" s="22"/>
      <c r="E191" s="21"/>
      <c r="F191" s="21"/>
      <c r="G191" s="21"/>
      <c r="H191" s="21"/>
      <c r="I191" s="21"/>
      <c r="J191" s="21"/>
      <c r="K191" s="25"/>
      <c r="L191" s="21"/>
      <c r="M191" s="21"/>
      <c r="N191" s="21"/>
      <c r="O191" s="21"/>
    </row>
    <row r="192" spans="1:15" x14ac:dyDescent="0.3">
      <c r="A192" s="20"/>
      <c r="B192" s="21"/>
      <c r="C192" s="21"/>
      <c r="D192" s="22"/>
      <c r="E192" s="21"/>
      <c r="F192" s="21"/>
      <c r="G192" s="21"/>
      <c r="H192" s="21"/>
      <c r="I192" s="21"/>
      <c r="J192" s="21"/>
      <c r="K192" s="25"/>
      <c r="L192" s="21"/>
      <c r="M192" s="21"/>
      <c r="N192" s="21"/>
      <c r="O192" s="21"/>
    </row>
    <row r="193" spans="1:15" x14ac:dyDescent="0.3">
      <c r="A193" s="20"/>
      <c r="B193" s="21"/>
      <c r="C193" s="21"/>
      <c r="D193" s="22"/>
      <c r="E193" s="21"/>
      <c r="F193" s="21"/>
      <c r="G193" s="21"/>
      <c r="H193" s="21"/>
      <c r="I193" s="21"/>
      <c r="J193" s="21"/>
      <c r="K193" s="25"/>
      <c r="L193" s="21"/>
      <c r="M193" s="21"/>
      <c r="N193" s="21"/>
      <c r="O193" s="21"/>
    </row>
    <row r="194" spans="1:15" x14ac:dyDescent="0.3">
      <c r="A194" s="20"/>
      <c r="B194" s="21"/>
      <c r="C194" s="21"/>
      <c r="D194" s="22"/>
      <c r="E194" s="21"/>
      <c r="F194" s="21"/>
      <c r="G194" s="21"/>
      <c r="H194" s="21"/>
      <c r="I194" s="21"/>
      <c r="J194" s="21"/>
      <c r="K194" s="25"/>
      <c r="L194" s="21"/>
      <c r="M194" s="21"/>
      <c r="N194" s="21"/>
      <c r="O194" s="21"/>
    </row>
    <row r="195" spans="1:15" x14ac:dyDescent="0.3">
      <c r="A195" s="20"/>
      <c r="B195" s="21"/>
      <c r="C195" s="21"/>
      <c r="D195" s="22"/>
      <c r="E195" s="21"/>
      <c r="F195" s="21"/>
      <c r="G195" s="21"/>
      <c r="H195" s="21"/>
      <c r="I195" s="21"/>
      <c r="J195" s="21"/>
      <c r="K195" s="25"/>
      <c r="L195" s="21"/>
      <c r="M195" s="21"/>
      <c r="N195" s="21"/>
      <c r="O195" s="21"/>
    </row>
    <row r="196" spans="1:15" x14ac:dyDescent="0.3">
      <c r="A196" s="20"/>
      <c r="B196" s="21"/>
      <c r="C196" s="21"/>
      <c r="D196" s="22"/>
      <c r="E196" s="21"/>
      <c r="F196" s="21"/>
      <c r="G196" s="21"/>
      <c r="H196" s="21"/>
      <c r="I196" s="21"/>
      <c r="J196" s="21"/>
      <c r="K196" s="25"/>
      <c r="L196" s="21"/>
      <c r="M196" s="21"/>
      <c r="N196" s="21"/>
      <c r="O196" s="21"/>
    </row>
    <row r="197" spans="1:15" x14ac:dyDescent="0.3">
      <c r="A197" s="20"/>
      <c r="B197" s="21"/>
      <c r="C197" s="21"/>
      <c r="D197" s="22"/>
      <c r="E197" s="21"/>
      <c r="F197" s="21"/>
      <c r="G197" s="21"/>
      <c r="H197" s="21"/>
      <c r="I197" s="21"/>
      <c r="J197" s="21"/>
      <c r="K197" s="25"/>
      <c r="L197" s="21"/>
      <c r="M197" s="21"/>
      <c r="N197" s="21"/>
      <c r="O197" s="21"/>
    </row>
    <row r="198" spans="1:15" x14ac:dyDescent="0.3">
      <c r="A198" s="20"/>
      <c r="B198" s="21"/>
      <c r="C198" s="21"/>
      <c r="D198" s="22"/>
      <c r="E198" s="21"/>
      <c r="F198" s="21"/>
      <c r="G198" s="21"/>
      <c r="H198" s="21"/>
      <c r="I198" s="21"/>
      <c r="J198" s="21"/>
      <c r="K198" s="25"/>
      <c r="L198" s="21"/>
      <c r="M198" s="21"/>
      <c r="N198" s="21"/>
      <c r="O198" s="21"/>
    </row>
    <row r="199" spans="1:15" x14ac:dyDescent="0.3">
      <c r="A199" s="20"/>
      <c r="B199" s="21"/>
      <c r="C199" s="21"/>
      <c r="D199" s="22"/>
      <c r="E199" s="21"/>
      <c r="F199" s="21"/>
      <c r="G199" s="21"/>
      <c r="H199" s="21"/>
      <c r="I199" s="21"/>
      <c r="J199" s="21"/>
      <c r="K199" s="25"/>
      <c r="L199" s="21"/>
      <c r="M199" s="21"/>
      <c r="N199" s="21"/>
      <c r="O199" s="21"/>
    </row>
    <row r="200" spans="1:15" x14ac:dyDescent="0.3">
      <c r="A200" s="20"/>
      <c r="B200" s="21"/>
      <c r="C200" s="21"/>
      <c r="D200" s="22"/>
      <c r="E200" s="21"/>
      <c r="F200" s="21"/>
      <c r="G200" s="21"/>
      <c r="H200" s="21"/>
      <c r="I200" s="21"/>
      <c r="J200" s="21"/>
      <c r="K200" s="25"/>
      <c r="L200" s="21"/>
      <c r="M200" s="21"/>
      <c r="N200" s="21"/>
      <c r="O200" s="21"/>
    </row>
    <row r="201" spans="1:15" x14ac:dyDescent="0.3">
      <c r="A201" s="20"/>
      <c r="B201" s="21"/>
      <c r="C201" s="21"/>
      <c r="D201" s="22"/>
      <c r="E201" s="21"/>
      <c r="F201" s="21"/>
      <c r="G201" s="21"/>
      <c r="H201" s="21"/>
      <c r="I201" s="21"/>
      <c r="J201" s="21"/>
      <c r="K201" s="25"/>
      <c r="L201" s="21"/>
      <c r="M201" s="21"/>
      <c r="N201" s="21"/>
      <c r="O201" s="21"/>
    </row>
    <row r="202" spans="1:15" x14ac:dyDescent="0.3">
      <c r="A202" s="20"/>
      <c r="B202" s="21"/>
      <c r="C202" s="21"/>
      <c r="D202" s="22"/>
      <c r="E202" s="21"/>
      <c r="F202" s="21"/>
      <c r="G202" s="21"/>
      <c r="H202" s="21"/>
      <c r="I202" s="21"/>
      <c r="J202" s="21"/>
      <c r="K202" s="25"/>
      <c r="L202" s="21"/>
      <c r="M202" s="21"/>
      <c r="N202" s="21"/>
      <c r="O202" s="21"/>
    </row>
    <row r="203" spans="1:15" x14ac:dyDescent="0.3">
      <c r="A203" s="20"/>
      <c r="B203" s="21"/>
      <c r="C203" s="21"/>
      <c r="D203" s="22"/>
      <c r="E203" s="21"/>
      <c r="F203" s="21"/>
      <c r="G203" s="21"/>
      <c r="H203" s="21"/>
      <c r="I203" s="21"/>
      <c r="J203" s="21"/>
      <c r="K203" s="25"/>
      <c r="L203" s="21"/>
      <c r="M203" s="21"/>
      <c r="N203" s="21"/>
      <c r="O203" s="21"/>
    </row>
    <row r="204" spans="1:15" x14ac:dyDescent="0.3">
      <c r="A204" s="20"/>
      <c r="B204" s="21"/>
      <c r="C204" s="21"/>
      <c r="D204" s="22"/>
      <c r="E204" s="21"/>
      <c r="F204" s="21"/>
      <c r="G204" s="21"/>
      <c r="H204" s="21"/>
      <c r="I204" s="21"/>
      <c r="J204" s="21"/>
      <c r="K204" s="25"/>
      <c r="L204" s="21"/>
      <c r="M204" s="21"/>
      <c r="N204" s="21"/>
      <c r="O204" s="21"/>
    </row>
    <row r="205" spans="1:15" x14ac:dyDescent="0.3">
      <c r="A205" s="20"/>
      <c r="B205" s="21"/>
      <c r="C205" s="21"/>
      <c r="D205" s="22"/>
      <c r="E205" s="21"/>
      <c r="F205" s="21"/>
      <c r="G205" s="21"/>
      <c r="H205" s="21"/>
      <c r="I205" s="21"/>
      <c r="J205" s="21"/>
      <c r="K205" s="25"/>
      <c r="L205" s="21"/>
      <c r="M205" s="21"/>
      <c r="N205" s="21"/>
      <c r="O205" s="21"/>
    </row>
    <row r="206" spans="1:15" x14ac:dyDescent="0.3">
      <c r="A206" s="20"/>
      <c r="B206" s="21"/>
      <c r="C206" s="21"/>
      <c r="D206" s="22"/>
      <c r="E206" s="21"/>
      <c r="F206" s="21"/>
      <c r="G206" s="21"/>
      <c r="H206" s="21"/>
      <c r="I206" s="21"/>
      <c r="J206" s="21"/>
      <c r="K206" s="25"/>
      <c r="L206" s="21"/>
      <c r="M206" s="21"/>
      <c r="N206" s="21"/>
      <c r="O206" s="21"/>
    </row>
    <row r="207" spans="1:15" x14ac:dyDescent="0.3">
      <c r="A207" s="20"/>
      <c r="B207" s="21"/>
      <c r="C207" s="21"/>
      <c r="D207" s="22"/>
      <c r="E207" s="21"/>
      <c r="F207" s="21"/>
      <c r="G207" s="21"/>
      <c r="H207" s="21"/>
      <c r="I207" s="21"/>
      <c r="J207" s="21"/>
      <c r="K207" s="25"/>
      <c r="L207" s="21"/>
      <c r="M207" s="21"/>
      <c r="N207" s="21"/>
      <c r="O207" s="21"/>
    </row>
    <row r="208" spans="1:15" x14ac:dyDescent="0.3">
      <c r="A208" s="20"/>
      <c r="B208" s="21"/>
      <c r="C208" s="21"/>
      <c r="D208" s="22"/>
      <c r="E208" s="21"/>
      <c r="F208" s="21"/>
      <c r="G208" s="21"/>
      <c r="H208" s="21"/>
      <c r="I208" s="21"/>
      <c r="J208" s="21"/>
      <c r="K208" s="25"/>
      <c r="L208" s="21"/>
      <c r="M208" s="21"/>
      <c r="N208" s="21"/>
      <c r="O208" s="21"/>
    </row>
    <row r="209" spans="1:15" x14ac:dyDescent="0.3">
      <c r="A209" s="20"/>
      <c r="B209" s="21"/>
      <c r="C209" s="21"/>
      <c r="D209" s="22"/>
      <c r="E209" s="21"/>
      <c r="F209" s="21"/>
      <c r="G209" s="21"/>
      <c r="H209" s="21"/>
      <c r="I209" s="21"/>
      <c r="J209" s="21"/>
      <c r="K209" s="25"/>
      <c r="L209" s="21"/>
      <c r="M209" s="21"/>
      <c r="N209" s="21"/>
      <c r="O209" s="21"/>
    </row>
    <row r="210" spans="1:15" x14ac:dyDescent="0.3">
      <c r="A210" s="20"/>
      <c r="B210" s="21"/>
      <c r="C210" s="21"/>
      <c r="D210" s="22"/>
      <c r="E210" s="21"/>
      <c r="F210" s="21"/>
      <c r="G210" s="21"/>
      <c r="H210" s="21"/>
      <c r="I210" s="21"/>
      <c r="J210" s="21"/>
      <c r="K210" s="25"/>
      <c r="L210" s="21"/>
      <c r="M210" s="21"/>
      <c r="N210" s="21"/>
      <c r="O210" s="21"/>
    </row>
    <row r="211" spans="1:15" x14ac:dyDescent="0.3">
      <c r="A211" s="20"/>
      <c r="B211" s="21"/>
      <c r="C211" s="21"/>
      <c r="D211" s="22"/>
      <c r="E211" s="21"/>
      <c r="F211" s="21"/>
      <c r="G211" s="21"/>
      <c r="H211" s="21"/>
      <c r="I211" s="21"/>
      <c r="J211" s="21"/>
      <c r="K211" s="25"/>
      <c r="L211" s="21"/>
      <c r="M211" s="21"/>
      <c r="N211" s="21"/>
      <c r="O211" s="21"/>
    </row>
    <row r="212" spans="1:15" x14ac:dyDescent="0.3">
      <c r="A212" s="20"/>
      <c r="B212" s="21"/>
      <c r="C212" s="21"/>
      <c r="D212" s="22"/>
      <c r="E212" s="21"/>
      <c r="F212" s="21"/>
      <c r="G212" s="21"/>
      <c r="H212" s="21"/>
      <c r="I212" s="21"/>
      <c r="J212" s="21"/>
      <c r="K212" s="25"/>
      <c r="L212" s="21"/>
      <c r="M212" s="21"/>
      <c r="N212" s="21"/>
      <c r="O212" s="21"/>
    </row>
    <row r="213" spans="1:15" x14ac:dyDescent="0.3">
      <c r="A213" s="20"/>
      <c r="B213" s="21"/>
      <c r="C213" s="21"/>
      <c r="D213" s="22"/>
      <c r="E213" s="21"/>
      <c r="F213" s="21"/>
      <c r="G213" s="21"/>
      <c r="H213" s="21"/>
      <c r="I213" s="21"/>
      <c r="J213" s="21"/>
      <c r="K213" s="25"/>
      <c r="L213" s="21"/>
      <c r="M213" s="21"/>
      <c r="N213" s="21"/>
      <c r="O213" s="21"/>
    </row>
    <row r="214" spans="1:15" x14ac:dyDescent="0.3">
      <c r="A214" s="20"/>
      <c r="B214" s="21"/>
      <c r="C214" s="21"/>
      <c r="D214" s="22"/>
      <c r="E214" s="21"/>
      <c r="F214" s="21"/>
      <c r="G214" s="21"/>
      <c r="H214" s="21"/>
      <c r="I214" s="21"/>
      <c r="J214" s="21"/>
      <c r="K214" s="25"/>
      <c r="L214" s="21"/>
      <c r="M214" s="21"/>
      <c r="N214" s="21"/>
      <c r="O214" s="21"/>
    </row>
    <row r="215" spans="1:15" x14ac:dyDescent="0.3">
      <c r="A215" s="20"/>
      <c r="B215" s="21"/>
      <c r="C215" s="21"/>
      <c r="D215" s="22"/>
      <c r="E215" s="21"/>
      <c r="F215" s="21"/>
      <c r="G215" s="21"/>
      <c r="H215" s="21"/>
      <c r="I215" s="21"/>
      <c r="J215" s="21"/>
      <c r="K215" s="25"/>
      <c r="L215" s="21"/>
      <c r="M215" s="21"/>
      <c r="N215" s="21"/>
      <c r="O215" s="21"/>
    </row>
    <row r="216" spans="1:15" x14ac:dyDescent="0.3">
      <c r="A216" s="20"/>
      <c r="B216" s="21"/>
      <c r="C216" s="21"/>
      <c r="D216" s="22"/>
      <c r="E216" s="21"/>
      <c r="F216" s="21"/>
      <c r="G216" s="21"/>
      <c r="H216" s="21"/>
      <c r="I216" s="21"/>
      <c r="J216" s="21"/>
      <c r="K216" s="25"/>
      <c r="L216" s="21"/>
      <c r="M216" s="21"/>
      <c r="N216" s="21"/>
      <c r="O216" s="21"/>
    </row>
    <row r="217" spans="1:15" x14ac:dyDescent="0.3">
      <c r="A217" s="20"/>
      <c r="B217" s="21"/>
      <c r="C217" s="21"/>
      <c r="D217" s="22"/>
      <c r="E217" s="21"/>
      <c r="F217" s="21"/>
      <c r="G217" s="21"/>
      <c r="H217" s="21"/>
      <c r="I217" s="21"/>
      <c r="J217" s="21"/>
      <c r="K217" s="25"/>
      <c r="L217" s="21"/>
      <c r="M217" s="21"/>
      <c r="N217" s="21"/>
      <c r="O217" s="21"/>
    </row>
    <row r="218" spans="1:15" x14ac:dyDescent="0.3">
      <c r="A218" s="20"/>
      <c r="B218" s="21"/>
      <c r="C218" s="21"/>
      <c r="D218" s="22"/>
      <c r="E218" s="21"/>
      <c r="F218" s="21"/>
      <c r="G218" s="21"/>
      <c r="H218" s="21"/>
      <c r="I218" s="21"/>
      <c r="J218" s="21"/>
      <c r="K218" s="25"/>
      <c r="L218" s="21"/>
      <c r="M218" s="21"/>
      <c r="N218" s="21"/>
      <c r="O218" s="21"/>
    </row>
    <row r="219" spans="1:15" x14ac:dyDescent="0.3">
      <c r="A219" s="20"/>
      <c r="B219" s="21"/>
      <c r="C219" s="21"/>
      <c r="D219" s="22"/>
      <c r="E219" s="21"/>
      <c r="F219" s="21"/>
      <c r="G219" s="21"/>
      <c r="H219" s="21"/>
      <c r="I219" s="21"/>
      <c r="J219" s="21"/>
      <c r="K219" s="25"/>
      <c r="L219" s="21"/>
      <c r="M219" s="21"/>
      <c r="N219" s="21"/>
      <c r="O219" s="21"/>
    </row>
    <row r="220" spans="1:15" x14ac:dyDescent="0.3">
      <c r="A220" s="20"/>
      <c r="B220" s="21"/>
      <c r="C220" s="21"/>
      <c r="D220" s="22"/>
      <c r="E220" s="21"/>
      <c r="F220" s="21"/>
      <c r="G220" s="21"/>
      <c r="H220" s="21"/>
      <c r="I220" s="21"/>
      <c r="J220" s="21"/>
      <c r="K220" s="25"/>
      <c r="L220" s="21"/>
      <c r="M220" s="21"/>
      <c r="N220" s="21"/>
      <c r="O220" s="21"/>
    </row>
    <row r="221" spans="1:15" x14ac:dyDescent="0.3">
      <c r="A221" s="20"/>
      <c r="B221" s="21"/>
      <c r="C221" s="21"/>
      <c r="D221" s="22"/>
      <c r="E221" s="21"/>
      <c r="F221" s="21"/>
      <c r="G221" s="21"/>
      <c r="H221" s="21"/>
      <c r="I221" s="21"/>
      <c r="J221" s="21"/>
      <c r="K221" s="25"/>
      <c r="L221" s="21"/>
      <c r="M221" s="21"/>
      <c r="N221" s="21"/>
      <c r="O221" s="21"/>
    </row>
    <row r="222" spans="1:15" x14ac:dyDescent="0.3">
      <c r="A222" s="20" t="str">
        <f t="shared" ref="A222:A285" si="2">IF($B222="","",ROW()-1)</f>
        <v/>
      </c>
      <c r="B222" s="21"/>
      <c r="C222" s="21"/>
      <c r="D222" s="22" t="str">
        <f>IF($C222="","",IFERROR(VLOOKUP($C222,Map_Register!$A$2:$C$5,3,FALSE()),""))</f>
        <v/>
      </c>
      <c r="E222" s="21"/>
      <c r="F222" s="21"/>
      <c r="G222" s="21"/>
      <c r="H222" s="21"/>
      <c r="I222" s="21"/>
      <c r="J222" s="21"/>
      <c r="K222" s="25"/>
      <c r="L222" s="21"/>
      <c r="M222" s="21"/>
      <c r="N222" s="21"/>
      <c r="O222" s="21"/>
    </row>
    <row r="223" spans="1:15" x14ac:dyDescent="0.3">
      <c r="A223" s="20" t="str">
        <f t="shared" si="2"/>
        <v/>
      </c>
      <c r="B223" s="21"/>
      <c r="C223" s="21"/>
      <c r="D223" s="22" t="str">
        <f>IF($C223="","",IFERROR(VLOOKUP($C223,Map_Register!$A$2:$C$5,3,FALSE()),""))</f>
        <v/>
      </c>
      <c r="E223" s="21"/>
      <c r="F223" s="21"/>
      <c r="G223" s="21"/>
      <c r="H223" s="21"/>
      <c r="I223" s="21"/>
      <c r="J223" s="21"/>
      <c r="K223" s="25"/>
      <c r="L223" s="21"/>
      <c r="M223" s="21"/>
      <c r="N223" s="21"/>
      <c r="O223" s="21"/>
    </row>
    <row r="224" spans="1:15" x14ac:dyDescent="0.3">
      <c r="A224" s="20" t="str">
        <f t="shared" si="2"/>
        <v/>
      </c>
      <c r="B224" s="21"/>
      <c r="C224" s="21"/>
      <c r="D224" s="22" t="str">
        <f>IF($C224="","",IFERROR(VLOOKUP($C224,Map_Register!$A$2:$C$5,3,FALSE()),""))</f>
        <v/>
      </c>
      <c r="E224" s="21"/>
      <c r="F224" s="21"/>
      <c r="G224" s="21"/>
      <c r="H224" s="21"/>
      <c r="I224" s="21"/>
      <c r="J224" s="21"/>
      <c r="K224" s="25"/>
      <c r="L224" s="21"/>
      <c r="M224" s="21"/>
      <c r="N224" s="21"/>
      <c r="O224" s="21"/>
    </row>
    <row r="225" spans="1:15" x14ac:dyDescent="0.3">
      <c r="A225" s="20" t="str">
        <f t="shared" si="2"/>
        <v/>
      </c>
      <c r="B225" s="21"/>
      <c r="C225" s="21"/>
      <c r="D225" s="22" t="str">
        <f>IF($C225="","",IFERROR(VLOOKUP($C225,Map_Register!$A$2:$C$5,3,FALSE()),""))</f>
        <v/>
      </c>
      <c r="E225" s="21"/>
      <c r="F225" s="21"/>
      <c r="G225" s="21"/>
      <c r="H225" s="21"/>
      <c r="I225" s="21"/>
      <c r="J225" s="21"/>
      <c r="K225" s="25"/>
      <c r="L225" s="21"/>
      <c r="M225" s="21"/>
      <c r="N225" s="21"/>
      <c r="O225" s="21"/>
    </row>
    <row r="226" spans="1:15" x14ac:dyDescent="0.3">
      <c r="A226" s="20" t="str">
        <f t="shared" si="2"/>
        <v/>
      </c>
      <c r="B226" s="21"/>
      <c r="C226" s="21"/>
      <c r="D226" s="22" t="str">
        <f>IF($C226="","",IFERROR(VLOOKUP($C226,Map_Register!$A$2:$C$5,3,FALSE()),""))</f>
        <v/>
      </c>
      <c r="E226" s="21"/>
      <c r="F226" s="21"/>
      <c r="G226" s="21"/>
      <c r="H226" s="21"/>
      <c r="I226" s="21"/>
      <c r="J226" s="21"/>
      <c r="K226" s="25"/>
      <c r="L226" s="21"/>
      <c r="M226" s="21"/>
      <c r="N226" s="21"/>
      <c r="O226" s="21"/>
    </row>
    <row r="227" spans="1:15" x14ac:dyDescent="0.3">
      <c r="A227" s="20" t="str">
        <f t="shared" si="2"/>
        <v/>
      </c>
      <c r="B227" s="21"/>
      <c r="C227" s="21"/>
      <c r="D227" s="22" t="str">
        <f>IF($C227="","",IFERROR(VLOOKUP($C227,Map_Register!$A$2:$C$5,3,FALSE()),""))</f>
        <v/>
      </c>
      <c r="E227" s="21"/>
      <c r="F227" s="21"/>
      <c r="G227" s="21"/>
      <c r="H227" s="21"/>
      <c r="I227" s="21"/>
      <c r="J227" s="21"/>
      <c r="K227" s="25"/>
      <c r="L227" s="21"/>
      <c r="M227" s="21"/>
      <c r="N227" s="21"/>
      <c r="O227" s="21"/>
    </row>
    <row r="228" spans="1:15" x14ac:dyDescent="0.3">
      <c r="A228" s="20" t="str">
        <f t="shared" si="2"/>
        <v/>
      </c>
      <c r="B228" s="21"/>
      <c r="C228" s="21"/>
      <c r="D228" s="22" t="str">
        <f>IF($C228="","",IFERROR(VLOOKUP($C228,Map_Register!$A$2:$C$5,3,FALSE()),""))</f>
        <v/>
      </c>
      <c r="E228" s="21"/>
      <c r="F228" s="21"/>
      <c r="G228" s="21"/>
      <c r="H228" s="21"/>
      <c r="I228" s="21"/>
      <c r="J228" s="21"/>
      <c r="K228" s="25"/>
      <c r="L228" s="21"/>
      <c r="M228" s="21"/>
      <c r="N228" s="21"/>
      <c r="O228" s="21"/>
    </row>
    <row r="229" spans="1:15" x14ac:dyDescent="0.3">
      <c r="A229" s="20" t="str">
        <f t="shared" si="2"/>
        <v/>
      </c>
      <c r="B229" s="21"/>
      <c r="C229" s="21"/>
      <c r="D229" s="22" t="str">
        <f>IF($C229="","",IFERROR(VLOOKUP($C229,Map_Register!$A$2:$C$5,3,FALSE()),""))</f>
        <v/>
      </c>
      <c r="E229" s="21"/>
      <c r="F229" s="21"/>
      <c r="G229" s="21"/>
      <c r="H229" s="21"/>
      <c r="I229" s="21"/>
      <c r="J229" s="21"/>
      <c r="K229" s="25"/>
      <c r="L229" s="21"/>
      <c r="M229" s="21"/>
      <c r="N229" s="21"/>
      <c r="O229" s="21"/>
    </row>
    <row r="230" spans="1:15" x14ac:dyDescent="0.3">
      <c r="A230" s="20" t="str">
        <f t="shared" si="2"/>
        <v/>
      </c>
      <c r="B230" s="21"/>
      <c r="C230" s="21"/>
      <c r="D230" s="22" t="str">
        <f>IF($C230="","",IFERROR(VLOOKUP($C230,Map_Register!$A$2:$C$5,3,FALSE()),""))</f>
        <v/>
      </c>
      <c r="E230" s="21"/>
      <c r="F230" s="21"/>
      <c r="G230" s="21"/>
      <c r="H230" s="21"/>
      <c r="I230" s="21"/>
      <c r="J230" s="21"/>
      <c r="K230" s="25"/>
      <c r="L230" s="21"/>
      <c r="M230" s="21"/>
      <c r="N230" s="21"/>
      <c r="O230" s="21"/>
    </row>
    <row r="231" spans="1:15" x14ac:dyDescent="0.3">
      <c r="A231" s="20" t="str">
        <f t="shared" si="2"/>
        <v/>
      </c>
      <c r="B231" s="21"/>
      <c r="C231" s="21"/>
      <c r="D231" s="22" t="str">
        <f>IF($C231="","",IFERROR(VLOOKUP($C231,Map_Register!$A$2:$C$5,3,FALSE()),""))</f>
        <v/>
      </c>
      <c r="E231" s="21"/>
      <c r="F231" s="21"/>
      <c r="G231" s="21"/>
      <c r="H231" s="21"/>
      <c r="I231" s="21"/>
      <c r="J231" s="21"/>
      <c r="K231" s="25"/>
      <c r="L231" s="21"/>
      <c r="M231" s="21"/>
      <c r="N231" s="21"/>
      <c r="O231" s="21"/>
    </row>
    <row r="232" spans="1:15" x14ac:dyDescent="0.3">
      <c r="A232" s="20" t="str">
        <f t="shared" si="2"/>
        <v/>
      </c>
      <c r="B232" s="21"/>
      <c r="C232" s="21"/>
      <c r="D232" s="22" t="str">
        <f>IF($C232="","",IFERROR(VLOOKUP($C232,Map_Register!$A$2:$C$5,3,FALSE()),""))</f>
        <v/>
      </c>
      <c r="E232" s="21"/>
      <c r="F232" s="21"/>
      <c r="G232" s="21"/>
      <c r="H232" s="21"/>
      <c r="I232" s="21"/>
      <c r="J232" s="21"/>
      <c r="K232" s="25"/>
      <c r="L232" s="21"/>
      <c r="M232" s="21"/>
      <c r="N232" s="21"/>
      <c r="O232" s="21"/>
    </row>
    <row r="233" spans="1:15" x14ac:dyDescent="0.3">
      <c r="A233" s="20" t="str">
        <f t="shared" si="2"/>
        <v/>
      </c>
      <c r="B233" s="21"/>
      <c r="C233" s="21"/>
      <c r="D233" s="22" t="str">
        <f>IF($C233="","",IFERROR(VLOOKUP($C233,Map_Register!$A$2:$C$5,3,FALSE()),""))</f>
        <v/>
      </c>
      <c r="E233" s="21"/>
      <c r="F233" s="21"/>
      <c r="G233" s="21"/>
      <c r="H233" s="21"/>
      <c r="I233" s="21"/>
      <c r="J233" s="21"/>
      <c r="K233" s="25"/>
      <c r="L233" s="21"/>
      <c r="M233" s="21"/>
      <c r="N233" s="21"/>
      <c r="O233" s="21"/>
    </row>
    <row r="234" spans="1:15" x14ac:dyDescent="0.3">
      <c r="A234" s="20" t="str">
        <f t="shared" si="2"/>
        <v/>
      </c>
      <c r="B234" s="21"/>
      <c r="C234" s="21"/>
      <c r="D234" s="22" t="str">
        <f>IF($C234="","",IFERROR(VLOOKUP($C234,Map_Register!$A$2:$C$5,3,FALSE()),""))</f>
        <v/>
      </c>
      <c r="E234" s="21"/>
      <c r="F234" s="21"/>
      <c r="G234" s="21"/>
      <c r="H234" s="21"/>
      <c r="I234" s="21"/>
      <c r="J234" s="21"/>
      <c r="K234" s="25"/>
      <c r="L234" s="21"/>
      <c r="M234" s="21"/>
      <c r="N234" s="21"/>
      <c r="O234" s="21"/>
    </row>
    <row r="235" spans="1:15" x14ac:dyDescent="0.3">
      <c r="A235" s="20" t="str">
        <f t="shared" si="2"/>
        <v/>
      </c>
      <c r="B235" s="21"/>
      <c r="C235" s="21"/>
      <c r="D235" s="22" t="str">
        <f>IF($C235="","",IFERROR(VLOOKUP($C235,Map_Register!$A$2:$C$5,3,FALSE()),""))</f>
        <v/>
      </c>
      <c r="E235" s="21"/>
      <c r="F235" s="21"/>
      <c r="G235" s="21"/>
      <c r="H235" s="21"/>
      <c r="I235" s="21"/>
      <c r="J235" s="21"/>
      <c r="K235" s="25"/>
      <c r="L235" s="21"/>
      <c r="M235" s="21"/>
      <c r="N235" s="21"/>
      <c r="O235" s="21"/>
    </row>
    <row r="236" spans="1:15" x14ac:dyDescent="0.3">
      <c r="A236" s="20" t="str">
        <f t="shared" si="2"/>
        <v/>
      </c>
      <c r="B236" s="21"/>
      <c r="C236" s="21"/>
      <c r="D236" s="22" t="str">
        <f>IF($C236="","",IFERROR(VLOOKUP($C236,Map_Register!$A$2:$C$5,3,FALSE()),""))</f>
        <v/>
      </c>
      <c r="E236" s="21"/>
      <c r="F236" s="21"/>
      <c r="G236" s="21"/>
      <c r="H236" s="21"/>
      <c r="I236" s="21"/>
      <c r="J236" s="21"/>
      <c r="K236" s="25"/>
      <c r="L236" s="21"/>
      <c r="M236" s="21"/>
      <c r="N236" s="21"/>
      <c r="O236" s="21"/>
    </row>
    <row r="237" spans="1:15" x14ac:dyDescent="0.3">
      <c r="A237" s="20" t="str">
        <f t="shared" si="2"/>
        <v/>
      </c>
      <c r="B237" s="21"/>
      <c r="C237" s="21"/>
      <c r="D237" s="22" t="str">
        <f>IF($C237="","",IFERROR(VLOOKUP($C237,Map_Register!$A$2:$C$5,3,FALSE()),""))</f>
        <v/>
      </c>
      <c r="E237" s="21"/>
      <c r="F237" s="21"/>
      <c r="G237" s="21"/>
      <c r="H237" s="21"/>
      <c r="I237" s="21"/>
      <c r="J237" s="21"/>
      <c r="K237" s="25"/>
      <c r="L237" s="21"/>
      <c r="M237" s="21"/>
      <c r="N237" s="21"/>
      <c r="O237" s="21"/>
    </row>
    <row r="238" spans="1:15" x14ac:dyDescent="0.3">
      <c r="A238" s="20" t="str">
        <f t="shared" si="2"/>
        <v/>
      </c>
      <c r="B238" s="21"/>
      <c r="C238" s="21"/>
      <c r="D238" s="22" t="str">
        <f>IF($C238="","",IFERROR(VLOOKUP($C238,Map_Register!$A$2:$C$5,3,FALSE()),""))</f>
        <v/>
      </c>
      <c r="E238" s="21"/>
      <c r="F238" s="21"/>
      <c r="G238" s="21"/>
      <c r="H238" s="21"/>
      <c r="I238" s="21"/>
      <c r="J238" s="21"/>
      <c r="K238" s="25"/>
      <c r="L238" s="21"/>
      <c r="M238" s="21"/>
      <c r="N238" s="21"/>
      <c r="O238" s="21"/>
    </row>
    <row r="239" spans="1:15" x14ac:dyDescent="0.3">
      <c r="A239" s="20" t="str">
        <f t="shared" si="2"/>
        <v/>
      </c>
      <c r="B239" s="21"/>
      <c r="C239" s="21"/>
      <c r="D239" s="22" t="str">
        <f>IF($C239="","",IFERROR(VLOOKUP($C239,Map_Register!$A$2:$C$5,3,FALSE()),""))</f>
        <v/>
      </c>
      <c r="E239" s="21"/>
      <c r="F239" s="21"/>
      <c r="G239" s="21"/>
      <c r="H239" s="21"/>
      <c r="I239" s="21"/>
      <c r="J239" s="21"/>
      <c r="K239" s="25"/>
      <c r="L239" s="21"/>
      <c r="M239" s="21"/>
      <c r="N239" s="21"/>
      <c r="O239" s="21"/>
    </row>
    <row r="240" spans="1:15" x14ac:dyDescent="0.3">
      <c r="A240" s="20" t="str">
        <f t="shared" si="2"/>
        <v/>
      </c>
      <c r="B240" s="21"/>
      <c r="C240" s="21"/>
      <c r="D240" s="22" t="str">
        <f>IF($C240="","",IFERROR(VLOOKUP($C240,Map_Register!$A$2:$C$5,3,FALSE()),""))</f>
        <v/>
      </c>
      <c r="E240" s="21"/>
      <c r="F240" s="21"/>
      <c r="G240" s="21"/>
      <c r="H240" s="21"/>
      <c r="I240" s="21"/>
      <c r="J240" s="21"/>
      <c r="K240" s="25"/>
      <c r="L240" s="21"/>
      <c r="M240" s="21"/>
      <c r="N240" s="21"/>
      <c r="O240" s="21"/>
    </row>
    <row r="241" spans="1:15" x14ac:dyDescent="0.3">
      <c r="A241" s="20" t="str">
        <f t="shared" si="2"/>
        <v/>
      </c>
      <c r="B241" s="21"/>
      <c r="C241" s="21"/>
      <c r="D241" s="22" t="str">
        <f>IF($C241="","",IFERROR(VLOOKUP($C241,Map_Register!$A$2:$C$5,3,FALSE()),""))</f>
        <v/>
      </c>
      <c r="E241" s="21"/>
      <c r="F241" s="21"/>
      <c r="G241" s="21"/>
      <c r="H241" s="21"/>
      <c r="I241" s="21"/>
      <c r="J241" s="21"/>
      <c r="K241" s="25"/>
      <c r="L241" s="21"/>
      <c r="M241" s="21"/>
      <c r="N241" s="21"/>
      <c r="O241" s="21"/>
    </row>
    <row r="242" spans="1:15" x14ac:dyDescent="0.3">
      <c r="A242" s="20" t="str">
        <f t="shared" si="2"/>
        <v/>
      </c>
      <c r="B242" s="21"/>
      <c r="C242" s="21"/>
      <c r="D242" s="22" t="str">
        <f>IF($C242="","",IFERROR(VLOOKUP($C242,Map_Register!$A$2:$C$5,3,FALSE()),""))</f>
        <v/>
      </c>
      <c r="E242" s="21"/>
      <c r="F242" s="21"/>
      <c r="G242" s="21"/>
      <c r="H242" s="21"/>
      <c r="I242" s="21"/>
      <c r="J242" s="21"/>
      <c r="K242" s="25"/>
      <c r="L242" s="21"/>
      <c r="M242" s="21"/>
      <c r="N242" s="21"/>
      <c r="O242" s="21"/>
    </row>
    <row r="243" spans="1:15" x14ac:dyDescent="0.3">
      <c r="A243" s="20" t="str">
        <f t="shared" si="2"/>
        <v/>
      </c>
      <c r="B243" s="21"/>
      <c r="C243" s="21"/>
      <c r="D243" s="22" t="str">
        <f>IF($C243="","",IFERROR(VLOOKUP($C243,Map_Register!$A$2:$C$5,3,FALSE()),""))</f>
        <v/>
      </c>
      <c r="E243" s="21"/>
      <c r="F243" s="21"/>
      <c r="G243" s="21"/>
      <c r="H243" s="21"/>
      <c r="I243" s="21"/>
      <c r="J243" s="21"/>
      <c r="K243" s="25"/>
      <c r="L243" s="21"/>
      <c r="M243" s="21"/>
      <c r="N243" s="21"/>
      <c r="O243" s="21"/>
    </row>
    <row r="244" spans="1:15" x14ac:dyDescent="0.3">
      <c r="A244" s="20" t="str">
        <f t="shared" si="2"/>
        <v/>
      </c>
      <c r="B244" s="21"/>
      <c r="C244" s="21"/>
      <c r="D244" s="22" t="str">
        <f>IF($C244="","",IFERROR(VLOOKUP($C244,Map_Register!$A$2:$C$5,3,FALSE()),""))</f>
        <v/>
      </c>
      <c r="E244" s="21"/>
      <c r="F244" s="21"/>
      <c r="G244" s="21"/>
      <c r="H244" s="21"/>
      <c r="I244" s="21"/>
      <c r="J244" s="21"/>
      <c r="K244" s="25"/>
      <c r="L244" s="21"/>
      <c r="M244" s="21"/>
      <c r="N244" s="21"/>
      <c r="O244" s="21"/>
    </row>
    <row r="245" spans="1:15" x14ac:dyDescent="0.3">
      <c r="A245" s="20" t="str">
        <f t="shared" si="2"/>
        <v/>
      </c>
      <c r="B245" s="21"/>
      <c r="C245" s="21"/>
      <c r="D245" s="22" t="str">
        <f>IF($C245="","",IFERROR(VLOOKUP($C245,Map_Register!$A$2:$C$5,3,FALSE()),""))</f>
        <v/>
      </c>
      <c r="E245" s="21"/>
      <c r="F245" s="21"/>
      <c r="G245" s="21"/>
      <c r="H245" s="21"/>
      <c r="I245" s="21"/>
      <c r="J245" s="21"/>
      <c r="K245" s="25"/>
      <c r="L245" s="21"/>
      <c r="M245" s="21"/>
      <c r="N245" s="21"/>
      <c r="O245" s="21"/>
    </row>
    <row r="246" spans="1:15" x14ac:dyDescent="0.3">
      <c r="A246" s="20" t="str">
        <f t="shared" si="2"/>
        <v/>
      </c>
      <c r="B246" s="21"/>
      <c r="C246" s="21"/>
      <c r="D246" s="22" t="str">
        <f>IF($C246="","",IFERROR(VLOOKUP($C246,Map_Register!$A$2:$C$5,3,FALSE()),""))</f>
        <v/>
      </c>
      <c r="E246" s="21"/>
      <c r="F246" s="21"/>
      <c r="G246" s="21"/>
      <c r="H246" s="21"/>
      <c r="I246" s="21"/>
      <c r="J246" s="21"/>
      <c r="K246" s="25"/>
      <c r="L246" s="21"/>
      <c r="M246" s="21"/>
      <c r="N246" s="21"/>
      <c r="O246" s="21"/>
    </row>
    <row r="247" spans="1:15" x14ac:dyDescent="0.3">
      <c r="A247" s="20" t="str">
        <f t="shared" si="2"/>
        <v/>
      </c>
      <c r="B247" s="21"/>
      <c r="C247" s="21"/>
      <c r="D247" s="22" t="str">
        <f>IF($C247="","",IFERROR(VLOOKUP($C247,Map_Register!$A$2:$C$5,3,FALSE()),""))</f>
        <v/>
      </c>
      <c r="E247" s="21"/>
      <c r="F247" s="21"/>
      <c r="G247" s="21"/>
      <c r="H247" s="21"/>
      <c r="I247" s="21"/>
      <c r="J247" s="21"/>
      <c r="K247" s="25"/>
      <c r="L247" s="21"/>
      <c r="M247" s="21"/>
      <c r="N247" s="21"/>
      <c r="O247" s="21"/>
    </row>
    <row r="248" spans="1:15" x14ac:dyDescent="0.3">
      <c r="A248" s="20" t="str">
        <f t="shared" si="2"/>
        <v/>
      </c>
      <c r="B248" s="21"/>
      <c r="C248" s="21"/>
      <c r="D248" s="22" t="str">
        <f>IF($C248="","",IFERROR(VLOOKUP($C248,Map_Register!$A$2:$C$5,3,FALSE()),""))</f>
        <v/>
      </c>
      <c r="E248" s="21"/>
      <c r="F248" s="21"/>
      <c r="G248" s="21"/>
      <c r="H248" s="21"/>
      <c r="I248" s="21"/>
      <c r="J248" s="21"/>
      <c r="K248" s="25"/>
      <c r="L248" s="21"/>
      <c r="M248" s="21"/>
      <c r="N248" s="21"/>
      <c r="O248" s="21"/>
    </row>
    <row r="249" spans="1:15" x14ac:dyDescent="0.3">
      <c r="A249" s="20" t="str">
        <f t="shared" si="2"/>
        <v/>
      </c>
      <c r="B249" s="21"/>
      <c r="C249" s="21"/>
      <c r="D249" s="22" t="str">
        <f>IF($C249="","",IFERROR(VLOOKUP($C249,Map_Register!$A$2:$C$5,3,FALSE()),""))</f>
        <v/>
      </c>
      <c r="E249" s="21"/>
      <c r="F249" s="21"/>
      <c r="G249" s="21"/>
      <c r="H249" s="21"/>
      <c r="I249" s="21"/>
      <c r="J249" s="21"/>
      <c r="K249" s="25"/>
      <c r="L249" s="21"/>
      <c r="M249" s="21"/>
      <c r="N249" s="21"/>
      <c r="O249" s="21"/>
    </row>
    <row r="250" spans="1:15" x14ac:dyDescent="0.3">
      <c r="A250" s="20" t="str">
        <f t="shared" si="2"/>
        <v/>
      </c>
      <c r="B250" s="21"/>
      <c r="C250" s="21"/>
      <c r="D250" s="22" t="str">
        <f>IF($C250="","",IFERROR(VLOOKUP($C250,Map_Register!$A$2:$C$5,3,FALSE()),""))</f>
        <v/>
      </c>
      <c r="E250" s="21"/>
      <c r="F250" s="21"/>
      <c r="G250" s="21"/>
      <c r="H250" s="21"/>
      <c r="I250" s="21"/>
      <c r="J250" s="21"/>
      <c r="K250" s="25"/>
      <c r="L250" s="21"/>
      <c r="M250" s="21"/>
      <c r="N250" s="21"/>
      <c r="O250" s="21"/>
    </row>
    <row r="251" spans="1:15" x14ac:dyDescent="0.3">
      <c r="A251" s="20" t="str">
        <f t="shared" si="2"/>
        <v/>
      </c>
      <c r="B251" s="21"/>
      <c r="C251" s="21"/>
      <c r="D251" s="22" t="str">
        <f>IF($C251="","",IFERROR(VLOOKUP($C251,Map_Register!$A$2:$C$5,3,FALSE()),""))</f>
        <v/>
      </c>
      <c r="E251" s="21"/>
      <c r="F251" s="21"/>
      <c r="G251" s="21"/>
      <c r="H251" s="21"/>
      <c r="I251" s="21"/>
      <c r="J251" s="21"/>
      <c r="K251" s="25"/>
      <c r="L251" s="21"/>
      <c r="M251" s="21"/>
      <c r="N251" s="21"/>
      <c r="O251" s="21"/>
    </row>
    <row r="252" spans="1:15" x14ac:dyDescent="0.3">
      <c r="A252" s="20" t="str">
        <f t="shared" si="2"/>
        <v/>
      </c>
      <c r="B252" s="21"/>
      <c r="C252" s="21"/>
      <c r="D252" s="22" t="str">
        <f>IF($C252="","",IFERROR(VLOOKUP($C252,Map_Register!$A$2:$C$5,3,FALSE()),""))</f>
        <v/>
      </c>
      <c r="E252" s="21"/>
      <c r="F252" s="21"/>
      <c r="G252" s="21"/>
      <c r="H252" s="21"/>
      <c r="I252" s="21"/>
      <c r="J252" s="21"/>
      <c r="K252" s="25"/>
      <c r="L252" s="21"/>
      <c r="M252" s="21"/>
      <c r="N252" s="21"/>
      <c r="O252" s="21"/>
    </row>
    <row r="253" spans="1:15" x14ac:dyDescent="0.3">
      <c r="A253" s="20" t="str">
        <f t="shared" si="2"/>
        <v/>
      </c>
      <c r="B253" s="21"/>
      <c r="C253" s="21"/>
      <c r="D253" s="22" t="str">
        <f>IF($C253="","",IFERROR(VLOOKUP($C253,Map_Register!$A$2:$C$5,3,FALSE()),""))</f>
        <v/>
      </c>
      <c r="E253" s="21"/>
      <c r="F253" s="21"/>
      <c r="G253" s="21"/>
      <c r="H253" s="21"/>
      <c r="I253" s="21"/>
      <c r="J253" s="21"/>
      <c r="K253" s="25"/>
      <c r="L253" s="21"/>
      <c r="M253" s="21"/>
      <c r="N253" s="21"/>
      <c r="O253" s="21"/>
    </row>
    <row r="254" spans="1:15" x14ac:dyDescent="0.3">
      <c r="A254" s="20" t="str">
        <f t="shared" si="2"/>
        <v/>
      </c>
      <c r="B254" s="21"/>
      <c r="C254" s="21"/>
      <c r="D254" s="22" t="str">
        <f>IF($C254="","",IFERROR(VLOOKUP($C254,Map_Register!$A$2:$C$5,3,FALSE()),""))</f>
        <v/>
      </c>
      <c r="E254" s="21"/>
      <c r="F254" s="21"/>
      <c r="G254" s="21"/>
      <c r="H254" s="21"/>
      <c r="I254" s="21"/>
      <c r="J254" s="21"/>
      <c r="K254" s="25"/>
      <c r="L254" s="21"/>
      <c r="M254" s="21"/>
      <c r="N254" s="21"/>
      <c r="O254" s="21"/>
    </row>
    <row r="255" spans="1:15" x14ac:dyDescent="0.3">
      <c r="A255" s="20" t="str">
        <f t="shared" si="2"/>
        <v/>
      </c>
      <c r="B255" s="21"/>
      <c r="C255" s="21"/>
      <c r="D255" s="22" t="str">
        <f>IF($C255="","",IFERROR(VLOOKUP($C255,Map_Register!$A$2:$C$5,3,FALSE()),""))</f>
        <v/>
      </c>
      <c r="E255" s="21"/>
      <c r="F255" s="21"/>
      <c r="G255" s="21"/>
      <c r="H255" s="21"/>
      <c r="I255" s="21"/>
      <c r="J255" s="21"/>
      <c r="K255" s="25"/>
      <c r="L255" s="21"/>
      <c r="M255" s="21"/>
      <c r="N255" s="21"/>
      <c r="O255" s="21"/>
    </row>
    <row r="256" spans="1:15" x14ac:dyDescent="0.3">
      <c r="A256" s="20" t="str">
        <f t="shared" si="2"/>
        <v/>
      </c>
      <c r="B256" s="21"/>
      <c r="C256" s="21"/>
      <c r="D256" s="22" t="str">
        <f>IF($C256="","",IFERROR(VLOOKUP($C256,Map_Register!$A$2:$C$5,3,FALSE()),""))</f>
        <v/>
      </c>
      <c r="E256" s="21"/>
      <c r="F256" s="21"/>
      <c r="G256" s="21"/>
      <c r="H256" s="21"/>
      <c r="I256" s="21"/>
      <c r="J256" s="21"/>
      <c r="K256" s="25"/>
      <c r="L256" s="21"/>
      <c r="M256" s="21"/>
      <c r="N256" s="21"/>
      <c r="O256" s="21"/>
    </row>
    <row r="257" spans="1:15" x14ac:dyDescent="0.3">
      <c r="A257" s="20" t="str">
        <f t="shared" si="2"/>
        <v/>
      </c>
      <c r="B257" s="21"/>
      <c r="C257" s="21"/>
      <c r="D257" s="22" t="str">
        <f>IF($C257="","",IFERROR(VLOOKUP($C257,Map_Register!$A$2:$C$5,3,FALSE()),""))</f>
        <v/>
      </c>
      <c r="E257" s="21"/>
      <c r="F257" s="21"/>
      <c r="G257" s="21"/>
      <c r="H257" s="21"/>
      <c r="I257" s="21"/>
      <c r="J257" s="21"/>
      <c r="K257" s="25"/>
      <c r="L257" s="21"/>
      <c r="M257" s="21"/>
      <c r="N257" s="21"/>
      <c r="O257" s="21"/>
    </row>
    <row r="258" spans="1:15" x14ac:dyDescent="0.3">
      <c r="A258" s="20" t="str">
        <f t="shared" si="2"/>
        <v/>
      </c>
      <c r="B258" s="21"/>
      <c r="C258" s="21"/>
      <c r="D258" s="22" t="str">
        <f>IF($C258="","",IFERROR(VLOOKUP($C258,Map_Register!$A$2:$C$5,3,FALSE()),""))</f>
        <v/>
      </c>
      <c r="E258" s="21"/>
      <c r="F258" s="21"/>
      <c r="G258" s="21"/>
      <c r="H258" s="21"/>
      <c r="I258" s="21"/>
      <c r="J258" s="21"/>
      <c r="K258" s="25"/>
      <c r="L258" s="21"/>
      <c r="M258" s="21"/>
      <c r="N258" s="21"/>
      <c r="O258" s="21"/>
    </row>
    <row r="259" spans="1:15" x14ac:dyDescent="0.3">
      <c r="A259" s="20" t="str">
        <f t="shared" si="2"/>
        <v/>
      </c>
      <c r="B259" s="21"/>
      <c r="C259" s="21"/>
      <c r="D259" s="22" t="str">
        <f>IF($C259="","",IFERROR(VLOOKUP($C259,Map_Register!$A$2:$C$5,3,FALSE()),""))</f>
        <v/>
      </c>
      <c r="E259" s="21"/>
      <c r="F259" s="21"/>
      <c r="G259" s="21"/>
      <c r="H259" s="21"/>
      <c r="I259" s="21"/>
      <c r="J259" s="21"/>
      <c r="K259" s="25"/>
      <c r="L259" s="21"/>
      <c r="M259" s="21"/>
      <c r="N259" s="21"/>
      <c r="O259" s="21"/>
    </row>
    <row r="260" spans="1:15" x14ac:dyDescent="0.3">
      <c r="A260" s="20" t="str">
        <f t="shared" si="2"/>
        <v/>
      </c>
      <c r="B260" s="21"/>
      <c r="C260" s="21"/>
      <c r="D260" s="22" t="str">
        <f>IF($C260="","",IFERROR(VLOOKUP($C260,Map_Register!$A$2:$C$5,3,FALSE()),""))</f>
        <v/>
      </c>
      <c r="E260" s="21"/>
      <c r="F260" s="21"/>
      <c r="G260" s="21"/>
      <c r="H260" s="21"/>
      <c r="I260" s="21"/>
      <c r="J260" s="21"/>
      <c r="K260" s="25"/>
      <c r="L260" s="21"/>
      <c r="M260" s="21"/>
      <c r="N260" s="21"/>
      <c r="O260" s="21"/>
    </row>
    <row r="261" spans="1:15" x14ac:dyDescent="0.3">
      <c r="A261" s="20" t="str">
        <f t="shared" si="2"/>
        <v/>
      </c>
      <c r="B261" s="21"/>
      <c r="C261" s="21"/>
      <c r="D261" s="22" t="str">
        <f>IF($C261="","",IFERROR(VLOOKUP($C261,Map_Register!$A$2:$C$5,3,FALSE()),""))</f>
        <v/>
      </c>
      <c r="E261" s="21"/>
      <c r="F261" s="21"/>
      <c r="G261" s="21"/>
      <c r="H261" s="21"/>
      <c r="I261" s="21"/>
      <c r="J261" s="21"/>
      <c r="K261" s="25"/>
      <c r="L261" s="21"/>
      <c r="M261" s="21"/>
      <c r="N261" s="21"/>
      <c r="O261" s="21"/>
    </row>
    <row r="262" spans="1:15" x14ac:dyDescent="0.3">
      <c r="A262" s="20" t="str">
        <f t="shared" si="2"/>
        <v/>
      </c>
      <c r="B262" s="21"/>
      <c r="C262" s="21"/>
      <c r="D262" s="22" t="str">
        <f>IF($C262="","",IFERROR(VLOOKUP($C262,Map_Register!$A$2:$C$5,3,FALSE()),""))</f>
        <v/>
      </c>
      <c r="E262" s="21"/>
      <c r="F262" s="21"/>
      <c r="G262" s="21"/>
      <c r="H262" s="21"/>
      <c r="I262" s="21"/>
      <c r="J262" s="21"/>
      <c r="K262" s="25"/>
      <c r="L262" s="21"/>
      <c r="M262" s="21"/>
      <c r="N262" s="21"/>
      <c r="O262" s="21"/>
    </row>
    <row r="263" spans="1:15" x14ac:dyDescent="0.3">
      <c r="A263" s="20" t="str">
        <f t="shared" si="2"/>
        <v/>
      </c>
      <c r="B263" s="21"/>
      <c r="C263" s="21"/>
      <c r="D263" s="22" t="str">
        <f>IF($C263="","",IFERROR(VLOOKUP($C263,Map_Register!$A$2:$C$5,3,FALSE()),""))</f>
        <v/>
      </c>
      <c r="E263" s="21"/>
      <c r="F263" s="21"/>
      <c r="G263" s="21"/>
      <c r="H263" s="21"/>
      <c r="I263" s="21"/>
      <c r="J263" s="21"/>
      <c r="K263" s="25"/>
      <c r="L263" s="21"/>
      <c r="M263" s="21"/>
      <c r="N263" s="21"/>
      <c r="O263" s="21"/>
    </row>
    <row r="264" spans="1:15" x14ac:dyDescent="0.3">
      <c r="A264" s="20" t="str">
        <f t="shared" si="2"/>
        <v/>
      </c>
      <c r="B264" s="21"/>
      <c r="C264" s="21"/>
      <c r="D264" s="22" t="str">
        <f>IF($C264="","",IFERROR(VLOOKUP($C264,Map_Register!$A$2:$C$5,3,FALSE()),""))</f>
        <v/>
      </c>
      <c r="E264" s="21"/>
      <c r="F264" s="21"/>
      <c r="G264" s="21"/>
      <c r="H264" s="21"/>
      <c r="I264" s="21"/>
      <c r="J264" s="21"/>
      <c r="K264" s="25"/>
      <c r="L264" s="21"/>
      <c r="M264" s="21"/>
      <c r="N264" s="21"/>
      <c r="O264" s="21"/>
    </row>
    <row r="265" spans="1:15" x14ac:dyDescent="0.3">
      <c r="A265" s="20" t="str">
        <f t="shared" si="2"/>
        <v/>
      </c>
      <c r="B265" s="21"/>
      <c r="C265" s="21"/>
      <c r="D265" s="22" t="str">
        <f>IF($C265="","",IFERROR(VLOOKUP($C265,Map_Register!$A$2:$C$5,3,FALSE()),""))</f>
        <v/>
      </c>
      <c r="E265" s="21"/>
      <c r="F265" s="21"/>
      <c r="G265" s="21"/>
      <c r="H265" s="21"/>
      <c r="I265" s="21"/>
      <c r="J265" s="21"/>
      <c r="K265" s="25"/>
      <c r="L265" s="21"/>
      <c r="M265" s="21"/>
      <c r="N265" s="21"/>
      <c r="O265" s="21"/>
    </row>
    <row r="266" spans="1:15" x14ac:dyDescent="0.3">
      <c r="A266" s="20" t="str">
        <f t="shared" si="2"/>
        <v/>
      </c>
      <c r="B266" s="21"/>
      <c r="C266" s="21"/>
      <c r="D266" s="22" t="str">
        <f>IF($C266="","",IFERROR(VLOOKUP($C266,Map_Register!$A$2:$C$5,3,FALSE()),""))</f>
        <v/>
      </c>
      <c r="E266" s="21"/>
      <c r="F266" s="21"/>
      <c r="G266" s="21"/>
      <c r="H266" s="21"/>
      <c r="I266" s="21"/>
      <c r="J266" s="21"/>
      <c r="K266" s="25"/>
      <c r="L266" s="21"/>
      <c r="M266" s="21"/>
      <c r="N266" s="21"/>
      <c r="O266" s="21"/>
    </row>
    <row r="267" spans="1:15" x14ac:dyDescent="0.3">
      <c r="A267" s="20" t="str">
        <f t="shared" si="2"/>
        <v/>
      </c>
      <c r="B267" s="21"/>
      <c r="C267" s="21"/>
      <c r="D267" s="22" t="str">
        <f>IF($C267="","",IFERROR(VLOOKUP($C267,Map_Register!$A$2:$C$5,3,FALSE()),""))</f>
        <v/>
      </c>
      <c r="E267" s="21"/>
      <c r="F267" s="21"/>
      <c r="G267" s="21"/>
      <c r="H267" s="21"/>
      <c r="I267" s="21"/>
      <c r="J267" s="21"/>
      <c r="K267" s="25"/>
      <c r="L267" s="21"/>
      <c r="M267" s="21"/>
      <c r="N267" s="21"/>
      <c r="O267" s="21"/>
    </row>
    <row r="268" spans="1:15" x14ac:dyDescent="0.3">
      <c r="A268" s="20" t="str">
        <f t="shared" si="2"/>
        <v/>
      </c>
      <c r="B268" s="21"/>
      <c r="C268" s="21"/>
      <c r="D268" s="22" t="str">
        <f>IF($C268="","",IFERROR(VLOOKUP($C268,Map_Register!$A$2:$C$5,3,FALSE()),""))</f>
        <v/>
      </c>
      <c r="E268" s="21"/>
      <c r="F268" s="21"/>
      <c r="G268" s="21"/>
      <c r="H268" s="21"/>
      <c r="I268" s="21"/>
      <c r="J268" s="21"/>
      <c r="K268" s="25"/>
      <c r="L268" s="21"/>
      <c r="M268" s="21"/>
      <c r="N268" s="21"/>
      <c r="O268" s="21"/>
    </row>
    <row r="269" spans="1:15" x14ac:dyDescent="0.3">
      <c r="A269" s="20" t="str">
        <f t="shared" si="2"/>
        <v/>
      </c>
      <c r="B269" s="21"/>
      <c r="C269" s="21"/>
      <c r="D269" s="22" t="str">
        <f>IF($C269="","",IFERROR(VLOOKUP($C269,Map_Register!$A$2:$C$5,3,FALSE()),""))</f>
        <v/>
      </c>
      <c r="E269" s="21"/>
      <c r="F269" s="21"/>
      <c r="G269" s="21"/>
      <c r="H269" s="21"/>
      <c r="I269" s="21"/>
      <c r="J269" s="21"/>
      <c r="K269" s="25"/>
      <c r="L269" s="21"/>
      <c r="M269" s="21"/>
      <c r="N269" s="21"/>
      <c r="O269" s="21"/>
    </row>
    <row r="270" spans="1:15" x14ac:dyDescent="0.3">
      <c r="A270" s="20" t="str">
        <f t="shared" si="2"/>
        <v/>
      </c>
      <c r="B270" s="21"/>
      <c r="C270" s="21"/>
      <c r="D270" s="22" t="str">
        <f>IF($C270="","",IFERROR(VLOOKUP($C270,Map_Register!$A$2:$C$5,3,FALSE()),""))</f>
        <v/>
      </c>
      <c r="E270" s="21"/>
      <c r="F270" s="21"/>
      <c r="G270" s="21"/>
      <c r="H270" s="21"/>
      <c r="I270" s="21"/>
      <c r="J270" s="21"/>
      <c r="K270" s="25"/>
      <c r="L270" s="21"/>
      <c r="M270" s="21"/>
      <c r="N270" s="21"/>
      <c r="O270" s="21"/>
    </row>
    <row r="271" spans="1:15" x14ac:dyDescent="0.3">
      <c r="A271" s="20" t="str">
        <f t="shared" si="2"/>
        <v/>
      </c>
      <c r="B271" s="21"/>
      <c r="C271" s="21"/>
      <c r="D271" s="22" t="str">
        <f>IF($C271="","",IFERROR(VLOOKUP($C271,Map_Register!$A$2:$C$5,3,FALSE()),""))</f>
        <v/>
      </c>
      <c r="E271" s="21"/>
      <c r="F271" s="21"/>
      <c r="G271" s="21"/>
      <c r="H271" s="21"/>
      <c r="I271" s="21"/>
      <c r="J271" s="21"/>
      <c r="K271" s="25"/>
      <c r="L271" s="21"/>
      <c r="M271" s="21"/>
      <c r="N271" s="21"/>
      <c r="O271" s="21"/>
    </row>
    <row r="272" spans="1:15" x14ac:dyDescent="0.3">
      <c r="A272" s="20" t="str">
        <f t="shared" si="2"/>
        <v/>
      </c>
      <c r="B272" s="21"/>
      <c r="C272" s="21"/>
      <c r="D272" s="22" t="str">
        <f>IF($C272="","",IFERROR(VLOOKUP($C272,Map_Register!$A$2:$C$5,3,FALSE()),""))</f>
        <v/>
      </c>
      <c r="E272" s="21"/>
      <c r="F272" s="21"/>
      <c r="G272" s="21"/>
      <c r="H272" s="21"/>
      <c r="I272" s="21"/>
      <c r="J272" s="21"/>
      <c r="K272" s="25"/>
      <c r="L272" s="21"/>
      <c r="M272" s="21"/>
      <c r="N272" s="21"/>
      <c r="O272" s="21"/>
    </row>
    <row r="273" spans="1:15" x14ac:dyDescent="0.3">
      <c r="A273" s="20" t="str">
        <f t="shared" si="2"/>
        <v/>
      </c>
      <c r="B273" s="21"/>
      <c r="C273" s="21"/>
      <c r="D273" s="22" t="str">
        <f>IF($C273="","",IFERROR(VLOOKUP($C273,Map_Register!$A$2:$C$5,3,FALSE()),""))</f>
        <v/>
      </c>
      <c r="E273" s="21"/>
      <c r="F273" s="21"/>
      <c r="G273" s="21"/>
      <c r="H273" s="21"/>
      <c r="I273" s="21"/>
      <c r="J273" s="21"/>
      <c r="K273" s="25"/>
      <c r="L273" s="21"/>
      <c r="M273" s="21"/>
      <c r="N273" s="21"/>
      <c r="O273" s="21"/>
    </row>
    <row r="274" spans="1:15" x14ac:dyDescent="0.3">
      <c r="A274" s="20" t="str">
        <f t="shared" si="2"/>
        <v/>
      </c>
      <c r="B274" s="21"/>
      <c r="C274" s="21"/>
      <c r="D274" s="22" t="str">
        <f>IF($C274="","",IFERROR(VLOOKUP($C274,Map_Register!$A$2:$C$5,3,FALSE()),""))</f>
        <v/>
      </c>
      <c r="E274" s="21"/>
      <c r="F274" s="21"/>
      <c r="G274" s="21"/>
      <c r="H274" s="21"/>
      <c r="I274" s="21"/>
      <c r="J274" s="21"/>
      <c r="K274" s="25"/>
      <c r="L274" s="21"/>
      <c r="M274" s="21"/>
      <c r="N274" s="21"/>
      <c r="O274" s="21"/>
    </row>
    <row r="275" spans="1:15" x14ac:dyDescent="0.3">
      <c r="A275" s="20" t="str">
        <f t="shared" si="2"/>
        <v/>
      </c>
      <c r="B275" s="21"/>
      <c r="C275" s="21"/>
      <c r="D275" s="22" t="str">
        <f>IF($C275="","",IFERROR(VLOOKUP($C275,Map_Register!$A$2:$C$5,3,FALSE()),""))</f>
        <v/>
      </c>
      <c r="E275" s="21"/>
      <c r="F275" s="21"/>
      <c r="G275" s="21"/>
      <c r="H275" s="21"/>
      <c r="I275" s="21"/>
      <c r="J275" s="21"/>
      <c r="K275" s="25"/>
      <c r="L275" s="21"/>
      <c r="M275" s="21"/>
      <c r="N275" s="21"/>
      <c r="O275" s="21"/>
    </row>
    <row r="276" spans="1:15" x14ac:dyDescent="0.3">
      <c r="A276" s="20" t="str">
        <f t="shared" si="2"/>
        <v/>
      </c>
      <c r="B276" s="21"/>
      <c r="C276" s="21"/>
      <c r="D276" s="22" t="str">
        <f>IF($C276="","",IFERROR(VLOOKUP($C276,Map_Register!$A$2:$C$5,3,FALSE()),""))</f>
        <v/>
      </c>
      <c r="E276" s="21"/>
      <c r="F276" s="21"/>
      <c r="G276" s="21"/>
      <c r="H276" s="21"/>
      <c r="I276" s="21"/>
      <c r="J276" s="21"/>
      <c r="K276" s="25"/>
      <c r="L276" s="21"/>
      <c r="M276" s="21"/>
      <c r="N276" s="21"/>
      <c r="O276" s="21"/>
    </row>
    <row r="277" spans="1:15" x14ac:dyDescent="0.3">
      <c r="A277" s="20" t="str">
        <f t="shared" si="2"/>
        <v/>
      </c>
      <c r="B277" s="21"/>
      <c r="C277" s="21"/>
      <c r="D277" s="22" t="str">
        <f>IF($C277="","",IFERROR(VLOOKUP($C277,Map_Register!$A$2:$C$5,3,FALSE()),""))</f>
        <v/>
      </c>
      <c r="E277" s="21"/>
      <c r="F277" s="21"/>
      <c r="G277" s="21"/>
      <c r="H277" s="21"/>
      <c r="I277" s="21"/>
      <c r="J277" s="21"/>
      <c r="K277" s="25"/>
      <c r="L277" s="21"/>
      <c r="M277" s="21"/>
      <c r="N277" s="21"/>
      <c r="O277" s="21"/>
    </row>
    <row r="278" spans="1:15" x14ac:dyDescent="0.3">
      <c r="A278" s="20" t="str">
        <f t="shared" si="2"/>
        <v/>
      </c>
      <c r="B278" s="21"/>
      <c r="C278" s="21"/>
      <c r="D278" s="22" t="str">
        <f>IF($C278="","",IFERROR(VLOOKUP($C278,Map_Register!$A$2:$C$5,3,FALSE()),""))</f>
        <v/>
      </c>
      <c r="E278" s="21"/>
      <c r="F278" s="21"/>
      <c r="G278" s="21"/>
      <c r="H278" s="21"/>
      <c r="I278" s="21"/>
      <c r="J278" s="21"/>
      <c r="K278" s="25"/>
      <c r="L278" s="21"/>
      <c r="M278" s="21"/>
      <c r="N278" s="21"/>
      <c r="O278" s="21"/>
    </row>
    <row r="279" spans="1:15" x14ac:dyDescent="0.3">
      <c r="A279" s="20" t="str">
        <f t="shared" si="2"/>
        <v/>
      </c>
      <c r="B279" s="21"/>
      <c r="C279" s="21"/>
      <c r="D279" s="22" t="str">
        <f>IF($C279="","",IFERROR(VLOOKUP($C279,Map_Register!$A$2:$C$5,3,FALSE()),""))</f>
        <v/>
      </c>
      <c r="E279" s="21"/>
      <c r="F279" s="21"/>
      <c r="G279" s="21"/>
      <c r="H279" s="21"/>
      <c r="I279" s="21"/>
      <c r="J279" s="21"/>
      <c r="K279" s="25"/>
      <c r="L279" s="21"/>
      <c r="M279" s="21"/>
      <c r="N279" s="21"/>
      <c r="O279" s="21"/>
    </row>
    <row r="280" spans="1:15" x14ac:dyDescent="0.3">
      <c r="A280" s="20" t="str">
        <f t="shared" si="2"/>
        <v/>
      </c>
      <c r="B280" s="21"/>
      <c r="C280" s="21"/>
      <c r="D280" s="22" t="str">
        <f>IF($C280="","",IFERROR(VLOOKUP($C280,Map_Register!$A$2:$C$5,3,FALSE()),""))</f>
        <v/>
      </c>
      <c r="E280" s="21"/>
      <c r="F280" s="21"/>
      <c r="G280" s="21"/>
      <c r="H280" s="21"/>
      <c r="I280" s="21"/>
      <c r="J280" s="21"/>
      <c r="K280" s="25"/>
      <c r="L280" s="21"/>
      <c r="M280" s="21"/>
      <c r="N280" s="21"/>
      <c r="O280" s="21"/>
    </row>
    <row r="281" spans="1:15" x14ac:dyDescent="0.3">
      <c r="A281" s="20" t="str">
        <f t="shared" si="2"/>
        <v/>
      </c>
      <c r="B281" s="21"/>
      <c r="C281" s="21"/>
      <c r="D281" s="22" t="str">
        <f>IF($C281="","",IFERROR(VLOOKUP($C281,Map_Register!$A$2:$C$5,3,FALSE()),""))</f>
        <v/>
      </c>
      <c r="E281" s="21"/>
      <c r="F281" s="21"/>
      <c r="G281" s="21"/>
      <c r="H281" s="21"/>
      <c r="I281" s="21"/>
      <c r="J281" s="21"/>
      <c r="K281" s="25"/>
      <c r="L281" s="21"/>
      <c r="M281" s="21"/>
      <c r="N281" s="21"/>
      <c r="O281" s="21"/>
    </row>
    <row r="282" spans="1:15" x14ac:dyDescent="0.3">
      <c r="A282" s="20" t="str">
        <f t="shared" si="2"/>
        <v/>
      </c>
      <c r="B282" s="21"/>
      <c r="C282" s="21"/>
      <c r="D282" s="22" t="str">
        <f>IF($C282="","",IFERROR(VLOOKUP($C282,Map_Register!$A$2:$C$5,3,FALSE()),""))</f>
        <v/>
      </c>
      <c r="E282" s="21"/>
      <c r="F282" s="21"/>
      <c r="G282" s="21"/>
      <c r="H282" s="21"/>
      <c r="I282" s="21"/>
      <c r="J282" s="21"/>
      <c r="K282" s="25"/>
      <c r="L282" s="21"/>
      <c r="M282" s="21"/>
      <c r="N282" s="21"/>
      <c r="O282" s="21"/>
    </row>
    <row r="283" spans="1:15" x14ac:dyDescent="0.3">
      <c r="A283" s="20" t="str">
        <f t="shared" si="2"/>
        <v/>
      </c>
      <c r="B283" s="21"/>
      <c r="C283" s="21"/>
      <c r="D283" s="22" t="str">
        <f>IF($C283="","",IFERROR(VLOOKUP($C283,Map_Register!$A$2:$C$5,3,FALSE()),""))</f>
        <v/>
      </c>
      <c r="E283" s="21"/>
      <c r="F283" s="21"/>
      <c r="G283" s="21"/>
      <c r="H283" s="21"/>
      <c r="I283" s="21"/>
      <c r="J283" s="21"/>
      <c r="K283" s="25"/>
      <c r="L283" s="21"/>
      <c r="M283" s="21"/>
      <c r="N283" s="21"/>
      <c r="O283" s="21"/>
    </row>
    <row r="284" spans="1:15" x14ac:dyDescent="0.3">
      <c r="A284" s="20" t="str">
        <f t="shared" si="2"/>
        <v/>
      </c>
      <c r="B284" s="21"/>
      <c r="C284" s="21"/>
      <c r="D284" s="22" t="str">
        <f>IF($C284="","",IFERROR(VLOOKUP($C284,Map_Register!$A$2:$C$5,3,FALSE()),""))</f>
        <v/>
      </c>
      <c r="E284" s="21"/>
      <c r="F284" s="21"/>
      <c r="G284" s="21"/>
      <c r="H284" s="21"/>
      <c r="I284" s="21"/>
      <c r="J284" s="21"/>
      <c r="K284" s="25"/>
      <c r="L284" s="21"/>
      <c r="M284" s="21"/>
      <c r="N284" s="21"/>
      <c r="O284" s="21"/>
    </row>
    <row r="285" spans="1:15" x14ac:dyDescent="0.3">
      <c r="A285" s="20" t="str">
        <f t="shared" si="2"/>
        <v/>
      </c>
      <c r="B285" s="21"/>
      <c r="C285" s="21"/>
      <c r="D285" s="22" t="str">
        <f>IF($C285="","",IFERROR(VLOOKUP($C285,Map_Register!$A$2:$C$5,3,FALSE()),""))</f>
        <v/>
      </c>
      <c r="E285" s="21"/>
      <c r="F285" s="21"/>
      <c r="G285" s="21"/>
      <c r="H285" s="21"/>
      <c r="I285" s="21"/>
      <c r="J285" s="21"/>
      <c r="K285" s="25"/>
      <c r="L285" s="21"/>
      <c r="M285" s="21"/>
      <c r="N285" s="21"/>
      <c r="O285" s="21"/>
    </row>
    <row r="286" spans="1:15" x14ac:dyDescent="0.3">
      <c r="A286" s="20" t="str">
        <f t="shared" ref="A286:A349" si="3">IF($B286="","",ROW()-1)</f>
        <v/>
      </c>
      <c r="B286" s="21"/>
      <c r="C286" s="21"/>
      <c r="D286" s="22" t="str">
        <f>IF($C286="","",IFERROR(VLOOKUP($C286,Map_Register!$A$2:$C$5,3,FALSE()),""))</f>
        <v/>
      </c>
      <c r="E286" s="21"/>
      <c r="F286" s="21"/>
      <c r="G286" s="21"/>
      <c r="H286" s="21"/>
      <c r="I286" s="21"/>
      <c r="J286" s="21"/>
      <c r="K286" s="25"/>
      <c r="L286" s="21"/>
      <c r="M286" s="21"/>
      <c r="N286" s="21"/>
      <c r="O286" s="21"/>
    </row>
    <row r="287" spans="1:15" x14ac:dyDescent="0.3">
      <c r="A287" s="20" t="str">
        <f t="shared" si="3"/>
        <v/>
      </c>
      <c r="B287" s="21"/>
      <c r="C287" s="21"/>
      <c r="D287" s="22" t="str">
        <f>IF($C287="","",IFERROR(VLOOKUP($C287,Map_Register!$A$2:$C$5,3,FALSE()),""))</f>
        <v/>
      </c>
      <c r="E287" s="21"/>
      <c r="F287" s="21"/>
      <c r="G287" s="21"/>
      <c r="H287" s="21"/>
      <c r="I287" s="21"/>
      <c r="J287" s="21"/>
      <c r="K287" s="25"/>
      <c r="L287" s="21"/>
      <c r="M287" s="21"/>
      <c r="N287" s="21"/>
      <c r="O287" s="21"/>
    </row>
    <row r="288" spans="1:15" x14ac:dyDescent="0.3">
      <c r="A288" s="20" t="str">
        <f t="shared" si="3"/>
        <v/>
      </c>
      <c r="B288" s="21"/>
      <c r="C288" s="21"/>
      <c r="D288" s="22" t="str">
        <f>IF($C288="","",IFERROR(VLOOKUP($C288,Map_Register!$A$2:$C$5,3,FALSE()),""))</f>
        <v/>
      </c>
      <c r="E288" s="21"/>
      <c r="F288" s="21"/>
      <c r="G288" s="21"/>
      <c r="H288" s="21"/>
      <c r="I288" s="21"/>
      <c r="J288" s="21"/>
      <c r="K288" s="25"/>
      <c r="L288" s="21"/>
      <c r="M288" s="21"/>
      <c r="N288" s="21"/>
      <c r="O288" s="21"/>
    </row>
    <row r="289" spans="1:15" x14ac:dyDescent="0.3">
      <c r="A289" s="20" t="str">
        <f t="shared" si="3"/>
        <v/>
      </c>
      <c r="B289" s="21"/>
      <c r="C289" s="21"/>
      <c r="D289" s="22" t="str">
        <f>IF($C289="","",IFERROR(VLOOKUP($C289,Map_Register!$A$2:$C$5,3,FALSE()),""))</f>
        <v/>
      </c>
      <c r="E289" s="21"/>
      <c r="F289" s="21"/>
      <c r="G289" s="21"/>
      <c r="H289" s="21"/>
      <c r="I289" s="21"/>
      <c r="J289" s="21"/>
      <c r="K289" s="25"/>
      <c r="L289" s="21"/>
      <c r="M289" s="21"/>
      <c r="N289" s="21"/>
      <c r="O289" s="21"/>
    </row>
    <row r="290" spans="1:15" x14ac:dyDescent="0.3">
      <c r="A290" s="20" t="str">
        <f t="shared" si="3"/>
        <v/>
      </c>
      <c r="B290" s="21"/>
      <c r="C290" s="21"/>
      <c r="D290" s="22" t="str">
        <f>IF($C290="","",IFERROR(VLOOKUP($C290,Map_Register!$A$2:$C$5,3,FALSE()),""))</f>
        <v/>
      </c>
      <c r="E290" s="21"/>
      <c r="F290" s="21"/>
      <c r="G290" s="21"/>
      <c r="H290" s="21"/>
      <c r="I290" s="21"/>
      <c r="J290" s="21"/>
      <c r="K290" s="25"/>
      <c r="L290" s="21"/>
      <c r="M290" s="21"/>
      <c r="N290" s="21"/>
      <c r="O290" s="21"/>
    </row>
    <row r="291" spans="1:15" x14ac:dyDescent="0.3">
      <c r="A291" s="20" t="str">
        <f t="shared" si="3"/>
        <v/>
      </c>
      <c r="B291" s="21"/>
      <c r="C291" s="21"/>
      <c r="D291" s="22" t="str">
        <f>IF($C291="","",IFERROR(VLOOKUP($C291,Map_Register!$A$2:$C$5,3,FALSE()),""))</f>
        <v/>
      </c>
      <c r="E291" s="21"/>
      <c r="F291" s="21"/>
      <c r="G291" s="21"/>
      <c r="H291" s="21"/>
      <c r="I291" s="21"/>
      <c r="J291" s="21"/>
      <c r="K291" s="25"/>
      <c r="L291" s="21"/>
      <c r="M291" s="21"/>
      <c r="N291" s="21"/>
      <c r="O291" s="21"/>
    </row>
    <row r="292" spans="1:15" x14ac:dyDescent="0.3">
      <c r="A292" s="20" t="str">
        <f t="shared" si="3"/>
        <v/>
      </c>
      <c r="B292" s="21"/>
      <c r="C292" s="21"/>
      <c r="D292" s="22" t="str">
        <f>IF($C292="","",IFERROR(VLOOKUP($C292,Map_Register!$A$2:$C$5,3,FALSE()),""))</f>
        <v/>
      </c>
      <c r="E292" s="21"/>
      <c r="F292" s="21"/>
      <c r="G292" s="21"/>
      <c r="H292" s="21"/>
      <c r="I292" s="21"/>
      <c r="J292" s="21"/>
      <c r="K292" s="25"/>
      <c r="L292" s="21"/>
      <c r="M292" s="21"/>
      <c r="N292" s="21"/>
      <c r="O292" s="21"/>
    </row>
    <row r="293" spans="1:15" x14ac:dyDescent="0.3">
      <c r="A293" s="20" t="str">
        <f t="shared" si="3"/>
        <v/>
      </c>
      <c r="B293" s="21"/>
      <c r="C293" s="21"/>
      <c r="D293" s="22" t="str">
        <f>IF($C293="","",IFERROR(VLOOKUP($C293,Map_Register!$A$2:$C$5,3,FALSE()),""))</f>
        <v/>
      </c>
      <c r="E293" s="21"/>
      <c r="F293" s="21"/>
      <c r="G293" s="21"/>
      <c r="H293" s="21"/>
      <c r="I293" s="21"/>
      <c r="J293" s="21"/>
      <c r="K293" s="25"/>
      <c r="L293" s="21"/>
      <c r="M293" s="21"/>
      <c r="N293" s="21"/>
      <c r="O293" s="21"/>
    </row>
    <row r="294" spans="1:15" x14ac:dyDescent="0.3">
      <c r="A294" s="20" t="str">
        <f t="shared" si="3"/>
        <v/>
      </c>
      <c r="B294" s="21"/>
      <c r="C294" s="21"/>
      <c r="D294" s="22" t="str">
        <f>IF($C294="","",IFERROR(VLOOKUP($C294,Map_Register!$A$2:$C$5,3,FALSE()),""))</f>
        <v/>
      </c>
      <c r="E294" s="21"/>
      <c r="F294" s="21"/>
      <c r="G294" s="21"/>
      <c r="H294" s="21"/>
      <c r="I294" s="21"/>
      <c r="J294" s="21"/>
      <c r="K294" s="25"/>
      <c r="L294" s="21"/>
      <c r="M294" s="21"/>
      <c r="N294" s="21"/>
      <c r="O294" s="21"/>
    </row>
    <row r="295" spans="1:15" x14ac:dyDescent="0.3">
      <c r="A295" s="20" t="str">
        <f t="shared" si="3"/>
        <v/>
      </c>
      <c r="B295" s="21"/>
      <c r="C295" s="21"/>
      <c r="D295" s="22" t="str">
        <f>IF($C295="","",IFERROR(VLOOKUP($C295,Map_Register!$A$2:$C$5,3,FALSE()),""))</f>
        <v/>
      </c>
      <c r="E295" s="21"/>
      <c r="F295" s="21"/>
      <c r="G295" s="21"/>
      <c r="H295" s="21"/>
      <c r="I295" s="21"/>
      <c r="J295" s="21"/>
      <c r="K295" s="25"/>
      <c r="L295" s="21"/>
      <c r="M295" s="21"/>
      <c r="N295" s="21"/>
      <c r="O295" s="21"/>
    </row>
    <row r="296" spans="1:15" x14ac:dyDescent="0.3">
      <c r="A296" s="20" t="str">
        <f t="shared" si="3"/>
        <v/>
      </c>
      <c r="B296" s="21"/>
      <c r="C296" s="21"/>
      <c r="D296" s="22" t="str">
        <f>IF($C296="","",IFERROR(VLOOKUP($C296,Map_Register!$A$2:$C$5,3,FALSE()),""))</f>
        <v/>
      </c>
      <c r="E296" s="21"/>
      <c r="F296" s="21"/>
      <c r="G296" s="21"/>
      <c r="H296" s="21"/>
      <c r="I296" s="21"/>
      <c r="J296" s="21"/>
      <c r="K296" s="25"/>
      <c r="L296" s="21"/>
      <c r="M296" s="21"/>
      <c r="N296" s="21"/>
      <c r="O296" s="21"/>
    </row>
    <row r="297" spans="1:15" x14ac:dyDescent="0.3">
      <c r="A297" s="20" t="str">
        <f t="shared" si="3"/>
        <v/>
      </c>
      <c r="B297" s="21"/>
      <c r="C297" s="21"/>
      <c r="D297" s="22" t="str">
        <f>IF($C297="","",IFERROR(VLOOKUP($C297,Map_Register!$A$2:$C$5,3,FALSE()),""))</f>
        <v/>
      </c>
      <c r="E297" s="21"/>
      <c r="F297" s="21"/>
      <c r="G297" s="21"/>
      <c r="H297" s="21"/>
      <c r="I297" s="21"/>
      <c r="J297" s="21"/>
      <c r="K297" s="25"/>
      <c r="L297" s="21"/>
      <c r="M297" s="21"/>
      <c r="N297" s="21"/>
      <c r="O297" s="21"/>
    </row>
    <row r="298" spans="1:15" x14ac:dyDescent="0.3">
      <c r="A298" s="20" t="str">
        <f t="shared" si="3"/>
        <v/>
      </c>
      <c r="B298" s="21"/>
      <c r="C298" s="21"/>
      <c r="D298" s="22" t="str">
        <f>IF($C298="","",IFERROR(VLOOKUP($C298,Map_Register!$A$2:$C$5,3,FALSE()),""))</f>
        <v/>
      </c>
      <c r="E298" s="21"/>
      <c r="F298" s="21"/>
      <c r="G298" s="21"/>
      <c r="H298" s="21"/>
      <c r="I298" s="21"/>
      <c r="J298" s="21"/>
      <c r="K298" s="25"/>
      <c r="L298" s="21"/>
      <c r="M298" s="21"/>
      <c r="N298" s="21"/>
      <c r="O298" s="21"/>
    </row>
    <row r="299" spans="1:15" x14ac:dyDescent="0.3">
      <c r="A299" s="20" t="str">
        <f t="shared" si="3"/>
        <v/>
      </c>
      <c r="B299" s="21"/>
      <c r="C299" s="21"/>
      <c r="D299" s="22" t="str">
        <f>IF($C299="","",IFERROR(VLOOKUP($C299,Map_Register!$A$2:$C$5,3,FALSE()),""))</f>
        <v/>
      </c>
      <c r="E299" s="21"/>
      <c r="F299" s="21"/>
      <c r="G299" s="21"/>
      <c r="H299" s="21"/>
      <c r="I299" s="21"/>
      <c r="J299" s="21"/>
      <c r="K299" s="25"/>
      <c r="L299" s="21"/>
      <c r="M299" s="21"/>
      <c r="N299" s="21"/>
      <c r="O299" s="21"/>
    </row>
    <row r="300" spans="1:15" x14ac:dyDescent="0.3">
      <c r="A300" s="20" t="str">
        <f t="shared" si="3"/>
        <v/>
      </c>
      <c r="B300" s="21"/>
      <c r="C300" s="21"/>
      <c r="D300" s="22" t="str">
        <f>IF($C300="","",IFERROR(VLOOKUP($C300,Map_Register!$A$2:$C$5,3,FALSE()),""))</f>
        <v/>
      </c>
      <c r="E300" s="21"/>
      <c r="F300" s="21"/>
      <c r="G300" s="21"/>
      <c r="H300" s="21"/>
      <c r="I300" s="21"/>
      <c r="J300" s="21"/>
      <c r="K300" s="25"/>
      <c r="L300" s="21"/>
      <c r="M300" s="21"/>
      <c r="N300" s="21"/>
      <c r="O300" s="21"/>
    </row>
    <row r="301" spans="1:15" x14ac:dyDescent="0.3">
      <c r="A301" s="20" t="str">
        <f t="shared" si="3"/>
        <v/>
      </c>
      <c r="B301" s="21"/>
      <c r="C301" s="21"/>
      <c r="D301" s="22" t="str">
        <f>IF($C301="","",IFERROR(VLOOKUP($C301,Map_Register!$A$2:$C$5,3,FALSE()),""))</f>
        <v/>
      </c>
      <c r="E301" s="21"/>
      <c r="F301" s="21"/>
      <c r="G301" s="21"/>
      <c r="H301" s="21"/>
      <c r="I301" s="21"/>
      <c r="J301" s="21"/>
      <c r="K301" s="25"/>
      <c r="L301" s="21"/>
      <c r="M301" s="21"/>
      <c r="N301" s="21"/>
      <c r="O301" s="21"/>
    </row>
    <row r="302" spans="1:15" x14ac:dyDescent="0.3">
      <c r="A302" s="20" t="str">
        <f t="shared" si="3"/>
        <v/>
      </c>
      <c r="B302" s="21"/>
      <c r="C302" s="21"/>
      <c r="D302" s="22" t="str">
        <f>IF($C302="","",IFERROR(VLOOKUP($C302,Map_Register!$A$2:$C$5,3,FALSE()),""))</f>
        <v/>
      </c>
      <c r="E302" s="21"/>
      <c r="F302" s="21"/>
      <c r="G302" s="21"/>
      <c r="H302" s="21"/>
      <c r="I302" s="21"/>
      <c r="J302" s="21"/>
      <c r="K302" s="25"/>
      <c r="L302" s="21"/>
      <c r="M302" s="21"/>
      <c r="N302" s="21"/>
      <c r="O302" s="21"/>
    </row>
    <row r="303" spans="1:15" x14ac:dyDescent="0.3">
      <c r="A303" s="20" t="str">
        <f t="shared" si="3"/>
        <v/>
      </c>
      <c r="B303" s="21"/>
      <c r="C303" s="21"/>
      <c r="D303" s="22" t="str">
        <f>IF($C303="","",IFERROR(VLOOKUP($C303,Map_Register!$A$2:$C$5,3,FALSE()),""))</f>
        <v/>
      </c>
      <c r="E303" s="21"/>
      <c r="F303" s="21"/>
      <c r="G303" s="21"/>
      <c r="H303" s="21"/>
      <c r="I303" s="21"/>
      <c r="J303" s="21"/>
      <c r="K303" s="25"/>
      <c r="L303" s="21"/>
      <c r="M303" s="21"/>
      <c r="N303" s="21"/>
      <c r="O303" s="21"/>
    </row>
    <row r="304" spans="1:15" x14ac:dyDescent="0.3">
      <c r="A304" s="20" t="str">
        <f t="shared" si="3"/>
        <v/>
      </c>
      <c r="B304" s="21"/>
      <c r="C304" s="21"/>
      <c r="D304" s="22" t="str">
        <f>IF($C304="","",IFERROR(VLOOKUP($C304,Map_Register!$A$2:$C$5,3,FALSE()),""))</f>
        <v/>
      </c>
      <c r="E304" s="21"/>
      <c r="F304" s="21"/>
      <c r="G304" s="21"/>
      <c r="H304" s="21"/>
      <c r="I304" s="21"/>
      <c r="J304" s="21"/>
      <c r="K304" s="25"/>
      <c r="L304" s="21"/>
      <c r="M304" s="21"/>
      <c r="N304" s="21"/>
      <c r="O304" s="21"/>
    </row>
    <row r="305" spans="1:15" x14ac:dyDescent="0.3">
      <c r="A305" s="20" t="str">
        <f t="shared" si="3"/>
        <v/>
      </c>
      <c r="B305" s="21"/>
      <c r="C305" s="21"/>
      <c r="D305" s="22" t="str">
        <f>IF($C305="","",IFERROR(VLOOKUP($C305,Map_Register!$A$2:$C$5,3,FALSE()),""))</f>
        <v/>
      </c>
      <c r="E305" s="21"/>
      <c r="F305" s="21"/>
      <c r="G305" s="21"/>
      <c r="H305" s="21"/>
      <c r="I305" s="21"/>
      <c r="J305" s="21"/>
      <c r="K305" s="25"/>
      <c r="L305" s="21"/>
      <c r="M305" s="21"/>
      <c r="N305" s="21"/>
      <c r="O305" s="21"/>
    </row>
    <row r="306" spans="1:15" x14ac:dyDescent="0.3">
      <c r="A306" s="20" t="str">
        <f t="shared" si="3"/>
        <v/>
      </c>
      <c r="B306" s="21"/>
      <c r="C306" s="21"/>
      <c r="D306" s="22" t="str">
        <f>IF($C306="","",IFERROR(VLOOKUP($C306,Map_Register!$A$2:$C$5,3,FALSE()),""))</f>
        <v/>
      </c>
      <c r="E306" s="21"/>
      <c r="F306" s="21"/>
      <c r="G306" s="21"/>
      <c r="H306" s="21"/>
      <c r="I306" s="21"/>
      <c r="J306" s="21"/>
      <c r="K306" s="25"/>
      <c r="L306" s="21"/>
      <c r="M306" s="21"/>
      <c r="N306" s="21"/>
      <c r="O306" s="21"/>
    </row>
    <row r="307" spans="1:15" x14ac:dyDescent="0.3">
      <c r="A307" s="20" t="str">
        <f t="shared" si="3"/>
        <v/>
      </c>
      <c r="B307" s="21"/>
      <c r="C307" s="21"/>
      <c r="D307" s="22" t="str">
        <f>IF($C307="","",IFERROR(VLOOKUP($C307,Map_Register!$A$2:$C$5,3,FALSE()),""))</f>
        <v/>
      </c>
      <c r="E307" s="21"/>
      <c r="F307" s="21"/>
      <c r="G307" s="21"/>
      <c r="H307" s="21"/>
      <c r="I307" s="21"/>
      <c r="J307" s="21"/>
      <c r="K307" s="25"/>
      <c r="L307" s="21"/>
      <c r="M307" s="21"/>
      <c r="N307" s="21"/>
      <c r="O307" s="21"/>
    </row>
    <row r="308" spans="1:15" x14ac:dyDescent="0.3">
      <c r="A308" s="20" t="str">
        <f t="shared" si="3"/>
        <v/>
      </c>
      <c r="B308" s="21"/>
      <c r="C308" s="21"/>
      <c r="D308" s="22" t="str">
        <f>IF($C308="","",IFERROR(VLOOKUP($C308,Map_Register!$A$2:$C$5,3,FALSE()),""))</f>
        <v/>
      </c>
      <c r="E308" s="21"/>
      <c r="F308" s="21"/>
      <c r="G308" s="21"/>
      <c r="H308" s="21"/>
      <c r="I308" s="21"/>
      <c r="J308" s="21"/>
      <c r="K308" s="25"/>
      <c r="L308" s="21"/>
      <c r="M308" s="21"/>
      <c r="N308" s="21"/>
      <c r="O308" s="21"/>
    </row>
    <row r="309" spans="1:15" x14ac:dyDescent="0.3">
      <c r="A309" s="20" t="str">
        <f t="shared" si="3"/>
        <v/>
      </c>
      <c r="B309" s="21"/>
      <c r="C309" s="21"/>
      <c r="D309" s="22" t="str">
        <f>IF($C309="","",IFERROR(VLOOKUP($C309,Map_Register!$A$2:$C$5,3,FALSE()),""))</f>
        <v/>
      </c>
      <c r="E309" s="21"/>
      <c r="F309" s="21"/>
      <c r="G309" s="21"/>
      <c r="H309" s="21"/>
      <c r="I309" s="21"/>
      <c r="J309" s="21"/>
      <c r="K309" s="25"/>
      <c r="L309" s="21"/>
      <c r="M309" s="21"/>
      <c r="N309" s="21"/>
      <c r="O309" s="21"/>
    </row>
    <row r="310" spans="1:15" x14ac:dyDescent="0.3">
      <c r="A310" s="20" t="str">
        <f t="shared" si="3"/>
        <v/>
      </c>
      <c r="B310" s="21"/>
      <c r="C310" s="21"/>
      <c r="D310" s="22" t="str">
        <f>IF($C310="","",IFERROR(VLOOKUP($C310,Map_Register!$A$2:$C$5,3,FALSE()),""))</f>
        <v/>
      </c>
      <c r="E310" s="21"/>
      <c r="F310" s="21"/>
      <c r="G310" s="21"/>
      <c r="H310" s="21"/>
      <c r="I310" s="21"/>
      <c r="J310" s="21"/>
      <c r="K310" s="25"/>
      <c r="L310" s="21"/>
      <c r="M310" s="21"/>
      <c r="N310" s="21"/>
      <c r="O310" s="21"/>
    </row>
    <row r="311" spans="1:15" x14ac:dyDescent="0.3">
      <c r="A311" s="20" t="str">
        <f t="shared" si="3"/>
        <v/>
      </c>
      <c r="B311" s="21"/>
      <c r="C311" s="21"/>
      <c r="D311" s="22" t="str">
        <f>IF($C311="","",IFERROR(VLOOKUP($C311,Map_Register!$A$2:$C$5,3,FALSE()),""))</f>
        <v/>
      </c>
      <c r="E311" s="21"/>
      <c r="F311" s="21"/>
      <c r="G311" s="21"/>
      <c r="H311" s="21"/>
      <c r="I311" s="21"/>
      <c r="J311" s="21"/>
      <c r="K311" s="25"/>
      <c r="L311" s="21"/>
      <c r="M311" s="21"/>
      <c r="N311" s="21"/>
      <c r="O311" s="21"/>
    </row>
    <row r="312" spans="1:15" x14ac:dyDescent="0.3">
      <c r="A312" s="20" t="str">
        <f t="shared" si="3"/>
        <v/>
      </c>
      <c r="B312" s="21"/>
      <c r="C312" s="21"/>
      <c r="D312" s="22" t="str">
        <f>IF($C312="","",IFERROR(VLOOKUP($C312,Map_Register!$A$2:$C$5,3,FALSE()),""))</f>
        <v/>
      </c>
      <c r="E312" s="21"/>
      <c r="F312" s="21"/>
      <c r="G312" s="21"/>
      <c r="H312" s="21"/>
      <c r="I312" s="21"/>
      <c r="J312" s="21"/>
      <c r="K312" s="25"/>
      <c r="L312" s="21"/>
      <c r="M312" s="21"/>
      <c r="N312" s="21"/>
      <c r="O312" s="21"/>
    </row>
    <row r="313" spans="1:15" x14ac:dyDescent="0.3">
      <c r="A313" s="20" t="str">
        <f t="shared" si="3"/>
        <v/>
      </c>
      <c r="B313" s="21"/>
      <c r="C313" s="21"/>
      <c r="D313" s="22" t="str">
        <f>IF($C313="","",IFERROR(VLOOKUP($C313,Map_Register!$A$2:$C$5,3,FALSE()),""))</f>
        <v/>
      </c>
      <c r="E313" s="21"/>
      <c r="F313" s="21"/>
      <c r="G313" s="21"/>
      <c r="H313" s="21"/>
      <c r="I313" s="21"/>
      <c r="J313" s="21"/>
      <c r="K313" s="25"/>
      <c r="L313" s="21"/>
      <c r="M313" s="21"/>
      <c r="N313" s="21"/>
      <c r="O313" s="21"/>
    </row>
    <row r="314" spans="1:15" x14ac:dyDescent="0.3">
      <c r="A314" s="20" t="str">
        <f t="shared" si="3"/>
        <v/>
      </c>
      <c r="B314" s="21"/>
      <c r="C314" s="21"/>
      <c r="D314" s="22" t="str">
        <f>IF($C314="","",IFERROR(VLOOKUP($C314,Map_Register!$A$2:$C$5,3,FALSE()),""))</f>
        <v/>
      </c>
      <c r="E314" s="21"/>
      <c r="F314" s="21"/>
      <c r="G314" s="21"/>
      <c r="H314" s="21"/>
      <c r="I314" s="21"/>
      <c r="J314" s="21"/>
      <c r="K314" s="25"/>
      <c r="L314" s="21"/>
      <c r="M314" s="21"/>
      <c r="N314" s="21"/>
      <c r="O314" s="21"/>
    </row>
    <row r="315" spans="1:15" x14ac:dyDescent="0.3">
      <c r="A315" s="20" t="str">
        <f t="shared" si="3"/>
        <v/>
      </c>
      <c r="B315" s="21"/>
      <c r="C315" s="21"/>
      <c r="D315" s="22" t="str">
        <f>IF($C315="","",IFERROR(VLOOKUP($C315,Map_Register!$A$2:$C$5,3,FALSE()),""))</f>
        <v/>
      </c>
      <c r="E315" s="21"/>
      <c r="F315" s="21"/>
      <c r="G315" s="21"/>
      <c r="H315" s="21"/>
      <c r="I315" s="21"/>
      <c r="J315" s="21"/>
      <c r="K315" s="25"/>
      <c r="L315" s="21"/>
      <c r="M315" s="21"/>
      <c r="N315" s="21"/>
      <c r="O315" s="21"/>
    </row>
    <row r="316" spans="1:15" x14ac:dyDescent="0.3">
      <c r="A316" s="20" t="str">
        <f t="shared" si="3"/>
        <v/>
      </c>
      <c r="B316" s="21"/>
      <c r="C316" s="21"/>
      <c r="D316" s="22" t="str">
        <f>IF($C316="","",IFERROR(VLOOKUP($C316,Map_Register!$A$2:$C$5,3,FALSE()),""))</f>
        <v/>
      </c>
      <c r="E316" s="21"/>
      <c r="F316" s="21"/>
      <c r="G316" s="21"/>
      <c r="H316" s="21"/>
      <c r="I316" s="21"/>
      <c r="J316" s="21"/>
      <c r="K316" s="25"/>
      <c r="L316" s="21"/>
      <c r="M316" s="21"/>
      <c r="N316" s="21"/>
      <c r="O316" s="21"/>
    </row>
    <row r="317" spans="1:15" x14ac:dyDescent="0.3">
      <c r="A317" s="20" t="str">
        <f t="shared" si="3"/>
        <v/>
      </c>
      <c r="B317" s="21"/>
      <c r="C317" s="21"/>
      <c r="D317" s="22" t="str">
        <f>IF($C317="","",IFERROR(VLOOKUP($C317,Map_Register!$A$2:$C$5,3,FALSE()),""))</f>
        <v/>
      </c>
      <c r="E317" s="21"/>
      <c r="F317" s="21"/>
      <c r="G317" s="21"/>
      <c r="H317" s="21"/>
      <c r="I317" s="21"/>
      <c r="J317" s="21"/>
      <c r="K317" s="25"/>
      <c r="L317" s="21"/>
      <c r="M317" s="21"/>
      <c r="N317" s="21"/>
      <c r="O317" s="21"/>
    </row>
    <row r="318" spans="1:15" x14ac:dyDescent="0.3">
      <c r="A318" s="20" t="str">
        <f t="shared" si="3"/>
        <v/>
      </c>
      <c r="B318" s="21"/>
      <c r="C318" s="21"/>
      <c r="D318" s="22" t="str">
        <f>IF($C318="","",IFERROR(VLOOKUP($C318,Map_Register!$A$2:$C$5,3,FALSE()),""))</f>
        <v/>
      </c>
      <c r="E318" s="21"/>
      <c r="F318" s="21"/>
      <c r="G318" s="21"/>
      <c r="H318" s="21"/>
      <c r="I318" s="21"/>
      <c r="J318" s="21"/>
      <c r="K318" s="25"/>
      <c r="L318" s="21"/>
      <c r="M318" s="21"/>
      <c r="N318" s="21"/>
      <c r="O318" s="21"/>
    </row>
    <row r="319" spans="1:15" x14ac:dyDescent="0.3">
      <c r="A319" s="20" t="str">
        <f t="shared" si="3"/>
        <v/>
      </c>
      <c r="B319" s="21"/>
      <c r="C319" s="21"/>
      <c r="D319" s="22" t="str">
        <f>IF($C319="","",IFERROR(VLOOKUP($C319,Map_Register!$A$2:$C$5,3,FALSE()),""))</f>
        <v/>
      </c>
      <c r="E319" s="21"/>
      <c r="F319" s="21"/>
      <c r="G319" s="21"/>
      <c r="H319" s="21"/>
      <c r="I319" s="21"/>
      <c r="J319" s="21"/>
      <c r="K319" s="25"/>
      <c r="L319" s="21"/>
      <c r="M319" s="21"/>
      <c r="N319" s="21"/>
      <c r="O319" s="21"/>
    </row>
    <row r="320" spans="1:15" x14ac:dyDescent="0.3">
      <c r="A320" s="20" t="str">
        <f t="shared" si="3"/>
        <v/>
      </c>
      <c r="B320" s="21"/>
      <c r="C320" s="21"/>
      <c r="D320" s="22" t="str">
        <f>IF($C320="","",IFERROR(VLOOKUP($C320,Map_Register!$A$2:$C$5,3,FALSE()),""))</f>
        <v/>
      </c>
      <c r="E320" s="21"/>
      <c r="F320" s="21"/>
      <c r="G320" s="21"/>
      <c r="H320" s="21"/>
      <c r="I320" s="21"/>
      <c r="J320" s="21"/>
      <c r="K320" s="25"/>
      <c r="L320" s="21"/>
      <c r="M320" s="21"/>
      <c r="N320" s="21"/>
      <c r="O320" s="21"/>
    </row>
    <row r="321" spans="1:15" x14ac:dyDescent="0.3">
      <c r="A321" s="20" t="str">
        <f t="shared" si="3"/>
        <v/>
      </c>
      <c r="B321" s="21"/>
      <c r="C321" s="21"/>
      <c r="D321" s="22" t="str">
        <f>IF($C321="","",IFERROR(VLOOKUP($C321,Map_Register!$A$2:$C$5,3,FALSE()),""))</f>
        <v/>
      </c>
      <c r="E321" s="21"/>
      <c r="F321" s="21"/>
      <c r="G321" s="21"/>
      <c r="H321" s="21"/>
      <c r="I321" s="21"/>
      <c r="J321" s="21"/>
      <c r="K321" s="25"/>
      <c r="L321" s="21"/>
      <c r="M321" s="21"/>
      <c r="N321" s="21"/>
      <c r="O321" s="21"/>
    </row>
    <row r="322" spans="1:15" x14ac:dyDescent="0.3">
      <c r="A322" s="20" t="str">
        <f t="shared" si="3"/>
        <v/>
      </c>
      <c r="B322" s="21"/>
      <c r="C322" s="21"/>
      <c r="D322" s="22" t="str">
        <f>IF($C322="","",IFERROR(VLOOKUP($C322,Map_Register!$A$2:$C$5,3,FALSE()),""))</f>
        <v/>
      </c>
      <c r="E322" s="21"/>
      <c r="F322" s="21"/>
      <c r="G322" s="21"/>
      <c r="H322" s="21"/>
      <c r="I322" s="21"/>
      <c r="J322" s="21"/>
      <c r="K322" s="25"/>
      <c r="L322" s="21"/>
      <c r="M322" s="21"/>
      <c r="N322" s="21"/>
      <c r="O322" s="21"/>
    </row>
    <row r="323" spans="1:15" x14ac:dyDescent="0.3">
      <c r="A323" s="20" t="str">
        <f t="shared" si="3"/>
        <v/>
      </c>
      <c r="B323" s="21"/>
      <c r="C323" s="21"/>
      <c r="D323" s="22" t="str">
        <f>IF($C323="","",IFERROR(VLOOKUP($C323,Map_Register!$A$2:$C$5,3,FALSE()),""))</f>
        <v/>
      </c>
      <c r="E323" s="21"/>
      <c r="F323" s="21"/>
      <c r="G323" s="21"/>
      <c r="H323" s="21"/>
      <c r="I323" s="21"/>
      <c r="J323" s="21"/>
      <c r="K323" s="25"/>
      <c r="L323" s="21"/>
      <c r="M323" s="21"/>
      <c r="N323" s="21"/>
      <c r="O323" s="21"/>
    </row>
    <row r="324" spans="1:15" x14ac:dyDescent="0.3">
      <c r="A324" s="20" t="str">
        <f t="shared" si="3"/>
        <v/>
      </c>
      <c r="B324" s="21"/>
      <c r="C324" s="21"/>
      <c r="D324" s="22" t="str">
        <f>IF($C324="","",IFERROR(VLOOKUP($C324,Map_Register!$A$2:$C$5,3,FALSE()),""))</f>
        <v/>
      </c>
      <c r="E324" s="21"/>
      <c r="F324" s="21"/>
      <c r="G324" s="21"/>
      <c r="H324" s="21"/>
      <c r="I324" s="21"/>
      <c r="J324" s="21"/>
      <c r="K324" s="25"/>
      <c r="L324" s="21"/>
      <c r="M324" s="21"/>
      <c r="N324" s="21"/>
      <c r="O324" s="21"/>
    </row>
    <row r="325" spans="1:15" x14ac:dyDescent="0.3">
      <c r="A325" s="20" t="str">
        <f t="shared" si="3"/>
        <v/>
      </c>
      <c r="B325" s="21"/>
      <c r="C325" s="21"/>
      <c r="D325" s="22" t="str">
        <f>IF($C325="","",IFERROR(VLOOKUP($C325,Map_Register!$A$2:$C$5,3,FALSE()),""))</f>
        <v/>
      </c>
      <c r="E325" s="21"/>
      <c r="F325" s="21"/>
      <c r="G325" s="21"/>
      <c r="H325" s="21"/>
      <c r="I325" s="21"/>
      <c r="J325" s="21"/>
      <c r="K325" s="25"/>
      <c r="L325" s="21"/>
      <c r="M325" s="21"/>
      <c r="N325" s="21"/>
      <c r="O325" s="21"/>
    </row>
    <row r="326" spans="1:15" x14ac:dyDescent="0.3">
      <c r="A326" s="20" t="str">
        <f t="shared" si="3"/>
        <v/>
      </c>
      <c r="B326" s="21"/>
      <c r="C326" s="21"/>
      <c r="D326" s="22" t="str">
        <f>IF($C326="","",IFERROR(VLOOKUP($C326,Map_Register!$A$2:$C$5,3,FALSE()),""))</f>
        <v/>
      </c>
      <c r="E326" s="21"/>
      <c r="F326" s="21"/>
      <c r="G326" s="21"/>
      <c r="H326" s="21"/>
      <c r="I326" s="21"/>
      <c r="J326" s="21"/>
      <c r="K326" s="25"/>
      <c r="L326" s="21"/>
      <c r="M326" s="21"/>
      <c r="N326" s="21"/>
      <c r="O326" s="21"/>
    </row>
    <row r="327" spans="1:15" x14ac:dyDescent="0.3">
      <c r="A327" s="20" t="str">
        <f t="shared" si="3"/>
        <v/>
      </c>
      <c r="B327" s="21"/>
      <c r="C327" s="21"/>
      <c r="D327" s="22" t="str">
        <f>IF($C327="","",IFERROR(VLOOKUP($C327,Map_Register!$A$2:$C$5,3,FALSE()),""))</f>
        <v/>
      </c>
      <c r="E327" s="21"/>
      <c r="F327" s="21"/>
      <c r="G327" s="21"/>
      <c r="H327" s="21"/>
      <c r="I327" s="21"/>
      <c r="J327" s="21"/>
      <c r="K327" s="25"/>
      <c r="L327" s="21"/>
      <c r="M327" s="21"/>
      <c r="N327" s="21"/>
      <c r="O327" s="21"/>
    </row>
    <row r="328" spans="1:15" x14ac:dyDescent="0.3">
      <c r="A328" s="20" t="str">
        <f t="shared" si="3"/>
        <v/>
      </c>
      <c r="B328" s="21"/>
      <c r="C328" s="21"/>
      <c r="D328" s="22" t="str">
        <f>IF($C328="","",IFERROR(VLOOKUP($C328,Map_Register!$A$2:$C$5,3,FALSE()),""))</f>
        <v/>
      </c>
      <c r="E328" s="21"/>
      <c r="F328" s="21"/>
      <c r="G328" s="21"/>
      <c r="H328" s="21"/>
      <c r="I328" s="21"/>
      <c r="J328" s="21"/>
      <c r="K328" s="25"/>
      <c r="L328" s="21"/>
      <c r="M328" s="21"/>
      <c r="N328" s="21"/>
      <c r="O328" s="21"/>
    </row>
    <row r="329" spans="1:15" x14ac:dyDescent="0.3">
      <c r="A329" s="20" t="str">
        <f t="shared" si="3"/>
        <v/>
      </c>
      <c r="B329" s="21"/>
      <c r="C329" s="21"/>
      <c r="D329" s="22" t="str">
        <f>IF($C329="","",IFERROR(VLOOKUP($C329,Map_Register!$A$2:$C$5,3,FALSE()),""))</f>
        <v/>
      </c>
      <c r="E329" s="21"/>
      <c r="F329" s="21"/>
      <c r="G329" s="21"/>
      <c r="H329" s="21"/>
      <c r="I329" s="21"/>
      <c r="J329" s="21"/>
      <c r="K329" s="25"/>
      <c r="L329" s="21"/>
      <c r="M329" s="21"/>
      <c r="N329" s="21"/>
      <c r="O329" s="21"/>
    </row>
    <row r="330" spans="1:15" x14ac:dyDescent="0.3">
      <c r="A330" s="20" t="str">
        <f t="shared" si="3"/>
        <v/>
      </c>
      <c r="B330" s="21"/>
      <c r="C330" s="21"/>
      <c r="D330" s="22" t="str">
        <f>IF($C330="","",IFERROR(VLOOKUP($C330,Map_Register!$A$2:$C$5,3,FALSE()),""))</f>
        <v/>
      </c>
      <c r="E330" s="21"/>
      <c r="F330" s="21"/>
      <c r="G330" s="21"/>
      <c r="H330" s="21"/>
      <c r="I330" s="21"/>
      <c r="J330" s="21"/>
      <c r="K330" s="25"/>
      <c r="L330" s="21"/>
      <c r="M330" s="21"/>
      <c r="N330" s="21"/>
      <c r="O330" s="21"/>
    </row>
    <row r="331" spans="1:15" x14ac:dyDescent="0.3">
      <c r="A331" s="20" t="str">
        <f t="shared" si="3"/>
        <v/>
      </c>
      <c r="B331" s="21"/>
      <c r="C331" s="21"/>
      <c r="D331" s="22" t="str">
        <f>IF($C331="","",IFERROR(VLOOKUP($C331,Map_Register!$A$2:$C$5,3,FALSE()),""))</f>
        <v/>
      </c>
      <c r="E331" s="21"/>
      <c r="F331" s="21"/>
      <c r="G331" s="21"/>
      <c r="H331" s="21"/>
      <c r="I331" s="21"/>
      <c r="J331" s="21"/>
      <c r="K331" s="25"/>
      <c r="L331" s="21"/>
      <c r="M331" s="21"/>
      <c r="N331" s="21"/>
      <c r="O331" s="21"/>
    </row>
    <row r="332" spans="1:15" x14ac:dyDescent="0.3">
      <c r="A332" s="20" t="str">
        <f t="shared" si="3"/>
        <v/>
      </c>
      <c r="B332" s="21"/>
      <c r="C332" s="21"/>
      <c r="D332" s="22" t="str">
        <f>IF($C332="","",IFERROR(VLOOKUP($C332,Map_Register!$A$2:$C$5,3,FALSE()),""))</f>
        <v/>
      </c>
      <c r="E332" s="21"/>
      <c r="F332" s="21"/>
      <c r="G332" s="21"/>
      <c r="H332" s="21"/>
      <c r="I332" s="21"/>
      <c r="J332" s="21"/>
      <c r="K332" s="25"/>
      <c r="L332" s="21"/>
      <c r="M332" s="21"/>
      <c r="N332" s="21"/>
      <c r="O332" s="21"/>
    </row>
    <row r="333" spans="1:15" x14ac:dyDescent="0.3">
      <c r="A333" s="20" t="str">
        <f t="shared" si="3"/>
        <v/>
      </c>
      <c r="B333" s="21"/>
      <c r="C333" s="21"/>
      <c r="D333" s="22" t="str">
        <f>IF($C333="","",IFERROR(VLOOKUP($C333,Map_Register!$A$2:$C$5,3,FALSE()),""))</f>
        <v/>
      </c>
      <c r="E333" s="21"/>
      <c r="F333" s="21"/>
      <c r="G333" s="21"/>
      <c r="H333" s="21"/>
      <c r="I333" s="21"/>
      <c r="J333" s="21"/>
      <c r="K333" s="25"/>
      <c r="L333" s="21"/>
      <c r="M333" s="21"/>
      <c r="N333" s="21"/>
      <c r="O333" s="21"/>
    </row>
    <row r="334" spans="1:15" x14ac:dyDescent="0.3">
      <c r="A334" s="20" t="str">
        <f t="shared" si="3"/>
        <v/>
      </c>
      <c r="B334" s="21"/>
      <c r="C334" s="21"/>
      <c r="D334" s="22" t="str">
        <f>IF($C334="","",IFERROR(VLOOKUP($C334,Map_Register!$A$2:$C$5,3,FALSE()),""))</f>
        <v/>
      </c>
      <c r="E334" s="21"/>
      <c r="F334" s="21"/>
      <c r="G334" s="21"/>
      <c r="H334" s="21"/>
      <c r="I334" s="21"/>
      <c r="J334" s="21"/>
      <c r="K334" s="25"/>
      <c r="L334" s="21"/>
      <c r="M334" s="21"/>
      <c r="N334" s="21"/>
      <c r="O334" s="21"/>
    </row>
    <row r="335" spans="1:15" x14ac:dyDescent="0.3">
      <c r="A335" s="20" t="str">
        <f t="shared" si="3"/>
        <v/>
      </c>
      <c r="B335" s="21"/>
      <c r="C335" s="21"/>
      <c r="D335" s="22" t="str">
        <f>IF($C335="","",IFERROR(VLOOKUP($C335,Map_Register!$A$2:$C$5,3,FALSE()),""))</f>
        <v/>
      </c>
      <c r="E335" s="21"/>
      <c r="F335" s="21"/>
      <c r="G335" s="21"/>
      <c r="H335" s="21"/>
      <c r="I335" s="21"/>
      <c r="J335" s="21"/>
      <c r="K335" s="25"/>
      <c r="L335" s="21"/>
      <c r="M335" s="21"/>
      <c r="N335" s="21"/>
      <c r="O335" s="21"/>
    </row>
    <row r="336" spans="1:15" x14ac:dyDescent="0.3">
      <c r="A336" s="20" t="str">
        <f t="shared" si="3"/>
        <v/>
      </c>
      <c r="B336" s="21"/>
      <c r="C336" s="21"/>
      <c r="D336" s="22" t="str">
        <f>IF($C336="","",IFERROR(VLOOKUP($C336,Map_Register!$A$2:$C$5,3,FALSE()),""))</f>
        <v/>
      </c>
      <c r="E336" s="21"/>
      <c r="F336" s="21"/>
      <c r="G336" s="21"/>
      <c r="H336" s="21"/>
      <c r="I336" s="21"/>
      <c r="J336" s="21"/>
      <c r="K336" s="25"/>
      <c r="L336" s="21"/>
      <c r="M336" s="21"/>
      <c r="N336" s="21"/>
      <c r="O336" s="21"/>
    </row>
    <row r="337" spans="1:15" x14ac:dyDescent="0.3">
      <c r="A337" s="20" t="str">
        <f t="shared" si="3"/>
        <v/>
      </c>
      <c r="B337" s="21"/>
      <c r="C337" s="21"/>
      <c r="D337" s="22" t="str">
        <f>IF($C337="","",IFERROR(VLOOKUP($C337,Map_Register!$A$2:$C$5,3,FALSE()),""))</f>
        <v/>
      </c>
      <c r="E337" s="21"/>
      <c r="F337" s="21"/>
      <c r="G337" s="21"/>
      <c r="H337" s="21"/>
      <c r="I337" s="21"/>
      <c r="J337" s="21"/>
      <c r="K337" s="25"/>
      <c r="L337" s="21"/>
      <c r="M337" s="21"/>
      <c r="N337" s="21"/>
      <c r="O337" s="21"/>
    </row>
    <row r="338" spans="1:15" x14ac:dyDescent="0.3">
      <c r="A338" s="20" t="str">
        <f t="shared" si="3"/>
        <v/>
      </c>
      <c r="B338" s="21"/>
      <c r="C338" s="21"/>
      <c r="D338" s="22" t="str">
        <f>IF($C338="","",IFERROR(VLOOKUP($C338,Map_Register!$A$2:$C$5,3,FALSE()),""))</f>
        <v/>
      </c>
      <c r="E338" s="21"/>
      <c r="F338" s="21"/>
      <c r="G338" s="21"/>
      <c r="H338" s="21"/>
      <c r="I338" s="21"/>
      <c r="J338" s="21"/>
      <c r="K338" s="25"/>
      <c r="L338" s="21"/>
      <c r="M338" s="21"/>
      <c r="N338" s="21"/>
      <c r="O338" s="21"/>
    </row>
    <row r="339" spans="1:15" x14ac:dyDescent="0.3">
      <c r="A339" s="20" t="str">
        <f t="shared" si="3"/>
        <v/>
      </c>
      <c r="B339" s="21"/>
      <c r="C339" s="21"/>
      <c r="D339" s="22" t="str">
        <f>IF($C339="","",IFERROR(VLOOKUP($C339,Map_Register!$A$2:$C$5,3,FALSE()),""))</f>
        <v/>
      </c>
      <c r="E339" s="21"/>
      <c r="F339" s="21"/>
      <c r="G339" s="21"/>
      <c r="H339" s="21"/>
      <c r="I339" s="21"/>
      <c r="J339" s="21"/>
      <c r="K339" s="25"/>
      <c r="L339" s="21"/>
      <c r="M339" s="21"/>
      <c r="N339" s="21"/>
      <c r="O339" s="21"/>
    </row>
    <row r="340" spans="1:15" x14ac:dyDescent="0.3">
      <c r="A340" s="20" t="str">
        <f t="shared" si="3"/>
        <v/>
      </c>
      <c r="B340" s="21"/>
      <c r="C340" s="21"/>
      <c r="D340" s="22" t="str">
        <f>IF($C340="","",IFERROR(VLOOKUP($C340,Map_Register!$A$2:$C$5,3,FALSE()),""))</f>
        <v/>
      </c>
      <c r="E340" s="21"/>
      <c r="F340" s="21"/>
      <c r="G340" s="21"/>
      <c r="H340" s="21"/>
      <c r="I340" s="21"/>
      <c r="J340" s="21"/>
      <c r="K340" s="25"/>
      <c r="L340" s="21"/>
      <c r="M340" s="21"/>
      <c r="N340" s="21"/>
      <c r="O340" s="21"/>
    </row>
    <row r="341" spans="1:15" x14ac:dyDescent="0.3">
      <c r="A341" s="20" t="str">
        <f t="shared" si="3"/>
        <v/>
      </c>
      <c r="B341" s="21"/>
      <c r="C341" s="21"/>
      <c r="D341" s="22" t="str">
        <f>IF($C341="","",IFERROR(VLOOKUP($C341,Map_Register!$A$2:$C$5,3,FALSE()),""))</f>
        <v/>
      </c>
      <c r="E341" s="21"/>
      <c r="F341" s="21"/>
      <c r="G341" s="21"/>
      <c r="H341" s="21"/>
      <c r="I341" s="21"/>
      <c r="J341" s="21"/>
      <c r="K341" s="25"/>
      <c r="L341" s="21"/>
      <c r="M341" s="21"/>
      <c r="N341" s="21"/>
      <c r="O341" s="21"/>
    </row>
    <row r="342" spans="1:15" x14ac:dyDescent="0.3">
      <c r="A342" s="20" t="str">
        <f t="shared" si="3"/>
        <v/>
      </c>
      <c r="B342" s="21"/>
      <c r="C342" s="21"/>
      <c r="D342" s="22" t="str">
        <f>IF($C342="","",IFERROR(VLOOKUP($C342,Map_Register!$A$2:$C$5,3,FALSE()),""))</f>
        <v/>
      </c>
      <c r="E342" s="21"/>
      <c r="F342" s="21"/>
      <c r="G342" s="21"/>
      <c r="H342" s="21"/>
      <c r="I342" s="21"/>
      <c r="J342" s="21"/>
      <c r="K342" s="25"/>
      <c r="L342" s="21"/>
      <c r="M342" s="21"/>
      <c r="N342" s="21"/>
      <c r="O342" s="21"/>
    </row>
    <row r="343" spans="1:15" x14ac:dyDescent="0.3">
      <c r="A343" s="20" t="str">
        <f t="shared" si="3"/>
        <v/>
      </c>
      <c r="B343" s="21"/>
      <c r="C343" s="21"/>
      <c r="D343" s="22" t="str">
        <f>IF($C343="","",IFERROR(VLOOKUP($C343,Map_Register!$A$2:$C$5,3,FALSE()),""))</f>
        <v/>
      </c>
      <c r="E343" s="21"/>
      <c r="F343" s="21"/>
      <c r="G343" s="21"/>
      <c r="H343" s="21"/>
      <c r="I343" s="21"/>
      <c r="J343" s="21"/>
      <c r="K343" s="25"/>
      <c r="L343" s="21"/>
      <c r="M343" s="21"/>
      <c r="N343" s="21"/>
      <c r="O343" s="21"/>
    </row>
    <row r="344" spans="1:15" x14ac:dyDescent="0.3">
      <c r="A344" s="20" t="str">
        <f t="shared" si="3"/>
        <v/>
      </c>
      <c r="B344" s="21"/>
      <c r="C344" s="21"/>
      <c r="D344" s="22" t="str">
        <f>IF($C344="","",IFERROR(VLOOKUP($C344,Map_Register!$A$2:$C$5,3,FALSE()),""))</f>
        <v/>
      </c>
      <c r="E344" s="21"/>
      <c r="F344" s="21"/>
      <c r="G344" s="21"/>
      <c r="H344" s="21"/>
      <c r="I344" s="21"/>
      <c r="J344" s="21"/>
      <c r="K344" s="25"/>
      <c r="L344" s="21"/>
      <c r="M344" s="21"/>
      <c r="N344" s="21"/>
      <c r="O344" s="21"/>
    </row>
    <row r="345" spans="1:15" x14ac:dyDescent="0.3">
      <c r="A345" s="20" t="str">
        <f t="shared" si="3"/>
        <v/>
      </c>
      <c r="B345" s="21"/>
      <c r="C345" s="21"/>
      <c r="D345" s="22" t="str">
        <f>IF($C345="","",IFERROR(VLOOKUP($C345,Map_Register!$A$2:$C$5,3,FALSE()),""))</f>
        <v/>
      </c>
      <c r="E345" s="21"/>
      <c r="F345" s="21"/>
      <c r="G345" s="21"/>
      <c r="H345" s="21"/>
      <c r="I345" s="21"/>
      <c r="J345" s="21"/>
      <c r="K345" s="25"/>
      <c r="L345" s="21"/>
      <c r="M345" s="21"/>
      <c r="N345" s="21"/>
      <c r="O345" s="21"/>
    </row>
    <row r="346" spans="1:15" x14ac:dyDescent="0.3">
      <c r="A346" s="20" t="str">
        <f t="shared" si="3"/>
        <v/>
      </c>
      <c r="B346" s="21"/>
      <c r="C346" s="21"/>
      <c r="D346" s="22" t="str">
        <f>IF($C346="","",IFERROR(VLOOKUP($C346,Map_Register!$A$2:$C$5,3,FALSE()),""))</f>
        <v/>
      </c>
      <c r="E346" s="21"/>
      <c r="F346" s="21"/>
      <c r="G346" s="21"/>
      <c r="H346" s="21"/>
      <c r="I346" s="21"/>
      <c r="J346" s="21"/>
      <c r="K346" s="25"/>
      <c r="L346" s="21"/>
      <c r="M346" s="21"/>
      <c r="N346" s="21"/>
      <c r="O346" s="21"/>
    </row>
    <row r="347" spans="1:15" x14ac:dyDescent="0.3">
      <c r="A347" s="20" t="str">
        <f t="shared" si="3"/>
        <v/>
      </c>
      <c r="B347" s="21"/>
      <c r="C347" s="21"/>
      <c r="D347" s="22" t="str">
        <f>IF($C347="","",IFERROR(VLOOKUP($C347,Map_Register!$A$2:$C$5,3,FALSE()),""))</f>
        <v/>
      </c>
      <c r="E347" s="21"/>
      <c r="F347" s="21"/>
      <c r="G347" s="21"/>
      <c r="H347" s="21"/>
      <c r="I347" s="21"/>
      <c r="J347" s="21"/>
      <c r="K347" s="25"/>
      <c r="L347" s="21"/>
      <c r="M347" s="21"/>
      <c r="N347" s="21"/>
      <c r="O347" s="21"/>
    </row>
    <row r="348" spans="1:15" x14ac:dyDescent="0.3">
      <c r="A348" s="20" t="str">
        <f t="shared" si="3"/>
        <v/>
      </c>
      <c r="B348" s="21"/>
      <c r="C348" s="21"/>
      <c r="D348" s="22" t="str">
        <f>IF($C348="","",IFERROR(VLOOKUP($C348,Map_Register!$A$2:$C$5,3,FALSE()),""))</f>
        <v/>
      </c>
      <c r="E348" s="21"/>
      <c r="F348" s="21"/>
      <c r="G348" s="21"/>
      <c r="H348" s="21"/>
      <c r="I348" s="21"/>
      <c r="J348" s="21"/>
      <c r="K348" s="25"/>
      <c r="L348" s="21"/>
      <c r="M348" s="21"/>
      <c r="N348" s="21"/>
      <c r="O348" s="21"/>
    </row>
    <row r="349" spans="1:15" x14ac:dyDescent="0.3">
      <c r="A349" s="20" t="str">
        <f t="shared" si="3"/>
        <v/>
      </c>
      <c r="B349" s="21"/>
      <c r="C349" s="21"/>
      <c r="D349" s="22" t="str">
        <f>IF($C349="","",IFERROR(VLOOKUP($C349,Map_Register!$A$2:$C$5,3,FALSE()),""))</f>
        <v/>
      </c>
      <c r="E349" s="21"/>
      <c r="F349" s="21"/>
      <c r="G349" s="21"/>
      <c r="H349" s="21"/>
      <c r="I349" s="21"/>
      <c r="J349" s="21"/>
      <c r="K349" s="25"/>
      <c r="L349" s="21"/>
      <c r="M349" s="21"/>
      <c r="N349" s="21"/>
      <c r="O349" s="21"/>
    </row>
    <row r="350" spans="1:15" x14ac:dyDescent="0.3">
      <c r="A350" s="20" t="str">
        <f t="shared" ref="A350:A413" si="4">IF($B350="","",ROW()-1)</f>
        <v/>
      </c>
      <c r="B350" s="21"/>
      <c r="C350" s="21"/>
      <c r="D350" s="22" t="str">
        <f>IF($C350="","",IFERROR(VLOOKUP($C350,Map_Register!$A$2:$C$5,3,FALSE()),""))</f>
        <v/>
      </c>
      <c r="E350" s="21"/>
      <c r="F350" s="21"/>
      <c r="G350" s="21"/>
      <c r="H350" s="21"/>
      <c r="I350" s="21"/>
      <c r="J350" s="21"/>
      <c r="K350" s="25"/>
      <c r="L350" s="21"/>
      <c r="M350" s="21"/>
      <c r="N350" s="21"/>
      <c r="O350" s="21"/>
    </row>
    <row r="351" spans="1:15" x14ac:dyDescent="0.3">
      <c r="A351" s="20" t="str">
        <f t="shared" si="4"/>
        <v/>
      </c>
      <c r="B351" s="21"/>
      <c r="C351" s="21"/>
      <c r="D351" s="22" t="str">
        <f>IF($C351="","",IFERROR(VLOOKUP($C351,Map_Register!$A$2:$C$5,3,FALSE()),""))</f>
        <v/>
      </c>
      <c r="E351" s="21"/>
      <c r="F351" s="21"/>
      <c r="G351" s="21"/>
      <c r="H351" s="21"/>
      <c r="I351" s="21"/>
      <c r="J351" s="21"/>
      <c r="K351" s="25"/>
      <c r="L351" s="21"/>
      <c r="M351" s="21"/>
      <c r="N351" s="21"/>
      <c r="O351" s="21"/>
    </row>
    <row r="352" spans="1:15" x14ac:dyDescent="0.3">
      <c r="A352" s="20" t="str">
        <f t="shared" si="4"/>
        <v/>
      </c>
      <c r="B352" s="21"/>
      <c r="C352" s="21"/>
      <c r="D352" s="22" t="str">
        <f>IF($C352="","",IFERROR(VLOOKUP($C352,Map_Register!$A$2:$C$5,3,FALSE()),""))</f>
        <v/>
      </c>
      <c r="E352" s="21"/>
      <c r="F352" s="21"/>
      <c r="G352" s="21"/>
      <c r="H352" s="21"/>
      <c r="I352" s="21"/>
      <c r="J352" s="21"/>
      <c r="K352" s="25"/>
      <c r="L352" s="21"/>
      <c r="M352" s="21"/>
      <c r="N352" s="21"/>
      <c r="O352" s="21"/>
    </row>
    <row r="353" spans="1:15" x14ac:dyDescent="0.3">
      <c r="A353" s="20" t="str">
        <f t="shared" si="4"/>
        <v/>
      </c>
      <c r="B353" s="21"/>
      <c r="C353" s="21"/>
      <c r="D353" s="22" t="str">
        <f>IF($C353="","",IFERROR(VLOOKUP($C353,Map_Register!$A$2:$C$5,3,FALSE()),""))</f>
        <v/>
      </c>
      <c r="E353" s="21"/>
      <c r="F353" s="21"/>
      <c r="G353" s="21"/>
      <c r="H353" s="21"/>
      <c r="I353" s="21"/>
      <c r="J353" s="21"/>
      <c r="K353" s="25"/>
      <c r="L353" s="21"/>
      <c r="M353" s="21"/>
      <c r="N353" s="21"/>
      <c r="O353" s="21"/>
    </row>
    <row r="354" spans="1:15" x14ac:dyDescent="0.3">
      <c r="A354" s="20" t="str">
        <f t="shared" si="4"/>
        <v/>
      </c>
      <c r="B354" s="21"/>
      <c r="C354" s="21"/>
      <c r="D354" s="22" t="str">
        <f>IF($C354="","",IFERROR(VLOOKUP($C354,Map_Register!$A$2:$C$5,3,FALSE()),""))</f>
        <v/>
      </c>
      <c r="E354" s="21"/>
      <c r="F354" s="21"/>
      <c r="G354" s="21"/>
      <c r="H354" s="21"/>
      <c r="I354" s="21"/>
      <c r="J354" s="21"/>
      <c r="K354" s="25"/>
      <c r="L354" s="21"/>
      <c r="M354" s="21"/>
      <c r="N354" s="21"/>
      <c r="O354" s="21"/>
    </row>
    <row r="355" spans="1:15" x14ac:dyDescent="0.3">
      <c r="A355" s="20" t="str">
        <f t="shared" si="4"/>
        <v/>
      </c>
      <c r="B355" s="21"/>
      <c r="C355" s="21"/>
      <c r="D355" s="22" t="str">
        <f>IF($C355="","",IFERROR(VLOOKUP($C355,Map_Register!$A$2:$C$5,3,FALSE()),""))</f>
        <v/>
      </c>
      <c r="E355" s="21"/>
      <c r="F355" s="21"/>
      <c r="G355" s="21"/>
      <c r="H355" s="21"/>
      <c r="I355" s="21"/>
      <c r="J355" s="21"/>
      <c r="K355" s="25"/>
      <c r="L355" s="21"/>
      <c r="M355" s="21"/>
      <c r="N355" s="21"/>
      <c r="O355" s="21"/>
    </row>
    <row r="356" spans="1:15" x14ac:dyDescent="0.3">
      <c r="A356" s="20" t="str">
        <f t="shared" si="4"/>
        <v/>
      </c>
      <c r="B356" s="21"/>
      <c r="C356" s="21"/>
      <c r="D356" s="22" t="str">
        <f>IF($C356="","",IFERROR(VLOOKUP($C356,Map_Register!$A$2:$C$5,3,FALSE()),""))</f>
        <v/>
      </c>
      <c r="E356" s="21"/>
      <c r="F356" s="21"/>
      <c r="G356" s="21"/>
      <c r="H356" s="21"/>
      <c r="I356" s="21"/>
      <c r="J356" s="21"/>
      <c r="K356" s="25"/>
      <c r="L356" s="21"/>
      <c r="M356" s="21"/>
      <c r="N356" s="21"/>
      <c r="O356" s="21"/>
    </row>
    <row r="357" spans="1:15" x14ac:dyDescent="0.3">
      <c r="A357" s="20" t="str">
        <f t="shared" si="4"/>
        <v/>
      </c>
      <c r="B357" s="21"/>
      <c r="C357" s="21"/>
      <c r="D357" s="22" t="str">
        <f>IF($C357="","",IFERROR(VLOOKUP($C357,Map_Register!$A$2:$C$5,3,FALSE()),""))</f>
        <v/>
      </c>
      <c r="E357" s="21"/>
      <c r="F357" s="21"/>
      <c r="G357" s="21"/>
      <c r="H357" s="21"/>
      <c r="I357" s="21"/>
      <c r="J357" s="21"/>
      <c r="K357" s="25"/>
      <c r="L357" s="21"/>
      <c r="M357" s="21"/>
      <c r="N357" s="21"/>
      <c r="O357" s="21"/>
    </row>
    <row r="358" spans="1:15" x14ac:dyDescent="0.3">
      <c r="A358" s="20" t="str">
        <f t="shared" si="4"/>
        <v/>
      </c>
      <c r="B358" s="21"/>
      <c r="C358" s="21"/>
      <c r="D358" s="22" t="str">
        <f>IF($C358="","",IFERROR(VLOOKUP($C358,Map_Register!$A$2:$C$5,3,FALSE()),""))</f>
        <v/>
      </c>
      <c r="E358" s="21"/>
      <c r="F358" s="21"/>
      <c r="G358" s="21"/>
      <c r="H358" s="21"/>
      <c r="I358" s="21"/>
      <c r="J358" s="21"/>
      <c r="K358" s="25"/>
      <c r="L358" s="21"/>
      <c r="M358" s="21"/>
      <c r="N358" s="21"/>
      <c r="O358" s="21"/>
    </row>
    <row r="359" spans="1:15" x14ac:dyDescent="0.3">
      <c r="A359" s="20" t="str">
        <f t="shared" si="4"/>
        <v/>
      </c>
      <c r="B359" s="21"/>
      <c r="C359" s="21"/>
      <c r="D359" s="22" t="str">
        <f>IF($C359="","",IFERROR(VLOOKUP($C359,Map_Register!$A$2:$C$5,3,FALSE()),""))</f>
        <v/>
      </c>
      <c r="E359" s="21"/>
      <c r="F359" s="21"/>
      <c r="G359" s="21"/>
      <c r="H359" s="21"/>
      <c r="I359" s="21"/>
      <c r="J359" s="21"/>
      <c r="K359" s="25"/>
      <c r="L359" s="21"/>
      <c r="M359" s="21"/>
      <c r="N359" s="21"/>
      <c r="O359" s="21"/>
    </row>
    <row r="360" spans="1:15" x14ac:dyDescent="0.3">
      <c r="A360" s="20" t="str">
        <f t="shared" si="4"/>
        <v/>
      </c>
      <c r="B360" s="21"/>
      <c r="C360" s="21"/>
      <c r="D360" s="22" t="str">
        <f>IF($C360="","",IFERROR(VLOOKUP($C360,Map_Register!$A$2:$C$5,3,FALSE()),""))</f>
        <v/>
      </c>
      <c r="E360" s="21"/>
      <c r="F360" s="21"/>
      <c r="G360" s="21"/>
      <c r="H360" s="21"/>
      <c r="I360" s="21"/>
      <c r="J360" s="21"/>
      <c r="K360" s="25"/>
      <c r="L360" s="21"/>
      <c r="M360" s="21"/>
      <c r="N360" s="21"/>
      <c r="O360" s="21"/>
    </row>
    <row r="361" spans="1:15" x14ac:dyDescent="0.3">
      <c r="A361" s="20" t="str">
        <f t="shared" si="4"/>
        <v/>
      </c>
      <c r="B361" s="21"/>
      <c r="C361" s="21"/>
      <c r="D361" s="22" t="str">
        <f>IF($C361="","",IFERROR(VLOOKUP($C361,Map_Register!$A$2:$C$5,3,FALSE()),""))</f>
        <v/>
      </c>
      <c r="E361" s="21"/>
      <c r="F361" s="21"/>
      <c r="G361" s="21"/>
      <c r="H361" s="21"/>
      <c r="I361" s="21"/>
      <c r="J361" s="21"/>
      <c r="K361" s="25"/>
      <c r="L361" s="21"/>
      <c r="M361" s="21"/>
      <c r="N361" s="21"/>
      <c r="O361" s="21"/>
    </row>
    <row r="362" spans="1:15" x14ac:dyDescent="0.3">
      <c r="A362" s="20" t="str">
        <f t="shared" si="4"/>
        <v/>
      </c>
      <c r="B362" s="21"/>
      <c r="C362" s="21"/>
      <c r="D362" s="22" t="str">
        <f>IF($C362="","",IFERROR(VLOOKUP($C362,Map_Register!$A$2:$C$5,3,FALSE()),""))</f>
        <v/>
      </c>
      <c r="E362" s="21"/>
      <c r="F362" s="21"/>
      <c r="G362" s="21"/>
      <c r="H362" s="21"/>
      <c r="I362" s="21"/>
      <c r="J362" s="21"/>
      <c r="K362" s="25"/>
      <c r="L362" s="21"/>
      <c r="M362" s="21"/>
      <c r="N362" s="21"/>
      <c r="O362" s="21"/>
    </row>
    <row r="363" spans="1:15" x14ac:dyDescent="0.3">
      <c r="A363" s="20" t="str">
        <f t="shared" si="4"/>
        <v/>
      </c>
      <c r="B363" s="21"/>
      <c r="C363" s="21"/>
      <c r="D363" s="22" t="str">
        <f>IF($C363="","",IFERROR(VLOOKUP($C363,Map_Register!$A$2:$C$5,3,FALSE()),""))</f>
        <v/>
      </c>
      <c r="E363" s="21"/>
      <c r="F363" s="21"/>
      <c r="G363" s="21"/>
      <c r="H363" s="21"/>
      <c r="I363" s="21"/>
      <c r="J363" s="21"/>
      <c r="K363" s="25"/>
      <c r="L363" s="21"/>
      <c r="M363" s="21"/>
      <c r="N363" s="21"/>
      <c r="O363" s="21"/>
    </row>
    <row r="364" spans="1:15" x14ac:dyDescent="0.3">
      <c r="A364" s="20" t="str">
        <f t="shared" si="4"/>
        <v/>
      </c>
      <c r="B364" s="21"/>
      <c r="C364" s="21"/>
      <c r="D364" s="22" t="str">
        <f>IF($C364="","",IFERROR(VLOOKUP($C364,Map_Register!$A$2:$C$5,3,FALSE()),""))</f>
        <v/>
      </c>
      <c r="E364" s="21"/>
      <c r="F364" s="21"/>
      <c r="G364" s="21"/>
      <c r="H364" s="21"/>
      <c r="I364" s="21"/>
      <c r="J364" s="21"/>
      <c r="K364" s="25"/>
      <c r="L364" s="21"/>
      <c r="M364" s="21"/>
      <c r="N364" s="21"/>
      <c r="O364" s="21"/>
    </row>
    <row r="365" spans="1:15" x14ac:dyDescent="0.3">
      <c r="A365" s="20" t="str">
        <f t="shared" si="4"/>
        <v/>
      </c>
      <c r="B365" s="21"/>
      <c r="C365" s="21"/>
      <c r="D365" s="22" t="str">
        <f>IF($C365="","",IFERROR(VLOOKUP($C365,Map_Register!$A$2:$C$5,3,FALSE()),""))</f>
        <v/>
      </c>
      <c r="E365" s="21"/>
      <c r="F365" s="21"/>
      <c r="G365" s="21"/>
      <c r="H365" s="21"/>
      <c r="I365" s="21"/>
      <c r="J365" s="21"/>
      <c r="K365" s="25"/>
      <c r="L365" s="21"/>
      <c r="M365" s="21"/>
      <c r="N365" s="21"/>
      <c r="O365" s="21"/>
    </row>
    <row r="366" spans="1:15" x14ac:dyDescent="0.3">
      <c r="A366" s="20" t="str">
        <f t="shared" si="4"/>
        <v/>
      </c>
      <c r="B366" s="21"/>
      <c r="C366" s="21"/>
      <c r="D366" s="22" t="str">
        <f>IF($C366="","",IFERROR(VLOOKUP($C366,Map_Register!$A$2:$C$5,3,FALSE()),""))</f>
        <v/>
      </c>
      <c r="E366" s="21"/>
      <c r="F366" s="21"/>
      <c r="G366" s="21"/>
      <c r="H366" s="21"/>
      <c r="I366" s="21"/>
      <c r="J366" s="21"/>
      <c r="K366" s="25"/>
      <c r="L366" s="21"/>
      <c r="M366" s="21"/>
      <c r="N366" s="21"/>
      <c r="O366" s="21"/>
    </row>
    <row r="367" spans="1:15" x14ac:dyDescent="0.3">
      <c r="A367" s="20" t="str">
        <f t="shared" si="4"/>
        <v/>
      </c>
      <c r="B367" s="21"/>
      <c r="C367" s="21"/>
      <c r="D367" s="22" t="str">
        <f>IF($C367="","",IFERROR(VLOOKUP($C367,Map_Register!$A$2:$C$5,3,FALSE()),""))</f>
        <v/>
      </c>
      <c r="E367" s="21"/>
      <c r="F367" s="21"/>
      <c r="G367" s="21"/>
      <c r="H367" s="21"/>
      <c r="I367" s="21"/>
      <c r="J367" s="21"/>
      <c r="K367" s="25"/>
      <c r="L367" s="21"/>
      <c r="M367" s="21"/>
      <c r="N367" s="21"/>
      <c r="O367" s="21"/>
    </row>
    <row r="368" spans="1:15" x14ac:dyDescent="0.3">
      <c r="A368" s="20" t="str">
        <f t="shared" si="4"/>
        <v/>
      </c>
      <c r="B368" s="21"/>
      <c r="C368" s="21"/>
      <c r="D368" s="22" t="str">
        <f>IF($C368="","",IFERROR(VLOOKUP($C368,Map_Register!$A$2:$C$5,3,FALSE()),""))</f>
        <v/>
      </c>
      <c r="E368" s="21"/>
      <c r="F368" s="21"/>
      <c r="G368" s="21"/>
      <c r="H368" s="21"/>
      <c r="I368" s="21"/>
      <c r="J368" s="21"/>
      <c r="K368" s="25"/>
      <c r="L368" s="21"/>
      <c r="M368" s="21"/>
      <c r="N368" s="21"/>
      <c r="O368" s="21"/>
    </row>
    <row r="369" spans="1:15" x14ac:dyDescent="0.3">
      <c r="A369" s="20" t="str">
        <f t="shared" si="4"/>
        <v/>
      </c>
      <c r="B369" s="21"/>
      <c r="C369" s="21"/>
      <c r="D369" s="22" t="str">
        <f>IF($C369="","",IFERROR(VLOOKUP($C369,Map_Register!$A$2:$C$5,3,FALSE()),""))</f>
        <v/>
      </c>
      <c r="E369" s="21"/>
      <c r="F369" s="21"/>
      <c r="G369" s="21"/>
      <c r="H369" s="21"/>
      <c r="I369" s="21"/>
      <c r="J369" s="21"/>
      <c r="K369" s="25"/>
      <c r="L369" s="21"/>
      <c r="M369" s="21"/>
      <c r="N369" s="21"/>
      <c r="O369" s="21"/>
    </row>
    <row r="370" spans="1:15" x14ac:dyDescent="0.3">
      <c r="A370" s="20" t="str">
        <f t="shared" si="4"/>
        <v/>
      </c>
      <c r="B370" s="21"/>
      <c r="C370" s="21"/>
      <c r="D370" s="22" t="str">
        <f>IF($C370="","",IFERROR(VLOOKUP($C370,Map_Register!$A$2:$C$5,3,FALSE()),""))</f>
        <v/>
      </c>
      <c r="E370" s="21"/>
      <c r="F370" s="21"/>
      <c r="G370" s="21"/>
      <c r="H370" s="21"/>
      <c r="I370" s="21"/>
      <c r="J370" s="21"/>
      <c r="K370" s="25"/>
      <c r="L370" s="21"/>
      <c r="M370" s="21"/>
      <c r="N370" s="21"/>
      <c r="O370" s="21"/>
    </row>
    <row r="371" spans="1:15" x14ac:dyDescent="0.3">
      <c r="A371" s="20" t="str">
        <f t="shared" si="4"/>
        <v/>
      </c>
      <c r="B371" s="21"/>
      <c r="C371" s="21"/>
      <c r="D371" s="22" t="str">
        <f>IF($C371="","",IFERROR(VLOOKUP($C371,Map_Register!$A$2:$C$5,3,FALSE()),""))</f>
        <v/>
      </c>
      <c r="E371" s="21"/>
      <c r="F371" s="21"/>
      <c r="G371" s="21"/>
      <c r="H371" s="21"/>
      <c r="I371" s="21"/>
      <c r="J371" s="21"/>
      <c r="K371" s="25"/>
      <c r="L371" s="21"/>
      <c r="M371" s="21"/>
      <c r="N371" s="21"/>
      <c r="O371" s="21"/>
    </row>
    <row r="372" spans="1:15" x14ac:dyDescent="0.3">
      <c r="A372" s="20" t="str">
        <f t="shared" si="4"/>
        <v/>
      </c>
      <c r="B372" s="21"/>
      <c r="C372" s="21"/>
      <c r="D372" s="22" t="str">
        <f>IF($C372="","",IFERROR(VLOOKUP($C372,Map_Register!$A$2:$C$5,3,FALSE()),""))</f>
        <v/>
      </c>
      <c r="E372" s="21"/>
      <c r="F372" s="21"/>
      <c r="G372" s="21"/>
      <c r="H372" s="21"/>
      <c r="I372" s="21"/>
      <c r="J372" s="21"/>
      <c r="K372" s="25"/>
      <c r="L372" s="21"/>
      <c r="M372" s="21"/>
      <c r="N372" s="21"/>
      <c r="O372" s="21"/>
    </row>
    <row r="373" spans="1:15" x14ac:dyDescent="0.3">
      <c r="A373" s="20" t="str">
        <f t="shared" si="4"/>
        <v/>
      </c>
      <c r="B373" s="21"/>
      <c r="C373" s="21"/>
      <c r="D373" s="22" t="str">
        <f>IF($C373="","",IFERROR(VLOOKUP($C373,Map_Register!$A$2:$C$5,3,FALSE()),""))</f>
        <v/>
      </c>
      <c r="E373" s="21"/>
      <c r="F373" s="21"/>
      <c r="G373" s="21"/>
      <c r="H373" s="21"/>
      <c r="I373" s="21"/>
      <c r="J373" s="21"/>
      <c r="K373" s="25"/>
      <c r="L373" s="21"/>
      <c r="M373" s="21"/>
      <c r="N373" s="21"/>
      <c r="O373" s="21"/>
    </row>
    <row r="374" spans="1:15" x14ac:dyDescent="0.3">
      <c r="A374" s="20" t="str">
        <f t="shared" si="4"/>
        <v/>
      </c>
      <c r="B374" s="21"/>
      <c r="C374" s="21"/>
      <c r="D374" s="22" t="str">
        <f>IF($C374="","",IFERROR(VLOOKUP($C374,Map_Register!$A$2:$C$5,3,FALSE()),""))</f>
        <v/>
      </c>
      <c r="E374" s="21"/>
      <c r="F374" s="21"/>
      <c r="G374" s="21"/>
      <c r="H374" s="21"/>
      <c r="I374" s="21"/>
      <c r="J374" s="21"/>
      <c r="K374" s="25"/>
      <c r="L374" s="21"/>
      <c r="M374" s="21"/>
      <c r="N374" s="21"/>
      <c r="O374" s="21"/>
    </row>
    <row r="375" spans="1:15" x14ac:dyDescent="0.3">
      <c r="A375" s="20" t="str">
        <f t="shared" si="4"/>
        <v/>
      </c>
      <c r="B375" s="21"/>
      <c r="C375" s="21"/>
      <c r="D375" s="22" t="str">
        <f>IF($C375="","",IFERROR(VLOOKUP($C375,Map_Register!$A$2:$C$5,3,FALSE()),""))</f>
        <v/>
      </c>
      <c r="E375" s="21"/>
      <c r="F375" s="21"/>
      <c r="G375" s="21"/>
      <c r="H375" s="21"/>
      <c r="I375" s="21"/>
      <c r="J375" s="21"/>
      <c r="K375" s="25"/>
      <c r="L375" s="21"/>
      <c r="M375" s="21"/>
      <c r="N375" s="21"/>
      <c r="O375" s="21"/>
    </row>
    <row r="376" spans="1:15" x14ac:dyDescent="0.3">
      <c r="A376" s="20" t="str">
        <f t="shared" si="4"/>
        <v/>
      </c>
      <c r="B376" s="21"/>
      <c r="C376" s="21"/>
      <c r="D376" s="22" t="str">
        <f>IF($C376="","",IFERROR(VLOOKUP($C376,Map_Register!$A$2:$C$5,3,FALSE()),""))</f>
        <v/>
      </c>
      <c r="E376" s="21"/>
      <c r="F376" s="21"/>
      <c r="G376" s="21"/>
      <c r="H376" s="21"/>
      <c r="I376" s="21"/>
      <c r="J376" s="21"/>
      <c r="K376" s="25"/>
      <c r="L376" s="21"/>
      <c r="M376" s="21"/>
      <c r="N376" s="21"/>
      <c r="O376" s="21"/>
    </row>
    <row r="377" spans="1:15" x14ac:dyDescent="0.3">
      <c r="A377" s="20" t="str">
        <f t="shared" si="4"/>
        <v/>
      </c>
      <c r="B377" s="21"/>
      <c r="C377" s="21"/>
      <c r="D377" s="22" t="str">
        <f>IF($C377="","",IFERROR(VLOOKUP($C377,Map_Register!$A$2:$C$5,3,FALSE()),""))</f>
        <v/>
      </c>
      <c r="E377" s="21"/>
      <c r="F377" s="21"/>
      <c r="G377" s="21"/>
      <c r="H377" s="21"/>
      <c r="I377" s="21"/>
      <c r="J377" s="21"/>
      <c r="K377" s="25"/>
      <c r="L377" s="21"/>
      <c r="M377" s="21"/>
      <c r="N377" s="21"/>
      <c r="O377" s="21"/>
    </row>
    <row r="378" spans="1:15" x14ac:dyDescent="0.3">
      <c r="A378" s="20" t="str">
        <f t="shared" si="4"/>
        <v/>
      </c>
      <c r="B378" s="21"/>
      <c r="C378" s="21"/>
      <c r="D378" s="22" t="str">
        <f>IF($C378="","",IFERROR(VLOOKUP($C378,Map_Register!$A$2:$C$5,3,FALSE()),""))</f>
        <v/>
      </c>
      <c r="E378" s="21"/>
      <c r="F378" s="21"/>
      <c r="G378" s="21"/>
      <c r="H378" s="21"/>
      <c r="I378" s="21"/>
      <c r="J378" s="21"/>
      <c r="K378" s="25"/>
      <c r="L378" s="21"/>
      <c r="M378" s="21"/>
      <c r="N378" s="21"/>
      <c r="O378" s="21"/>
    </row>
    <row r="379" spans="1:15" x14ac:dyDescent="0.3">
      <c r="A379" s="20" t="str">
        <f t="shared" si="4"/>
        <v/>
      </c>
      <c r="B379" s="21"/>
      <c r="C379" s="21"/>
      <c r="D379" s="22" t="str">
        <f>IF($C379="","",IFERROR(VLOOKUP($C379,Map_Register!$A$2:$C$5,3,FALSE()),""))</f>
        <v/>
      </c>
      <c r="E379" s="21"/>
      <c r="F379" s="21"/>
      <c r="G379" s="21"/>
      <c r="H379" s="21"/>
      <c r="I379" s="21"/>
      <c r="J379" s="21"/>
      <c r="K379" s="25"/>
      <c r="L379" s="21"/>
      <c r="M379" s="21"/>
      <c r="N379" s="21"/>
      <c r="O379" s="21"/>
    </row>
    <row r="380" spans="1:15" x14ac:dyDescent="0.3">
      <c r="A380" s="20" t="str">
        <f t="shared" si="4"/>
        <v/>
      </c>
      <c r="B380" s="21"/>
      <c r="C380" s="21"/>
      <c r="D380" s="22" t="str">
        <f>IF($C380="","",IFERROR(VLOOKUP($C380,Map_Register!$A$2:$C$5,3,FALSE()),""))</f>
        <v/>
      </c>
      <c r="E380" s="21"/>
      <c r="F380" s="21"/>
      <c r="G380" s="21"/>
      <c r="H380" s="21"/>
      <c r="I380" s="21"/>
      <c r="J380" s="21"/>
      <c r="K380" s="25"/>
      <c r="L380" s="21"/>
      <c r="M380" s="21"/>
      <c r="N380" s="21"/>
      <c r="O380" s="21"/>
    </row>
    <row r="381" spans="1:15" x14ac:dyDescent="0.3">
      <c r="A381" s="20" t="str">
        <f t="shared" si="4"/>
        <v/>
      </c>
      <c r="B381" s="21"/>
      <c r="C381" s="21"/>
      <c r="D381" s="22" t="str">
        <f>IF($C381="","",IFERROR(VLOOKUP($C381,Map_Register!$A$2:$C$5,3,FALSE()),""))</f>
        <v/>
      </c>
      <c r="E381" s="21"/>
      <c r="F381" s="21"/>
      <c r="G381" s="21"/>
      <c r="H381" s="21"/>
      <c r="I381" s="21"/>
      <c r="J381" s="21"/>
      <c r="K381" s="25"/>
      <c r="L381" s="21"/>
      <c r="M381" s="21"/>
      <c r="N381" s="21"/>
      <c r="O381" s="21"/>
    </row>
    <row r="382" spans="1:15" x14ac:dyDescent="0.3">
      <c r="A382" s="20" t="str">
        <f t="shared" si="4"/>
        <v/>
      </c>
      <c r="B382" s="21"/>
      <c r="C382" s="21"/>
      <c r="D382" s="22" t="str">
        <f>IF($C382="","",IFERROR(VLOOKUP($C382,Map_Register!$A$2:$C$5,3,FALSE()),""))</f>
        <v/>
      </c>
      <c r="E382" s="21"/>
      <c r="F382" s="21"/>
      <c r="G382" s="21"/>
      <c r="H382" s="21"/>
      <c r="I382" s="21"/>
      <c r="J382" s="21"/>
      <c r="K382" s="25"/>
      <c r="L382" s="21"/>
      <c r="M382" s="21"/>
      <c r="N382" s="21"/>
      <c r="O382" s="21"/>
    </row>
    <row r="383" spans="1:15" x14ac:dyDescent="0.3">
      <c r="A383" s="20" t="str">
        <f t="shared" si="4"/>
        <v/>
      </c>
      <c r="B383" s="21"/>
      <c r="C383" s="21"/>
      <c r="D383" s="22" t="str">
        <f>IF($C383="","",IFERROR(VLOOKUP($C383,Map_Register!$A$2:$C$5,3,FALSE()),""))</f>
        <v/>
      </c>
      <c r="E383" s="21"/>
      <c r="F383" s="21"/>
      <c r="G383" s="21"/>
      <c r="H383" s="21"/>
      <c r="I383" s="21"/>
      <c r="J383" s="21"/>
      <c r="K383" s="25"/>
      <c r="L383" s="21"/>
      <c r="M383" s="21"/>
      <c r="N383" s="21"/>
      <c r="O383" s="21"/>
    </row>
    <row r="384" spans="1:15" x14ac:dyDescent="0.3">
      <c r="A384" s="20" t="str">
        <f t="shared" si="4"/>
        <v/>
      </c>
      <c r="B384" s="21"/>
      <c r="C384" s="21"/>
      <c r="D384" s="22" t="str">
        <f>IF($C384="","",IFERROR(VLOOKUP($C384,Map_Register!$A$2:$C$5,3,FALSE()),""))</f>
        <v/>
      </c>
      <c r="E384" s="21"/>
      <c r="F384" s="21"/>
      <c r="G384" s="21"/>
      <c r="H384" s="21"/>
      <c r="I384" s="21"/>
      <c r="J384" s="21"/>
      <c r="K384" s="25"/>
      <c r="L384" s="21"/>
      <c r="M384" s="21"/>
      <c r="N384" s="21"/>
      <c r="O384" s="21"/>
    </row>
    <row r="385" spans="1:15" x14ac:dyDescent="0.3">
      <c r="A385" s="20" t="str">
        <f t="shared" si="4"/>
        <v/>
      </c>
      <c r="B385" s="21"/>
      <c r="C385" s="21"/>
      <c r="D385" s="22" t="str">
        <f>IF($C385="","",IFERROR(VLOOKUP($C385,Map_Register!$A$2:$C$5,3,FALSE()),""))</f>
        <v/>
      </c>
      <c r="E385" s="21"/>
      <c r="F385" s="21"/>
      <c r="G385" s="21"/>
      <c r="H385" s="21"/>
      <c r="I385" s="21"/>
      <c r="J385" s="21"/>
      <c r="K385" s="25"/>
      <c r="L385" s="21"/>
      <c r="M385" s="21"/>
      <c r="N385" s="21"/>
      <c r="O385" s="21"/>
    </row>
    <row r="386" spans="1:15" x14ac:dyDescent="0.3">
      <c r="A386" s="20" t="str">
        <f t="shared" si="4"/>
        <v/>
      </c>
      <c r="B386" s="21"/>
      <c r="C386" s="21"/>
      <c r="D386" s="22" t="str">
        <f>IF($C386="","",IFERROR(VLOOKUP($C386,Map_Register!$A$2:$C$5,3,FALSE()),""))</f>
        <v/>
      </c>
      <c r="E386" s="21"/>
      <c r="F386" s="21"/>
      <c r="G386" s="21"/>
      <c r="H386" s="21"/>
      <c r="I386" s="21"/>
      <c r="J386" s="21"/>
      <c r="K386" s="25"/>
      <c r="L386" s="21"/>
      <c r="M386" s="21"/>
      <c r="N386" s="21"/>
      <c r="O386" s="21"/>
    </row>
    <row r="387" spans="1:15" x14ac:dyDescent="0.3">
      <c r="A387" s="20" t="str">
        <f t="shared" si="4"/>
        <v/>
      </c>
      <c r="B387" s="21"/>
      <c r="C387" s="21"/>
      <c r="D387" s="22" t="str">
        <f>IF($C387="","",IFERROR(VLOOKUP($C387,Map_Register!$A$2:$C$5,3,FALSE()),""))</f>
        <v/>
      </c>
      <c r="E387" s="21"/>
      <c r="F387" s="21"/>
      <c r="G387" s="21"/>
      <c r="H387" s="21"/>
      <c r="I387" s="21"/>
      <c r="J387" s="21"/>
      <c r="K387" s="25"/>
      <c r="L387" s="21"/>
      <c r="M387" s="21"/>
      <c r="N387" s="21"/>
      <c r="O387" s="21"/>
    </row>
    <row r="388" spans="1:15" x14ac:dyDescent="0.3">
      <c r="A388" s="20" t="str">
        <f t="shared" si="4"/>
        <v/>
      </c>
      <c r="B388" s="21"/>
      <c r="C388" s="21"/>
      <c r="D388" s="22" t="str">
        <f>IF($C388="","",IFERROR(VLOOKUP($C388,Map_Register!$A$2:$C$5,3,FALSE()),""))</f>
        <v/>
      </c>
      <c r="E388" s="21"/>
      <c r="F388" s="21"/>
      <c r="G388" s="21"/>
      <c r="H388" s="21"/>
      <c r="I388" s="21"/>
      <c r="J388" s="21"/>
      <c r="K388" s="25"/>
      <c r="L388" s="21"/>
      <c r="M388" s="21"/>
      <c r="N388" s="21"/>
      <c r="O388" s="21"/>
    </row>
    <row r="389" spans="1:15" x14ac:dyDescent="0.3">
      <c r="A389" s="20" t="str">
        <f t="shared" si="4"/>
        <v/>
      </c>
      <c r="B389" s="21"/>
      <c r="C389" s="21"/>
      <c r="D389" s="22" t="str">
        <f>IF($C389="","",IFERROR(VLOOKUP($C389,Map_Register!$A$2:$C$5,3,FALSE()),""))</f>
        <v/>
      </c>
      <c r="E389" s="21"/>
      <c r="F389" s="21"/>
      <c r="G389" s="21"/>
      <c r="H389" s="21"/>
      <c r="I389" s="21"/>
      <c r="J389" s="21"/>
      <c r="K389" s="25"/>
      <c r="L389" s="21"/>
      <c r="M389" s="21"/>
      <c r="N389" s="21"/>
      <c r="O389" s="21"/>
    </row>
    <row r="390" spans="1:15" x14ac:dyDescent="0.3">
      <c r="A390" s="20" t="str">
        <f t="shared" si="4"/>
        <v/>
      </c>
      <c r="B390" s="21"/>
      <c r="C390" s="21"/>
      <c r="D390" s="22" t="str">
        <f>IF($C390="","",IFERROR(VLOOKUP($C390,Map_Register!$A$2:$C$5,3,FALSE()),""))</f>
        <v/>
      </c>
      <c r="E390" s="21"/>
      <c r="F390" s="21"/>
      <c r="G390" s="21"/>
      <c r="H390" s="21"/>
      <c r="I390" s="21"/>
      <c r="J390" s="21"/>
      <c r="K390" s="25"/>
      <c r="L390" s="21"/>
      <c r="M390" s="21"/>
      <c r="N390" s="21"/>
      <c r="O390" s="21"/>
    </row>
    <row r="391" spans="1:15" x14ac:dyDescent="0.3">
      <c r="A391" s="20" t="str">
        <f t="shared" si="4"/>
        <v/>
      </c>
      <c r="B391" s="21"/>
      <c r="C391" s="21"/>
      <c r="D391" s="22" t="str">
        <f>IF($C391="","",IFERROR(VLOOKUP($C391,Map_Register!$A$2:$C$5,3,FALSE()),""))</f>
        <v/>
      </c>
      <c r="E391" s="21"/>
      <c r="F391" s="21"/>
      <c r="G391" s="21"/>
      <c r="H391" s="21"/>
      <c r="I391" s="21"/>
      <c r="J391" s="21"/>
      <c r="K391" s="25"/>
      <c r="L391" s="21"/>
      <c r="M391" s="21"/>
      <c r="N391" s="21"/>
      <c r="O391" s="21"/>
    </row>
    <row r="392" spans="1:15" x14ac:dyDescent="0.3">
      <c r="A392" s="20" t="str">
        <f t="shared" si="4"/>
        <v/>
      </c>
      <c r="B392" s="21"/>
      <c r="C392" s="21"/>
      <c r="D392" s="22" t="str">
        <f>IF($C392="","",IFERROR(VLOOKUP($C392,Map_Register!$A$2:$C$5,3,FALSE()),""))</f>
        <v/>
      </c>
      <c r="E392" s="21"/>
      <c r="F392" s="21"/>
      <c r="G392" s="21"/>
      <c r="H392" s="21"/>
      <c r="I392" s="21"/>
      <c r="J392" s="21"/>
      <c r="K392" s="25"/>
      <c r="L392" s="21"/>
      <c r="M392" s="21"/>
      <c r="N392" s="21"/>
      <c r="O392" s="21"/>
    </row>
    <row r="393" spans="1:15" x14ac:dyDescent="0.3">
      <c r="A393" s="20" t="str">
        <f t="shared" si="4"/>
        <v/>
      </c>
      <c r="B393" s="21"/>
      <c r="C393" s="21"/>
      <c r="D393" s="22" t="str">
        <f>IF($C393="","",IFERROR(VLOOKUP($C393,Map_Register!$A$2:$C$5,3,FALSE()),""))</f>
        <v/>
      </c>
      <c r="E393" s="21"/>
      <c r="F393" s="21"/>
      <c r="G393" s="21"/>
      <c r="H393" s="21"/>
      <c r="I393" s="21"/>
      <c r="J393" s="21"/>
      <c r="K393" s="25"/>
      <c r="L393" s="21"/>
      <c r="M393" s="21"/>
      <c r="N393" s="21"/>
      <c r="O393" s="21"/>
    </row>
    <row r="394" spans="1:15" x14ac:dyDescent="0.3">
      <c r="A394" s="20" t="str">
        <f t="shared" si="4"/>
        <v/>
      </c>
      <c r="B394" s="21"/>
      <c r="C394" s="21"/>
      <c r="D394" s="22" t="str">
        <f>IF($C394="","",IFERROR(VLOOKUP($C394,Map_Register!$A$2:$C$5,3,FALSE()),""))</f>
        <v/>
      </c>
      <c r="E394" s="21"/>
      <c r="F394" s="21"/>
      <c r="G394" s="21"/>
      <c r="H394" s="21"/>
      <c r="I394" s="21"/>
      <c r="J394" s="21"/>
      <c r="K394" s="25"/>
      <c r="L394" s="21"/>
      <c r="M394" s="21"/>
      <c r="N394" s="21"/>
      <c r="O394" s="21"/>
    </row>
    <row r="395" spans="1:15" x14ac:dyDescent="0.3">
      <c r="A395" s="20" t="str">
        <f t="shared" si="4"/>
        <v/>
      </c>
      <c r="B395" s="21"/>
      <c r="C395" s="21"/>
      <c r="D395" s="22" t="str">
        <f>IF($C395="","",IFERROR(VLOOKUP($C395,Map_Register!$A$2:$C$5,3,FALSE()),""))</f>
        <v/>
      </c>
      <c r="E395" s="21"/>
      <c r="F395" s="21"/>
      <c r="G395" s="21"/>
      <c r="H395" s="21"/>
      <c r="I395" s="21"/>
      <c r="J395" s="21"/>
      <c r="K395" s="25"/>
      <c r="L395" s="21"/>
      <c r="M395" s="21"/>
      <c r="N395" s="21"/>
      <c r="O395" s="21"/>
    </row>
    <row r="396" spans="1:15" x14ac:dyDescent="0.3">
      <c r="A396" s="20" t="str">
        <f t="shared" si="4"/>
        <v/>
      </c>
      <c r="B396" s="21"/>
      <c r="C396" s="21"/>
      <c r="D396" s="22" t="str">
        <f>IF($C396="","",IFERROR(VLOOKUP($C396,Map_Register!$A$2:$C$5,3,FALSE()),""))</f>
        <v/>
      </c>
      <c r="E396" s="21"/>
      <c r="F396" s="21"/>
      <c r="G396" s="21"/>
      <c r="H396" s="21"/>
      <c r="I396" s="21"/>
      <c r="J396" s="21"/>
      <c r="K396" s="25"/>
      <c r="L396" s="21"/>
      <c r="M396" s="21"/>
      <c r="N396" s="21"/>
      <c r="O396" s="21"/>
    </row>
    <row r="397" spans="1:15" x14ac:dyDescent="0.3">
      <c r="A397" s="20" t="str">
        <f t="shared" si="4"/>
        <v/>
      </c>
      <c r="B397" s="21"/>
      <c r="C397" s="21"/>
      <c r="D397" s="22" t="str">
        <f>IF($C397="","",IFERROR(VLOOKUP($C397,Map_Register!$A$2:$C$5,3,FALSE()),""))</f>
        <v/>
      </c>
      <c r="E397" s="21"/>
      <c r="F397" s="21"/>
      <c r="G397" s="21"/>
      <c r="H397" s="21"/>
      <c r="I397" s="21"/>
      <c r="J397" s="21"/>
      <c r="K397" s="25"/>
      <c r="L397" s="21"/>
      <c r="M397" s="21"/>
      <c r="N397" s="21"/>
      <c r="O397" s="21"/>
    </row>
    <row r="398" spans="1:15" x14ac:dyDescent="0.3">
      <c r="A398" s="20" t="str">
        <f t="shared" si="4"/>
        <v/>
      </c>
      <c r="B398" s="21"/>
      <c r="C398" s="21"/>
      <c r="D398" s="22" t="str">
        <f>IF($C398="","",IFERROR(VLOOKUP($C398,Map_Register!$A$2:$C$5,3,FALSE()),""))</f>
        <v/>
      </c>
      <c r="E398" s="21"/>
      <c r="F398" s="21"/>
      <c r="G398" s="21"/>
      <c r="H398" s="21"/>
      <c r="I398" s="21"/>
      <c r="J398" s="21"/>
      <c r="K398" s="25"/>
      <c r="L398" s="21"/>
      <c r="M398" s="21"/>
      <c r="N398" s="21"/>
      <c r="O398" s="21"/>
    </row>
    <row r="399" spans="1:15" x14ac:dyDescent="0.3">
      <c r="A399" s="20" t="str">
        <f t="shared" si="4"/>
        <v/>
      </c>
      <c r="B399" s="21"/>
      <c r="C399" s="21"/>
      <c r="D399" s="22" t="str">
        <f>IF($C399="","",IFERROR(VLOOKUP($C399,Map_Register!$A$2:$C$5,3,FALSE()),""))</f>
        <v/>
      </c>
      <c r="E399" s="21"/>
      <c r="F399" s="21"/>
      <c r="G399" s="21"/>
      <c r="H399" s="21"/>
      <c r="I399" s="21"/>
      <c r="J399" s="21"/>
      <c r="K399" s="25"/>
      <c r="L399" s="21"/>
      <c r="M399" s="21"/>
      <c r="N399" s="21"/>
      <c r="O399" s="21"/>
    </row>
    <row r="400" spans="1:15" x14ac:dyDescent="0.3">
      <c r="A400" s="20" t="str">
        <f t="shared" si="4"/>
        <v/>
      </c>
      <c r="B400" s="21"/>
      <c r="C400" s="21"/>
      <c r="D400" s="22" t="str">
        <f>IF($C400="","",IFERROR(VLOOKUP($C400,Map_Register!$A$2:$C$5,3,FALSE()),""))</f>
        <v/>
      </c>
      <c r="E400" s="21"/>
      <c r="F400" s="21"/>
      <c r="G400" s="21"/>
      <c r="H400" s="21"/>
      <c r="I400" s="21"/>
      <c r="J400" s="21"/>
      <c r="K400" s="25"/>
      <c r="L400" s="21"/>
      <c r="M400" s="21"/>
      <c r="N400" s="21"/>
      <c r="O400" s="21"/>
    </row>
    <row r="401" spans="1:15" x14ac:dyDescent="0.3">
      <c r="A401" s="20" t="str">
        <f t="shared" si="4"/>
        <v/>
      </c>
      <c r="B401" s="21"/>
      <c r="C401" s="21"/>
      <c r="D401" s="22" t="str">
        <f>IF($C401="","",IFERROR(VLOOKUP($C401,Map_Register!$A$2:$C$5,3,FALSE()),""))</f>
        <v/>
      </c>
      <c r="E401" s="21"/>
      <c r="F401" s="21"/>
      <c r="G401" s="21"/>
      <c r="H401" s="21"/>
      <c r="I401" s="21"/>
      <c r="J401" s="21"/>
      <c r="K401" s="25"/>
      <c r="L401" s="21"/>
      <c r="M401" s="21"/>
      <c r="N401" s="21"/>
      <c r="O401" s="21"/>
    </row>
    <row r="402" spans="1:15" x14ac:dyDescent="0.3">
      <c r="A402" s="20" t="str">
        <f t="shared" si="4"/>
        <v/>
      </c>
      <c r="B402" s="21"/>
      <c r="C402" s="21"/>
      <c r="D402" s="22" t="str">
        <f>IF($C402="","",IFERROR(VLOOKUP($C402,Map_Register!$A$2:$C$5,3,FALSE()),""))</f>
        <v/>
      </c>
      <c r="E402" s="21"/>
      <c r="F402" s="21"/>
      <c r="G402" s="21"/>
      <c r="H402" s="21"/>
      <c r="I402" s="21"/>
      <c r="J402" s="21"/>
      <c r="K402" s="25"/>
      <c r="L402" s="21"/>
      <c r="M402" s="21"/>
      <c r="N402" s="21"/>
      <c r="O402" s="21"/>
    </row>
    <row r="403" spans="1:15" x14ac:dyDescent="0.3">
      <c r="A403" s="20" t="str">
        <f t="shared" si="4"/>
        <v/>
      </c>
      <c r="B403" s="21"/>
      <c r="C403" s="21"/>
      <c r="D403" s="22" t="str">
        <f>IF($C403="","",IFERROR(VLOOKUP($C403,Map_Register!$A$2:$C$5,3,FALSE()),""))</f>
        <v/>
      </c>
      <c r="E403" s="21"/>
      <c r="F403" s="21"/>
      <c r="G403" s="21"/>
      <c r="H403" s="21"/>
      <c r="I403" s="21"/>
      <c r="J403" s="21"/>
      <c r="K403" s="25"/>
      <c r="L403" s="21"/>
      <c r="M403" s="21"/>
      <c r="N403" s="21"/>
      <c r="O403" s="21"/>
    </row>
    <row r="404" spans="1:15" x14ac:dyDescent="0.3">
      <c r="A404" s="20" t="str">
        <f t="shared" si="4"/>
        <v/>
      </c>
      <c r="B404" s="21"/>
      <c r="C404" s="21"/>
      <c r="D404" s="22" t="str">
        <f>IF($C404="","",IFERROR(VLOOKUP($C404,Map_Register!$A$2:$C$5,3,FALSE()),""))</f>
        <v/>
      </c>
      <c r="E404" s="21"/>
      <c r="F404" s="21"/>
      <c r="G404" s="21"/>
      <c r="H404" s="21"/>
      <c r="I404" s="21"/>
      <c r="J404" s="21"/>
      <c r="K404" s="25"/>
      <c r="L404" s="21"/>
      <c r="M404" s="21"/>
      <c r="N404" s="21"/>
      <c r="O404" s="21"/>
    </row>
    <row r="405" spans="1:15" x14ac:dyDescent="0.3">
      <c r="A405" s="20" t="str">
        <f t="shared" si="4"/>
        <v/>
      </c>
      <c r="B405" s="21"/>
      <c r="C405" s="21"/>
      <c r="D405" s="22" t="str">
        <f>IF($C405="","",IFERROR(VLOOKUP($C405,Map_Register!$A$2:$C$5,3,FALSE()),""))</f>
        <v/>
      </c>
      <c r="E405" s="21"/>
      <c r="F405" s="21"/>
      <c r="G405" s="21"/>
      <c r="H405" s="21"/>
      <c r="I405" s="21"/>
      <c r="J405" s="21"/>
      <c r="K405" s="25"/>
      <c r="L405" s="21"/>
      <c r="M405" s="21"/>
      <c r="N405" s="21"/>
      <c r="O405" s="21"/>
    </row>
    <row r="406" spans="1:15" x14ac:dyDescent="0.3">
      <c r="A406" s="20" t="str">
        <f t="shared" si="4"/>
        <v/>
      </c>
      <c r="B406" s="21"/>
      <c r="C406" s="21"/>
      <c r="D406" s="22" t="str">
        <f>IF($C406="","",IFERROR(VLOOKUP($C406,Map_Register!$A$2:$C$5,3,FALSE()),""))</f>
        <v/>
      </c>
      <c r="E406" s="21"/>
      <c r="F406" s="21"/>
      <c r="G406" s="21"/>
      <c r="H406" s="21"/>
      <c r="I406" s="21"/>
      <c r="J406" s="21"/>
      <c r="K406" s="25"/>
      <c r="L406" s="21"/>
      <c r="M406" s="21"/>
      <c r="N406" s="21"/>
      <c r="O406" s="21"/>
    </row>
    <row r="407" spans="1:15" x14ac:dyDescent="0.3">
      <c r="A407" s="20" t="str">
        <f t="shared" si="4"/>
        <v/>
      </c>
      <c r="B407" s="21"/>
      <c r="C407" s="21"/>
      <c r="D407" s="22" t="str">
        <f>IF($C407="","",IFERROR(VLOOKUP($C407,Map_Register!$A$2:$C$5,3,FALSE()),""))</f>
        <v/>
      </c>
      <c r="E407" s="21"/>
      <c r="F407" s="21"/>
      <c r="G407" s="21"/>
      <c r="H407" s="21"/>
      <c r="I407" s="21"/>
      <c r="J407" s="21"/>
      <c r="K407" s="25"/>
      <c r="L407" s="21"/>
      <c r="M407" s="21"/>
      <c r="N407" s="21"/>
      <c r="O407" s="21"/>
    </row>
    <row r="408" spans="1:15" x14ac:dyDescent="0.3">
      <c r="A408" s="20" t="str">
        <f t="shared" si="4"/>
        <v/>
      </c>
      <c r="B408" s="21"/>
      <c r="C408" s="21"/>
      <c r="D408" s="22" t="str">
        <f>IF($C408="","",IFERROR(VLOOKUP($C408,Map_Register!$A$2:$C$5,3,FALSE()),""))</f>
        <v/>
      </c>
      <c r="E408" s="21"/>
      <c r="F408" s="21"/>
      <c r="G408" s="21"/>
      <c r="H408" s="21"/>
      <c r="I408" s="21"/>
      <c r="J408" s="21"/>
      <c r="K408" s="25"/>
      <c r="L408" s="21"/>
      <c r="M408" s="21"/>
      <c r="N408" s="21"/>
      <c r="O408" s="21"/>
    </row>
    <row r="409" spans="1:15" x14ac:dyDescent="0.3">
      <c r="A409" s="20" t="str">
        <f t="shared" si="4"/>
        <v/>
      </c>
      <c r="B409" s="21"/>
      <c r="C409" s="21"/>
      <c r="D409" s="22" t="str">
        <f>IF($C409="","",IFERROR(VLOOKUP($C409,Map_Register!$A$2:$C$5,3,FALSE()),""))</f>
        <v/>
      </c>
      <c r="E409" s="21"/>
      <c r="F409" s="21"/>
      <c r="G409" s="21"/>
      <c r="H409" s="21"/>
      <c r="I409" s="21"/>
      <c r="J409" s="21"/>
      <c r="K409" s="25"/>
      <c r="L409" s="21"/>
      <c r="M409" s="21"/>
      <c r="N409" s="21"/>
      <c r="O409" s="21"/>
    </row>
    <row r="410" spans="1:15" x14ac:dyDescent="0.3">
      <c r="A410" s="20" t="str">
        <f t="shared" si="4"/>
        <v/>
      </c>
      <c r="B410" s="21"/>
      <c r="C410" s="21"/>
      <c r="D410" s="22" t="str">
        <f>IF($C410="","",IFERROR(VLOOKUP($C410,Map_Register!$A$2:$C$5,3,FALSE()),""))</f>
        <v/>
      </c>
      <c r="E410" s="21"/>
      <c r="F410" s="21"/>
      <c r="G410" s="21"/>
      <c r="H410" s="21"/>
      <c r="I410" s="21"/>
      <c r="J410" s="21"/>
      <c r="K410" s="25"/>
      <c r="L410" s="21"/>
      <c r="M410" s="21"/>
      <c r="N410" s="21"/>
      <c r="O410" s="21"/>
    </row>
    <row r="411" spans="1:15" x14ac:dyDescent="0.3">
      <c r="A411" s="20" t="str">
        <f t="shared" si="4"/>
        <v/>
      </c>
      <c r="B411" s="21"/>
      <c r="C411" s="21"/>
      <c r="D411" s="22" t="str">
        <f>IF($C411="","",IFERROR(VLOOKUP($C411,Map_Register!$A$2:$C$5,3,FALSE()),""))</f>
        <v/>
      </c>
      <c r="E411" s="21"/>
      <c r="F411" s="21"/>
      <c r="G411" s="21"/>
      <c r="H411" s="21"/>
      <c r="I411" s="21"/>
      <c r="J411" s="21"/>
      <c r="K411" s="25"/>
      <c r="L411" s="21"/>
      <c r="M411" s="21"/>
      <c r="N411" s="21"/>
      <c r="O411" s="21"/>
    </row>
    <row r="412" spans="1:15" x14ac:dyDescent="0.3">
      <c r="A412" s="20" t="str">
        <f t="shared" si="4"/>
        <v/>
      </c>
      <c r="B412" s="21"/>
      <c r="C412" s="21"/>
      <c r="D412" s="22" t="str">
        <f>IF($C412="","",IFERROR(VLOOKUP($C412,Map_Register!$A$2:$C$5,3,FALSE()),""))</f>
        <v/>
      </c>
      <c r="E412" s="21"/>
      <c r="F412" s="21"/>
      <c r="G412" s="21"/>
      <c r="H412" s="21"/>
      <c r="I412" s="21"/>
      <c r="J412" s="21"/>
      <c r="K412" s="25"/>
      <c r="L412" s="21"/>
      <c r="M412" s="21"/>
      <c r="N412" s="21"/>
      <c r="O412" s="21"/>
    </row>
    <row r="413" spans="1:15" x14ac:dyDescent="0.3">
      <c r="A413" s="20" t="str">
        <f t="shared" si="4"/>
        <v/>
      </c>
      <c r="B413" s="21"/>
      <c r="C413" s="21"/>
      <c r="D413" s="22" t="str">
        <f>IF($C413="","",IFERROR(VLOOKUP($C413,Map_Register!$A$2:$C$5,3,FALSE()),""))</f>
        <v/>
      </c>
      <c r="E413" s="21"/>
      <c r="F413" s="21"/>
      <c r="G413" s="21"/>
      <c r="H413" s="21"/>
      <c r="I413" s="21"/>
      <c r="J413" s="21"/>
      <c r="K413" s="25"/>
      <c r="L413" s="21"/>
      <c r="M413" s="21"/>
      <c r="N413" s="21"/>
      <c r="O413" s="21"/>
    </row>
    <row r="414" spans="1:15" x14ac:dyDescent="0.3">
      <c r="A414" s="20" t="str">
        <f t="shared" ref="A414:A477" si="5">IF($B414="","",ROW()-1)</f>
        <v/>
      </c>
      <c r="B414" s="21"/>
      <c r="C414" s="21"/>
      <c r="D414" s="22" t="str">
        <f>IF($C414="","",IFERROR(VLOOKUP($C414,Map_Register!$A$2:$C$5,3,FALSE()),""))</f>
        <v/>
      </c>
      <c r="E414" s="21"/>
      <c r="F414" s="21"/>
      <c r="G414" s="21"/>
      <c r="H414" s="21"/>
      <c r="I414" s="21"/>
      <c r="J414" s="21"/>
      <c r="K414" s="25"/>
      <c r="L414" s="21"/>
      <c r="M414" s="21"/>
      <c r="N414" s="21"/>
      <c r="O414" s="21"/>
    </row>
    <row r="415" spans="1:15" x14ac:dyDescent="0.3">
      <c r="A415" s="20" t="str">
        <f t="shared" si="5"/>
        <v/>
      </c>
      <c r="B415" s="21"/>
      <c r="C415" s="21"/>
      <c r="D415" s="22" t="str">
        <f>IF($C415="","",IFERROR(VLOOKUP($C415,Map_Register!$A$2:$C$5,3,FALSE()),""))</f>
        <v/>
      </c>
      <c r="E415" s="21"/>
      <c r="F415" s="21"/>
      <c r="G415" s="21"/>
      <c r="H415" s="21"/>
      <c r="I415" s="21"/>
      <c r="J415" s="21"/>
      <c r="K415" s="25"/>
      <c r="L415" s="21"/>
      <c r="M415" s="21"/>
      <c r="N415" s="21"/>
      <c r="O415" s="21"/>
    </row>
    <row r="416" spans="1:15" x14ac:dyDescent="0.3">
      <c r="A416" s="20" t="str">
        <f t="shared" si="5"/>
        <v/>
      </c>
      <c r="B416" s="21"/>
      <c r="C416" s="21"/>
      <c r="D416" s="22" t="str">
        <f>IF($C416="","",IFERROR(VLOOKUP($C416,Map_Register!$A$2:$C$5,3,FALSE()),""))</f>
        <v/>
      </c>
      <c r="E416" s="21"/>
      <c r="F416" s="21"/>
      <c r="G416" s="21"/>
      <c r="H416" s="21"/>
      <c r="I416" s="21"/>
      <c r="J416" s="21"/>
      <c r="K416" s="25"/>
      <c r="L416" s="21"/>
      <c r="M416" s="21"/>
      <c r="N416" s="21"/>
      <c r="O416" s="21"/>
    </row>
    <row r="417" spans="1:15" x14ac:dyDescent="0.3">
      <c r="A417" s="20" t="str">
        <f t="shared" si="5"/>
        <v/>
      </c>
      <c r="B417" s="21"/>
      <c r="C417" s="21"/>
      <c r="D417" s="22" t="str">
        <f>IF($C417="","",IFERROR(VLOOKUP($C417,Map_Register!$A$2:$C$5,3,FALSE()),""))</f>
        <v/>
      </c>
      <c r="E417" s="21"/>
      <c r="F417" s="21"/>
      <c r="G417" s="21"/>
      <c r="H417" s="21"/>
      <c r="I417" s="21"/>
      <c r="J417" s="21"/>
      <c r="K417" s="25"/>
      <c r="L417" s="21"/>
      <c r="M417" s="21"/>
      <c r="N417" s="21"/>
      <c r="O417" s="21"/>
    </row>
    <row r="418" spans="1:15" x14ac:dyDescent="0.3">
      <c r="A418" s="20" t="str">
        <f t="shared" si="5"/>
        <v/>
      </c>
      <c r="B418" s="21"/>
      <c r="C418" s="21"/>
      <c r="D418" s="22" t="str">
        <f>IF($C418="","",IFERROR(VLOOKUP($C418,Map_Register!$A$2:$C$5,3,FALSE()),""))</f>
        <v/>
      </c>
      <c r="E418" s="21"/>
      <c r="F418" s="21"/>
      <c r="G418" s="21"/>
      <c r="H418" s="21"/>
      <c r="I418" s="21"/>
      <c r="J418" s="21"/>
      <c r="K418" s="25"/>
      <c r="L418" s="21"/>
      <c r="M418" s="21"/>
      <c r="N418" s="21"/>
      <c r="O418" s="21"/>
    </row>
    <row r="419" spans="1:15" x14ac:dyDescent="0.3">
      <c r="A419" s="20" t="str">
        <f t="shared" si="5"/>
        <v/>
      </c>
      <c r="B419" s="21"/>
      <c r="C419" s="21"/>
      <c r="D419" s="22" t="str">
        <f>IF($C419="","",IFERROR(VLOOKUP($C419,Map_Register!$A$2:$C$5,3,FALSE()),""))</f>
        <v/>
      </c>
      <c r="E419" s="21"/>
      <c r="F419" s="21"/>
      <c r="G419" s="21"/>
      <c r="H419" s="21"/>
      <c r="I419" s="21"/>
      <c r="J419" s="21"/>
      <c r="K419" s="25"/>
      <c r="L419" s="21"/>
      <c r="M419" s="21"/>
      <c r="N419" s="21"/>
      <c r="O419" s="21"/>
    </row>
    <row r="420" spans="1:15" x14ac:dyDescent="0.3">
      <c r="A420" s="20" t="str">
        <f t="shared" si="5"/>
        <v/>
      </c>
      <c r="B420" s="21"/>
      <c r="C420" s="21"/>
      <c r="D420" s="22" t="str">
        <f>IF($C420="","",IFERROR(VLOOKUP($C420,Map_Register!$A$2:$C$5,3,FALSE()),""))</f>
        <v/>
      </c>
      <c r="E420" s="21"/>
      <c r="F420" s="21"/>
      <c r="G420" s="21"/>
      <c r="H420" s="21"/>
      <c r="I420" s="21"/>
      <c r="J420" s="21"/>
      <c r="K420" s="25"/>
      <c r="L420" s="21"/>
      <c r="M420" s="21"/>
      <c r="N420" s="21"/>
      <c r="O420" s="21"/>
    </row>
    <row r="421" spans="1:15" x14ac:dyDescent="0.3">
      <c r="A421" s="20" t="str">
        <f t="shared" si="5"/>
        <v/>
      </c>
      <c r="B421" s="21"/>
      <c r="C421" s="21"/>
      <c r="D421" s="22" t="str">
        <f>IF($C421="","",IFERROR(VLOOKUP($C421,Map_Register!$A$2:$C$5,3,FALSE()),""))</f>
        <v/>
      </c>
      <c r="E421" s="21"/>
      <c r="F421" s="21"/>
      <c r="G421" s="21"/>
      <c r="H421" s="21"/>
      <c r="I421" s="21"/>
      <c r="J421" s="21"/>
      <c r="K421" s="25"/>
      <c r="L421" s="21"/>
      <c r="M421" s="21"/>
      <c r="N421" s="21"/>
      <c r="O421" s="21"/>
    </row>
    <row r="422" spans="1:15" x14ac:dyDescent="0.3">
      <c r="A422" s="20" t="str">
        <f t="shared" si="5"/>
        <v/>
      </c>
      <c r="B422" s="21"/>
      <c r="C422" s="21"/>
      <c r="D422" s="22" t="str">
        <f>IF($C422="","",IFERROR(VLOOKUP($C422,Map_Register!$A$2:$C$5,3,FALSE()),""))</f>
        <v/>
      </c>
      <c r="E422" s="21"/>
      <c r="F422" s="21"/>
      <c r="G422" s="21"/>
      <c r="H422" s="21"/>
      <c r="I422" s="21"/>
      <c r="J422" s="21"/>
      <c r="K422" s="25"/>
      <c r="L422" s="21"/>
      <c r="M422" s="21"/>
      <c r="N422" s="21"/>
      <c r="O422" s="21"/>
    </row>
    <row r="423" spans="1:15" x14ac:dyDescent="0.3">
      <c r="A423" s="20" t="str">
        <f t="shared" si="5"/>
        <v/>
      </c>
      <c r="B423" s="21"/>
      <c r="C423" s="21"/>
      <c r="D423" s="22" t="str">
        <f>IF($C423="","",IFERROR(VLOOKUP($C423,Map_Register!$A$2:$C$5,3,FALSE()),""))</f>
        <v/>
      </c>
      <c r="E423" s="21"/>
      <c r="F423" s="21"/>
      <c r="G423" s="21"/>
      <c r="H423" s="21"/>
      <c r="I423" s="21"/>
      <c r="J423" s="21"/>
      <c r="K423" s="25"/>
      <c r="L423" s="21"/>
      <c r="M423" s="21"/>
      <c r="N423" s="21"/>
      <c r="O423" s="21"/>
    </row>
    <row r="424" spans="1:15" x14ac:dyDescent="0.3">
      <c r="A424" s="20" t="str">
        <f t="shared" si="5"/>
        <v/>
      </c>
      <c r="B424" s="21"/>
      <c r="C424" s="21"/>
      <c r="D424" s="22" t="str">
        <f>IF($C424="","",IFERROR(VLOOKUP($C424,Map_Register!$A$2:$C$5,3,FALSE()),""))</f>
        <v/>
      </c>
      <c r="E424" s="21"/>
      <c r="F424" s="21"/>
      <c r="G424" s="21"/>
      <c r="H424" s="21"/>
      <c r="I424" s="21"/>
      <c r="J424" s="21"/>
      <c r="K424" s="25"/>
      <c r="L424" s="21"/>
      <c r="M424" s="21"/>
      <c r="N424" s="21"/>
      <c r="O424" s="21"/>
    </row>
    <row r="425" spans="1:15" x14ac:dyDescent="0.3">
      <c r="A425" s="20" t="str">
        <f t="shared" si="5"/>
        <v/>
      </c>
      <c r="B425" s="21"/>
      <c r="C425" s="21"/>
      <c r="D425" s="22" t="str">
        <f>IF($C425="","",IFERROR(VLOOKUP($C425,Map_Register!$A$2:$C$5,3,FALSE()),""))</f>
        <v/>
      </c>
      <c r="E425" s="21"/>
      <c r="F425" s="21"/>
      <c r="G425" s="21"/>
      <c r="H425" s="21"/>
      <c r="I425" s="21"/>
      <c r="J425" s="21"/>
      <c r="K425" s="25"/>
      <c r="L425" s="21"/>
      <c r="M425" s="21"/>
      <c r="N425" s="21"/>
      <c r="O425" s="21"/>
    </row>
    <row r="426" spans="1:15" x14ac:dyDescent="0.3">
      <c r="A426" s="20" t="str">
        <f t="shared" si="5"/>
        <v/>
      </c>
      <c r="B426" s="21"/>
      <c r="C426" s="21"/>
      <c r="D426" s="22" t="str">
        <f>IF($C426="","",IFERROR(VLOOKUP($C426,Map_Register!$A$2:$C$5,3,FALSE()),""))</f>
        <v/>
      </c>
      <c r="E426" s="21"/>
      <c r="F426" s="21"/>
      <c r="G426" s="21"/>
      <c r="H426" s="21"/>
      <c r="I426" s="21"/>
      <c r="J426" s="21"/>
      <c r="K426" s="25"/>
      <c r="L426" s="21"/>
      <c r="M426" s="21"/>
      <c r="N426" s="21"/>
      <c r="O426" s="21"/>
    </row>
    <row r="427" spans="1:15" x14ac:dyDescent="0.3">
      <c r="A427" s="20" t="str">
        <f t="shared" si="5"/>
        <v/>
      </c>
      <c r="B427" s="21"/>
      <c r="C427" s="21"/>
      <c r="D427" s="22" t="str">
        <f>IF($C427="","",IFERROR(VLOOKUP($C427,Map_Register!$A$2:$C$5,3,FALSE()),""))</f>
        <v/>
      </c>
      <c r="E427" s="21"/>
      <c r="F427" s="21"/>
      <c r="G427" s="21"/>
      <c r="H427" s="21"/>
      <c r="I427" s="21"/>
      <c r="J427" s="21"/>
      <c r="K427" s="25"/>
      <c r="L427" s="21"/>
      <c r="M427" s="21"/>
      <c r="N427" s="21"/>
      <c r="O427" s="21"/>
    </row>
    <row r="428" spans="1:15" x14ac:dyDescent="0.3">
      <c r="A428" s="20" t="str">
        <f t="shared" si="5"/>
        <v/>
      </c>
      <c r="B428" s="21"/>
      <c r="C428" s="21"/>
      <c r="D428" s="22" t="str">
        <f>IF($C428="","",IFERROR(VLOOKUP($C428,Map_Register!$A$2:$C$5,3,FALSE()),""))</f>
        <v/>
      </c>
      <c r="E428" s="21"/>
      <c r="F428" s="21"/>
      <c r="G428" s="21"/>
      <c r="H428" s="21"/>
      <c r="I428" s="21"/>
      <c r="J428" s="21"/>
      <c r="K428" s="25"/>
      <c r="L428" s="21"/>
      <c r="M428" s="21"/>
      <c r="N428" s="21"/>
      <c r="O428" s="21"/>
    </row>
    <row r="429" spans="1:15" x14ac:dyDescent="0.3">
      <c r="A429" s="20" t="str">
        <f t="shared" si="5"/>
        <v/>
      </c>
      <c r="B429" s="21"/>
      <c r="C429" s="21"/>
      <c r="D429" s="22" t="str">
        <f>IF($C429="","",IFERROR(VLOOKUP($C429,Map_Register!$A$2:$C$5,3,FALSE()),""))</f>
        <v/>
      </c>
      <c r="E429" s="21"/>
      <c r="F429" s="21"/>
      <c r="G429" s="21"/>
      <c r="H429" s="21"/>
      <c r="I429" s="21"/>
      <c r="J429" s="21"/>
      <c r="K429" s="25"/>
      <c r="L429" s="21"/>
      <c r="M429" s="21"/>
      <c r="N429" s="21"/>
      <c r="O429" s="21"/>
    </row>
    <row r="430" spans="1:15" x14ac:dyDescent="0.3">
      <c r="A430" s="20" t="str">
        <f t="shared" si="5"/>
        <v/>
      </c>
      <c r="B430" s="21"/>
      <c r="C430" s="21"/>
      <c r="D430" s="22" t="str">
        <f>IF($C430="","",IFERROR(VLOOKUP($C430,Map_Register!$A$2:$C$5,3,FALSE()),""))</f>
        <v/>
      </c>
      <c r="E430" s="21"/>
      <c r="F430" s="21"/>
      <c r="G430" s="21"/>
      <c r="H430" s="21"/>
      <c r="I430" s="21"/>
      <c r="J430" s="21"/>
      <c r="K430" s="25"/>
      <c r="L430" s="21"/>
      <c r="M430" s="21"/>
      <c r="N430" s="21"/>
      <c r="O430" s="21"/>
    </row>
    <row r="431" spans="1:15" x14ac:dyDescent="0.3">
      <c r="A431" s="20" t="str">
        <f t="shared" si="5"/>
        <v/>
      </c>
      <c r="B431" s="21"/>
      <c r="C431" s="21"/>
      <c r="D431" s="22" t="str">
        <f>IF($C431="","",IFERROR(VLOOKUP($C431,Map_Register!$A$2:$C$5,3,FALSE()),""))</f>
        <v/>
      </c>
      <c r="E431" s="21"/>
      <c r="F431" s="21"/>
      <c r="G431" s="21"/>
      <c r="H431" s="21"/>
      <c r="I431" s="21"/>
      <c r="J431" s="21"/>
      <c r="K431" s="25"/>
      <c r="L431" s="21"/>
      <c r="M431" s="21"/>
      <c r="N431" s="21"/>
      <c r="O431" s="21"/>
    </row>
    <row r="432" spans="1:15" x14ac:dyDescent="0.3">
      <c r="A432" s="20" t="str">
        <f t="shared" si="5"/>
        <v/>
      </c>
      <c r="B432" s="21"/>
      <c r="C432" s="21"/>
      <c r="D432" s="22" t="str">
        <f>IF($C432="","",IFERROR(VLOOKUP($C432,Map_Register!$A$2:$C$5,3,FALSE()),""))</f>
        <v/>
      </c>
      <c r="E432" s="21"/>
      <c r="F432" s="21"/>
      <c r="G432" s="21"/>
      <c r="H432" s="21"/>
      <c r="I432" s="21"/>
      <c r="J432" s="21"/>
      <c r="K432" s="25"/>
      <c r="L432" s="21"/>
      <c r="M432" s="21"/>
      <c r="N432" s="21"/>
      <c r="O432" s="21"/>
    </row>
    <row r="433" spans="1:15" x14ac:dyDescent="0.3">
      <c r="A433" s="20" t="str">
        <f t="shared" si="5"/>
        <v/>
      </c>
      <c r="B433" s="21"/>
      <c r="C433" s="21"/>
      <c r="D433" s="22" t="str">
        <f>IF($C433="","",IFERROR(VLOOKUP($C433,Map_Register!$A$2:$C$5,3,FALSE()),""))</f>
        <v/>
      </c>
      <c r="E433" s="21"/>
      <c r="F433" s="21"/>
      <c r="G433" s="21"/>
      <c r="H433" s="21"/>
      <c r="I433" s="21"/>
      <c r="J433" s="21"/>
      <c r="K433" s="25"/>
      <c r="L433" s="21"/>
      <c r="M433" s="21"/>
      <c r="N433" s="21"/>
      <c r="O433" s="21"/>
    </row>
    <row r="434" spans="1:15" x14ac:dyDescent="0.3">
      <c r="A434" s="20" t="str">
        <f t="shared" si="5"/>
        <v/>
      </c>
      <c r="B434" s="21"/>
      <c r="C434" s="21"/>
      <c r="D434" s="22" t="str">
        <f>IF($C434="","",IFERROR(VLOOKUP($C434,Map_Register!$A$2:$C$5,3,FALSE()),""))</f>
        <v/>
      </c>
      <c r="E434" s="21"/>
      <c r="F434" s="21"/>
      <c r="G434" s="21"/>
      <c r="H434" s="21"/>
      <c r="I434" s="21"/>
      <c r="J434" s="21"/>
      <c r="K434" s="25"/>
      <c r="L434" s="21"/>
      <c r="M434" s="21"/>
      <c r="N434" s="21"/>
      <c r="O434" s="21"/>
    </row>
    <row r="435" spans="1:15" x14ac:dyDescent="0.3">
      <c r="A435" s="20" t="str">
        <f t="shared" si="5"/>
        <v/>
      </c>
      <c r="B435" s="21"/>
      <c r="C435" s="21"/>
      <c r="D435" s="22" t="str">
        <f>IF($C435="","",IFERROR(VLOOKUP($C435,Map_Register!$A$2:$C$5,3,FALSE()),""))</f>
        <v/>
      </c>
      <c r="E435" s="21"/>
      <c r="F435" s="21"/>
      <c r="G435" s="21"/>
      <c r="H435" s="21"/>
      <c r="I435" s="21"/>
      <c r="J435" s="21"/>
      <c r="K435" s="25"/>
      <c r="L435" s="21"/>
      <c r="M435" s="21"/>
      <c r="N435" s="21"/>
      <c r="O435" s="21"/>
    </row>
    <row r="436" spans="1:15" x14ac:dyDescent="0.3">
      <c r="A436" s="20" t="str">
        <f t="shared" si="5"/>
        <v/>
      </c>
      <c r="B436" s="21"/>
      <c r="C436" s="21"/>
      <c r="D436" s="22" t="str">
        <f>IF($C436="","",IFERROR(VLOOKUP($C436,Map_Register!$A$2:$C$5,3,FALSE()),""))</f>
        <v/>
      </c>
      <c r="E436" s="21"/>
      <c r="F436" s="21"/>
      <c r="G436" s="21"/>
      <c r="H436" s="21"/>
      <c r="I436" s="21"/>
      <c r="J436" s="21"/>
      <c r="K436" s="25"/>
      <c r="L436" s="21"/>
      <c r="M436" s="21"/>
      <c r="N436" s="21"/>
      <c r="O436" s="21"/>
    </row>
    <row r="437" spans="1:15" x14ac:dyDescent="0.3">
      <c r="A437" s="20" t="str">
        <f t="shared" si="5"/>
        <v/>
      </c>
      <c r="B437" s="21"/>
      <c r="C437" s="21"/>
      <c r="D437" s="22" t="str">
        <f>IF($C437="","",IFERROR(VLOOKUP($C437,Map_Register!$A$2:$C$5,3,FALSE()),""))</f>
        <v/>
      </c>
      <c r="E437" s="21"/>
      <c r="F437" s="21"/>
      <c r="G437" s="21"/>
      <c r="H437" s="21"/>
      <c r="I437" s="21"/>
      <c r="J437" s="21"/>
      <c r="K437" s="25"/>
      <c r="L437" s="21"/>
      <c r="M437" s="21"/>
      <c r="N437" s="21"/>
      <c r="O437" s="21"/>
    </row>
    <row r="438" spans="1:15" x14ac:dyDescent="0.3">
      <c r="A438" s="20" t="str">
        <f t="shared" si="5"/>
        <v/>
      </c>
      <c r="B438" s="21"/>
      <c r="C438" s="21"/>
      <c r="D438" s="22" t="str">
        <f>IF($C438="","",IFERROR(VLOOKUP($C438,Map_Register!$A$2:$C$5,3,FALSE()),""))</f>
        <v/>
      </c>
      <c r="E438" s="21"/>
      <c r="F438" s="21"/>
      <c r="G438" s="21"/>
      <c r="H438" s="21"/>
      <c r="I438" s="21"/>
      <c r="J438" s="21"/>
      <c r="K438" s="25"/>
      <c r="L438" s="21"/>
      <c r="M438" s="21"/>
      <c r="N438" s="21"/>
      <c r="O438" s="21"/>
    </row>
    <row r="439" spans="1:15" x14ac:dyDescent="0.3">
      <c r="A439" s="20" t="str">
        <f t="shared" si="5"/>
        <v/>
      </c>
      <c r="B439" s="21"/>
      <c r="C439" s="21"/>
      <c r="D439" s="22" t="str">
        <f>IF($C439="","",IFERROR(VLOOKUP($C439,Map_Register!$A$2:$C$5,3,FALSE()),""))</f>
        <v/>
      </c>
      <c r="E439" s="21"/>
      <c r="F439" s="21"/>
      <c r="G439" s="21"/>
      <c r="H439" s="21"/>
      <c r="I439" s="21"/>
      <c r="J439" s="21"/>
      <c r="K439" s="25"/>
      <c r="L439" s="21"/>
      <c r="M439" s="21"/>
      <c r="N439" s="21"/>
      <c r="O439" s="21"/>
    </row>
    <row r="440" spans="1:15" x14ac:dyDescent="0.3">
      <c r="A440" s="20" t="str">
        <f t="shared" si="5"/>
        <v/>
      </c>
      <c r="B440" s="21"/>
      <c r="C440" s="21"/>
      <c r="D440" s="22" t="str">
        <f>IF($C440="","",IFERROR(VLOOKUP($C440,Map_Register!$A$2:$C$5,3,FALSE()),""))</f>
        <v/>
      </c>
      <c r="E440" s="21"/>
      <c r="F440" s="21"/>
      <c r="G440" s="21"/>
      <c r="H440" s="21"/>
      <c r="I440" s="21"/>
      <c r="J440" s="21"/>
      <c r="K440" s="25"/>
      <c r="L440" s="21"/>
      <c r="M440" s="21"/>
      <c r="N440" s="21"/>
      <c r="O440" s="21"/>
    </row>
    <row r="441" spans="1:15" x14ac:dyDescent="0.3">
      <c r="A441" s="20" t="str">
        <f t="shared" si="5"/>
        <v/>
      </c>
      <c r="B441" s="21"/>
      <c r="C441" s="21"/>
      <c r="D441" s="22" t="str">
        <f>IF($C441="","",IFERROR(VLOOKUP($C441,Map_Register!$A$2:$C$5,3,FALSE()),""))</f>
        <v/>
      </c>
      <c r="E441" s="21"/>
      <c r="F441" s="21"/>
      <c r="G441" s="21"/>
      <c r="H441" s="21"/>
      <c r="I441" s="21"/>
      <c r="J441" s="21"/>
      <c r="K441" s="25"/>
      <c r="L441" s="21"/>
      <c r="M441" s="21"/>
      <c r="N441" s="21"/>
      <c r="O441" s="21"/>
    </row>
    <row r="442" spans="1:15" x14ac:dyDescent="0.3">
      <c r="A442" s="20" t="str">
        <f t="shared" si="5"/>
        <v/>
      </c>
      <c r="B442" s="21"/>
      <c r="C442" s="21"/>
      <c r="D442" s="22" t="str">
        <f>IF($C442="","",IFERROR(VLOOKUP($C442,Map_Register!$A$2:$C$5,3,FALSE()),""))</f>
        <v/>
      </c>
      <c r="E442" s="21"/>
      <c r="F442" s="21"/>
      <c r="G442" s="21"/>
      <c r="H442" s="21"/>
      <c r="I442" s="21"/>
      <c r="J442" s="21"/>
      <c r="K442" s="25"/>
      <c r="L442" s="21"/>
      <c r="M442" s="21"/>
      <c r="N442" s="21"/>
      <c r="O442" s="21"/>
    </row>
    <row r="443" spans="1:15" x14ac:dyDescent="0.3">
      <c r="A443" s="20" t="str">
        <f t="shared" si="5"/>
        <v/>
      </c>
      <c r="B443" s="21"/>
      <c r="C443" s="21"/>
      <c r="D443" s="22" t="str">
        <f>IF($C443="","",IFERROR(VLOOKUP($C443,Map_Register!$A$2:$C$5,3,FALSE()),""))</f>
        <v/>
      </c>
      <c r="E443" s="21"/>
      <c r="F443" s="21"/>
      <c r="G443" s="21"/>
      <c r="H443" s="21"/>
      <c r="I443" s="21"/>
      <c r="J443" s="21"/>
      <c r="K443" s="25"/>
      <c r="L443" s="21"/>
      <c r="M443" s="21"/>
      <c r="N443" s="21"/>
      <c r="O443" s="21"/>
    </row>
    <row r="444" spans="1:15" x14ac:dyDescent="0.3">
      <c r="A444" s="20" t="str">
        <f t="shared" si="5"/>
        <v/>
      </c>
      <c r="B444" s="21"/>
      <c r="C444" s="21"/>
      <c r="D444" s="22" t="str">
        <f>IF($C444="","",IFERROR(VLOOKUP($C444,Map_Register!$A$2:$C$5,3,FALSE()),""))</f>
        <v/>
      </c>
      <c r="E444" s="21"/>
      <c r="F444" s="21"/>
      <c r="G444" s="21"/>
      <c r="H444" s="21"/>
      <c r="I444" s="21"/>
      <c r="J444" s="21"/>
      <c r="K444" s="25"/>
      <c r="L444" s="21"/>
      <c r="M444" s="21"/>
      <c r="N444" s="21"/>
      <c r="O444" s="21"/>
    </row>
    <row r="445" spans="1:15" x14ac:dyDescent="0.3">
      <c r="A445" s="20" t="str">
        <f t="shared" si="5"/>
        <v/>
      </c>
      <c r="B445" s="21"/>
      <c r="C445" s="21"/>
      <c r="D445" s="22" t="str">
        <f>IF($C445="","",IFERROR(VLOOKUP($C445,Map_Register!$A$2:$C$5,3,FALSE()),""))</f>
        <v/>
      </c>
      <c r="E445" s="21"/>
      <c r="F445" s="21"/>
      <c r="G445" s="21"/>
      <c r="H445" s="21"/>
      <c r="I445" s="21"/>
      <c r="J445" s="21"/>
      <c r="K445" s="25"/>
      <c r="L445" s="21"/>
      <c r="M445" s="21"/>
      <c r="N445" s="21"/>
      <c r="O445" s="21"/>
    </row>
    <row r="446" spans="1:15" x14ac:dyDescent="0.3">
      <c r="A446" s="20" t="str">
        <f t="shared" si="5"/>
        <v/>
      </c>
      <c r="B446" s="21"/>
      <c r="C446" s="21"/>
      <c r="D446" s="22" t="str">
        <f>IF($C446="","",IFERROR(VLOOKUP($C446,Map_Register!$A$2:$C$5,3,FALSE()),""))</f>
        <v/>
      </c>
      <c r="E446" s="21"/>
      <c r="F446" s="21"/>
      <c r="G446" s="21"/>
      <c r="H446" s="21"/>
      <c r="I446" s="21"/>
      <c r="J446" s="21"/>
      <c r="K446" s="25"/>
      <c r="L446" s="21"/>
      <c r="M446" s="21"/>
      <c r="N446" s="21"/>
      <c r="O446" s="21"/>
    </row>
    <row r="447" spans="1:15" x14ac:dyDescent="0.3">
      <c r="A447" s="20" t="str">
        <f t="shared" si="5"/>
        <v/>
      </c>
      <c r="B447" s="21"/>
      <c r="C447" s="21"/>
      <c r="D447" s="22" t="str">
        <f>IF($C447="","",IFERROR(VLOOKUP($C447,Map_Register!$A$2:$C$5,3,FALSE()),""))</f>
        <v/>
      </c>
      <c r="E447" s="21"/>
      <c r="F447" s="21"/>
      <c r="G447" s="21"/>
      <c r="H447" s="21"/>
      <c r="I447" s="21"/>
      <c r="J447" s="21"/>
      <c r="K447" s="25"/>
      <c r="L447" s="21"/>
      <c r="M447" s="21"/>
      <c r="N447" s="21"/>
      <c r="O447" s="21"/>
    </row>
    <row r="448" spans="1:15" x14ac:dyDescent="0.3">
      <c r="A448" s="20" t="str">
        <f t="shared" si="5"/>
        <v/>
      </c>
      <c r="B448" s="21"/>
      <c r="C448" s="21"/>
      <c r="D448" s="22" t="str">
        <f>IF($C448="","",IFERROR(VLOOKUP($C448,Map_Register!$A$2:$C$5,3,FALSE()),""))</f>
        <v/>
      </c>
      <c r="E448" s="21"/>
      <c r="F448" s="21"/>
      <c r="G448" s="21"/>
      <c r="H448" s="21"/>
      <c r="I448" s="21"/>
      <c r="J448" s="21"/>
      <c r="K448" s="25"/>
      <c r="L448" s="21"/>
      <c r="M448" s="21"/>
      <c r="N448" s="21"/>
      <c r="O448" s="21"/>
    </row>
    <row r="449" spans="1:15" x14ac:dyDescent="0.3">
      <c r="A449" s="20" t="str">
        <f t="shared" si="5"/>
        <v/>
      </c>
      <c r="B449" s="21"/>
      <c r="C449" s="21"/>
      <c r="D449" s="22" t="str">
        <f>IF($C449="","",IFERROR(VLOOKUP($C449,Map_Register!$A$2:$C$5,3,FALSE()),""))</f>
        <v/>
      </c>
      <c r="E449" s="21"/>
      <c r="F449" s="21"/>
      <c r="G449" s="21"/>
      <c r="H449" s="21"/>
      <c r="I449" s="21"/>
      <c r="J449" s="21"/>
      <c r="K449" s="25"/>
      <c r="L449" s="21"/>
      <c r="M449" s="21"/>
      <c r="N449" s="21"/>
      <c r="O449" s="21"/>
    </row>
    <row r="450" spans="1:15" x14ac:dyDescent="0.3">
      <c r="A450" s="20" t="str">
        <f t="shared" si="5"/>
        <v/>
      </c>
      <c r="B450" s="21"/>
      <c r="C450" s="21"/>
      <c r="D450" s="22" t="str">
        <f>IF($C450="","",IFERROR(VLOOKUP($C450,Map_Register!$A$2:$C$5,3,FALSE()),""))</f>
        <v/>
      </c>
      <c r="E450" s="21"/>
      <c r="F450" s="21"/>
      <c r="G450" s="21"/>
      <c r="H450" s="21"/>
      <c r="I450" s="21"/>
      <c r="J450" s="21"/>
      <c r="K450" s="25"/>
      <c r="L450" s="21"/>
      <c r="M450" s="21"/>
      <c r="N450" s="21"/>
      <c r="O450" s="21"/>
    </row>
    <row r="451" spans="1:15" x14ac:dyDescent="0.3">
      <c r="A451" s="20" t="str">
        <f t="shared" si="5"/>
        <v/>
      </c>
      <c r="B451" s="21"/>
      <c r="C451" s="21"/>
      <c r="D451" s="22" t="str">
        <f>IF($C451="","",IFERROR(VLOOKUP($C451,Map_Register!$A$2:$C$5,3,FALSE()),""))</f>
        <v/>
      </c>
      <c r="E451" s="21"/>
      <c r="F451" s="21"/>
      <c r="G451" s="21"/>
      <c r="H451" s="21"/>
      <c r="I451" s="21"/>
      <c r="J451" s="21"/>
      <c r="K451" s="25"/>
      <c r="L451" s="21"/>
      <c r="M451" s="21"/>
      <c r="N451" s="21"/>
      <c r="O451" s="21"/>
    </row>
    <row r="452" spans="1:15" x14ac:dyDescent="0.3">
      <c r="A452" s="20" t="str">
        <f t="shared" si="5"/>
        <v/>
      </c>
      <c r="B452" s="21"/>
      <c r="C452" s="21"/>
      <c r="D452" s="22" t="str">
        <f>IF($C452="","",IFERROR(VLOOKUP($C452,Map_Register!$A$2:$C$5,3,FALSE()),""))</f>
        <v/>
      </c>
      <c r="E452" s="21"/>
      <c r="F452" s="21"/>
      <c r="G452" s="21"/>
      <c r="H452" s="21"/>
      <c r="I452" s="21"/>
      <c r="J452" s="21"/>
      <c r="K452" s="25"/>
      <c r="L452" s="21"/>
      <c r="M452" s="21"/>
      <c r="N452" s="21"/>
      <c r="O452" s="21"/>
    </row>
    <row r="453" spans="1:15" x14ac:dyDescent="0.3">
      <c r="A453" s="20" t="str">
        <f t="shared" si="5"/>
        <v/>
      </c>
      <c r="B453" s="21"/>
      <c r="C453" s="21"/>
      <c r="D453" s="22" t="str">
        <f>IF($C453="","",IFERROR(VLOOKUP($C453,Map_Register!$A$2:$C$5,3,FALSE()),""))</f>
        <v/>
      </c>
      <c r="E453" s="21"/>
      <c r="F453" s="21"/>
      <c r="G453" s="21"/>
      <c r="H453" s="21"/>
      <c r="I453" s="21"/>
      <c r="J453" s="21"/>
      <c r="K453" s="25"/>
      <c r="L453" s="21"/>
      <c r="M453" s="21"/>
      <c r="N453" s="21"/>
      <c r="O453" s="21"/>
    </row>
    <row r="454" spans="1:15" x14ac:dyDescent="0.3">
      <c r="A454" s="20" t="str">
        <f t="shared" si="5"/>
        <v/>
      </c>
      <c r="B454" s="21"/>
      <c r="C454" s="21"/>
      <c r="D454" s="22" t="str">
        <f>IF($C454="","",IFERROR(VLOOKUP($C454,Map_Register!$A$2:$C$5,3,FALSE()),""))</f>
        <v/>
      </c>
      <c r="E454" s="21"/>
      <c r="F454" s="21"/>
      <c r="G454" s="21"/>
      <c r="H454" s="21"/>
      <c r="I454" s="21"/>
      <c r="J454" s="21"/>
      <c r="K454" s="25"/>
      <c r="L454" s="21"/>
      <c r="M454" s="21"/>
      <c r="N454" s="21"/>
      <c r="O454" s="21"/>
    </row>
    <row r="455" spans="1:15" x14ac:dyDescent="0.3">
      <c r="A455" s="20" t="str">
        <f t="shared" si="5"/>
        <v/>
      </c>
      <c r="B455" s="21"/>
      <c r="C455" s="21"/>
      <c r="D455" s="22" t="str">
        <f>IF($C455="","",IFERROR(VLOOKUP($C455,Map_Register!$A$2:$C$5,3,FALSE()),""))</f>
        <v/>
      </c>
      <c r="E455" s="21"/>
      <c r="F455" s="21"/>
      <c r="G455" s="21"/>
      <c r="H455" s="21"/>
      <c r="I455" s="21"/>
      <c r="J455" s="21"/>
      <c r="K455" s="25"/>
      <c r="L455" s="21"/>
      <c r="M455" s="21"/>
      <c r="N455" s="21"/>
      <c r="O455" s="21"/>
    </row>
    <row r="456" spans="1:15" x14ac:dyDescent="0.3">
      <c r="A456" s="20" t="str">
        <f t="shared" si="5"/>
        <v/>
      </c>
      <c r="B456" s="21"/>
      <c r="C456" s="21"/>
      <c r="D456" s="22" t="str">
        <f>IF($C456="","",IFERROR(VLOOKUP($C456,Map_Register!$A$2:$C$5,3,FALSE()),""))</f>
        <v/>
      </c>
      <c r="E456" s="21"/>
      <c r="F456" s="21"/>
      <c r="G456" s="21"/>
      <c r="H456" s="21"/>
      <c r="I456" s="21"/>
      <c r="J456" s="21"/>
      <c r="K456" s="25"/>
      <c r="L456" s="21"/>
      <c r="M456" s="21"/>
      <c r="N456" s="21"/>
      <c r="O456" s="21"/>
    </row>
    <row r="457" spans="1:15" x14ac:dyDescent="0.3">
      <c r="A457" s="20" t="str">
        <f t="shared" si="5"/>
        <v/>
      </c>
      <c r="B457" s="21"/>
      <c r="C457" s="21"/>
      <c r="D457" s="22" t="str">
        <f>IF($C457="","",IFERROR(VLOOKUP($C457,Map_Register!$A$2:$C$5,3,FALSE()),""))</f>
        <v/>
      </c>
      <c r="E457" s="21"/>
      <c r="F457" s="21"/>
      <c r="G457" s="21"/>
      <c r="H457" s="21"/>
      <c r="I457" s="21"/>
      <c r="J457" s="21"/>
      <c r="K457" s="25"/>
      <c r="L457" s="21"/>
      <c r="M457" s="21"/>
      <c r="N457" s="21"/>
      <c r="O457" s="21"/>
    </row>
    <row r="458" spans="1:15" x14ac:dyDescent="0.3">
      <c r="A458" s="20" t="str">
        <f t="shared" si="5"/>
        <v/>
      </c>
      <c r="B458" s="21"/>
      <c r="C458" s="21"/>
      <c r="D458" s="22" t="str">
        <f>IF($C458="","",IFERROR(VLOOKUP($C458,Map_Register!$A$2:$C$5,3,FALSE()),""))</f>
        <v/>
      </c>
      <c r="E458" s="21"/>
      <c r="F458" s="21"/>
      <c r="G458" s="21"/>
      <c r="H458" s="21"/>
      <c r="I458" s="21"/>
      <c r="J458" s="21"/>
      <c r="K458" s="25"/>
      <c r="L458" s="21"/>
      <c r="M458" s="21"/>
      <c r="N458" s="21"/>
      <c r="O458" s="21"/>
    </row>
    <row r="459" spans="1:15" x14ac:dyDescent="0.3">
      <c r="A459" s="20" t="str">
        <f t="shared" si="5"/>
        <v/>
      </c>
      <c r="B459" s="21"/>
      <c r="C459" s="21"/>
      <c r="D459" s="22" t="str">
        <f>IF($C459="","",IFERROR(VLOOKUP($C459,Map_Register!$A$2:$C$5,3,FALSE()),""))</f>
        <v/>
      </c>
      <c r="E459" s="21"/>
      <c r="F459" s="21"/>
      <c r="G459" s="21"/>
      <c r="H459" s="21"/>
      <c r="I459" s="21"/>
      <c r="J459" s="21"/>
      <c r="K459" s="25"/>
      <c r="L459" s="21"/>
      <c r="M459" s="21"/>
      <c r="N459" s="21"/>
      <c r="O459" s="21"/>
    </row>
    <row r="460" spans="1:15" x14ac:dyDescent="0.3">
      <c r="A460" s="20" t="str">
        <f t="shared" si="5"/>
        <v/>
      </c>
      <c r="B460" s="21"/>
      <c r="C460" s="21"/>
      <c r="D460" s="22" t="str">
        <f>IF($C460="","",IFERROR(VLOOKUP($C460,Map_Register!$A$2:$C$5,3,FALSE()),""))</f>
        <v/>
      </c>
      <c r="E460" s="21"/>
      <c r="F460" s="21"/>
      <c r="G460" s="21"/>
      <c r="H460" s="21"/>
      <c r="I460" s="21"/>
      <c r="J460" s="21"/>
      <c r="K460" s="25"/>
      <c r="L460" s="21"/>
      <c r="M460" s="21"/>
      <c r="N460" s="21"/>
      <c r="O460" s="21"/>
    </row>
    <row r="461" spans="1:15" x14ac:dyDescent="0.3">
      <c r="A461" s="20" t="str">
        <f t="shared" si="5"/>
        <v/>
      </c>
      <c r="B461" s="21"/>
      <c r="C461" s="21"/>
      <c r="D461" s="22" t="str">
        <f>IF($C461="","",IFERROR(VLOOKUP($C461,Map_Register!$A$2:$C$5,3,FALSE()),""))</f>
        <v/>
      </c>
      <c r="E461" s="21"/>
      <c r="F461" s="21"/>
      <c r="G461" s="21"/>
      <c r="H461" s="21"/>
      <c r="I461" s="21"/>
      <c r="J461" s="21"/>
      <c r="K461" s="25"/>
      <c r="L461" s="21"/>
      <c r="M461" s="21"/>
      <c r="N461" s="21"/>
      <c r="O461" s="21"/>
    </row>
    <row r="462" spans="1:15" x14ac:dyDescent="0.3">
      <c r="A462" s="20" t="str">
        <f t="shared" si="5"/>
        <v/>
      </c>
      <c r="B462" s="21"/>
      <c r="C462" s="21"/>
      <c r="D462" s="22" t="str">
        <f>IF($C462="","",IFERROR(VLOOKUP($C462,Map_Register!$A$2:$C$5,3,FALSE()),""))</f>
        <v/>
      </c>
      <c r="E462" s="21"/>
      <c r="F462" s="21"/>
      <c r="G462" s="21"/>
      <c r="H462" s="21"/>
      <c r="I462" s="21"/>
      <c r="J462" s="21"/>
      <c r="K462" s="25"/>
      <c r="L462" s="21"/>
      <c r="M462" s="21"/>
      <c r="N462" s="21"/>
      <c r="O462" s="21"/>
    </row>
    <row r="463" spans="1:15" x14ac:dyDescent="0.3">
      <c r="A463" s="20" t="str">
        <f t="shared" si="5"/>
        <v/>
      </c>
      <c r="B463" s="21"/>
      <c r="C463" s="21"/>
      <c r="D463" s="22" t="str">
        <f>IF($C463="","",IFERROR(VLOOKUP($C463,Map_Register!$A$2:$C$5,3,FALSE()),""))</f>
        <v/>
      </c>
      <c r="E463" s="21"/>
      <c r="F463" s="21"/>
      <c r="G463" s="21"/>
      <c r="H463" s="21"/>
      <c r="I463" s="21"/>
      <c r="J463" s="21"/>
      <c r="K463" s="25"/>
      <c r="L463" s="21"/>
      <c r="M463" s="21"/>
      <c r="N463" s="21"/>
      <c r="O463" s="21"/>
    </row>
    <row r="464" spans="1:15" x14ac:dyDescent="0.3">
      <c r="A464" s="20" t="str">
        <f t="shared" si="5"/>
        <v/>
      </c>
      <c r="B464" s="21"/>
      <c r="C464" s="21"/>
      <c r="D464" s="22" t="str">
        <f>IF($C464="","",IFERROR(VLOOKUP($C464,Map_Register!$A$2:$C$5,3,FALSE()),""))</f>
        <v/>
      </c>
      <c r="E464" s="21"/>
      <c r="F464" s="21"/>
      <c r="G464" s="21"/>
      <c r="H464" s="21"/>
      <c r="I464" s="21"/>
      <c r="J464" s="21"/>
      <c r="K464" s="25"/>
      <c r="L464" s="21"/>
      <c r="M464" s="21"/>
      <c r="N464" s="21"/>
      <c r="O464" s="21"/>
    </row>
    <row r="465" spans="1:15" x14ac:dyDescent="0.3">
      <c r="A465" s="20" t="str">
        <f t="shared" si="5"/>
        <v/>
      </c>
      <c r="B465" s="21"/>
      <c r="C465" s="21"/>
      <c r="D465" s="22" t="str">
        <f>IF($C465="","",IFERROR(VLOOKUP($C465,Map_Register!$A$2:$C$5,3,FALSE()),""))</f>
        <v/>
      </c>
      <c r="E465" s="21"/>
      <c r="F465" s="21"/>
      <c r="G465" s="21"/>
      <c r="H465" s="21"/>
      <c r="I465" s="21"/>
      <c r="J465" s="21"/>
      <c r="K465" s="25"/>
      <c r="L465" s="21"/>
      <c r="M465" s="21"/>
      <c r="N465" s="21"/>
      <c r="O465" s="21"/>
    </row>
    <row r="466" spans="1:15" x14ac:dyDescent="0.3">
      <c r="A466" s="20" t="str">
        <f t="shared" si="5"/>
        <v/>
      </c>
      <c r="B466" s="21"/>
      <c r="C466" s="21"/>
      <c r="D466" s="22" t="str">
        <f>IF($C466="","",IFERROR(VLOOKUP($C466,Map_Register!$A$2:$C$5,3,FALSE()),""))</f>
        <v/>
      </c>
      <c r="E466" s="21"/>
      <c r="F466" s="21"/>
      <c r="G466" s="21"/>
      <c r="H466" s="21"/>
      <c r="I466" s="21"/>
      <c r="J466" s="21"/>
      <c r="K466" s="25"/>
      <c r="L466" s="21"/>
      <c r="M466" s="21"/>
      <c r="N466" s="21"/>
      <c r="O466" s="21"/>
    </row>
    <row r="467" spans="1:15" x14ac:dyDescent="0.3">
      <c r="A467" s="20" t="str">
        <f t="shared" si="5"/>
        <v/>
      </c>
      <c r="B467" s="21"/>
      <c r="C467" s="21"/>
      <c r="D467" s="22" t="str">
        <f>IF($C467="","",IFERROR(VLOOKUP($C467,Map_Register!$A$2:$C$5,3,FALSE()),""))</f>
        <v/>
      </c>
      <c r="E467" s="21"/>
      <c r="F467" s="21"/>
      <c r="G467" s="21"/>
      <c r="H467" s="21"/>
      <c r="I467" s="21"/>
      <c r="J467" s="21"/>
      <c r="K467" s="25"/>
      <c r="L467" s="21"/>
      <c r="M467" s="21"/>
      <c r="N467" s="21"/>
      <c r="O467" s="21"/>
    </row>
    <row r="468" spans="1:15" x14ac:dyDescent="0.3">
      <c r="A468" s="20" t="str">
        <f t="shared" si="5"/>
        <v/>
      </c>
      <c r="B468" s="21"/>
      <c r="C468" s="21"/>
      <c r="D468" s="22" t="str">
        <f>IF($C468="","",IFERROR(VLOOKUP($C468,Map_Register!$A$2:$C$5,3,FALSE()),""))</f>
        <v/>
      </c>
      <c r="E468" s="21"/>
      <c r="F468" s="21"/>
      <c r="G468" s="21"/>
      <c r="H468" s="21"/>
      <c r="I468" s="21"/>
      <c r="J468" s="21"/>
      <c r="K468" s="25"/>
      <c r="L468" s="21"/>
      <c r="M468" s="21"/>
      <c r="N468" s="21"/>
      <c r="O468" s="21"/>
    </row>
    <row r="469" spans="1:15" x14ac:dyDescent="0.3">
      <c r="A469" s="20" t="str">
        <f t="shared" si="5"/>
        <v/>
      </c>
      <c r="B469" s="21"/>
      <c r="C469" s="21"/>
      <c r="D469" s="22" t="str">
        <f>IF($C469="","",IFERROR(VLOOKUP($C469,Map_Register!$A$2:$C$5,3,FALSE()),""))</f>
        <v/>
      </c>
      <c r="E469" s="21"/>
      <c r="F469" s="21"/>
      <c r="G469" s="21"/>
      <c r="H469" s="21"/>
      <c r="I469" s="21"/>
      <c r="J469" s="21"/>
      <c r="K469" s="25"/>
      <c r="L469" s="21"/>
      <c r="M469" s="21"/>
      <c r="N469" s="21"/>
      <c r="O469" s="21"/>
    </row>
    <row r="470" spans="1:15" x14ac:dyDescent="0.3">
      <c r="A470" s="20" t="str">
        <f t="shared" si="5"/>
        <v/>
      </c>
      <c r="B470" s="21"/>
      <c r="C470" s="21"/>
      <c r="D470" s="22" t="str">
        <f>IF($C470="","",IFERROR(VLOOKUP($C470,Map_Register!$A$2:$C$5,3,FALSE()),""))</f>
        <v/>
      </c>
      <c r="E470" s="21"/>
      <c r="F470" s="21"/>
      <c r="G470" s="21"/>
      <c r="H470" s="21"/>
      <c r="I470" s="21"/>
      <c r="J470" s="21"/>
      <c r="K470" s="25"/>
      <c r="L470" s="21"/>
      <c r="M470" s="21"/>
      <c r="N470" s="21"/>
      <c r="O470" s="21"/>
    </row>
    <row r="471" spans="1:15" x14ac:dyDescent="0.3">
      <c r="A471" s="20" t="str">
        <f t="shared" si="5"/>
        <v/>
      </c>
      <c r="B471" s="21"/>
      <c r="C471" s="21"/>
      <c r="D471" s="22" t="str">
        <f>IF($C471="","",IFERROR(VLOOKUP($C471,Map_Register!$A$2:$C$5,3,FALSE()),""))</f>
        <v/>
      </c>
      <c r="E471" s="21"/>
      <c r="F471" s="21"/>
      <c r="G471" s="21"/>
      <c r="H471" s="21"/>
      <c r="I471" s="21"/>
      <c r="J471" s="21"/>
      <c r="K471" s="25"/>
      <c r="L471" s="21"/>
      <c r="M471" s="21"/>
      <c r="N471" s="21"/>
      <c r="O471" s="21"/>
    </row>
    <row r="472" spans="1:15" x14ac:dyDescent="0.3">
      <c r="A472" s="20" t="str">
        <f t="shared" si="5"/>
        <v/>
      </c>
      <c r="B472" s="21"/>
      <c r="C472" s="21"/>
      <c r="D472" s="22" t="str">
        <f>IF($C472="","",IFERROR(VLOOKUP($C472,Map_Register!$A$2:$C$5,3,FALSE()),""))</f>
        <v/>
      </c>
      <c r="E472" s="21"/>
      <c r="F472" s="21"/>
      <c r="G472" s="21"/>
      <c r="H472" s="21"/>
      <c r="I472" s="21"/>
      <c r="J472" s="21"/>
      <c r="K472" s="25"/>
      <c r="L472" s="21"/>
      <c r="M472" s="21"/>
      <c r="N472" s="21"/>
      <c r="O472" s="21"/>
    </row>
    <row r="473" spans="1:15" x14ac:dyDescent="0.3">
      <c r="A473" s="20" t="str">
        <f t="shared" si="5"/>
        <v/>
      </c>
      <c r="B473" s="21"/>
      <c r="C473" s="21"/>
      <c r="D473" s="22" t="str">
        <f>IF($C473="","",IFERROR(VLOOKUP($C473,Map_Register!$A$2:$C$5,3,FALSE()),""))</f>
        <v/>
      </c>
      <c r="E473" s="21"/>
      <c r="F473" s="21"/>
      <c r="G473" s="21"/>
      <c r="H473" s="21"/>
      <c r="I473" s="21"/>
      <c r="J473" s="21"/>
      <c r="K473" s="25"/>
      <c r="L473" s="21"/>
      <c r="M473" s="21"/>
      <c r="N473" s="21"/>
      <c r="O473" s="21"/>
    </row>
    <row r="474" spans="1:15" x14ac:dyDescent="0.3">
      <c r="A474" s="20" t="str">
        <f t="shared" si="5"/>
        <v/>
      </c>
      <c r="B474" s="21"/>
      <c r="C474" s="21"/>
      <c r="D474" s="22" t="str">
        <f>IF($C474="","",IFERROR(VLOOKUP($C474,Map_Register!$A$2:$C$5,3,FALSE()),""))</f>
        <v/>
      </c>
      <c r="E474" s="21"/>
      <c r="F474" s="21"/>
      <c r="G474" s="21"/>
      <c r="H474" s="21"/>
      <c r="I474" s="21"/>
      <c r="J474" s="21"/>
      <c r="K474" s="25"/>
      <c r="L474" s="21"/>
      <c r="M474" s="21"/>
      <c r="N474" s="21"/>
      <c r="O474" s="21"/>
    </row>
    <row r="475" spans="1:15" x14ac:dyDescent="0.3">
      <c r="A475" s="20" t="str">
        <f t="shared" si="5"/>
        <v/>
      </c>
      <c r="B475" s="21"/>
      <c r="C475" s="21"/>
      <c r="D475" s="22" t="str">
        <f>IF($C475="","",IFERROR(VLOOKUP($C475,Map_Register!$A$2:$C$5,3,FALSE()),""))</f>
        <v/>
      </c>
      <c r="E475" s="21"/>
      <c r="F475" s="21"/>
      <c r="G475" s="21"/>
      <c r="H475" s="21"/>
      <c r="I475" s="21"/>
      <c r="J475" s="21"/>
      <c r="K475" s="25"/>
      <c r="L475" s="21"/>
      <c r="M475" s="21"/>
      <c r="N475" s="21"/>
      <c r="O475" s="21"/>
    </row>
    <row r="476" spans="1:15" x14ac:dyDescent="0.3">
      <c r="A476" s="20" t="str">
        <f t="shared" si="5"/>
        <v/>
      </c>
      <c r="B476" s="21"/>
      <c r="C476" s="21"/>
      <c r="D476" s="22" t="str">
        <f>IF($C476="","",IFERROR(VLOOKUP($C476,Map_Register!$A$2:$C$5,3,FALSE()),""))</f>
        <v/>
      </c>
      <c r="E476" s="21"/>
      <c r="F476" s="21"/>
      <c r="G476" s="21"/>
      <c r="H476" s="21"/>
      <c r="I476" s="21"/>
      <c r="J476" s="21"/>
      <c r="K476" s="25"/>
      <c r="L476" s="21"/>
      <c r="M476" s="21"/>
      <c r="N476" s="21"/>
      <c r="O476" s="21"/>
    </row>
    <row r="477" spans="1:15" x14ac:dyDescent="0.3">
      <c r="A477" s="20" t="str">
        <f t="shared" si="5"/>
        <v/>
      </c>
      <c r="B477" s="21"/>
      <c r="C477" s="21"/>
      <c r="D477" s="22" t="str">
        <f>IF($C477="","",IFERROR(VLOOKUP($C477,Map_Register!$A$2:$C$5,3,FALSE()),""))</f>
        <v/>
      </c>
      <c r="E477" s="21"/>
      <c r="F477" s="21"/>
      <c r="G477" s="21"/>
      <c r="H477" s="21"/>
      <c r="I477" s="21"/>
      <c r="J477" s="21"/>
      <c r="K477" s="25"/>
      <c r="L477" s="21"/>
      <c r="M477" s="21"/>
      <c r="N477" s="21"/>
      <c r="O477" s="21"/>
    </row>
    <row r="478" spans="1:15" x14ac:dyDescent="0.3">
      <c r="A478" s="20" t="str">
        <f t="shared" ref="A478:A518" si="6">IF($B478="","",ROW()-1)</f>
        <v/>
      </c>
      <c r="B478" s="21"/>
      <c r="C478" s="21"/>
      <c r="D478" s="22" t="str">
        <f>IF($C478="","",IFERROR(VLOOKUP($C478,Map_Register!$A$2:$C$5,3,FALSE()),""))</f>
        <v/>
      </c>
      <c r="E478" s="21"/>
      <c r="F478" s="21"/>
      <c r="G478" s="21"/>
      <c r="H478" s="21"/>
      <c r="I478" s="21"/>
      <c r="J478" s="21"/>
      <c r="K478" s="25"/>
      <c r="L478" s="21"/>
      <c r="M478" s="21"/>
      <c r="N478" s="21"/>
      <c r="O478" s="21"/>
    </row>
    <row r="479" spans="1:15" x14ac:dyDescent="0.3">
      <c r="A479" s="20" t="str">
        <f t="shared" si="6"/>
        <v/>
      </c>
      <c r="B479" s="21"/>
      <c r="C479" s="21"/>
      <c r="D479" s="22" t="str">
        <f>IF($C479="","",IFERROR(VLOOKUP($C479,Map_Register!$A$2:$C$5,3,FALSE()),""))</f>
        <v/>
      </c>
      <c r="E479" s="21"/>
      <c r="F479" s="21"/>
      <c r="G479" s="21"/>
      <c r="H479" s="21"/>
      <c r="I479" s="21"/>
      <c r="J479" s="21"/>
      <c r="K479" s="25"/>
      <c r="L479" s="21"/>
      <c r="M479" s="21"/>
      <c r="N479" s="21"/>
      <c r="O479" s="21"/>
    </row>
    <row r="480" spans="1:15" x14ac:dyDescent="0.3">
      <c r="A480" s="20" t="str">
        <f t="shared" si="6"/>
        <v/>
      </c>
      <c r="B480" s="21"/>
      <c r="C480" s="21"/>
      <c r="D480" s="22" t="str">
        <f>IF($C480="","",IFERROR(VLOOKUP($C480,Map_Register!$A$2:$C$5,3,FALSE()),""))</f>
        <v/>
      </c>
      <c r="E480" s="21"/>
      <c r="F480" s="21"/>
      <c r="G480" s="21"/>
      <c r="H480" s="21"/>
      <c r="I480" s="21"/>
      <c r="J480" s="21"/>
      <c r="K480" s="25"/>
      <c r="L480" s="21"/>
      <c r="M480" s="21"/>
      <c r="N480" s="21"/>
      <c r="O480" s="21"/>
    </row>
    <row r="481" spans="1:15" x14ac:dyDescent="0.3">
      <c r="A481" s="20" t="str">
        <f t="shared" si="6"/>
        <v/>
      </c>
      <c r="B481" s="21"/>
      <c r="C481" s="21"/>
      <c r="D481" s="22" t="str">
        <f>IF($C481="","",IFERROR(VLOOKUP($C481,Map_Register!$A$2:$C$5,3,FALSE()),""))</f>
        <v/>
      </c>
      <c r="E481" s="21"/>
      <c r="F481" s="21"/>
      <c r="G481" s="21"/>
      <c r="H481" s="21"/>
      <c r="I481" s="21"/>
      <c r="J481" s="21"/>
      <c r="K481" s="25"/>
      <c r="L481" s="21"/>
      <c r="M481" s="21"/>
      <c r="N481" s="21"/>
      <c r="O481" s="21"/>
    </row>
    <row r="482" spans="1:15" x14ac:dyDescent="0.3">
      <c r="A482" s="20" t="str">
        <f t="shared" si="6"/>
        <v/>
      </c>
      <c r="B482" s="21"/>
      <c r="C482" s="21"/>
      <c r="D482" s="22" t="str">
        <f>IF($C482="","",IFERROR(VLOOKUP($C482,Map_Register!$A$2:$C$5,3,FALSE()),""))</f>
        <v/>
      </c>
      <c r="E482" s="21"/>
      <c r="F482" s="21"/>
      <c r="G482" s="21"/>
      <c r="H482" s="21"/>
      <c r="I482" s="21"/>
      <c r="J482" s="21"/>
      <c r="K482" s="25"/>
      <c r="L482" s="21"/>
      <c r="M482" s="21"/>
      <c r="N482" s="21"/>
      <c r="O482" s="21"/>
    </row>
    <row r="483" spans="1:15" x14ac:dyDescent="0.3">
      <c r="A483" s="20" t="str">
        <f t="shared" si="6"/>
        <v/>
      </c>
      <c r="B483" s="21"/>
      <c r="C483" s="21"/>
      <c r="D483" s="22" t="str">
        <f>IF($C483="","",IFERROR(VLOOKUP($C483,Map_Register!$A$2:$C$5,3,FALSE()),""))</f>
        <v/>
      </c>
      <c r="E483" s="21"/>
      <c r="F483" s="21"/>
      <c r="G483" s="21"/>
      <c r="H483" s="21"/>
      <c r="I483" s="21"/>
      <c r="J483" s="21"/>
      <c r="K483" s="25"/>
      <c r="L483" s="21"/>
      <c r="M483" s="21"/>
      <c r="N483" s="21"/>
      <c r="O483" s="21"/>
    </row>
    <row r="484" spans="1:15" x14ac:dyDescent="0.3">
      <c r="A484" s="20" t="str">
        <f t="shared" si="6"/>
        <v/>
      </c>
      <c r="B484" s="21"/>
      <c r="C484" s="21"/>
      <c r="D484" s="22" t="str">
        <f>IF($C484="","",IFERROR(VLOOKUP($C484,Map_Register!$A$2:$C$5,3,FALSE()),""))</f>
        <v/>
      </c>
      <c r="E484" s="21"/>
      <c r="F484" s="21"/>
      <c r="G484" s="21"/>
      <c r="H484" s="21"/>
      <c r="I484" s="21"/>
      <c r="J484" s="21"/>
      <c r="K484" s="25"/>
      <c r="L484" s="21"/>
      <c r="M484" s="21"/>
      <c r="N484" s="21"/>
      <c r="O484" s="21"/>
    </row>
    <row r="485" spans="1:15" x14ac:dyDescent="0.3">
      <c r="A485" s="20" t="str">
        <f t="shared" si="6"/>
        <v/>
      </c>
      <c r="B485" s="21"/>
      <c r="C485" s="21"/>
      <c r="D485" s="22" t="str">
        <f>IF($C485="","",IFERROR(VLOOKUP($C485,Map_Register!$A$2:$C$5,3,FALSE()),""))</f>
        <v/>
      </c>
      <c r="E485" s="21"/>
      <c r="F485" s="21"/>
      <c r="G485" s="21"/>
      <c r="H485" s="21"/>
      <c r="I485" s="21"/>
      <c r="J485" s="21"/>
      <c r="K485" s="25"/>
      <c r="L485" s="21"/>
      <c r="M485" s="21"/>
      <c r="N485" s="21"/>
      <c r="O485" s="21"/>
    </row>
    <row r="486" spans="1:15" x14ac:dyDescent="0.3">
      <c r="A486" s="20" t="str">
        <f t="shared" si="6"/>
        <v/>
      </c>
      <c r="B486" s="21"/>
      <c r="C486" s="21"/>
      <c r="D486" s="22" t="str">
        <f>IF($C486="","",IFERROR(VLOOKUP($C486,Map_Register!$A$2:$C$5,3,FALSE()),""))</f>
        <v/>
      </c>
      <c r="E486" s="21"/>
      <c r="F486" s="21"/>
      <c r="G486" s="21"/>
      <c r="H486" s="21"/>
      <c r="I486" s="21"/>
      <c r="J486" s="21"/>
      <c r="K486" s="25"/>
      <c r="L486" s="21"/>
      <c r="M486" s="21"/>
      <c r="N486" s="21"/>
      <c r="O486" s="21"/>
    </row>
    <row r="487" spans="1:15" x14ac:dyDescent="0.3">
      <c r="A487" s="20" t="str">
        <f t="shared" si="6"/>
        <v/>
      </c>
      <c r="B487" s="21"/>
      <c r="C487" s="21"/>
      <c r="D487" s="22" t="str">
        <f>IF($C487="","",IFERROR(VLOOKUP($C487,Map_Register!$A$2:$C$5,3,FALSE()),""))</f>
        <v/>
      </c>
      <c r="E487" s="21"/>
      <c r="F487" s="21"/>
      <c r="G487" s="21"/>
      <c r="H487" s="21"/>
      <c r="I487" s="21"/>
      <c r="J487" s="21"/>
      <c r="K487" s="25"/>
      <c r="L487" s="21"/>
      <c r="M487" s="21"/>
      <c r="N487" s="21"/>
      <c r="O487" s="21"/>
    </row>
    <row r="488" spans="1:15" x14ac:dyDescent="0.3">
      <c r="A488" s="20" t="str">
        <f t="shared" si="6"/>
        <v/>
      </c>
      <c r="B488" s="21"/>
      <c r="C488" s="21"/>
      <c r="D488" s="22" t="str">
        <f>IF($C488="","",IFERROR(VLOOKUP($C488,Map_Register!$A$2:$C$5,3,FALSE()),""))</f>
        <v/>
      </c>
      <c r="E488" s="21"/>
      <c r="F488" s="21"/>
      <c r="G488" s="21"/>
      <c r="H488" s="21"/>
      <c r="I488" s="21"/>
      <c r="J488" s="21"/>
      <c r="K488" s="25"/>
      <c r="L488" s="21"/>
      <c r="M488" s="21"/>
      <c r="N488" s="21"/>
      <c r="O488" s="21"/>
    </row>
    <row r="489" spans="1:15" x14ac:dyDescent="0.3">
      <c r="A489" s="20" t="str">
        <f t="shared" si="6"/>
        <v/>
      </c>
      <c r="B489" s="21"/>
      <c r="C489" s="21"/>
      <c r="D489" s="22" t="str">
        <f>IF($C489="","",IFERROR(VLOOKUP($C489,Map_Register!$A$2:$C$5,3,FALSE()),""))</f>
        <v/>
      </c>
      <c r="E489" s="21"/>
      <c r="F489" s="21"/>
      <c r="G489" s="21"/>
      <c r="H489" s="21"/>
      <c r="I489" s="21"/>
      <c r="J489" s="21"/>
      <c r="K489" s="25"/>
      <c r="L489" s="21"/>
      <c r="M489" s="21"/>
      <c r="N489" s="21"/>
      <c r="O489" s="21"/>
    </row>
    <row r="490" spans="1:15" x14ac:dyDescent="0.3">
      <c r="A490" s="20" t="str">
        <f t="shared" si="6"/>
        <v/>
      </c>
      <c r="B490" s="21"/>
      <c r="C490" s="21"/>
      <c r="D490" s="22" t="str">
        <f>IF($C490="","",IFERROR(VLOOKUP($C490,Map_Register!$A$2:$C$5,3,FALSE()),""))</f>
        <v/>
      </c>
      <c r="E490" s="21"/>
      <c r="F490" s="21"/>
      <c r="G490" s="21"/>
      <c r="H490" s="21"/>
      <c r="I490" s="21"/>
      <c r="J490" s="21"/>
      <c r="K490" s="25"/>
      <c r="L490" s="21"/>
      <c r="M490" s="21"/>
      <c r="N490" s="21"/>
      <c r="O490" s="21"/>
    </row>
    <row r="491" spans="1:15" x14ac:dyDescent="0.3">
      <c r="A491" s="20" t="str">
        <f t="shared" si="6"/>
        <v/>
      </c>
      <c r="B491" s="21"/>
      <c r="C491" s="21"/>
      <c r="D491" s="22" t="str">
        <f>IF($C491="","",IFERROR(VLOOKUP($C491,Map_Register!$A$2:$C$5,3,FALSE()),""))</f>
        <v/>
      </c>
      <c r="E491" s="21"/>
      <c r="F491" s="21"/>
      <c r="G491" s="21"/>
      <c r="H491" s="21"/>
      <c r="I491" s="21"/>
      <c r="J491" s="21"/>
      <c r="K491" s="25"/>
      <c r="L491" s="21"/>
      <c r="M491" s="21"/>
      <c r="N491" s="21"/>
      <c r="O491" s="21"/>
    </row>
    <row r="492" spans="1:15" x14ac:dyDescent="0.3">
      <c r="A492" s="20" t="str">
        <f t="shared" si="6"/>
        <v/>
      </c>
      <c r="B492" s="21"/>
      <c r="C492" s="21"/>
      <c r="D492" s="22" t="str">
        <f>IF($C492="","",IFERROR(VLOOKUP($C492,Map_Register!$A$2:$C$5,3,FALSE()),""))</f>
        <v/>
      </c>
      <c r="E492" s="21"/>
      <c r="F492" s="21"/>
      <c r="G492" s="21"/>
      <c r="H492" s="21"/>
      <c r="I492" s="21"/>
      <c r="J492" s="21"/>
      <c r="K492" s="25"/>
      <c r="L492" s="21"/>
      <c r="M492" s="21"/>
      <c r="N492" s="21"/>
      <c r="O492" s="21"/>
    </row>
    <row r="493" spans="1:15" x14ac:dyDescent="0.3">
      <c r="A493" s="20" t="str">
        <f t="shared" si="6"/>
        <v/>
      </c>
      <c r="B493" s="21"/>
      <c r="C493" s="21"/>
      <c r="D493" s="22" t="str">
        <f>IF($C493="","",IFERROR(VLOOKUP($C493,Map_Register!$A$2:$C$5,3,FALSE()),""))</f>
        <v/>
      </c>
      <c r="E493" s="21"/>
      <c r="F493" s="21"/>
      <c r="G493" s="21"/>
      <c r="H493" s="21"/>
      <c r="I493" s="21"/>
      <c r="J493" s="21"/>
      <c r="K493" s="25"/>
      <c r="L493" s="21"/>
      <c r="M493" s="21"/>
      <c r="N493" s="21"/>
      <c r="O493" s="21"/>
    </row>
    <row r="494" spans="1:15" x14ac:dyDescent="0.3">
      <c r="A494" s="20" t="str">
        <f t="shared" si="6"/>
        <v/>
      </c>
      <c r="B494" s="21"/>
      <c r="C494" s="21"/>
      <c r="D494" s="22" t="str">
        <f>IF($C494="","",IFERROR(VLOOKUP($C494,Map_Register!$A$2:$C$5,3,FALSE()),""))</f>
        <v/>
      </c>
      <c r="E494" s="21"/>
      <c r="F494" s="21"/>
      <c r="G494" s="21"/>
      <c r="H494" s="21"/>
      <c r="I494" s="21"/>
      <c r="J494" s="21"/>
      <c r="K494" s="25"/>
      <c r="L494" s="21"/>
      <c r="M494" s="21"/>
      <c r="N494" s="21"/>
      <c r="O494" s="21"/>
    </row>
    <row r="495" spans="1:15" x14ac:dyDescent="0.3">
      <c r="A495" s="20" t="str">
        <f t="shared" si="6"/>
        <v/>
      </c>
      <c r="B495" s="21"/>
      <c r="C495" s="21"/>
      <c r="D495" s="22" t="str">
        <f>IF($C495="","",IFERROR(VLOOKUP($C495,Map_Register!$A$2:$C$5,3,FALSE()),""))</f>
        <v/>
      </c>
      <c r="E495" s="21"/>
      <c r="F495" s="21"/>
      <c r="G495" s="21"/>
      <c r="H495" s="21"/>
      <c r="I495" s="21"/>
      <c r="J495" s="21"/>
      <c r="K495" s="25"/>
      <c r="L495" s="21"/>
      <c r="M495" s="21"/>
      <c r="N495" s="21"/>
      <c r="O495" s="21"/>
    </row>
    <row r="496" spans="1:15" x14ac:dyDescent="0.3">
      <c r="A496" s="20" t="str">
        <f t="shared" si="6"/>
        <v/>
      </c>
      <c r="B496" s="21"/>
      <c r="C496" s="21"/>
      <c r="D496" s="22" t="str">
        <f>IF($C496="","",IFERROR(VLOOKUP($C496,Map_Register!$A$2:$C$5,3,FALSE()),""))</f>
        <v/>
      </c>
      <c r="E496" s="21"/>
      <c r="F496" s="21"/>
      <c r="G496" s="21"/>
      <c r="H496" s="21"/>
      <c r="I496" s="21"/>
      <c r="J496" s="21"/>
      <c r="K496" s="25"/>
      <c r="L496" s="21"/>
      <c r="M496" s="21"/>
      <c r="N496" s="21"/>
      <c r="O496" s="21"/>
    </row>
    <row r="497" spans="1:15" x14ac:dyDescent="0.3">
      <c r="A497" s="20" t="str">
        <f t="shared" si="6"/>
        <v/>
      </c>
      <c r="B497" s="21"/>
      <c r="C497" s="21"/>
      <c r="D497" s="22" t="str">
        <f>IF($C497="","",IFERROR(VLOOKUP($C497,Map_Register!$A$2:$C$5,3,FALSE()),""))</f>
        <v/>
      </c>
      <c r="E497" s="21"/>
      <c r="F497" s="21"/>
      <c r="G497" s="21"/>
      <c r="H497" s="21"/>
      <c r="I497" s="21"/>
      <c r="J497" s="21"/>
      <c r="K497" s="25"/>
      <c r="L497" s="21"/>
      <c r="M497" s="21"/>
      <c r="N497" s="21"/>
      <c r="O497" s="21"/>
    </row>
    <row r="498" spans="1:15" x14ac:dyDescent="0.3">
      <c r="A498" s="20" t="str">
        <f t="shared" si="6"/>
        <v/>
      </c>
      <c r="B498" s="21"/>
      <c r="C498" s="21"/>
      <c r="D498" s="22" t="str">
        <f>IF($C498="","",IFERROR(VLOOKUP($C498,Map_Register!$A$2:$C$5,3,FALSE()),""))</f>
        <v/>
      </c>
      <c r="E498" s="21"/>
      <c r="F498" s="21"/>
      <c r="G498" s="21"/>
      <c r="H498" s="21"/>
      <c r="I498" s="21"/>
      <c r="J498" s="21"/>
      <c r="K498" s="25"/>
      <c r="L498" s="21"/>
      <c r="M498" s="21"/>
      <c r="N498" s="21"/>
      <c r="O498" s="21"/>
    </row>
    <row r="499" spans="1:15" x14ac:dyDescent="0.3">
      <c r="A499" s="20" t="str">
        <f t="shared" si="6"/>
        <v/>
      </c>
      <c r="B499" s="21"/>
      <c r="C499" s="21"/>
      <c r="D499" s="22" t="str">
        <f>IF($C499="","",IFERROR(VLOOKUP($C499,Map_Register!$A$2:$C$5,3,FALSE()),""))</f>
        <v/>
      </c>
      <c r="E499" s="21"/>
      <c r="F499" s="21"/>
      <c r="G499" s="21"/>
      <c r="H499" s="21"/>
      <c r="I499" s="21"/>
      <c r="J499" s="21"/>
      <c r="K499" s="25"/>
      <c r="L499" s="21"/>
      <c r="M499" s="21"/>
      <c r="N499" s="21"/>
      <c r="O499" s="21"/>
    </row>
    <row r="500" spans="1:15" x14ac:dyDescent="0.3">
      <c r="A500" s="20" t="str">
        <f t="shared" si="6"/>
        <v/>
      </c>
      <c r="B500" s="21"/>
      <c r="C500" s="21"/>
      <c r="D500" s="22" t="str">
        <f>IF($C500="","",IFERROR(VLOOKUP($C500,Map_Register!$A$2:$C$5,3,FALSE()),""))</f>
        <v/>
      </c>
      <c r="E500" s="21"/>
      <c r="F500" s="21"/>
      <c r="G500" s="21"/>
      <c r="H500" s="21"/>
      <c r="I500" s="21"/>
      <c r="J500" s="21"/>
      <c r="K500" s="25"/>
      <c r="L500" s="21"/>
      <c r="M500" s="21"/>
      <c r="N500" s="21"/>
      <c r="O500" s="21"/>
    </row>
    <row r="501" spans="1:15" x14ac:dyDescent="0.3">
      <c r="A501" s="20" t="str">
        <f t="shared" si="6"/>
        <v/>
      </c>
      <c r="B501" s="21"/>
      <c r="C501" s="21"/>
      <c r="D501" s="22" t="str">
        <f>IF($C501="","",IFERROR(VLOOKUP($C501,Map_Register!$A$2:$C$5,3,FALSE()),""))</f>
        <v/>
      </c>
      <c r="E501" s="21"/>
      <c r="F501" s="21"/>
      <c r="G501" s="21"/>
      <c r="H501" s="21"/>
      <c r="I501" s="21"/>
      <c r="J501" s="21"/>
      <c r="K501" s="25"/>
      <c r="L501" s="21"/>
      <c r="M501" s="21"/>
      <c r="N501" s="21"/>
      <c r="O501" s="21"/>
    </row>
    <row r="502" spans="1:15" x14ac:dyDescent="0.3">
      <c r="A502" s="20" t="str">
        <f t="shared" si="6"/>
        <v/>
      </c>
      <c r="B502" s="21"/>
      <c r="C502" s="21"/>
      <c r="D502" s="22" t="str">
        <f>IF($C502="","",IFERROR(VLOOKUP($C502,Map_Register!$A$2:$C$5,3,FALSE()),""))</f>
        <v/>
      </c>
      <c r="E502" s="21"/>
      <c r="F502" s="21"/>
      <c r="G502" s="21"/>
      <c r="H502" s="21"/>
      <c r="I502" s="21"/>
      <c r="J502" s="21"/>
      <c r="K502" s="25"/>
      <c r="L502" s="21"/>
      <c r="M502" s="21"/>
      <c r="N502" s="21"/>
      <c r="O502" s="21"/>
    </row>
    <row r="503" spans="1:15" x14ac:dyDescent="0.3">
      <c r="A503" s="20" t="str">
        <f t="shared" si="6"/>
        <v/>
      </c>
      <c r="B503" s="21"/>
      <c r="C503" s="21"/>
      <c r="D503" s="22" t="str">
        <f>IF($C503="","",IFERROR(VLOOKUP($C503,Map_Register!$A$2:$C$5,3,FALSE()),""))</f>
        <v/>
      </c>
      <c r="E503" s="21"/>
      <c r="F503" s="21"/>
      <c r="G503" s="21"/>
      <c r="H503" s="21"/>
      <c r="I503" s="21"/>
      <c r="J503" s="21"/>
      <c r="K503" s="25"/>
      <c r="L503" s="21"/>
      <c r="M503" s="21"/>
      <c r="N503" s="21"/>
      <c r="O503" s="21"/>
    </row>
    <row r="504" spans="1:15" x14ac:dyDescent="0.3">
      <c r="A504" s="20" t="str">
        <f t="shared" si="6"/>
        <v/>
      </c>
      <c r="B504" s="21"/>
      <c r="C504" s="21"/>
      <c r="D504" s="22" t="str">
        <f>IF($C504="","",IFERROR(VLOOKUP($C504,Map_Register!$A$2:$C$5,3,FALSE()),""))</f>
        <v/>
      </c>
      <c r="E504" s="21"/>
      <c r="F504" s="21"/>
      <c r="G504" s="21"/>
      <c r="H504" s="21"/>
      <c r="I504" s="21"/>
      <c r="J504" s="21"/>
      <c r="K504" s="25"/>
      <c r="L504" s="21"/>
      <c r="M504" s="21"/>
      <c r="N504" s="21"/>
      <c r="O504" s="21"/>
    </row>
    <row r="505" spans="1:15" x14ac:dyDescent="0.3">
      <c r="A505" s="20" t="str">
        <f t="shared" si="6"/>
        <v/>
      </c>
      <c r="B505" s="21"/>
      <c r="C505" s="21"/>
      <c r="D505" s="22" t="str">
        <f>IF($C505="","",IFERROR(VLOOKUP($C505,Map_Register!$A$2:$C$5,3,FALSE()),""))</f>
        <v/>
      </c>
      <c r="E505" s="21"/>
      <c r="F505" s="21"/>
      <c r="G505" s="21"/>
      <c r="H505" s="21"/>
      <c r="I505" s="21"/>
      <c r="J505" s="21"/>
      <c r="K505" s="25"/>
      <c r="L505" s="21"/>
      <c r="M505" s="21"/>
      <c r="N505" s="21"/>
      <c r="O505" s="21"/>
    </row>
    <row r="506" spans="1:15" x14ac:dyDescent="0.3">
      <c r="A506" s="20" t="str">
        <f t="shared" si="6"/>
        <v/>
      </c>
      <c r="B506" s="21"/>
      <c r="C506" s="21"/>
      <c r="D506" s="22" t="str">
        <f>IF($C506="","",IFERROR(VLOOKUP($C506,Map_Register!$A$2:$C$5,3,FALSE()),""))</f>
        <v/>
      </c>
      <c r="E506" s="21"/>
      <c r="F506" s="21"/>
      <c r="G506" s="21"/>
      <c r="H506" s="21"/>
      <c r="I506" s="21"/>
      <c r="J506" s="21"/>
      <c r="K506" s="25"/>
      <c r="L506" s="21"/>
      <c r="M506" s="21"/>
      <c r="N506" s="21"/>
      <c r="O506" s="21"/>
    </row>
    <row r="507" spans="1:15" x14ac:dyDescent="0.3">
      <c r="A507" s="20" t="str">
        <f t="shared" si="6"/>
        <v/>
      </c>
      <c r="B507" s="21"/>
      <c r="C507" s="21"/>
      <c r="D507" s="22" t="str">
        <f>IF($C507="","",IFERROR(VLOOKUP($C507,Map_Register!$A$2:$C$5,3,FALSE()),""))</f>
        <v/>
      </c>
      <c r="E507" s="21"/>
      <c r="F507" s="21"/>
      <c r="G507" s="21"/>
      <c r="H507" s="21"/>
      <c r="I507" s="21"/>
      <c r="J507" s="21"/>
      <c r="K507" s="25"/>
      <c r="L507" s="21"/>
      <c r="M507" s="21"/>
      <c r="N507" s="21"/>
      <c r="O507" s="21"/>
    </row>
    <row r="508" spans="1:15" x14ac:dyDescent="0.3">
      <c r="A508" s="20" t="str">
        <f t="shared" si="6"/>
        <v/>
      </c>
      <c r="B508" s="21"/>
      <c r="C508" s="21"/>
      <c r="D508" s="22" t="str">
        <f>IF($C508="","",IFERROR(VLOOKUP($C508,Map_Register!$A$2:$C$5,3,FALSE()),""))</f>
        <v/>
      </c>
      <c r="E508" s="21"/>
      <c r="F508" s="21"/>
      <c r="G508" s="21"/>
      <c r="H508" s="21"/>
      <c r="I508" s="21"/>
      <c r="J508" s="21"/>
      <c r="K508" s="25"/>
      <c r="L508" s="21"/>
      <c r="M508" s="21"/>
      <c r="N508" s="21"/>
      <c r="O508" s="21"/>
    </row>
    <row r="509" spans="1:15" x14ac:dyDescent="0.3">
      <c r="A509" s="20" t="str">
        <f t="shared" si="6"/>
        <v/>
      </c>
      <c r="B509" s="21"/>
      <c r="C509" s="21"/>
      <c r="D509" s="22" t="str">
        <f>IF($C509="","",IFERROR(VLOOKUP($C509,Map_Register!$A$2:$C$5,3,FALSE()),""))</f>
        <v/>
      </c>
      <c r="E509" s="21"/>
      <c r="F509" s="21"/>
      <c r="G509" s="21"/>
      <c r="H509" s="21"/>
      <c r="I509" s="21"/>
      <c r="J509" s="21"/>
      <c r="K509" s="25"/>
      <c r="L509" s="21"/>
      <c r="M509" s="21"/>
      <c r="N509" s="21"/>
      <c r="O509" s="21"/>
    </row>
    <row r="510" spans="1:15" x14ac:dyDescent="0.3">
      <c r="A510" s="20" t="str">
        <f t="shared" si="6"/>
        <v/>
      </c>
      <c r="B510" s="21"/>
      <c r="C510" s="21"/>
      <c r="D510" s="22" t="str">
        <f>IF($C510="","",IFERROR(VLOOKUP($C510,Map_Register!$A$2:$C$5,3,FALSE()),""))</f>
        <v/>
      </c>
      <c r="E510" s="21"/>
      <c r="F510" s="21"/>
      <c r="G510" s="21"/>
      <c r="H510" s="21"/>
      <c r="I510" s="21"/>
      <c r="J510" s="21"/>
      <c r="K510" s="25"/>
      <c r="L510" s="21"/>
      <c r="M510" s="21"/>
      <c r="N510" s="21"/>
      <c r="O510" s="21"/>
    </row>
    <row r="511" spans="1:15" x14ac:dyDescent="0.3">
      <c r="A511" s="20" t="str">
        <f t="shared" si="6"/>
        <v/>
      </c>
      <c r="B511" s="21"/>
      <c r="C511" s="21"/>
      <c r="D511" s="22" t="str">
        <f>IF($C511="","",IFERROR(VLOOKUP($C511,Map_Register!$A$2:$C$5,3,FALSE()),""))</f>
        <v/>
      </c>
      <c r="E511" s="21"/>
      <c r="F511" s="21"/>
      <c r="G511" s="21"/>
      <c r="H511" s="21"/>
      <c r="I511" s="21"/>
      <c r="J511" s="21"/>
      <c r="K511" s="25"/>
      <c r="L511" s="21"/>
      <c r="M511" s="21"/>
      <c r="N511" s="21"/>
      <c r="O511" s="21"/>
    </row>
    <row r="512" spans="1:15" x14ac:dyDescent="0.3">
      <c r="A512" s="20" t="str">
        <f t="shared" si="6"/>
        <v/>
      </c>
      <c r="B512" s="21"/>
      <c r="C512" s="21"/>
      <c r="D512" s="22" t="str">
        <f>IF($C512="","",IFERROR(VLOOKUP($C512,Map_Register!$A$2:$C$5,3,FALSE()),""))</f>
        <v/>
      </c>
      <c r="E512" s="21"/>
      <c r="F512" s="21"/>
      <c r="G512" s="21"/>
      <c r="H512" s="21"/>
      <c r="I512" s="21"/>
      <c r="J512" s="21"/>
      <c r="K512" s="25"/>
      <c r="L512" s="21"/>
      <c r="M512" s="21"/>
      <c r="N512" s="21"/>
      <c r="O512" s="21"/>
    </row>
    <row r="513" spans="1:15" x14ac:dyDescent="0.3">
      <c r="A513" s="20" t="str">
        <f t="shared" si="6"/>
        <v/>
      </c>
      <c r="B513" s="21"/>
      <c r="C513" s="21"/>
      <c r="D513" s="22" t="str">
        <f>IF($C513="","",IFERROR(VLOOKUP($C513,Map_Register!$A$2:$C$5,3,FALSE()),""))</f>
        <v/>
      </c>
      <c r="E513" s="21"/>
      <c r="F513" s="21"/>
      <c r="G513" s="21"/>
      <c r="H513" s="21"/>
      <c r="I513" s="21"/>
      <c r="J513" s="21"/>
      <c r="K513" s="25"/>
      <c r="L513" s="21"/>
      <c r="M513" s="21"/>
      <c r="N513" s="21"/>
      <c r="O513" s="21"/>
    </row>
    <row r="514" spans="1:15" x14ac:dyDescent="0.3">
      <c r="A514" s="20" t="str">
        <f t="shared" si="6"/>
        <v/>
      </c>
      <c r="B514" s="21"/>
      <c r="C514" s="21"/>
      <c r="D514" s="22" t="str">
        <f>IF($C514="","",IFERROR(VLOOKUP($C514,Map_Register!$A$2:$C$5,3,FALSE()),""))</f>
        <v/>
      </c>
      <c r="E514" s="21"/>
      <c r="F514" s="21"/>
      <c r="G514" s="21"/>
      <c r="H514" s="21"/>
      <c r="I514" s="21"/>
      <c r="J514" s="21"/>
      <c r="K514" s="25"/>
      <c r="L514" s="21"/>
      <c r="M514" s="21"/>
      <c r="N514" s="21"/>
      <c r="O514" s="21"/>
    </row>
    <row r="515" spans="1:15" x14ac:dyDescent="0.3">
      <c r="A515" s="20" t="str">
        <f t="shared" si="6"/>
        <v/>
      </c>
      <c r="B515" s="21"/>
      <c r="C515" s="21"/>
      <c r="D515" s="22" t="str">
        <f>IF($C515="","",IFERROR(VLOOKUP($C515,Map_Register!$A$2:$C$5,3,FALSE()),""))</f>
        <v/>
      </c>
      <c r="E515" s="21"/>
      <c r="F515" s="21"/>
      <c r="G515" s="21"/>
      <c r="H515" s="21"/>
      <c r="I515" s="21"/>
      <c r="J515" s="21"/>
      <c r="K515" s="25"/>
      <c r="L515" s="21"/>
      <c r="M515" s="21"/>
      <c r="N515" s="21"/>
      <c r="O515" s="21"/>
    </row>
    <row r="516" spans="1:15" x14ac:dyDescent="0.3">
      <c r="A516" s="20" t="str">
        <f t="shared" si="6"/>
        <v/>
      </c>
      <c r="B516" s="21"/>
      <c r="C516" s="21"/>
      <c r="D516" s="22" t="str">
        <f>IF($C516="","",IFERROR(VLOOKUP($C516,Map_Register!$A$2:$C$5,3,FALSE()),""))</f>
        <v/>
      </c>
      <c r="E516" s="21"/>
      <c r="F516" s="21"/>
      <c r="G516" s="21"/>
      <c r="H516" s="21"/>
      <c r="I516" s="21"/>
      <c r="J516" s="21"/>
      <c r="K516" s="25"/>
      <c r="L516" s="21"/>
      <c r="M516" s="21"/>
      <c r="N516" s="21"/>
      <c r="O516" s="21"/>
    </row>
    <row r="517" spans="1:15" x14ac:dyDescent="0.3">
      <c r="A517" s="20" t="str">
        <f t="shared" si="6"/>
        <v/>
      </c>
      <c r="B517" s="21"/>
      <c r="C517" s="21"/>
      <c r="D517" s="22" t="str">
        <f>IF($C517="","",IFERROR(VLOOKUP($C517,Map_Register!$A$2:$C$5,3,FALSE()),""))</f>
        <v/>
      </c>
      <c r="E517" s="21"/>
      <c r="F517" s="21"/>
      <c r="G517" s="21"/>
      <c r="H517" s="21"/>
      <c r="I517" s="21"/>
      <c r="J517" s="21"/>
      <c r="K517" s="25"/>
      <c r="L517" s="21"/>
      <c r="M517" s="21"/>
      <c r="N517" s="21"/>
      <c r="O517" s="21"/>
    </row>
    <row r="518" spans="1:15" x14ac:dyDescent="0.3">
      <c r="A518" s="20" t="str">
        <f t="shared" si="6"/>
        <v/>
      </c>
      <c r="B518" s="21"/>
      <c r="C518" s="21"/>
      <c r="D518" s="22" t="str">
        <f>IF($C518="","",IFERROR(VLOOKUP($C518,Map_Register!$A$2:$C$5,3,FALSE()),""))</f>
        <v/>
      </c>
      <c r="E518" s="21"/>
      <c r="F518" s="21"/>
      <c r="G518" s="21"/>
      <c r="H518" s="21"/>
      <c r="I518" s="21"/>
      <c r="J518" s="21"/>
      <c r="K518" s="25"/>
      <c r="L518" s="21"/>
      <c r="M518" s="21"/>
      <c r="N518" s="21"/>
      <c r="O518" s="21"/>
    </row>
  </sheetData>
  <autoFilter ref="A1:O101" xr:uid="{00000000-0009-0000-0000-000004000000}"/>
  <conditionalFormatting sqref="H2:H518">
    <cfRule type="expression" dxfId="19" priority="2">
      <formula>$H2="Absent"</formula>
    </cfRule>
    <cfRule type="expression" dxfId="18" priority="3">
      <formula>$H2="Present (Emphasized)"</formula>
    </cfRule>
    <cfRule type="expression" dxfId="17" priority="4">
      <formula>$H2="Present (De-emphasized)"</formula>
    </cfRule>
    <cfRule type="expression" dxfId="16" priority="5">
      <formula>$H2="Present (Differentiated)"</formula>
    </cfRule>
  </conditionalFormatting>
  <hyperlinks>
    <hyperlink ref="O7" r:id="rId1" xr:uid="{00000000-0004-0000-04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04"/>
  <sheetViews>
    <sheetView topLeftCell="G1" zoomScaleNormal="100" workbookViewId="0">
      <selection activeCell="K22" sqref="K22"/>
    </sheetView>
  </sheetViews>
  <sheetFormatPr defaultColWidth="11" defaultRowHeight="14.4" x14ac:dyDescent="0.3"/>
  <cols>
    <col min="1" max="1" width="10.109375" customWidth="1"/>
    <col min="2" max="2" width="6.77734375" customWidth="1"/>
    <col min="3" max="3" width="7.33203125" customWidth="1"/>
    <col min="4" max="4" width="18.6640625" customWidth="1"/>
    <col min="5" max="5" width="9" customWidth="1"/>
    <col min="6" max="6" width="33.88671875" customWidth="1"/>
    <col min="7" max="7" width="35.77734375" customWidth="1"/>
    <col min="8" max="8" width="28.77734375" customWidth="1"/>
    <col min="9" max="9" width="19.88671875" customWidth="1"/>
    <col min="10" max="10" width="18.44140625" customWidth="1"/>
    <col min="11" max="11" width="72.44140625" customWidth="1"/>
    <col min="12" max="12" width="16.88671875" customWidth="1"/>
    <col min="13" max="13" width="14.109375" customWidth="1"/>
    <col min="14" max="14" width="24.21875" customWidth="1"/>
    <col min="15" max="15" width="48.5546875" customWidth="1"/>
  </cols>
  <sheetData>
    <row r="1" spans="1:15" x14ac:dyDescent="0.3">
      <c r="A1" s="15" t="s">
        <v>45</v>
      </c>
      <c r="B1" s="15" t="s">
        <v>48</v>
      </c>
      <c r="C1" s="15" t="s">
        <v>51</v>
      </c>
      <c r="D1" s="15" t="s">
        <v>100</v>
      </c>
      <c r="E1" s="15" t="s">
        <v>4</v>
      </c>
      <c r="F1" s="15" t="s">
        <v>56</v>
      </c>
      <c r="G1" s="15" t="s">
        <v>102</v>
      </c>
      <c r="H1" s="15" t="s">
        <v>59</v>
      </c>
      <c r="I1" s="15" t="s">
        <v>62</v>
      </c>
      <c r="J1" s="15" t="s">
        <v>68</v>
      </c>
      <c r="K1" s="15" t="s">
        <v>70</v>
      </c>
      <c r="L1" s="15" t="s">
        <v>65</v>
      </c>
      <c r="M1" s="15" t="s">
        <v>73</v>
      </c>
      <c r="N1" s="15" t="s">
        <v>103</v>
      </c>
      <c r="O1" s="15" t="s">
        <v>79</v>
      </c>
    </row>
    <row r="2" spans="1:15" ht="12.75" customHeight="1" x14ac:dyDescent="0.3">
      <c r="A2" s="20">
        <f t="shared" ref="A2:A9" si="0">IF($B2="","",ROW()-1)</f>
        <v>1</v>
      </c>
      <c r="B2" s="21" t="s">
        <v>87</v>
      </c>
      <c r="C2" s="21" t="s">
        <v>94</v>
      </c>
      <c r="D2" s="22" t="str">
        <f>IF($C2="","",IFERROR(VLOOKUP($C2,Map_Register!$A$2:$C$5,3,FALSE()),""))</f>
        <v>Military Zone</v>
      </c>
      <c r="E2" s="21" t="s">
        <v>14</v>
      </c>
      <c r="F2" s="21" t="s">
        <v>2537</v>
      </c>
      <c r="G2" s="21" t="s">
        <v>2538</v>
      </c>
      <c r="H2" s="21" t="s">
        <v>8</v>
      </c>
      <c r="I2" s="21" t="s">
        <v>562</v>
      </c>
      <c r="J2" s="21" t="s">
        <v>108</v>
      </c>
      <c r="K2" s="25" t="s">
        <v>2539</v>
      </c>
      <c r="L2" s="21" t="s">
        <v>107</v>
      </c>
      <c r="M2" s="21"/>
      <c r="N2" s="21"/>
      <c r="O2" s="24" t="s">
        <v>2540</v>
      </c>
    </row>
    <row r="3" spans="1:15" ht="12.75" customHeight="1" x14ac:dyDescent="0.3">
      <c r="A3" s="20">
        <f t="shared" si="0"/>
        <v>2</v>
      </c>
      <c r="B3" s="21" t="s">
        <v>87</v>
      </c>
      <c r="C3" s="21" t="s">
        <v>94</v>
      </c>
      <c r="D3" s="22" t="str">
        <f>IF($C3="","",IFERROR(VLOOKUP($C3,Map_Register!$A$2:$C$5,3,FALSE()),""))</f>
        <v>Military Zone</v>
      </c>
      <c r="E3" s="21" t="s">
        <v>14</v>
      </c>
      <c r="F3" s="21" t="s">
        <v>2541</v>
      </c>
      <c r="G3" s="21" t="s">
        <v>2542</v>
      </c>
      <c r="H3" s="21" t="s">
        <v>6</v>
      </c>
      <c r="I3" s="21"/>
      <c r="J3" s="21"/>
      <c r="K3" s="25" t="s">
        <v>2543</v>
      </c>
      <c r="L3" s="21"/>
      <c r="M3" s="21"/>
      <c r="N3" s="21"/>
      <c r="O3" s="21" t="s">
        <v>2544</v>
      </c>
    </row>
    <row r="4" spans="1:15" ht="12.75" customHeight="1" x14ac:dyDescent="0.3">
      <c r="A4" s="20">
        <f t="shared" si="0"/>
        <v>3</v>
      </c>
      <c r="B4" s="21" t="s">
        <v>87</v>
      </c>
      <c r="C4" s="21" t="s">
        <v>94</v>
      </c>
      <c r="D4" s="22" t="str">
        <f>IF($C4="","",IFERROR(VLOOKUP($C4,Map_Register!$A$2:$C$5,3,FALSE()),""))</f>
        <v>Military Zone</v>
      </c>
      <c r="E4" s="21" t="s">
        <v>14</v>
      </c>
      <c r="F4" s="21" t="s">
        <v>2541</v>
      </c>
      <c r="G4" s="21" t="s">
        <v>2545</v>
      </c>
      <c r="H4" s="21" t="s">
        <v>6</v>
      </c>
      <c r="I4" s="21"/>
      <c r="J4" s="21"/>
      <c r="K4" s="25" t="s">
        <v>2546</v>
      </c>
      <c r="L4" s="21"/>
      <c r="M4" s="21"/>
      <c r="N4" s="21"/>
      <c r="O4" s="21" t="s">
        <v>2544</v>
      </c>
    </row>
    <row r="5" spans="1:15" x14ac:dyDescent="0.3">
      <c r="A5" s="20">
        <f t="shared" si="0"/>
        <v>4</v>
      </c>
      <c r="B5" s="21" t="s">
        <v>87</v>
      </c>
      <c r="C5" s="21" t="s">
        <v>86</v>
      </c>
      <c r="D5" s="22" t="str">
        <f>IF($C5="","",IFERROR(VLOOKUP($C5,Map_Register!$A$2:$C$5,3,FALSE()),""))</f>
        <v>Border Region</v>
      </c>
      <c r="E5" s="21" t="s">
        <v>14</v>
      </c>
      <c r="F5" s="21" t="s">
        <v>2541</v>
      </c>
      <c r="G5" s="21" t="s">
        <v>2547</v>
      </c>
      <c r="H5" s="21" t="s">
        <v>6</v>
      </c>
      <c r="I5" s="21"/>
      <c r="J5" s="21"/>
      <c r="K5" s="25" t="s">
        <v>2548</v>
      </c>
      <c r="L5" s="21"/>
      <c r="M5" s="21"/>
      <c r="N5" s="21"/>
      <c r="O5" s="21" t="s">
        <v>2544</v>
      </c>
    </row>
    <row r="6" spans="1:15" x14ac:dyDescent="0.3">
      <c r="A6" s="20">
        <f t="shared" si="0"/>
        <v>5</v>
      </c>
      <c r="B6" s="21" t="s">
        <v>87</v>
      </c>
      <c r="C6" s="21" t="s">
        <v>86</v>
      </c>
      <c r="D6" s="22" t="str">
        <f>IF($C6="","",IFERROR(VLOOKUP($C6,Map_Register!$A$2:$C$5,3,FALSE()),""))</f>
        <v>Border Region</v>
      </c>
      <c r="E6" s="21" t="s">
        <v>14</v>
      </c>
      <c r="F6" s="21" t="s">
        <v>2541</v>
      </c>
      <c r="G6" s="21" t="s">
        <v>2549</v>
      </c>
      <c r="H6" s="21" t="s">
        <v>6</v>
      </c>
      <c r="I6" s="21"/>
      <c r="J6" s="21"/>
      <c r="K6" s="25" t="s">
        <v>2550</v>
      </c>
      <c r="L6" s="21"/>
      <c r="M6" s="21"/>
      <c r="N6" s="21"/>
      <c r="O6" s="21" t="s">
        <v>2551</v>
      </c>
    </row>
    <row r="7" spans="1:15" x14ac:dyDescent="0.3">
      <c r="A7" s="20">
        <f t="shared" si="0"/>
        <v>6</v>
      </c>
      <c r="B7" s="21" t="s">
        <v>87</v>
      </c>
      <c r="C7" s="21" t="s">
        <v>86</v>
      </c>
      <c r="D7" s="22" t="str">
        <f>IF($C7="","",IFERROR(VLOOKUP($C7,Map_Register!$A$2:$C$5,3,FALSE()),""))</f>
        <v>Border Region</v>
      </c>
      <c r="E7" s="21" t="s">
        <v>14</v>
      </c>
      <c r="F7" s="21" t="s">
        <v>2537</v>
      </c>
      <c r="G7" s="20" t="s">
        <v>2552</v>
      </c>
      <c r="H7" s="20" t="s">
        <v>8</v>
      </c>
      <c r="I7" s="21" t="s">
        <v>562</v>
      </c>
      <c r="J7" s="21" t="s">
        <v>108</v>
      </c>
      <c r="K7" s="20" t="s">
        <v>2539</v>
      </c>
      <c r="L7" s="21" t="s">
        <v>107</v>
      </c>
      <c r="M7" s="21"/>
      <c r="N7" s="21"/>
      <c r="O7" s="24" t="s">
        <v>2553</v>
      </c>
    </row>
    <row r="8" spans="1:15" x14ac:dyDescent="0.3">
      <c r="A8" s="20">
        <f t="shared" si="0"/>
        <v>7</v>
      </c>
      <c r="B8" s="21" t="s">
        <v>87</v>
      </c>
      <c r="C8" s="21" t="s">
        <v>91</v>
      </c>
      <c r="D8" s="22" t="str">
        <f>IF($C8="","",IFERROR(VLOOKUP($C8,Map_Register!$A$2:$C$5,3,FALSE()),""))</f>
        <v>Cultural Heritage Area</v>
      </c>
      <c r="E8" s="21" t="s">
        <v>14</v>
      </c>
      <c r="F8" s="21" t="s">
        <v>2554</v>
      </c>
      <c r="G8" s="20" t="s">
        <v>2555</v>
      </c>
      <c r="H8" s="20" t="s">
        <v>6</v>
      </c>
      <c r="I8" s="21"/>
      <c r="J8" s="21"/>
      <c r="K8" s="20" t="s">
        <v>2556</v>
      </c>
      <c r="L8" s="21"/>
      <c r="M8" s="21"/>
      <c r="N8" s="21"/>
      <c r="O8" s="24" t="s">
        <v>2557</v>
      </c>
    </row>
    <row r="9" spans="1:15" x14ac:dyDescent="0.3">
      <c r="A9" s="20">
        <f t="shared" si="0"/>
        <v>8</v>
      </c>
      <c r="B9" s="21" t="s">
        <v>87</v>
      </c>
      <c r="C9" s="21" t="s">
        <v>91</v>
      </c>
      <c r="D9" s="22" t="str">
        <f>IF($C9="","",IFERROR(VLOOKUP($C9,Map_Register!$A$2:$C$5,3,FALSE()),""))</f>
        <v>Cultural Heritage Area</v>
      </c>
      <c r="E9" s="21" t="s">
        <v>14</v>
      </c>
      <c r="F9" s="21" t="s">
        <v>2558</v>
      </c>
      <c r="G9" s="20" t="s">
        <v>2559</v>
      </c>
      <c r="H9" s="20" t="s">
        <v>8</v>
      </c>
      <c r="I9" s="21" t="s">
        <v>562</v>
      </c>
      <c r="J9" s="21" t="s">
        <v>108</v>
      </c>
      <c r="K9" s="20" t="s">
        <v>2560</v>
      </c>
      <c r="L9" s="21" t="s">
        <v>107</v>
      </c>
      <c r="M9" s="21"/>
      <c r="N9" s="21"/>
      <c r="O9" s="24" t="s">
        <v>2561</v>
      </c>
    </row>
    <row r="10" spans="1:15" x14ac:dyDescent="0.3">
      <c r="A10" s="20"/>
      <c r="B10" s="21"/>
      <c r="C10" s="21"/>
      <c r="D10" s="22" t="str">
        <f>IF($C10="","",IFERROR(VLOOKUP($C10,Map_Register!$A$2:$C$5,3,FALSE()),""))</f>
        <v/>
      </c>
      <c r="E10" s="21"/>
      <c r="F10" s="21"/>
      <c r="G10" s="20"/>
      <c r="H10" s="20"/>
      <c r="I10" s="20"/>
      <c r="J10" s="20"/>
      <c r="K10" s="20"/>
      <c r="L10" s="21"/>
      <c r="M10" s="21"/>
      <c r="N10" s="21"/>
      <c r="O10" s="21"/>
    </row>
    <row r="11" spans="1:15" x14ac:dyDescent="0.3">
      <c r="A11" s="20"/>
      <c r="B11" s="21"/>
      <c r="C11" s="21"/>
      <c r="D11" s="22" t="str">
        <f>IF($C11="","",IFERROR(VLOOKUP($C11,Map_Register!$A$2:$C$5,3,FALSE()),""))</f>
        <v/>
      </c>
      <c r="E11" s="21"/>
      <c r="F11" s="21"/>
      <c r="G11" s="20"/>
      <c r="H11" s="20"/>
      <c r="I11" s="20"/>
      <c r="J11" s="20"/>
      <c r="K11" s="20"/>
      <c r="L11" s="21"/>
      <c r="M11" s="21"/>
      <c r="N11" s="21"/>
      <c r="O11" s="21"/>
    </row>
    <row r="12" spans="1:15" x14ac:dyDescent="0.3">
      <c r="A12" s="20"/>
      <c r="B12" s="21"/>
      <c r="C12" s="21"/>
      <c r="D12" s="22" t="str">
        <f>IF($C12="","",IFERROR(VLOOKUP($C12,Map_Register!$A$2:$C$5,3,FALSE()),""))</f>
        <v/>
      </c>
      <c r="E12" s="21"/>
      <c r="F12" s="21"/>
      <c r="G12" s="20"/>
      <c r="H12" s="20"/>
      <c r="I12" s="20"/>
      <c r="J12" s="20"/>
      <c r="K12" s="20"/>
      <c r="L12" s="21"/>
      <c r="M12" s="21"/>
      <c r="N12" s="21"/>
      <c r="O12" s="21"/>
    </row>
    <row r="13" spans="1:15" x14ac:dyDescent="0.3">
      <c r="A13" s="20"/>
      <c r="B13" s="21"/>
      <c r="C13" s="21"/>
      <c r="D13" s="22" t="str">
        <f>IF($C13="","",IFERROR(VLOOKUP($C13,Map_Register!$A$2:$C$5,3,FALSE()),""))</f>
        <v/>
      </c>
      <c r="E13" s="21"/>
      <c r="F13" s="21"/>
      <c r="G13" s="20"/>
      <c r="H13" s="20"/>
      <c r="I13" s="20"/>
      <c r="J13" s="20"/>
      <c r="K13" s="20"/>
      <c r="L13" s="21"/>
      <c r="M13" s="21"/>
      <c r="N13" s="21"/>
      <c r="O13" s="21"/>
    </row>
    <row r="14" spans="1:15" x14ac:dyDescent="0.3">
      <c r="A14" s="20"/>
      <c r="B14" s="21"/>
      <c r="C14" s="21"/>
      <c r="D14" s="22" t="str">
        <f>IF($C14="","",IFERROR(VLOOKUP($C14,Map_Register!$A$2:$C$5,3,FALSE()),""))</f>
        <v/>
      </c>
      <c r="E14" s="21"/>
      <c r="F14" s="21"/>
      <c r="G14" s="20"/>
      <c r="H14" s="20"/>
      <c r="I14" s="20"/>
      <c r="J14" s="20"/>
      <c r="K14" s="20"/>
      <c r="L14" s="21"/>
      <c r="M14" s="21"/>
      <c r="N14" s="21"/>
      <c r="O14" s="21"/>
    </row>
    <row r="15" spans="1:15" x14ac:dyDescent="0.3">
      <c r="A15" s="20"/>
      <c r="B15" s="21"/>
      <c r="C15" s="21"/>
      <c r="D15" s="22" t="str">
        <f>IF($C15="","",IFERROR(VLOOKUP($C15,Map_Register!$A$2:$C$5,3,FALSE()),""))</f>
        <v/>
      </c>
      <c r="E15" s="21"/>
      <c r="F15" s="21"/>
      <c r="G15" s="20"/>
      <c r="H15" s="20"/>
      <c r="I15" s="20"/>
      <c r="J15" s="20"/>
      <c r="K15" s="20"/>
      <c r="L15" s="21"/>
      <c r="M15" s="21"/>
      <c r="N15" s="21"/>
      <c r="O15" s="21"/>
    </row>
    <row r="16" spans="1:15" x14ac:dyDescent="0.3">
      <c r="A16" s="20"/>
      <c r="B16" s="21"/>
      <c r="C16" s="21"/>
      <c r="D16" s="22" t="str">
        <f>IF($C16="","",IFERROR(VLOOKUP($C16,Map_Register!$A$2:$C$5,3,FALSE()),""))</f>
        <v/>
      </c>
      <c r="E16" s="21"/>
      <c r="G16" s="20"/>
      <c r="H16" s="20"/>
      <c r="I16" s="20"/>
      <c r="J16" s="20"/>
      <c r="K16" s="20"/>
      <c r="L16" s="21"/>
      <c r="M16" s="21"/>
      <c r="N16" s="21"/>
      <c r="O16" s="21"/>
    </row>
    <row r="17" spans="1:15" x14ac:dyDescent="0.3">
      <c r="A17" s="20"/>
      <c r="B17" s="21"/>
      <c r="C17" s="21"/>
      <c r="D17" s="22" t="str">
        <f>IF($C17="","",IFERROR(VLOOKUP($C17,Map_Register!$A$2:$C$5,3,FALSE()),""))</f>
        <v/>
      </c>
      <c r="E17" s="21"/>
      <c r="G17" s="20"/>
      <c r="H17" s="20"/>
      <c r="I17" s="20"/>
      <c r="J17" s="20"/>
      <c r="K17" s="20"/>
      <c r="L17" s="21"/>
      <c r="M17" s="21"/>
      <c r="N17" s="21"/>
      <c r="O17" s="21"/>
    </row>
    <row r="18" spans="1:15" x14ac:dyDescent="0.3">
      <c r="A18" s="20"/>
      <c r="B18" s="21"/>
      <c r="C18" s="21"/>
      <c r="D18" s="22" t="str">
        <f>IF($C18="","",IFERROR(VLOOKUP($C18,Map_Register!$A$2:$C$5,3,FALSE()),""))</f>
        <v/>
      </c>
      <c r="E18" s="21"/>
      <c r="F18" s="21"/>
      <c r="G18" s="20"/>
      <c r="H18" s="20"/>
      <c r="I18" s="20"/>
      <c r="J18" s="20"/>
      <c r="K18" s="20"/>
      <c r="L18" s="21"/>
      <c r="M18" s="21"/>
      <c r="N18" s="21"/>
      <c r="O18" s="21"/>
    </row>
    <row r="19" spans="1:15" x14ac:dyDescent="0.3">
      <c r="A19" s="20"/>
      <c r="B19" s="21"/>
      <c r="C19" s="21"/>
      <c r="D19" s="22" t="str">
        <f>IF($C19="","",IFERROR(VLOOKUP($C19,Map_Register!$A$2:$C$5,3,FALSE()),""))</f>
        <v/>
      </c>
      <c r="E19" s="21"/>
      <c r="G19" s="20"/>
      <c r="H19" s="20"/>
      <c r="I19" s="20"/>
      <c r="J19" s="20"/>
      <c r="K19" s="20"/>
      <c r="L19" s="21"/>
      <c r="M19" s="21"/>
      <c r="N19" s="21"/>
      <c r="O19" s="21"/>
    </row>
    <row r="20" spans="1:15" x14ac:dyDescent="0.3">
      <c r="A20" s="20"/>
      <c r="B20" s="21"/>
      <c r="C20" s="21"/>
      <c r="D20" s="22" t="str">
        <f>IF($C20="","",IFERROR(VLOOKUP($C20,Map_Register!$A$2:$C$5,3,FALSE()),""))</f>
        <v/>
      </c>
      <c r="E20" s="21"/>
      <c r="G20" s="20"/>
      <c r="H20" s="20"/>
      <c r="I20" s="20"/>
      <c r="J20" s="20"/>
      <c r="K20" s="20"/>
      <c r="L20" s="21"/>
      <c r="M20" s="21"/>
      <c r="N20" s="21"/>
      <c r="O20" s="21"/>
    </row>
    <row r="21" spans="1:15" x14ac:dyDescent="0.3">
      <c r="A21" s="20"/>
      <c r="B21" s="21"/>
      <c r="C21" s="21"/>
      <c r="D21" s="22" t="str">
        <f>IF($C21="","",IFERROR(VLOOKUP($C21,Map_Register!$A$2:$C$5,3,FALSE()),""))</f>
        <v/>
      </c>
      <c r="E21" s="21"/>
      <c r="G21" s="20"/>
      <c r="H21" s="20"/>
      <c r="I21" s="20"/>
      <c r="J21" s="20"/>
      <c r="K21" s="20"/>
      <c r="L21" s="21"/>
      <c r="M21" s="21"/>
      <c r="N21" s="21"/>
      <c r="O21" s="21"/>
    </row>
    <row r="22" spans="1:15" x14ac:dyDescent="0.3">
      <c r="A22" s="20"/>
      <c r="B22" s="21"/>
      <c r="C22" s="21"/>
      <c r="D22" s="22" t="str">
        <f>IF($C22="","",IFERROR(VLOOKUP($C22,Map_Register!$A$2:$C$5,3,FALSE()),""))</f>
        <v/>
      </c>
      <c r="E22" s="21"/>
      <c r="G22" s="20"/>
      <c r="H22" s="20"/>
      <c r="I22" s="20"/>
      <c r="J22" s="20"/>
      <c r="K22" s="20"/>
      <c r="L22" s="21"/>
      <c r="M22" s="21"/>
      <c r="N22" s="21"/>
      <c r="O22" s="21"/>
    </row>
    <row r="23" spans="1:15" x14ac:dyDescent="0.3">
      <c r="A23" s="20"/>
      <c r="B23" s="21"/>
      <c r="C23" s="21"/>
      <c r="D23" s="22" t="str">
        <f>IF($C23="","",IFERROR(VLOOKUP($C23,Map_Register!$A$2:$C$5,3,FALSE()),""))</f>
        <v/>
      </c>
      <c r="E23" s="21"/>
      <c r="F23" s="21"/>
      <c r="G23" s="20"/>
      <c r="H23" s="20"/>
      <c r="I23" s="20"/>
      <c r="J23" s="20"/>
      <c r="K23" s="20"/>
      <c r="L23" s="21"/>
      <c r="M23" s="21"/>
      <c r="N23" s="21"/>
      <c r="O23" s="21"/>
    </row>
    <row r="24" spans="1:15" x14ac:dyDescent="0.3">
      <c r="A24" s="20"/>
      <c r="B24" s="21"/>
      <c r="C24" s="21"/>
      <c r="D24" s="22" t="str">
        <f>IF($C24="","",IFERROR(VLOOKUP($C24,Map_Register!$A$2:$C$5,3,FALSE()),""))</f>
        <v/>
      </c>
      <c r="E24" s="21"/>
      <c r="G24" s="20"/>
      <c r="H24" s="20"/>
      <c r="I24" s="20"/>
      <c r="J24" s="20"/>
      <c r="K24" s="20"/>
      <c r="L24" s="21"/>
      <c r="M24" s="21"/>
      <c r="N24" s="21"/>
      <c r="O24" s="21"/>
    </row>
    <row r="25" spans="1:15" x14ac:dyDescent="0.3">
      <c r="A25" s="20"/>
      <c r="B25" s="21"/>
      <c r="C25" s="21"/>
      <c r="D25" s="22" t="str">
        <f>IF($C25="","",IFERROR(VLOOKUP($C25,Map_Register!$A$2:$C$5,3,FALSE()),""))</f>
        <v/>
      </c>
      <c r="E25" s="21"/>
      <c r="G25" s="20"/>
      <c r="H25" s="20"/>
      <c r="I25" s="20"/>
      <c r="J25" s="20"/>
      <c r="K25" s="20"/>
      <c r="L25" s="21"/>
      <c r="M25" s="21"/>
      <c r="N25" s="21"/>
      <c r="O25" s="21"/>
    </row>
    <row r="26" spans="1:15" x14ac:dyDescent="0.3">
      <c r="A26" s="20"/>
      <c r="B26" s="21"/>
      <c r="C26" s="21"/>
      <c r="D26" s="22" t="str">
        <f>IF($C26="","",IFERROR(VLOOKUP($C26,Map_Register!$A$2:$C$5,3,FALSE()),""))</f>
        <v/>
      </c>
      <c r="E26" s="21"/>
      <c r="G26" s="20"/>
      <c r="H26" s="20"/>
      <c r="I26" s="20"/>
      <c r="J26" s="20"/>
      <c r="K26" s="20"/>
      <c r="L26" s="21"/>
      <c r="M26" s="21"/>
      <c r="N26" s="21"/>
      <c r="O26" s="21"/>
    </row>
    <row r="27" spans="1:15" x14ac:dyDescent="0.3">
      <c r="A27" s="20"/>
      <c r="B27" s="21"/>
      <c r="C27" s="21"/>
      <c r="D27" s="22"/>
      <c r="E27" s="21"/>
      <c r="F27" s="21"/>
      <c r="G27" s="20"/>
      <c r="H27" s="20"/>
      <c r="I27" s="20"/>
      <c r="J27" s="20"/>
      <c r="K27" s="20"/>
      <c r="L27" s="21"/>
      <c r="M27" s="21"/>
      <c r="N27" s="21"/>
      <c r="O27" s="21"/>
    </row>
    <row r="28" spans="1:15" x14ac:dyDescent="0.3">
      <c r="A28" s="20"/>
      <c r="B28" s="21"/>
      <c r="C28" s="21"/>
      <c r="D28" s="22"/>
      <c r="E28" s="21"/>
      <c r="F28" s="21"/>
      <c r="G28" s="20"/>
      <c r="H28" s="20"/>
      <c r="I28" s="20"/>
      <c r="J28" s="20"/>
      <c r="K28" s="20"/>
      <c r="L28" s="21"/>
      <c r="M28" s="21"/>
      <c r="N28" s="21"/>
      <c r="O28" s="21"/>
    </row>
    <row r="29" spans="1:15" x14ac:dyDescent="0.3">
      <c r="A29" s="20"/>
      <c r="B29" s="21"/>
      <c r="C29" s="21"/>
      <c r="D29" s="22"/>
      <c r="E29" s="21"/>
      <c r="G29" s="20"/>
      <c r="H29" s="20"/>
      <c r="I29" s="20"/>
      <c r="J29" s="20"/>
      <c r="K29" s="20"/>
      <c r="L29" s="21"/>
      <c r="M29" s="21"/>
      <c r="N29" s="21"/>
      <c r="O29" s="21"/>
    </row>
    <row r="30" spans="1:15" x14ac:dyDescent="0.3">
      <c r="A30" s="20"/>
      <c r="B30" s="21"/>
      <c r="C30" s="21"/>
      <c r="D30" s="22"/>
      <c r="E30" s="21"/>
      <c r="G30" s="20"/>
      <c r="H30" s="20"/>
      <c r="I30" s="20"/>
      <c r="J30" s="20"/>
      <c r="K30" s="20"/>
      <c r="L30" s="21"/>
      <c r="M30" s="21"/>
      <c r="N30" s="21"/>
      <c r="O30" s="21"/>
    </row>
    <row r="31" spans="1:15" x14ac:dyDescent="0.3">
      <c r="A31" s="20"/>
      <c r="B31" s="21"/>
      <c r="C31" s="21"/>
      <c r="D31" s="22"/>
      <c r="E31" s="21"/>
      <c r="G31" s="20"/>
      <c r="H31" s="20"/>
      <c r="I31" s="20"/>
      <c r="J31" s="20"/>
      <c r="K31" s="20"/>
      <c r="L31" s="21"/>
      <c r="M31" s="21"/>
      <c r="N31" s="21"/>
      <c r="O31" s="21"/>
    </row>
    <row r="32" spans="1:15" x14ac:dyDescent="0.3">
      <c r="A32" s="20"/>
      <c r="B32" s="21"/>
      <c r="C32" s="21"/>
      <c r="D32" s="22"/>
      <c r="E32" s="21"/>
      <c r="G32" s="20"/>
      <c r="H32" s="20"/>
      <c r="I32" s="20"/>
      <c r="J32" s="20"/>
      <c r="K32" s="20"/>
      <c r="L32" s="21"/>
      <c r="M32" s="21"/>
      <c r="N32" s="21"/>
      <c r="O32" s="21"/>
    </row>
    <row r="33" spans="1:15" x14ac:dyDescent="0.3">
      <c r="A33" s="20"/>
      <c r="B33" s="21"/>
      <c r="C33" s="21"/>
      <c r="D33" s="22"/>
      <c r="E33" s="21"/>
      <c r="G33" s="20"/>
      <c r="H33" s="20"/>
      <c r="I33" s="20"/>
      <c r="J33" s="20"/>
      <c r="K33" s="20"/>
      <c r="L33" s="21"/>
      <c r="M33" s="21"/>
      <c r="N33" s="21"/>
      <c r="O33" s="21"/>
    </row>
    <row r="34" spans="1:15" x14ac:dyDescent="0.3">
      <c r="A34" s="20"/>
      <c r="B34" s="21"/>
      <c r="C34" s="21"/>
      <c r="D34" s="22"/>
      <c r="E34" s="21"/>
      <c r="G34" s="20"/>
      <c r="H34" s="20"/>
      <c r="I34" s="20"/>
      <c r="J34" s="20"/>
      <c r="K34" s="20"/>
      <c r="L34" s="21"/>
      <c r="M34" s="21"/>
      <c r="N34" s="21"/>
      <c r="O34" s="21"/>
    </row>
    <row r="35" spans="1:15" x14ac:dyDescent="0.3">
      <c r="A35" s="20"/>
      <c r="B35" s="21"/>
      <c r="C35" s="21"/>
      <c r="D35" s="22"/>
      <c r="E35" s="21"/>
      <c r="G35" s="20"/>
      <c r="H35" s="20"/>
      <c r="I35" s="20"/>
      <c r="J35" s="20"/>
      <c r="K35" s="20"/>
      <c r="L35" s="21"/>
      <c r="M35" s="21"/>
      <c r="N35" s="21"/>
      <c r="O35" s="21"/>
    </row>
    <row r="36" spans="1:15" x14ac:dyDescent="0.3">
      <c r="A36" s="20"/>
      <c r="B36" s="21"/>
      <c r="C36" s="21"/>
      <c r="D36" s="22"/>
      <c r="E36" s="21"/>
      <c r="G36" s="20"/>
      <c r="H36" s="20"/>
      <c r="I36" s="20"/>
      <c r="J36" s="20"/>
      <c r="K36" s="20"/>
      <c r="L36" s="21"/>
      <c r="M36" s="21"/>
      <c r="N36" s="21"/>
      <c r="O36" s="21"/>
    </row>
    <row r="37" spans="1:15" x14ac:dyDescent="0.3">
      <c r="A37" s="20"/>
      <c r="B37" s="21"/>
      <c r="C37" s="21"/>
      <c r="D37" s="22"/>
      <c r="E37" s="21"/>
      <c r="G37" s="20"/>
      <c r="H37" s="20"/>
      <c r="I37" s="20"/>
      <c r="J37" s="20"/>
      <c r="K37" s="20"/>
      <c r="L37" s="21"/>
      <c r="M37" s="21"/>
      <c r="N37" s="21"/>
      <c r="O37" s="21"/>
    </row>
    <row r="38" spans="1:15" x14ac:dyDescent="0.3">
      <c r="A38" s="20"/>
      <c r="B38" s="21"/>
      <c r="C38" s="21"/>
      <c r="D38" s="22"/>
      <c r="E38" s="21"/>
      <c r="G38" s="20"/>
      <c r="H38" s="20"/>
      <c r="I38" s="20"/>
      <c r="J38" s="20"/>
      <c r="K38" s="20"/>
      <c r="L38" s="21"/>
      <c r="M38" s="21"/>
      <c r="N38" s="21"/>
      <c r="O38" s="21"/>
    </row>
    <row r="39" spans="1:15" x14ac:dyDescent="0.3">
      <c r="A39" s="20"/>
      <c r="B39" s="21"/>
      <c r="C39" s="21"/>
      <c r="D39" s="22"/>
      <c r="E39" s="21"/>
      <c r="G39" s="20"/>
      <c r="H39" s="20"/>
      <c r="I39" s="20"/>
      <c r="J39" s="20"/>
      <c r="K39" s="20"/>
      <c r="L39" s="21"/>
      <c r="M39" s="21"/>
      <c r="N39" s="21"/>
      <c r="O39" s="21"/>
    </row>
    <row r="40" spans="1:15" x14ac:dyDescent="0.3">
      <c r="A40" s="20"/>
      <c r="B40" s="21"/>
      <c r="C40" s="21"/>
      <c r="D40" s="22"/>
      <c r="E40" s="21"/>
      <c r="G40" s="20"/>
      <c r="H40" s="20"/>
      <c r="I40" s="20"/>
      <c r="J40" s="20"/>
      <c r="K40" s="20"/>
      <c r="L40" s="21"/>
      <c r="M40" s="21"/>
      <c r="N40" s="21"/>
      <c r="O40" s="21"/>
    </row>
    <row r="41" spans="1:15" x14ac:dyDescent="0.3">
      <c r="A41" s="20"/>
      <c r="B41" s="21"/>
      <c r="C41" s="21"/>
      <c r="D41" s="22"/>
      <c r="E41" s="21"/>
      <c r="F41" s="21"/>
      <c r="G41" s="20"/>
      <c r="H41" s="20"/>
      <c r="I41" s="20"/>
      <c r="J41" s="20"/>
      <c r="K41" s="20"/>
      <c r="L41" s="21"/>
      <c r="M41" s="21"/>
      <c r="N41" s="21"/>
      <c r="O41" s="21"/>
    </row>
    <row r="42" spans="1:15" x14ac:dyDescent="0.3">
      <c r="A42" s="20"/>
      <c r="B42" s="21"/>
      <c r="C42" s="21"/>
      <c r="D42" s="22"/>
      <c r="E42" s="21"/>
      <c r="G42" s="20"/>
      <c r="H42" s="20"/>
      <c r="I42" s="20"/>
      <c r="J42" s="20"/>
      <c r="K42" s="20"/>
      <c r="L42" s="21"/>
      <c r="M42" s="21"/>
      <c r="N42" s="21"/>
      <c r="O42" s="21"/>
    </row>
    <row r="43" spans="1:15" x14ac:dyDescent="0.3">
      <c r="A43" s="20"/>
      <c r="B43" s="21"/>
      <c r="C43" s="21"/>
      <c r="D43" s="22"/>
      <c r="E43" s="21"/>
      <c r="G43" s="20"/>
      <c r="H43" s="20"/>
      <c r="I43" s="20"/>
      <c r="J43" s="20"/>
      <c r="K43" s="20"/>
      <c r="L43" s="21"/>
      <c r="M43" s="21"/>
      <c r="N43" s="21"/>
      <c r="O43" s="21"/>
    </row>
    <row r="44" spans="1:15" x14ac:dyDescent="0.3">
      <c r="A44" s="20"/>
      <c r="B44" s="21"/>
      <c r="C44" s="21"/>
      <c r="D44" s="22"/>
      <c r="E44" s="21"/>
      <c r="G44" s="20"/>
      <c r="H44" s="20"/>
      <c r="I44" s="20"/>
      <c r="J44" s="20"/>
      <c r="K44" s="20"/>
      <c r="L44" s="21"/>
      <c r="M44" s="21"/>
      <c r="N44" s="21"/>
      <c r="O44" s="21"/>
    </row>
    <row r="45" spans="1:15" x14ac:dyDescent="0.3">
      <c r="A45" s="20"/>
      <c r="B45" s="21"/>
      <c r="C45" s="21"/>
      <c r="D45" s="22"/>
      <c r="E45" s="21"/>
      <c r="F45" s="21"/>
      <c r="G45" s="20"/>
      <c r="H45" s="20"/>
      <c r="I45" s="20"/>
      <c r="J45" s="20"/>
      <c r="K45" s="20"/>
      <c r="L45" s="21"/>
      <c r="M45" s="21"/>
      <c r="N45" s="21"/>
      <c r="O45" s="21"/>
    </row>
    <row r="46" spans="1:15" x14ac:dyDescent="0.3">
      <c r="A46" s="20"/>
      <c r="B46" s="21"/>
      <c r="C46" s="21"/>
      <c r="D46" s="22"/>
      <c r="E46" s="21"/>
      <c r="G46" s="20"/>
      <c r="H46" s="20"/>
      <c r="I46" s="20"/>
      <c r="J46" s="20"/>
      <c r="K46" s="20"/>
      <c r="L46" s="21"/>
      <c r="M46" s="21"/>
      <c r="N46" s="21"/>
      <c r="O46" s="21"/>
    </row>
    <row r="47" spans="1:15" x14ac:dyDescent="0.3">
      <c r="A47" s="20"/>
      <c r="B47" s="21"/>
      <c r="C47" s="21"/>
      <c r="D47" s="22"/>
      <c r="E47" s="21"/>
      <c r="G47" s="20"/>
      <c r="H47" s="20"/>
      <c r="I47" s="20"/>
      <c r="J47" s="20"/>
      <c r="K47" s="20"/>
      <c r="L47" s="21"/>
      <c r="M47" s="21"/>
      <c r="N47" s="21"/>
      <c r="O47" s="21"/>
    </row>
    <row r="48" spans="1:15" x14ac:dyDescent="0.3">
      <c r="A48" s="20"/>
      <c r="B48" s="21"/>
      <c r="C48" s="21"/>
      <c r="D48" s="22"/>
      <c r="E48" s="21"/>
      <c r="G48" s="20"/>
      <c r="H48" s="20"/>
      <c r="I48" s="20"/>
      <c r="J48" s="20"/>
      <c r="K48" s="20"/>
      <c r="L48" s="21"/>
      <c r="M48" s="21"/>
      <c r="N48" s="21"/>
      <c r="O48" s="21"/>
    </row>
    <row r="49" spans="1:15" x14ac:dyDescent="0.3">
      <c r="A49" s="20"/>
      <c r="B49" s="21"/>
      <c r="C49" s="21"/>
      <c r="D49" s="22"/>
      <c r="E49" s="21"/>
      <c r="G49" s="20"/>
      <c r="H49" s="20"/>
      <c r="I49" s="20"/>
      <c r="J49" s="20"/>
      <c r="K49" s="20"/>
      <c r="L49" s="21"/>
      <c r="M49" s="21"/>
      <c r="N49" s="21"/>
      <c r="O49" s="21"/>
    </row>
    <row r="50" spans="1:15" x14ac:dyDescent="0.3">
      <c r="A50" s="20"/>
      <c r="B50" s="21"/>
      <c r="C50" s="21"/>
      <c r="D50" s="22"/>
      <c r="E50" s="21"/>
      <c r="G50" s="20"/>
      <c r="H50" s="20"/>
      <c r="I50" s="20"/>
      <c r="J50" s="20"/>
      <c r="K50" s="20"/>
      <c r="L50" s="21"/>
      <c r="M50" s="21"/>
      <c r="N50" s="21"/>
      <c r="O50" s="21"/>
    </row>
    <row r="51" spans="1:15" x14ac:dyDescent="0.3">
      <c r="A51" s="20"/>
      <c r="B51" s="21"/>
      <c r="C51" s="21"/>
      <c r="D51" s="22"/>
      <c r="E51" s="21"/>
      <c r="G51" s="20"/>
      <c r="H51" s="20"/>
      <c r="I51" s="20"/>
      <c r="J51" s="20"/>
      <c r="K51" s="20"/>
      <c r="L51" s="21"/>
      <c r="M51" s="21"/>
      <c r="N51" s="21"/>
      <c r="O51" s="21"/>
    </row>
    <row r="52" spans="1:15" x14ac:dyDescent="0.3">
      <c r="A52" s="20"/>
      <c r="B52" s="21"/>
      <c r="C52" s="21"/>
      <c r="D52" s="22"/>
      <c r="E52" s="21"/>
      <c r="G52" s="20"/>
      <c r="H52" s="20"/>
      <c r="I52" s="20"/>
      <c r="J52" s="20"/>
      <c r="K52" s="20"/>
      <c r="L52" s="21"/>
      <c r="M52" s="21"/>
      <c r="N52" s="21"/>
      <c r="O52" s="21"/>
    </row>
    <row r="53" spans="1:15" x14ac:dyDescent="0.3">
      <c r="A53" s="20"/>
      <c r="B53" s="21"/>
      <c r="C53" s="21"/>
      <c r="D53" s="22"/>
      <c r="E53" s="21"/>
      <c r="G53" s="20"/>
      <c r="H53" s="20"/>
      <c r="I53" s="20"/>
      <c r="J53" s="20"/>
      <c r="K53" s="20"/>
      <c r="L53" s="21"/>
      <c r="M53" s="21"/>
      <c r="N53" s="21"/>
      <c r="O53" s="21"/>
    </row>
    <row r="54" spans="1:15" x14ac:dyDescent="0.3">
      <c r="A54" s="20"/>
      <c r="B54" s="21"/>
      <c r="C54" s="21"/>
      <c r="D54" s="22"/>
      <c r="E54" s="21"/>
      <c r="G54" s="20"/>
      <c r="H54" s="20"/>
      <c r="I54" s="20"/>
      <c r="J54" s="20"/>
      <c r="K54" s="20"/>
      <c r="L54" s="21"/>
      <c r="M54" s="21"/>
      <c r="N54" s="21"/>
      <c r="O54" s="21"/>
    </row>
    <row r="55" spans="1:15" x14ac:dyDescent="0.3">
      <c r="A55" s="20"/>
      <c r="B55" s="21"/>
      <c r="C55" s="21"/>
      <c r="D55" s="22"/>
      <c r="E55" s="21"/>
      <c r="G55" s="20"/>
      <c r="H55" s="20"/>
      <c r="I55" s="20"/>
      <c r="J55" s="20"/>
      <c r="K55" s="20"/>
      <c r="L55" s="21"/>
      <c r="M55" s="21"/>
      <c r="N55" s="21"/>
      <c r="O55" s="21"/>
    </row>
    <row r="56" spans="1:15" x14ac:dyDescent="0.3">
      <c r="A56" s="20"/>
      <c r="B56" s="21"/>
      <c r="C56" s="21"/>
      <c r="D56" s="22"/>
      <c r="E56" s="21"/>
      <c r="G56" s="20"/>
      <c r="H56" s="20"/>
      <c r="I56" s="20"/>
      <c r="J56" s="20"/>
      <c r="K56" s="20"/>
      <c r="L56" s="21"/>
      <c r="M56" s="21"/>
      <c r="N56" s="21"/>
      <c r="O56" s="21"/>
    </row>
    <row r="57" spans="1:15" x14ac:dyDescent="0.3">
      <c r="A57" s="20"/>
      <c r="B57" s="21"/>
      <c r="C57" s="21"/>
      <c r="D57" s="22"/>
      <c r="E57" s="21"/>
      <c r="G57" s="20"/>
      <c r="H57" s="20"/>
      <c r="I57" s="20"/>
      <c r="J57" s="20"/>
      <c r="K57" s="20"/>
      <c r="L57" s="21"/>
      <c r="M57" s="21"/>
      <c r="N57" s="21"/>
      <c r="O57" s="21"/>
    </row>
    <row r="58" spans="1:15" x14ac:dyDescent="0.3">
      <c r="A58" s="20"/>
      <c r="B58" s="21"/>
      <c r="C58" s="21"/>
      <c r="D58" s="22"/>
      <c r="E58" s="21"/>
      <c r="G58" s="20"/>
      <c r="H58" s="20"/>
      <c r="I58" s="20"/>
      <c r="J58" s="20"/>
      <c r="K58" s="20"/>
      <c r="L58" s="21"/>
      <c r="M58" s="21"/>
      <c r="N58" s="21"/>
      <c r="O58" s="21"/>
    </row>
    <row r="59" spans="1:15" x14ac:dyDescent="0.3">
      <c r="A59" s="20"/>
      <c r="B59" s="21"/>
      <c r="C59" s="21"/>
      <c r="D59" s="22"/>
      <c r="E59" s="21"/>
      <c r="F59" s="21"/>
      <c r="G59" s="20"/>
      <c r="H59" s="20"/>
      <c r="I59" s="20"/>
      <c r="J59" s="20"/>
      <c r="K59" s="20"/>
      <c r="L59" s="21"/>
      <c r="M59" s="21"/>
      <c r="N59" s="21"/>
      <c r="O59" s="21"/>
    </row>
    <row r="60" spans="1:15" x14ac:dyDescent="0.3">
      <c r="A60" s="20"/>
      <c r="B60" s="21"/>
      <c r="C60" s="21"/>
      <c r="D60" s="22"/>
      <c r="E60" s="21"/>
      <c r="G60" s="20"/>
      <c r="H60" s="20"/>
      <c r="I60" s="20"/>
      <c r="J60" s="20"/>
      <c r="K60" s="20"/>
      <c r="L60" s="21"/>
      <c r="M60" s="21"/>
      <c r="N60" s="21"/>
      <c r="O60" s="21"/>
    </row>
    <row r="61" spans="1:15" x14ac:dyDescent="0.3">
      <c r="A61" s="20"/>
      <c r="B61" s="21"/>
      <c r="C61" s="21"/>
      <c r="D61" s="22"/>
      <c r="E61" s="21"/>
      <c r="G61" s="20"/>
      <c r="H61" s="20"/>
      <c r="I61" s="20"/>
      <c r="J61" s="20"/>
      <c r="K61" s="20"/>
      <c r="L61" s="21"/>
      <c r="M61" s="21"/>
      <c r="N61" s="21"/>
      <c r="O61" s="21"/>
    </row>
    <row r="62" spans="1:15" x14ac:dyDescent="0.3">
      <c r="A62" s="20"/>
      <c r="B62" s="21"/>
      <c r="C62" s="21"/>
      <c r="D62" s="22"/>
      <c r="E62" s="21"/>
      <c r="G62" s="20"/>
      <c r="H62" s="20"/>
      <c r="I62" s="20"/>
      <c r="J62" s="20"/>
      <c r="K62" s="20"/>
      <c r="L62" s="21"/>
      <c r="M62" s="21"/>
      <c r="N62" s="21"/>
      <c r="O62" s="21"/>
    </row>
    <row r="63" spans="1:15" x14ac:dyDescent="0.3">
      <c r="A63" s="20"/>
      <c r="B63" s="21"/>
      <c r="C63" s="21"/>
      <c r="D63" s="22"/>
      <c r="E63" s="21"/>
      <c r="G63" s="20"/>
      <c r="H63" s="20"/>
      <c r="I63" s="20"/>
      <c r="J63" s="20"/>
      <c r="K63" s="20"/>
      <c r="L63" s="21"/>
      <c r="M63" s="21"/>
      <c r="N63" s="21"/>
      <c r="O63" s="21"/>
    </row>
    <row r="64" spans="1:15" x14ac:dyDescent="0.3">
      <c r="A64" s="20"/>
      <c r="B64" s="21"/>
      <c r="C64" s="21"/>
      <c r="D64" s="22"/>
      <c r="E64" s="21"/>
      <c r="G64" s="20"/>
      <c r="H64" s="20"/>
      <c r="I64" s="20"/>
      <c r="J64" s="20"/>
      <c r="K64" s="20"/>
      <c r="L64" s="21"/>
      <c r="M64" s="21"/>
      <c r="N64" s="21"/>
      <c r="O64" s="21"/>
    </row>
    <row r="65" spans="1:15" x14ac:dyDescent="0.3">
      <c r="A65" s="20"/>
      <c r="B65" s="21"/>
      <c r="C65" s="21"/>
      <c r="D65" s="22"/>
      <c r="E65" s="21"/>
      <c r="G65" s="20"/>
      <c r="H65" s="20"/>
      <c r="I65" s="20"/>
      <c r="J65" s="20"/>
      <c r="K65" s="20"/>
      <c r="L65" s="21"/>
      <c r="M65" s="21"/>
      <c r="N65" s="21"/>
      <c r="O65" s="21"/>
    </row>
    <row r="66" spans="1:15" x14ac:dyDescent="0.3">
      <c r="A66" s="20"/>
      <c r="B66" s="21"/>
      <c r="C66" s="21"/>
      <c r="D66" s="22"/>
      <c r="E66" s="21"/>
      <c r="F66" s="21"/>
      <c r="G66" s="20"/>
      <c r="H66" s="20"/>
      <c r="I66" s="20"/>
      <c r="J66" s="20"/>
      <c r="K66" s="20"/>
      <c r="L66" s="21"/>
      <c r="M66" s="21"/>
      <c r="N66" s="21"/>
      <c r="O66" s="21"/>
    </row>
    <row r="67" spans="1:15" x14ac:dyDescent="0.3">
      <c r="A67" s="20"/>
      <c r="B67" s="21"/>
      <c r="C67" s="21"/>
      <c r="D67" s="22"/>
      <c r="E67" s="21"/>
      <c r="G67" s="20"/>
      <c r="H67" s="20"/>
      <c r="I67" s="20"/>
      <c r="J67" s="20"/>
      <c r="K67" s="20"/>
      <c r="L67" s="21"/>
      <c r="M67" s="21"/>
      <c r="N67" s="21"/>
      <c r="O67" s="21"/>
    </row>
    <row r="68" spans="1:15" x14ac:dyDescent="0.3">
      <c r="A68" s="20"/>
      <c r="B68" s="21"/>
      <c r="C68" s="21"/>
      <c r="D68" s="22"/>
      <c r="E68" s="21"/>
      <c r="F68" s="21"/>
      <c r="G68" s="20"/>
      <c r="H68" s="20"/>
      <c r="I68" s="20"/>
      <c r="J68" s="20"/>
      <c r="K68" s="20"/>
      <c r="L68" s="21"/>
      <c r="M68" s="21"/>
      <c r="N68" s="21"/>
      <c r="O68" s="21"/>
    </row>
    <row r="69" spans="1:15" x14ac:dyDescent="0.3">
      <c r="A69" s="20"/>
      <c r="B69" s="21"/>
      <c r="C69" s="21"/>
      <c r="D69" s="22"/>
      <c r="E69" s="21"/>
      <c r="G69" s="20"/>
      <c r="H69" s="20"/>
      <c r="I69" s="20"/>
      <c r="J69" s="20"/>
      <c r="K69" s="20"/>
      <c r="L69" s="21"/>
      <c r="M69" s="21"/>
      <c r="N69" s="21"/>
      <c r="O69" s="21"/>
    </row>
    <row r="70" spans="1:15" x14ac:dyDescent="0.3">
      <c r="A70" s="20"/>
      <c r="B70" s="21"/>
      <c r="C70" s="21"/>
      <c r="D70" s="22"/>
      <c r="E70" s="21"/>
      <c r="G70" s="20"/>
      <c r="H70" s="20"/>
      <c r="I70" s="20"/>
      <c r="J70" s="20"/>
      <c r="K70" s="20"/>
      <c r="L70" s="21"/>
      <c r="M70" s="21"/>
      <c r="N70" s="21"/>
      <c r="O70" s="21"/>
    </row>
    <row r="71" spans="1:15" x14ac:dyDescent="0.3">
      <c r="A71" s="20"/>
      <c r="B71" s="21"/>
      <c r="C71" s="21"/>
      <c r="D71" s="22"/>
      <c r="E71" s="21"/>
      <c r="G71" s="20"/>
      <c r="H71" s="20"/>
      <c r="I71" s="20"/>
      <c r="J71" s="20"/>
      <c r="K71" s="20"/>
      <c r="L71" s="21"/>
      <c r="M71" s="21"/>
      <c r="N71" s="21"/>
      <c r="O71" s="21"/>
    </row>
    <row r="72" spans="1:15" x14ac:dyDescent="0.3">
      <c r="A72" s="20"/>
      <c r="B72" s="21"/>
      <c r="C72" s="21"/>
      <c r="D72" s="22"/>
      <c r="E72" s="21"/>
      <c r="G72" s="20"/>
      <c r="H72" s="20"/>
      <c r="I72" s="20"/>
      <c r="J72" s="20"/>
      <c r="K72" s="20"/>
      <c r="L72" s="21"/>
      <c r="M72" s="21"/>
      <c r="N72" s="21"/>
      <c r="O72" s="21"/>
    </row>
    <row r="73" spans="1:15" x14ac:dyDescent="0.3">
      <c r="A73" s="20"/>
      <c r="B73" s="21"/>
      <c r="C73" s="21"/>
      <c r="D73" s="22"/>
      <c r="E73" s="21"/>
      <c r="G73" s="20"/>
      <c r="H73" s="20"/>
      <c r="I73" s="20"/>
      <c r="J73" s="20"/>
      <c r="K73" s="20"/>
      <c r="L73" s="21"/>
      <c r="M73" s="21"/>
      <c r="N73" s="21"/>
      <c r="O73" s="21"/>
    </row>
    <row r="74" spans="1:15" x14ac:dyDescent="0.3">
      <c r="A74" s="20"/>
      <c r="B74" s="21"/>
      <c r="C74" s="21"/>
      <c r="D74" s="22"/>
      <c r="E74" s="21"/>
      <c r="G74" s="20"/>
      <c r="H74" s="20"/>
      <c r="I74" s="20"/>
      <c r="J74" s="20"/>
      <c r="K74" s="20"/>
      <c r="L74" s="21"/>
      <c r="M74" s="21"/>
      <c r="N74" s="21"/>
      <c r="O74" s="21"/>
    </row>
    <row r="75" spans="1:15" x14ac:dyDescent="0.3">
      <c r="A75" s="20"/>
      <c r="B75" s="21"/>
      <c r="C75" s="21"/>
      <c r="D75" s="22"/>
      <c r="E75" s="21"/>
      <c r="G75" s="20"/>
      <c r="H75" s="20"/>
      <c r="I75" s="20"/>
      <c r="J75" s="20"/>
      <c r="K75" s="20"/>
      <c r="L75" s="21"/>
      <c r="M75" s="21"/>
      <c r="N75" s="21"/>
      <c r="O75" s="21"/>
    </row>
    <row r="76" spans="1:15" x14ac:dyDescent="0.3">
      <c r="A76" s="20"/>
      <c r="B76" s="21"/>
      <c r="C76" s="21"/>
      <c r="D76" s="22"/>
      <c r="E76" s="21"/>
      <c r="G76" s="20"/>
      <c r="H76" s="20"/>
      <c r="I76" s="20"/>
      <c r="J76" s="20"/>
      <c r="K76" s="20"/>
      <c r="L76" s="21"/>
      <c r="M76" s="21"/>
      <c r="N76" s="21"/>
      <c r="O76" s="21"/>
    </row>
    <row r="77" spans="1:15" x14ac:dyDescent="0.3">
      <c r="A77" s="20"/>
      <c r="B77" s="21"/>
      <c r="C77" s="21"/>
      <c r="D77" s="22"/>
      <c r="E77" s="21"/>
      <c r="G77" s="20"/>
      <c r="H77" s="20"/>
      <c r="I77" s="20"/>
      <c r="J77" s="20"/>
      <c r="K77" s="20"/>
      <c r="L77" s="21"/>
      <c r="M77" s="21"/>
      <c r="N77" s="21"/>
      <c r="O77" s="21"/>
    </row>
    <row r="78" spans="1:15" x14ac:dyDescent="0.3">
      <c r="A78" s="20"/>
      <c r="B78" s="21"/>
      <c r="C78" s="21"/>
      <c r="D78" s="22"/>
      <c r="E78" s="21"/>
      <c r="G78" s="20"/>
      <c r="H78" s="20"/>
      <c r="I78" s="20"/>
      <c r="J78" s="20"/>
      <c r="K78" s="20"/>
      <c r="L78" s="21"/>
      <c r="M78" s="21"/>
      <c r="N78" s="21"/>
      <c r="O78" s="21"/>
    </row>
    <row r="79" spans="1:15" x14ac:dyDescent="0.3">
      <c r="A79" s="20"/>
      <c r="B79" s="21"/>
      <c r="C79" s="21"/>
      <c r="D79" s="22"/>
      <c r="E79" s="21"/>
      <c r="G79" s="20"/>
      <c r="H79" s="20"/>
      <c r="I79" s="20"/>
      <c r="J79" s="20"/>
      <c r="K79" s="20"/>
      <c r="L79" s="21"/>
      <c r="M79" s="21"/>
      <c r="N79" s="21"/>
      <c r="O79" s="21"/>
    </row>
    <row r="80" spans="1:15" x14ac:dyDescent="0.3">
      <c r="A80" s="20"/>
      <c r="B80" s="21"/>
      <c r="C80" s="21"/>
      <c r="D80" s="22"/>
      <c r="E80" s="21"/>
      <c r="G80" s="20"/>
      <c r="H80" s="20"/>
      <c r="I80" s="20"/>
      <c r="J80" s="20"/>
      <c r="K80" s="20"/>
      <c r="L80" s="21"/>
      <c r="M80" s="21"/>
      <c r="N80" s="21"/>
      <c r="O80" s="21"/>
    </row>
    <row r="81" spans="1:15" x14ac:dyDescent="0.3">
      <c r="A81" s="20"/>
      <c r="B81" s="21"/>
      <c r="C81" s="21"/>
      <c r="D81" s="22"/>
      <c r="E81" s="21"/>
      <c r="G81" s="20"/>
      <c r="H81" s="20"/>
      <c r="I81" s="20"/>
      <c r="J81" s="20"/>
      <c r="K81" s="20"/>
      <c r="L81" s="21"/>
      <c r="M81" s="21"/>
      <c r="N81" s="21"/>
      <c r="O81" s="21"/>
    </row>
    <row r="82" spans="1:15" x14ac:dyDescent="0.3">
      <c r="A82" s="20"/>
      <c r="B82" s="21"/>
      <c r="C82" s="21"/>
      <c r="D82" s="22"/>
      <c r="E82" s="21"/>
      <c r="G82" s="20"/>
      <c r="H82" s="20"/>
      <c r="I82" s="20"/>
      <c r="J82" s="20"/>
      <c r="K82" s="20"/>
      <c r="L82" s="21"/>
      <c r="M82" s="21"/>
      <c r="N82" s="21"/>
      <c r="O82" s="21"/>
    </row>
    <row r="83" spans="1:15" x14ac:dyDescent="0.3">
      <c r="A83" s="20"/>
      <c r="B83" s="21"/>
      <c r="C83" s="21"/>
      <c r="D83" s="22"/>
      <c r="E83" s="21"/>
      <c r="F83" s="21"/>
      <c r="G83" s="20"/>
      <c r="H83" s="20"/>
      <c r="I83" s="20"/>
      <c r="J83" s="20"/>
      <c r="K83" s="20"/>
      <c r="L83" s="21"/>
      <c r="M83" s="21"/>
      <c r="N83" s="21"/>
      <c r="O83" s="21"/>
    </row>
    <row r="84" spans="1:15" x14ac:dyDescent="0.3">
      <c r="A84" s="20"/>
      <c r="B84" s="21"/>
      <c r="C84" s="21"/>
      <c r="D84" s="22"/>
      <c r="E84" s="21"/>
      <c r="G84" s="20"/>
      <c r="H84" s="20"/>
      <c r="I84" s="20"/>
      <c r="J84" s="20"/>
      <c r="K84" s="20"/>
      <c r="L84" s="21"/>
      <c r="M84" s="21"/>
      <c r="N84" s="21"/>
      <c r="O84" s="21"/>
    </row>
    <row r="85" spans="1:15" x14ac:dyDescent="0.3">
      <c r="A85" s="20"/>
      <c r="B85" s="21"/>
      <c r="C85" s="21"/>
      <c r="D85" s="22"/>
      <c r="E85" s="21"/>
      <c r="G85" s="20"/>
      <c r="H85" s="20"/>
      <c r="I85" s="20"/>
      <c r="J85" s="20"/>
      <c r="K85" s="20"/>
      <c r="L85" s="21"/>
      <c r="M85" s="21"/>
      <c r="N85" s="21"/>
      <c r="O85" s="21"/>
    </row>
    <row r="86" spans="1:15" x14ac:dyDescent="0.3">
      <c r="A86" s="20"/>
      <c r="B86" s="21"/>
      <c r="C86" s="21"/>
      <c r="D86" s="22"/>
      <c r="E86" s="21"/>
      <c r="G86" s="20"/>
      <c r="H86" s="20"/>
      <c r="I86" s="20"/>
      <c r="J86" s="20"/>
      <c r="K86" s="20"/>
      <c r="L86" s="21"/>
      <c r="M86" s="21"/>
      <c r="N86" s="21"/>
      <c r="O86" s="21"/>
    </row>
    <row r="87" spans="1:15" x14ac:dyDescent="0.3">
      <c r="A87" s="20"/>
      <c r="B87" s="21"/>
      <c r="C87" s="21"/>
      <c r="D87" s="22"/>
      <c r="E87" s="21"/>
      <c r="G87" s="20"/>
      <c r="H87" s="20"/>
      <c r="I87" s="20"/>
      <c r="J87" s="20"/>
      <c r="K87" s="20"/>
      <c r="L87" s="21"/>
      <c r="M87" s="21"/>
      <c r="N87" s="21"/>
      <c r="O87" s="21"/>
    </row>
    <row r="88" spans="1:15" x14ac:dyDescent="0.3">
      <c r="A88" s="20"/>
      <c r="B88" s="21"/>
      <c r="C88" s="21"/>
      <c r="D88" s="22"/>
      <c r="E88" s="21"/>
      <c r="G88" s="20"/>
      <c r="H88" s="20"/>
      <c r="I88" s="20"/>
      <c r="J88" s="20"/>
      <c r="K88" s="20"/>
      <c r="L88" s="21"/>
      <c r="M88" s="21"/>
      <c r="N88" s="21"/>
      <c r="O88" s="21"/>
    </row>
    <row r="89" spans="1:15" x14ac:dyDescent="0.3">
      <c r="A89" s="20"/>
      <c r="B89" s="21"/>
      <c r="C89" s="21"/>
      <c r="D89" s="22"/>
      <c r="E89" s="21"/>
      <c r="G89" s="20"/>
      <c r="H89" s="20"/>
      <c r="I89" s="20"/>
      <c r="J89" s="20"/>
      <c r="K89" s="20"/>
      <c r="L89" s="21"/>
      <c r="M89" s="21"/>
      <c r="N89" s="21"/>
      <c r="O89" s="21"/>
    </row>
    <row r="90" spans="1:15" x14ac:dyDescent="0.3">
      <c r="A90" s="20"/>
      <c r="B90" s="21"/>
      <c r="C90" s="21"/>
      <c r="D90" s="22"/>
      <c r="E90" s="21"/>
      <c r="G90" s="20"/>
      <c r="H90" s="20"/>
      <c r="I90" s="20"/>
      <c r="J90" s="20"/>
      <c r="K90" s="20"/>
      <c r="L90" s="21"/>
      <c r="M90" s="21"/>
      <c r="N90" s="21"/>
      <c r="O90" s="21"/>
    </row>
    <row r="91" spans="1:15" x14ac:dyDescent="0.3">
      <c r="A91" s="20"/>
      <c r="B91" s="21"/>
      <c r="C91" s="21"/>
      <c r="D91" s="22"/>
      <c r="E91" s="21"/>
      <c r="G91" s="20"/>
      <c r="H91" s="20"/>
      <c r="I91" s="20"/>
      <c r="J91" s="20"/>
      <c r="K91" s="20"/>
      <c r="L91" s="21"/>
      <c r="M91" s="21"/>
      <c r="N91" s="21"/>
      <c r="O91" s="21"/>
    </row>
    <row r="92" spans="1:15" x14ac:dyDescent="0.3">
      <c r="A92" s="20"/>
      <c r="B92" s="21"/>
      <c r="C92" s="21"/>
      <c r="D92" s="22"/>
      <c r="E92" s="21"/>
      <c r="G92" s="20"/>
      <c r="H92" s="20"/>
      <c r="I92" s="20"/>
      <c r="J92" s="20"/>
      <c r="K92" s="20"/>
      <c r="L92" s="21"/>
      <c r="M92" s="21"/>
      <c r="N92" s="21"/>
      <c r="O92" s="21"/>
    </row>
    <row r="93" spans="1:15" x14ac:dyDescent="0.3">
      <c r="A93" s="20"/>
      <c r="B93" s="21"/>
      <c r="C93" s="21"/>
      <c r="D93" s="22"/>
      <c r="E93" s="21"/>
      <c r="G93" s="20"/>
      <c r="H93" s="20"/>
      <c r="I93" s="20"/>
      <c r="J93" s="20"/>
      <c r="K93" s="20"/>
      <c r="L93" s="21"/>
      <c r="M93" s="21"/>
      <c r="N93" s="21"/>
      <c r="O93" s="21"/>
    </row>
    <row r="94" spans="1:15" x14ac:dyDescent="0.3">
      <c r="A94" s="20"/>
      <c r="B94" s="21"/>
      <c r="C94" s="21"/>
      <c r="D94" s="22"/>
      <c r="E94" s="21"/>
      <c r="G94" s="20"/>
      <c r="H94" s="20"/>
      <c r="I94" s="20"/>
      <c r="J94" s="20"/>
      <c r="K94" s="20"/>
      <c r="L94" s="21"/>
      <c r="M94" s="21"/>
      <c r="N94" s="21"/>
      <c r="O94" s="21"/>
    </row>
    <row r="95" spans="1:15" x14ac:dyDescent="0.3">
      <c r="A95" s="20"/>
      <c r="B95" s="21"/>
      <c r="C95" s="21"/>
      <c r="D95" s="22"/>
      <c r="E95" s="21"/>
      <c r="G95" s="20"/>
      <c r="H95" s="20"/>
      <c r="I95" s="20"/>
      <c r="J95" s="20"/>
      <c r="K95" s="20"/>
      <c r="L95" s="21"/>
      <c r="M95" s="21"/>
      <c r="N95" s="21"/>
      <c r="O95" s="21"/>
    </row>
    <row r="96" spans="1:15" x14ac:dyDescent="0.3">
      <c r="A96" s="20"/>
      <c r="B96" s="21"/>
      <c r="C96" s="21"/>
      <c r="D96" s="22"/>
      <c r="E96" s="21"/>
      <c r="G96" s="20"/>
      <c r="H96" s="20"/>
      <c r="I96" s="20"/>
      <c r="J96" s="20"/>
      <c r="K96" s="20"/>
      <c r="L96" s="21"/>
      <c r="M96" s="21"/>
      <c r="N96" s="21"/>
      <c r="O96" s="21"/>
    </row>
    <row r="97" spans="1:15" x14ac:dyDescent="0.3">
      <c r="A97" s="20"/>
      <c r="B97" s="21"/>
      <c r="C97" s="21"/>
      <c r="D97" s="22"/>
      <c r="E97" s="21"/>
      <c r="F97" s="21"/>
      <c r="G97" s="20"/>
      <c r="H97" s="20"/>
      <c r="I97" s="20"/>
      <c r="J97" s="20"/>
      <c r="K97" s="20"/>
      <c r="L97" s="21"/>
      <c r="M97" s="21"/>
      <c r="N97" s="21"/>
      <c r="O97" s="21"/>
    </row>
    <row r="98" spans="1:15" x14ac:dyDescent="0.3">
      <c r="A98" s="20"/>
      <c r="B98" s="21"/>
      <c r="C98" s="21"/>
      <c r="D98" s="22"/>
      <c r="E98" s="21"/>
      <c r="G98" s="20"/>
      <c r="H98" s="20"/>
      <c r="I98" s="20"/>
      <c r="J98" s="20"/>
      <c r="K98" s="20"/>
      <c r="L98" s="21"/>
      <c r="M98" s="21"/>
      <c r="N98" s="21"/>
      <c r="O98" s="21"/>
    </row>
    <row r="99" spans="1:15" x14ac:dyDescent="0.3">
      <c r="A99" s="20"/>
      <c r="B99" s="21"/>
      <c r="C99" s="21"/>
      <c r="D99" s="22"/>
      <c r="E99" s="21"/>
      <c r="G99" s="20"/>
      <c r="H99" s="20"/>
      <c r="I99" s="20"/>
      <c r="J99" s="20"/>
      <c r="K99" s="20"/>
      <c r="L99" s="21"/>
      <c r="M99" s="21"/>
      <c r="N99" s="21"/>
      <c r="O99" s="21"/>
    </row>
    <row r="100" spans="1:15" x14ac:dyDescent="0.3">
      <c r="A100" s="20"/>
      <c r="B100" s="21"/>
      <c r="C100" s="21"/>
      <c r="D100" s="22"/>
      <c r="E100" s="21"/>
      <c r="F100" s="21"/>
      <c r="G100" s="20"/>
      <c r="H100" s="20"/>
      <c r="I100" s="20"/>
      <c r="J100" s="20"/>
      <c r="K100" s="20"/>
      <c r="L100" s="21"/>
      <c r="M100" s="21"/>
      <c r="N100" s="21"/>
      <c r="O100" s="21"/>
    </row>
    <row r="101" spans="1:15" x14ac:dyDescent="0.3">
      <c r="A101" s="20"/>
      <c r="B101" s="21"/>
      <c r="C101" s="21"/>
      <c r="D101" s="22"/>
      <c r="E101" s="21"/>
      <c r="G101" s="20"/>
      <c r="H101" s="20"/>
      <c r="I101" s="20"/>
      <c r="J101" s="20"/>
      <c r="K101" s="20"/>
      <c r="L101" s="21"/>
      <c r="M101" s="21"/>
      <c r="N101" s="21"/>
      <c r="O101" s="21"/>
    </row>
    <row r="102" spans="1:15" x14ac:dyDescent="0.3">
      <c r="A102" s="20"/>
      <c r="B102" s="21"/>
      <c r="C102" s="21"/>
      <c r="D102" s="22"/>
      <c r="E102" s="21"/>
      <c r="G102" s="20"/>
      <c r="H102" s="20"/>
      <c r="I102" s="20"/>
      <c r="J102" s="20"/>
      <c r="K102" s="20"/>
      <c r="L102" s="21"/>
      <c r="M102" s="21"/>
      <c r="N102" s="21"/>
      <c r="O102" s="21"/>
    </row>
    <row r="103" spans="1:15" x14ac:dyDescent="0.3">
      <c r="A103" s="20"/>
      <c r="B103" s="21"/>
      <c r="C103" s="21"/>
      <c r="D103" s="22"/>
      <c r="E103" s="21"/>
      <c r="G103" s="20"/>
      <c r="H103" s="20"/>
      <c r="I103" s="20"/>
      <c r="J103" s="20"/>
      <c r="K103" s="20"/>
      <c r="L103" s="21"/>
      <c r="M103" s="21"/>
      <c r="N103" s="21"/>
      <c r="O103" s="21"/>
    </row>
    <row r="104" spans="1:15" x14ac:dyDescent="0.3">
      <c r="A104" s="20"/>
      <c r="B104" s="21"/>
      <c r="C104" s="21"/>
      <c r="D104" s="22"/>
      <c r="E104" s="21"/>
      <c r="G104" s="20"/>
      <c r="H104" s="20"/>
      <c r="I104" s="20"/>
      <c r="J104" s="20"/>
      <c r="K104" s="20"/>
      <c r="L104" s="21"/>
      <c r="M104" s="21"/>
      <c r="N104" s="21"/>
      <c r="O104" s="21"/>
    </row>
    <row r="105" spans="1:15" x14ac:dyDescent="0.3">
      <c r="A105" s="20"/>
      <c r="B105" s="21"/>
      <c r="C105" s="21"/>
      <c r="D105" s="22"/>
      <c r="E105" s="21"/>
      <c r="G105" s="20"/>
      <c r="H105" s="20"/>
      <c r="I105" s="20"/>
      <c r="J105" s="20"/>
      <c r="K105" s="20"/>
      <c r="L105" s="21"/>
      <c r="M105" s="21"/>
      <c r="N105" s="21"/>
      <c r="O105" s="21"/>
    </row>
    <row r="106" spans="1:15" x14ac:dyDescent="0.3">
      <c r="A106" s="20"/>
      <c r="B106" s="21"/>
      <c r="C106" s="21"/>
      <c r="D106" s="22"/>
      <c r="E106" s="21"/>
      <c r="G106" s="20"/>
      <c r="H106" s="20"/>
      <c r="I106" s="20"/>
      <c r="J106" s="20"/>
      <c r="K106" s="20"/>
      <c r="L106" s="21"/>
      <c r="M106" s="21"/>
      <c r="N106" s="21"/>
      <c r="O106" s="21"/>
    </row>
    <row r="107" spans="1:15" x14ac:dyDescent="0.3">
      <c r="A107" s="20"/>
      <c r="B107" s="21"/>
      <c r="C107" s="21"/>
      <c r="D107" s="22"/>
      <c r="E107" s="21"/>
      <c r="G107" s="20"/>
      <c r="H107" s="20"/>
      <c r="I107" s="20"/>
      <c r="J107" s="20"/>
      <c r="K107" s="20"/>
      <c r="L107" s="21"/>
      <c r="M107" s="21"/>
      <c r="N107" s="21"/>
      <c r="O107" s="21"/>
    </row>
    <row r="108" spans="1:15" x14ac:dyDescent="0.3">
      <c r="A108" s="20"/>
      <c r="B108" s="21"/>
      <c r="C108" s="21"/>
      <c r="D108" s="22"/>
      <c r="E108" s="21"/>
      <c r="G108" s="20"/>
      <c r="H108" s="20"/>
      <c r="I108" s="20"/>
      <c r="J108" s="20"/>
      <c r="K108" s="20"/>
      <c r="L108" s="21"/>
      <c r="M108" s="21"/>
      <c r="N108" s="21"/>
      <c r="O108" s="21"/>
    </row>
    <row r="109" spans="1:15" x14ac:dyDescent="0.3">
      <c r="A109" s="20"/>
      <c r="B109" s="21"/>
      <c r="C109" s="21"/>
      <c r="D109" s="22"/>
      <c r="E109" s="21"/>
      <c r="G109" s="20"/>
      <c r="H109" s="20"/>
      <c r="I109" s="20"/>
      <c r="J109" s="20"/>
      <c r="K109" s="20"/>
      <c r="L109" s="21"/>
      <c r="M109" s="21"/>
      <c r="N109" s="21"/>
      <c r="O109" s="21"/>
    </row>
    <row r="110" spans="1:15" x14ac:dyDescent="0.3">
      <c r="A110" s="20"/>
      <c r="B110" s="21"/>
      <c r="C110" s="21"/>
      <c r="D110" s="22"/>
      <c r="E110" s="21"/>
      <c r="G110" s="20"/>
      <c r="H110" s="20"/>
      <c r="I110" s="20"/>
      <c r="J110" s="20"/>
      <c r="K110" s="20"/>
      <c r="L110" s="21"/>
      <c r="M110" s="21"/>
      <c r="N110" s="21"/>
      <c r="O110" s="21"/>
    </row>
    <row r="111" spans="1:15" x14ac:dyDescent="0.3">
      <c r="A111" s="20"/>
      <c r="B111" s="21"/>
      <c r="C111" s="21"/>
      <c r="D111" s="22"/>
      <c r="E111" s="21"/>
      <c r="F111" s="21"/>
      <c r="G111" s="20"/>
      <c r="H111" s="20"/>
      <c r="I111" s="20"/>
      <c r="J111" s="20"/>
      <c r="K111" s="20"/>
      <c r="L111" s="21"/>
      <c r="M111" s="21"/>
      <c r="N111" s="21"/>
      <c r="O111" s="21"/>
    </row>
    <row r="112" spans="1:15" x14ac:dyDescent="0.3">
      <c r="A112" s="20"/>
      <c r="B112" s="21"/>
      <c r="C112" s="21"/>
      <c r="D112" s="22"/>
      <c r="E112" s="21"/>
      <c r="G112" s="20"/>
      <c r="H112" s="20"/>
      <c r="I112" s="20"/>
      <c r="J112" s="20"/>
      <c r="K112" s="20"/>
      <c r="L112" s="21"/>
      <c r="M112" s="21"/>
      <c r="N112" s="21"/>
      <c r="O112" s="21"/>
    </row>
    <row r="113" spans="1:15" x14ac:dyDescent="0.3">
      <c r="A113" s="20"/>
      <c r="B113" s="21"/>
      <c r="C113" s="21"/>
      <c r="D113" s="22"/>
      <c r="E113" s="21"/>
      <c r="G113" s="20"/>
      <c r="H113" s="20"/>
      <c r="I113" s="20"/>
      <c r="J113" s="20"/>
      <c r="K113" s="20"/>
      <c r="L113" s="21"/>
      <c r="M113" s="21"/>
      <c r="N113" s="21"/>
      <c r="O113" s="21"/>
    </row>
    <row r="114" spans="1:15" x14ac:dyDescent="0.3">
      <c r="A114" s="20"/>
      <c r="B114" s="21"/>
      <c r="C114" s="21"/>
      <c r="D114" s="22"/>
      <c r="E114" s="21"/>
      <c r="G114" s="20"/>
      <c r="H114" s="20"/>
      <c r="I114" s="20"/>
      <c r="J114" s="20"/>
      <c r="K114" s="20"/>
      <c r="L114" s="21"/>
      <c r="M114" s="21"/>
      <c r="N114" s="21"/>
      <c r="O114" s="21"/>
    </row>
    <row r="115" spans="1:15" x14ac:dyDescent="0.3">
      <c r="A115" s="20"/>
      <c r="B115" s="21"/>
      <c r="C115" s="21"/>
      <c r="D115" s="22"/>
      <c r="E115" s="21"/>
      <c r="G115" s="20"/>
      <c r="H115" s="20"/>
      <c r="I115" s="20"/>
      <c r="J115" s="20"/>
      <c r="K115" s="20"/>
      <c r="L115" s="21"/>
      <c r="M115" s="21"/>
      <c r="N115" s="21"/>
      <c r="O115" s="21"/>
    </row>
    <row r="116" spans="1:15" x14ac:dyDescent="0.3">
      <c r="A116" s="20"/>
      <c r="B116" s="21"/>
      <c r="C116" s="21"/>
      <c r="D116" s="22"/>
      <c r="E116" s="21"/>
      <c r="G116" s="20"/>
      <c r="H116" s="20"/>
      <c r="I116" s="20"/>
      <c r="J116" s="20"/>
      <c r="K116" s="20"/>
      <c r="L116" s="21"/>
      <c r="M116" s="21"/>
      <c r="N116" s="21"/>
      <c r="O116" s="21"/>
    </row>
    <row r="117" spans="1:15" x14ac:dyDescent="0.3">
      <c r="A117" s="20"/>
      <c r="B117" s="21"/>
      <c r="C117" s="21"/>
      <c r="D117" s="22"/>
      <c r="E117" s="21"/>
      <c r="G117" s="20"/>
      <c r="H117" s="20"/>
      <c r="I117" s="20"/>
      <c r="J117" s="20"/>
      <c r="K117" s="20"/>
      <c r="L117" s="21"/>
      <c r="M117" s="21"/>
      <c r="N117" s="21"/>
      <c r="O117" s="21"/>
    </row>
    <row r="118" spans="1:15" x14ac:dyDescent="0.3">
      <c r="A118" s="20"/>
      <c r="B118" s="21"/>
      <c r="C118" s="21"/>
      <c r="D118" s="22"/>
      <c r="E118" s="21"/>
      <c r="G118" s="20"/>
      <c r="H118" s="20"/>
      <c r="I118" s="20"/>
      <c r="J118" s="20"/>
      <c r="K118" s="20"/>
      <c r="L118" s="21"/>
      <c r="M118" s="21"/>
      <c r="N118" s="21"/>
      <c r="O118" s="21"/>
    </row>
    <row r="119" spans="1:15" x14ac:dyDescent="0.3">
      <c r="A119" s="20"/>
      <c r="B119" s="21"/>
      <c r="C119" s="21"/>
      <c r="D119" s="22"/>
      <c r="E119" s="21"/>
      <c r="G119" s="20"/>
      <c r="H119" s="20"/>
      <c r="I119" s="20"/>
      <c r="J119" s="20"/>
      <c r="K119" s="20"/>
      <c r="L119" s="21"/>
      <c r="M119" s="21"/>
      <c r="N119" s="21"/>
      <c r="O119" s="21"/>
    </row>
    <row r="120" spans="1:15" x14ac:dyDescent="0.3">
      <c r="A120" s="20"/>
      <c r="B120" s="21"/>
      <c r="C120" s="21"/>
      <c r="D120" s="22"/>
      <c r="E120" s="21"/>
      <c r="G120" s="20"/>
      <c r="H120" s="20"/>
      <c r="I120" s="20"/>
      <c r="J120" s="20"/>
      <c r="K120" s="20"/>
      <c r="L120" s="21"/>
      <c r="M120" s="21"/>
      <c r="N120" s="21"/>
      <c r="O120" s="21"/>
    </row>
    <row r="121" spans="1:15" x14ac:dyDescent="0.3">
      <c r="A121" s="20"/>
      <c r="B121" s="21"/>
      <c r="C121" s="21"/>
      <c r="D121" s="22"/>
      <c r="E121" s="21"/>
      <c r="G121" s="20"/>
      <c r="H121" s="20"/>
      <c r="I121" s="20"/>
      <c r="J121" s="20"/>
      <c r="K121" s="20"/>
      <c r="L121" s="21"/>
      <c r="M121" s="21"/>
      <c r="N121" s="21"/>
      <c r="O121" s="21"/>
    </row>
    <row r="122" spans="1:15" x14ac:dyDescent="0.3">
      <c r="A122" s="20"/>
      <c r="B122" s="21"/>
      <c r="C122" s="21"/>
      <c r="D122" s="22"/>
      <c r="E122" s="21"/>
      <c r="G122" s="20"/>
      <c r="H122" s="20"/>
      <c r="I122" s="20"/>
      <c r="J122" s="20"/>
      <c r="K122" s="20"/>
      <c r="L122" s="21"/>
      <c r="M122" s="21"/>
      <c r="N122" s="21"/>
      <c r="O122" s="21"/>
    </row>
    <row r="123" spans="1:15" x14ac:dyDescent="0.3">
      <c r="A123" s="20"/>
      <c r="B123" s="21"/>
      <c r="C123" s="21"/>
      <c r="D123" s="22"/>
      <c r="E123" s="21"/>
      <c r="G123" s="20"/>
      <c r="H123" s="20"/>
      <c r="I123" s="20"/>
      <c r="J123" s="20"/>
      <c r="K123" s="20"/>
      <c r="L123" s="21"/>
      <c r="M123" s="21"/>
      <c r="N123" s="21"/>
      <c r="O123" s="21"/>
    </row>
    <row r="124" spans="1:15" x14ac:dyDescent="0.3">
      <c r="A124" s="20"/>
      <c r="B124" s="21"/>
      <c r="C124" s="21"/>
      <c r="D124" s="22"/>
      <c r="E124" s="21"/>
      <c r="G124" s="20"/>
      <c r="H124" s="20"/>
      <c r="I124" s="20"/>
      <c r="J124" s="20"/>
      <c r="K124" s="20"/>
      <c r="L124" s="21"/>
      <c r="M124" s="21"/>
      <c r="N124" s="21"/>
      <c r="O124" s="21"/>
    </row>
    <row r="125" spans="1:15" x14ac:dyDescent="0.3">
      <c r="A125" s="20"/>
      <c r="B125" s="21"/>
      <c r="C125" s="21"/>
      <c r="D125" s="22"/>
      <c r="E125" s="21"/>
      <c r="G125" s="20"/>
      <c r="H125" s="20"/>
      <c r="I125" s="20"/>
      <c r="J125" s="20"/>
      <c r="K125" s="20"/>
      <c r="L125" s="21"/>
      <c r="M125" s="21"/>
      <c r="N125" s="21"/>
      <c r="O125" s="21"/>
    </row>
    <row r="126" spans="1:15" x14ac:dyDescent="0.3">
      <c r="A126" s="20"/>
      <c r="B126" s="21"/>
      <c r="C126" s="21"/>
      <c r="D126" s="22"/>
      <c r="E126" s="21"/>
      <c r="G126" s="20"/>
      <c r="H126" s="20"/>
      <c r="I126" s="20"/>
      <c r="J126" s="20"/>
      <c r="K126" s="20"/>
      <c r="L126" s="21"/>
      <c r="M126" s="21"/>
      <c r="N126" s="21"/>
      <c r="O126" s="21"/>
    </row>
    <row r="127" spans="1:15" x14ac:dyDescent="0.3">
      <c r="A127" s="20"/>
      <c r="B127" s="21"/>
      <c r="C127" s="21"/>
      <c r="D127" s="22"/>
      <c r="E127" s="21"/>
      <c r="G127" s="20"/>
      <c r="H127" s="20"/>
      <c r="I127" s="20"/>
      <c r="J127" s="20"/>
      <c r="K127" s="20"/>
      <c r="L127" s="21"/>
      <c r="M127" s="21"/>
      <c r="N127" s="21"/>
      <c r="O127" s="21"/>
    </row>
    <row r="128" spans="1:15" x14ac:dyDescent="0.3">
      <c r="A128" s="20"/>
      <c r="B128" s="21"/>
      <c r="C128" s="21"/>
      <c r="D128" s="22"/>
      <c r="E128" s="21"/>
      <c r="G128" s="20"/>
      <c r="H128" s="20"/>
      <c r="I128" s="20"/>
      <c r="J128" s="20"/>
      <c r="K128" s="20"/>
      <c r="L128" s="21"/>
      <c r="M128" s="21"/>
      <c r="N128" s="21"/>
      <c r="O128" s="21"/>
    </row>
    <row r="129" spans="1:15" x14ac:dyDescent="0.3">
      <c r="A129" s="20"/>
      <c r="B129" s="21"/>
      <c r="C129" s="21"/>
      <c r="D129" s="22"/>
      <c r="E129" s="21"/>
      <c r="F129" s="21"/>
      <c r="G129" s="20"/>
      <c r="H129" s="20"/>
      <c r="I129" s="20"/>
      <c r="J129" s="20"/>
      <c r="K129" s="20"/>
      <c r="L129" s="21"/>
      <c r="M129" s="21"/>
      <c r="N129" s="21"/>
      <c r="O129" s="21"/>
    </row>
    <row r="130" spans="1:15" x14ac:dyDescent="0.3">
      <c r="A130" s="20"/>
      <c r="B130" s="21"/>
      <c r="C130" s="21"/>
      <c r="D130" s="22"/>
      <c r="E130" s="21"/>
      <c r="F130" s="21"/>
      <c r="G130" s="21"/>
      <c r="H130" s="21"/>
      <c r="I130" s="21"/>
      <c r="J130" s="21"/>
      <c r="K130" s="25"/>
      <c r="L130" s="21"/>
      <c r="M130" s="21"/>
      <c r="N130" s="21"/>
      <c r="O130" s="21"/>
    </row>
    <row r="131" spans="1:15" x14ac:dyDescent="0.3">
      <c r="A131" s="20"/>
      <c r="B131" s="21"/>
      <c r="C131" s="21"/>
      <c r="D131" s="22"/>
      <c r="E131" s="21"/>
      <c r="F131" s="21"/>
      <c r="G131" s="21"/>
      <c r="H131" s="21"/>
      <c r="I131" s="21"/>
      <c r="J131" s="21"/>
      <c r="K131" s="25"/>
      <c r="L131" s="21"/>
      <c r="M131" s="21"/>
      <c r="N131" s="21"/>
      <c r="O131" s="21"/>
    </row>
    <row r="132" spans="1:15" x14ac:dyDescent="0.3">
      <c r="A132" s="20"/>
      <c r="B132" s="21"/>
      <c r="C132" s="21"/>
      <c r="D132" s="22"/>
      <c r="E132" s="21"/>
      <c r="F132" s="21"/>
      <c r="G132" s="21"/>
      <c r="H132" s="21"/>
      <c r="I132" s="21"/>
      <c r="J132" s="21"/>
      <c r="K132" s="25"/>
      <c r="L132" s="21"/>
      <c r="M132" s="21"/>
      <c r="N132" s="21"/>
      <c r="O132" s="21"/>
    </row>
    <row r="133" spans="1:15" x14ac:dyDescent="0.3">
      <c r="A133" s="20"/>
      <c r="B133" s="21"/>
      <c r="C133" s="21"/>
      <c r="D133" s="22"/>
      <c r="E133" s="21"/>
      <c r="F133" s="21"/>
      <c r="G133" s="21"/>
      <c r="H133" s="21"/>
      <c r="I133" s="21"/>
      <c r="J133" s="21"/>
      <c r="K133" s="25"/>
      <c r="L133" s="21"/>
      <c r="M133" s="21"/>
      <c r="N133" s="21"/>
      <c r="O133" s="21"/>
    </row>
    <row r="134" spans="1:15" x14ac:dyDescent="0.3">
      <c r="A134" s="20"/>
      <c r="B134" s="21"/>
      <c r="C134" s="21"/>
      <c r="D134" s="22"/>
      <c r="E134" s="21"/>
      <c r="F134" s="21"/>
      <c r="G134" s="21"/>
      <c r="H134" s="21"/>
      <c r="I134" s="21"/>
      <c r="J134" s="21"/>
      <c r="K134" s="25"/>
      <c r="L134" s="21"/>
      <c r="M134" s="21"/>
      <c r="N134" s="21"/>
      <c r="O134" s="21"/>
    </row>
    <row r="135" spans="1:15" x14ac:dyDescent="0.3">
      <c r="A135" s="20"/>
      <c r="B135" s="21"/>
      <c r="C135" s="21"/>
      <c r="D135" s="22"/>
      <c r="E135" s="21"/>
      <c r="F135" s="21"/>
      <c r="G135" s="21"/>
      <c r="H135" s="21"/>
      <c r="I135" s="21"/>
      <c r="J135" s="21"/>
      <c r="K135" s="25"/>
      <c r="L135" s="21"/>
      <c r="M135" s="21"/>
      <c r="N135" s="21"/>
      <c r="O135" s="21"/>
    </row>
    <row r="136" spans="1:15" x14ac:dyDescent="0.3">
      <c r="A136" s="20"/>
      <c r="B136" s="21"/>
      <c r="C136" s="21"/>
      <c r="D136" s="22"/>
      <c r="E136" s="21"/>
      <c r="F136" s="21"/>
      <c r="G136" s="21"/>
      <c r="H136" s="21"/>
      <c r="I136" s="21"/>
      <c r="J136" s="21"/>
      <c r="K136" s="25"/>
      <c r="L136" s="21"/>
      <c r="M136" s="21"/>
      <c r="N136" s="21"/>
      <c r="O136" s="21"/>
    </row>
    <row r="137" spans="1:15" x14ac:dyDescent="0.3">
      <c r="A137" s="20"/>
      <c r="B137" s="21"/>
      <c r="C137" s="21"/>
      <c r="D137" s="22"/>
      <c r="E137" s="21"/>
      <c r="F137" s="21"/>
      <c r="G137" s="21"/>
      <c r="H137" s="21"/>
      <c r="I137" s="21"/>
      <c r="J137" s="21"/>
      <c r="K137" s="25"/>
      <c r="L137" s="21"/>
      <c r="M137" s="21"/>
      <c r="N137" s="21"/>
      <c r="O137" s="21"/>
    </row>
    <row r="138" spans="1:15" x14ac:dyDescent="0.3">
      <c r="A138" s="20"/>
      <c r="B138" s="21"/>
      <c r="C138" s="21"/>
      <c r="D138" s="22"/>
      <c r="E138" s="21"/>
      <c r="F138" s="21"/>
      <c r="G138" s="21"/>
      <c r="H138" s="21"/>
      <c r="I138" s="21"/>
      <c r="J138" s="21"/>
      <c r="K138" s="25"/>
      <c r="L138" s="21"/>
      <c r="M138" s="21"/>
      <c r="N138" s="21"/>
      <c r="O138" s="21"/>
    </row>
    <row r="139" spans="1:15" x14ac:dyDescent="0.3">
      <c r="A139" s="20"/>
      <c r="B139" s="21"/>
      <c r="C139" s="21"/>
      <c r="D139" s="22"/>
      <c r="E139" s="21"/>
      <c r="F139" s="21"/>
      <c r="G139" s="21"/>
      <c r="H139" s="21"/>
      <c r="I139" s="21"/>
      <c r="J139" s="21"/>
      <c r="K139" s="25"/>
      <c r="L139" s="21"/>
      <c r="M139" s="21"/>
      <c r="N139" s="21"/>
      <c r="O139" s="21"/>
    </row>
    <row r="140" spans="1:15" x14ac:dyDescent="0.3">
      <c r="A140" s="20"/>
      <c r="B140" s="21"/>
      <c r="C140" s="21"/>
      <c r="D140" s="22"/>
      <c r="E140" s="21"/>
      <c r="F140" s="21"/>
      <c r="G140" s="21"/>
      <c r="H140" s="21"/>
      <c r="I140" s="21"/>
      <c r="J140" s="21"/>
      <c r="K140" s="25"/>
      <c r="L140" s="21"/>
      <c r="M140" s="21"/>
      <c r="N140" s="21"/>
      <c r="O140" s="21"/>
    </row>
    <row r="141" spans="1:15" x14ac:dyDescent="0.3">
      <c r="A141" s="20"/>
      <c r="B141" s="21"/>
      <c r="C141" s="21"/>
      <c r="D141" s="22"/>
      <c r="E141" s="21"/>
      <c r="F141" s="21"/>
      <c r="G141" s="21"/>
      <c r="H141" s="21"/>
      <c r="I141" s="21"/>
      <c r="J141" s="21"/>
      <c r="K141" s="25"/>
      <c r="L141" s="21"/>
      <c r="M141" s="21"/>
      <c r="N141" s="21"/>
      <c r="O141" s="21"/>
    </row>
    <row r="142" spans="1:15" x14ac:dyDescent="0.3">
      <c r="A142" s="20"/>
      <c r="B142" s="21"/>
      <c r="C142" s="21"/>
      <c r="D142" s="22"/>
      <c r="E142" s="21"/>
      <c r="F142" s="21"/>
      <c r="G142" s="21"/>
      <c r="H142" s="21"/>
      <c r="I142" s="21"/>
      <c r="J142" s="21"/>
      <c r="K142" s="25"/>
      <c r="L142" s="21"/>
      <c r="M142" s="21"/>
      <c r="N142" s="21"/>
      <c r="O142" s="21"/>
    </row>
    <row r="143" spans="1:15" x14ac:dyDescent="0.3">
      <c r="A143" s="20"/>
      <c r="B143" s="21"/>
      <c r="C143" s="21"/>
      <c r="D143" s="22"/>
      <c r="E143" s="21"/>
      <c r="F143" s="21"/>
      <c r="G143" s="21"/>
      <c r="H143" s="21"/>
      <c r="I143" s="21"/>
      <c r="J143" s="21"/>
      <c r="K143" s="25"/>
      <c r="L143" s="21"/>
      <c r="M143" s="21"/>
      <c r="N143" s="21"/>
      <c r="O143" s="21"/>
    </row>
    <row r="144" spans="1:15" x14ac:dyDescent="0.3">
      <c r="A144" s="20"/>
      <c r="B144" s="21"/>
      <c r="C144" s="21"/>
      <c r="D144" s="22"/>
      <c r="E144" s="21"/>
      <c r="F144" s="21"/>
      <c r="G144" s="21"/>
      <c r="H144" s="21"/>
      <c r="I144" s="21"/>
      <c r="J144" s="21"/>
      <c r="K144" s="25"/>
      <c r="L144" s="21"/>
      <c r="M144" s="21"/>
      <c r="N144" s="21"/>
      <c r="O144" s="21"/>
    </row>
    <row r="145" spans="1:15" x14ac:dyDescent="0.3">
      <c r="A145" s="20"/>
      <c r="B145" s="21"/>
      <c r="C145" s="21"/>
      <c r="D145" s="22"/>
      <c r="E145" s="21"/>
      <c r="F145" s="21"/>
      <c r="G145" s="21"/>
      <c r="H145" s="21"/>
      <c r="I145" s="21"/>
      <c r="J145" s="21"/>
      <c r="K145" s="25"/>
      <c r="L145" s="21"/>
      <c r="M145" s="21"/>
      <c r="N145" s="21"/>
      <c r="O145" s="21"/>
    </row>
    <row r="146" spans="1:15" x14ac:dyDescent="0.3">
      <c r="A146" s="20"/>
      <c r="B146" s="21"/>
      <c r="C146" s="21"/>
      <c r="D146" s="22"/>
      <c r="E146" s="21"/>
      <c r="F146" s="21"/>
      <c r="G146" s="21"/>
      <c r="H146" s="21"/>
      <c r="I146" s="21"/>
      <c r="J146" s="21"/>
      <c r="K146" s="25"/>
      <c r="L146" s="21"/>
      <c r="M146" s="21"/>
      <c r="N146" s="21"/>
      <c r="O146" s="21"/>
    </row>
    <row r="147" spans="1:15" x14ac:dyDescent="0.3">
      <c r="A147" s="20"/>
      <c r="B147" s="21"/>
      <c r="C147" s="21"/>
      <c r="D147" s="22"/>
      <c r="E147" s="21"/>
      <c r="F147" s="21"/>
      <c r="G147" s="21"/>
      <c r="H147" s="21"/>
      <c r="I147" s="21"/>
      <c r="J147" s="21"/>
      <c r="K147" s="25"/>
      <c r="L147" s="21"/>
      <c r="M147" s="21"/>
      <c r="N147" s="21"/>
      <c r="O147" s="21"/>
    </row>
    <row r="148" spans="1:15" x14ac:dyDescent="0.3">
      <c r="A148" s="20"/>
      <c r="B148" s="21"/>
      <c r="C148" s="21"/>
      <c r="D148" s="22"/>
      <c r="E148" s="21"/>
      <c r="F148" s="21"/>
      <c r="G148" s="21"/>
      <c r="H148" s="21"/>
      <c r="I148" s="21"/>
      <c r="J148" s="21"/>
      <c r="K148" s="25"/>
      <c r="L148" s="21"/>
      <c r="M148" s="21"/>
      <c r="N148" s="21"/>
      <c r="O148" s="21"/>
    </row>
    <row r="149" spans="1:15" x14ac:dyDescent="0.3">
      <c r="A149" s="20"/>
      <c r="B149" s="21"/>
      <c r="C149" s="21"/>
      <c r="D149" s="22"/>
      <c r="E149" s="21"/>
      <c r="F149" s="21"/>
      <c r="G149" s="21"/>
      <c r="H149" s="21"/>
      <c r="I149" s="21"/>
      <c r="J149" s="21"/>
      <c r="K149" s="25"/>
      <c r="L149" s="21"/>
      <c r="M149" s="21"/>
      <c r="N149" s="21"/>
      <c r="O149" s="21"/>
    </row>
    <row r="150" spans="1:15" x14ac:dyDescent="0.3">
      <c r="A150" s="20"/>
      <c r="B150" s="21"/>
      <c r="C150" s="21"/>
      <c r="D150" s="22"/>
      <c r="E150" s="21"/>
      <c r="F150" s="21"/>
      <c r="G150" s="21"/>
      <c r="H150" s="21"/>
      <c r="I150" s="21"/>
      <c r="J150" s="21"/>
      <c r="K150" s="25"/>
      <c r="L150" s="21"/>
      <c r="M150" s="21"/>
      <c r="N150" s="21"/>
      <c r="O150" s="21"/>
    </row>
    <row r="151" spans="1:15" x14ac:dyDescent="0.3">
      <c r="A151" s="20"/>
      <c r="B151" s="21"/>
      <c r="C151" s="21"/>
      <c r="D151" s="22"/>
      <c r="E151" s="21"/>
      <c r="F151" s="21"/>
      <c r="G151" s="21"/>
      <c r="H151" s="21"/>
      <c r="I151" s="21"/>
      <c r="J151" s="21"/>
      <c r="K151" s="25"/>
      <c r="L151" s="21"/>
      <c r="M151" s="21"/>
      <c r="N151" s="21"/>
      <c r="O151" s="21"/>
    </row>
    <row r="152" spans="1:15" x14ac:dyDescent="0.3">
      <c r="A152" s="20"/>
      <c r="B152" s="21"/>
      <c r="C152" s="21"/>
      <c r="D152" s="22"/>
      <c r="E152" s="21"/>
      <c r="F152" s="21"/>
      <c r="G152" s="21"/>
      <c r="H152" s="21"/>
      <c r="I152" s="21"/>
      <c r="J152" s="21"/>
      <c r="K152" s="25"/>
      <c r="L152" s="21"/>
      <c r="M152" s="21"/>
      <c r="N152" s="21"/>
      <c r="O152" s="21"/>
    </row>
    <row r="153" spans="1:15" x14ac:dyDescent="0.3">
      <c r="A153" s="20"/>
      <c r="B153" s="21"/>
      <c r="C153" s="21"/>
      <c r="D153" s="22"/>
      <c r="E153" s="21"/>
      <c r="F153" s="21"/>
      <c r="G153" s="21"/>
      <c r="H153" s="21"/>
      <c r="I153" s="21"/>
      <c r="J153" s="21"/>
      <c r="K153" s="25"/>
      <c r="L153" s="21"/>
      <c r="M153" s="21"/>
      <c r="N153" s="21"/>
      <c r="O153" s="21"/>
    </row>
    <row r="154" spans="1:15" x14ac:dyDescent="0.3">
      <c r="A154" s="20"/>
      <c r="B154" s="21"/>
      <c r="C154" s="21"/>
      <c r="D154" s="22"/>
      <c r="E154" s="21"/>
      <c r="F154" s="21"/>
      <c r="G154" s="21"/>
      <c r="H154" s="21"/>
      <c r="I154" s="21"/>
      <c r="J154" s="21"/>
      <c r="K154" s="25"/>
      <c r="L154" s="21"/>
      <c r="M154" s="21"/>
      <c r="N154" s="21"/>
      <c r="O154" s="21"/>
    </row>
    <row r="155" spans="1:15" x14ac:dyDescent="0.3">
      <c r="A155" s="20"/>
      <c r="B155" s="21"/>
      <c r="C155" s="21"/>
      <c r="D155" s="22"/>
      <c r="E155" s="21"/>
      <c r="F155" s="21"/>
      <c r="G155" s="21"/>
      <c r="H155" s="21"/>
      <c r="I155" s="21"/>
      <c r="J155" s="21"/>
      <c r="K155" s="25"/>
      <c r="L155" s="21"/>
      <c r="M155" s="21"/>
      <c r="N155" s="21"/>
      <c r="O155" s="21"/>
    </row>
    <row r="156" spans="1:15" x14ac:dyDescent="0.3">
      <c r="A156" s="20"/>
      <c r="B156" s="21"/>
      <c r="C156" s="21"/>
      <c r="D156" s="22"/>
      <c r="E156" s="21"/>
      <c r="F156" s="21"/>
      <c r="G156" s="21"/>
      <c r="H156" s="21"/>
      <c r="I156" s="21"/>
      <c r="J156" s="21"/>
      <c r="K156" s="25"/>
      <c r="L156" s="21"/>
      <c r="M156" s="21"/>
      <c r="N156" s="21"/>
      <c r="O156" s="21"/>
    </row>
    <row r="157" spans="1:15" x14ac:dyDescent="0.3">
      <c r="A157" s="20"/>
      <c r="B157" s="21"/>
      <c r="C157" s="21"/>
      <c r="D157" s="22"/>
      <c r="E157" s="21"/>
      <c r="F157" s="21"/>
      <c r="G157" s="21"/>
      <c r="H157" s="21"/>
      <c r="I157" s="21"/>
      <c r="J157" s="21"/>
      <c r="K157" s="25"/>
      <c r="L157" s="21"/>
      <c r="M157" s="21"/>
      <c r="N157" s="21"/>
      <c r="O157" s="21"/>
    </row>
    <row r="158" spans="1:15" x14ac:dyDescent="0.3">
      <c r="A158" s="20"/>
      <c r="B158" s="21"/>
      <c r="C158" s="21"/>
      <c r="D158" s="22"/>
      <c r="E158" s="21"/>
      <c r="F158" s="21"/>
      <c r="G158" s="21"/>
      <c r="H158" s="21"/>
      <c r="I158" s="21"/>
      <c r="J158" s="21"/>
      <c r="K158" s="25"/>
      <c r="L158" s="21"/>
      <c r="M158" s="21"/>
      <c r="N158" s="21"/>
      <c r="O158" s="21"/>
    </row>
    <row r="159" spans="1:15" x14ac:dyDescent="0.3">
      <c r="A159" s="20"/>
      <c r="B159" s="21"/>
      <c r="C159" s="21"/>
      <c r="D159" s="22"/>
      <c r="E159" s="21"/>
      <c r="F159" s="21"/>
      <c r="G159" s="21"/>
      <c r="H159" s="21"/>
      <c r="I159" s="21"/>
      <c r="J159" s="21"/>
      <c r="K159" s="25"/>
      <c r="L159" s="21"/>
      <c r="M159" s="21"/>
      <c r="N159" s="21"/>
      <c r="O159" s="21"/>
    </row>
    <row r="160" spans="1:15" x14ac:dyDescent="0.3">
      <c r="A160" s="20"/>
      <c r="B160" s="21"/>
      <c r="C160" s="21"/>
      <c r="D160" s="22"/>
      <c r="E160" s="21"/>
      <c r="F160" s="21"/>
      <c r="G160" s="21"/>
      <c r="H160" s="21"/>
      <c r="I160" s="21"/>
      <c r="J160" s="21"/>
      <c r="K160" s="25"/>
      <c r="L160" s="21"/>
      <c r="M160" s="21"/>
      <c r="N160" s="21"/>
      <c r="O160" s="21"/>
    </row>
    <row r="161" spans="1:15" x14ac:dyDescent="0.3">
      <c r="A161" s="20"/>
      <c r="B161" s="21"/>
      <c r="C161" s="21"/>
      <c r="D161" s="22"/>
      <c r="E161" s="21"/>
      <c r="F161" s="21"/>
      <c r="G161" s="21"/>
      <c r="H161" s="21"/>
      <c r="I161" s="21"/>
      <c r="J161" s="21"/>
      <c r="K161" s="25"/>
      <c r="L161" s="21"/>
      <c r="M161" s="21"/>
      <c r="N161" s="21"/>
      <c r="O161" s="21"/>
    </row>
    <row r="162" spans="1:15" x14ac:dyDescent="0.3">
      <c r="A162" s="20"/>
      <c r="B162" s="21"/>
      <c r="C162" s="21"/>
      <c r="D162" s="22"/>
      <c r="E162" s="21"/>
      <c r="F162" s="21"/>
      <c r="G162" s="21"/>
      <c r="H162" s="21"/>
      <c r="I162" s="21"/>
      <c r="J162" s="21"/>
      <c r="K162" s="25"/>
      <c r="L162" s="21"/>
      <c r="M162" s="21"/>
      <c r="N162" s="21"/>
      <c r="O162" s="21"/>
    </row>
    <row r="163" spans="1:15" x14ac:dyDescent="0.3">
      <c r="A163" s="20"/>
      <c r="B163" s="21"/>
      <c r="C163" s="21"/>
      <c r="D163" s="22"/>
      <c r="E163" s="21"/>
      <c r="F163" s="21"/>
      <c r="G163" s="21"/>
      <c r="H163" s="21"/>
      <c r="I163" s="21"/>
      <c r="J163" s="21"/>
      <c r="K163" s="25"/>
      <c r="L163" s="21"/>
      <c r="M163" s="21"/>
      <c r="N163" s="21"/>
      <c r="O163" s="21"/>
    </row>
    <row r="164" spans="1:15" x14ac:dyDescent="0.3">
      <c r="A164" s="20"/>
      <c r="B164" s="21"/>
      <c r="C164" s="21"/>
      <c r="D164" s="22"/>
      <c r="E164" s="21"/>
      <c r="F164" s="21"/>
      <c r="G164" s="21"/>
      <c r="H164" s="21"/>
      <c r="I164" s="21"/>
      <c r="J164" s="21"/>
      <c r="K164" s="25"/>
      <c r="L164" s="21"/>
      <c r="M164" s="21"/>
      <c r="N164" s="21"/>
      <c r="O164" s="21"/>
    </row>
    <row r="165" spans="1:15" x14ac:dyDescent="0.3">
      <c r="A165" s="20"/>
      <c r="B165" s="21"/>
      <c r="C165" s="21"/>
      <c r="D165" s="22"/>
      <c r="E165" s="21"/>
      <c r="F165" s="21"/>
      <c r="G165" s="21"/>
      <c r="H165" s="21"/>
      <c r="I165" s="21"/>
      <c r="J165" s="21"/>
      <c r="K165" s="25"/>
      <c r="L165" s="21"/>
      <c r="M165" s="21"/>
      <c r="N165" s="21"/>
      <c r="O165" s="21"/>
    </row>
    <row r="166" spans="1:15" x14ac:dyDescent="0.3">
      <c r="A166" s="20"/>
      <c r="B166" s="21"/>
      <c r="C166" s="21"/>
      <c r="D166" s="22"/>
      <c r="E166" s="21"/>
      <c r="F166" s="21"/>
      <c r="G166" s="21"/>
      <c r="H166" s="21"/>
      <c r="I166" s="21"/>
      <c r="J166" s="21"/>
      <c r="K166" s="25"/>
      <c r="L166" s="21"/>
      <c r="M166" s="21"/>
      <c r="N166" s="21"/>
      <c r="O166" s="21"/>
    </row>
    <row r="167" spans="1:15" x14ac:dyDescent="0.3">
      <c r="A167" s="20"/>
      <c r="B167" s="21"/>
      <c r="C167" s="21"/>
      <c r="D167" s="22"/>
      <c r="E167" s="21"/>
      <c r="F167" s="21"/>
      <c r="G167" s="21"/>
      <c r="H167" s="21"/>
      <c r="I167" s="21"/>
      <c r="J167" s="21"/>
      <c r="K167" s="25"/>
      <c r="L167" s="21"/>
      <c r="M167" s="21"/>
      <c r="N167" s="21"/>
      <c r="O167" s="21"/>
    </row>
    <row r="168" spans="1:15" x14ac:dyDescent="0.3">
      <c r="A168" s="20"/>
      <c r="B168" s="21"/>
      <c r="C168" s="21"/>
      <c r="D168" s="22"/>
      <c r="E168" s="21"/>
      <c r="F168" s="21"/>
      <c r="G168" s="21"/>
      <c r="H168" s="21"/>
      <c r="I168" s="21"/>
      <c r="J168" s="21"/>
      <c r="K168" s="25"/>
      <c r="L168" s="21"/>
      <c r="M168" s="21"/>
      <c r="N168" s="21"/>
      <c r="O168" s="21"/>
    </row>
    <row r="169" spans="1:15" x14ac:dyDescent="0.3">
      <c r="A169" s="20"/>
      <c r="B169" s="21"/>
      <c r="C169" s="21"/>
      <c r="D169" s="22"/>
      <c r="E169" s="21"/>
      <c r="F169" s="21"/>
      <c r="G169" s="21"/>
      <c r="H169" s="21"/>
      <c r="I169" s="21"/>
      <c r="J169" s="21"/>
      <c r="K169" s="25"/>
      <c r="L169" s="21"/>
      <c r="M169" s="21"/>
      <c r="N169" s="21"/>
      <c r="O169" s="21"/>
    </row>
    <row r="170" spans="1:15" x14ac:dyDescent="0.3">
      <c r="A170" s="20"/>
      <c r="B170" s="21"/>
      <c r="C170" s="21"/>
      <c r="D170" s="22"/>
      <c r="E170" s="21"/>
      <c r="F170" s="21"/>
      <c r="G170" s="21"/>
      <c r="H170" s="21"/>
      <c r="I170" s="21"/>
      <c r="J170" s="21"/>
      <c r="K170" s="25"/>
      <c r="L170" s="21"/>
      <c r="M170" s="21"/>
      <c r="N170" s="21"/>
      <c r="O170" s="21"/>
    </row>
    <row r="171" spans="1:15" x14ac:dyDescent="0.3">
      <c r="A171" s="20"/>
      <c r="B171" s="21"/>
      <c r="C171" s="21"/>
      <c r="D171" s="22"/>
      <c r="E171" s="21"/>
      <c r="F171" s="21"/>
      <c r="G171" s="21"/>
      <c r="H171" s="21"/>
      <c r="I171" s="21"/>
      <c r="J171" s="21"/>
      <c r="K171" s="25"/>
      <c r="L171" s="21"/>
      <c r="M171" s="21"/>
      <c r="N171" s="21"/>
      <c r="O171" s="21"/>
    </row>
    <row r="172" spans="1:15" x14ac:dyDescent="0.3">
      <c r="A172" s="20"/>
      <c r="B172" s="21"/>
      <c r="C172" s="21"/>
      <c r="D172" s="22"/>
      <c r="E172" s="21"/>
      <c r="F172" s="21"/>
      <c r="G172" s="21"/>
      <c r="H172" s="21"/>
      <c r="I172" s="21"/>
      <c r="J172" s="21"/>
      <c r="K172" s="25"/>
      <c r="L172" s="21"/>
      <c r="M172" s="21"/>
      <c r="N172" s="21"/>
      <c r="O172" s="21"/>
    </row>
    <row r="173" spans="1:15" x14ac:dyDescent="0.3">
      <c r="A173" s="20"/>
      <c r="B173" s="21"/>
      <c r="C173" s="21"/>
      <c r="D173" s="22"/>
      <c r="E173" s="21"/>
      <c r="F173" s="21"/>
      <c r="G173" s="21"/>
      <c r="H173" s="21"/>
      <c r="I173" s="21"/>
      <c r="J173" s="21"/>
      <c r="K173" s="25"/>
      <c r="L173" s="21"/>
      <c r="M173" s="21"/>
      <c r="N173" s="21"/>
      <c r="O173" s="21"/>
    </row>
    <row r="174" spans="1:15" x14ac:dyDescent="0.3">
      <c r="A174" s="20"/>
      <c r="B174" s="21"/>
      <c r="C174" s="21"/>
      <c r="D174" s="22"/>
      <c r="E174" s="21"/>
      <c r="F174" s="21"/>
      <c r="G174" s="21"/>
      <c r="H174" s="21"/>
      <c r="I174" s="21"/>
      <c r="J174" s="21"/>
      <c r="K174" s="25"/>
      <c r="L174" s="21"/>
      <c r="M174" s="21"/>
      <c r="N174" s="21"/>
      <c r="O174" s="21"/>
    </row>
    <row r="175" spans="1:15" x14ac:dyDescent="0.3">
      <c r="A175" s="20"/>
      <c r="B175" s="21"/>
      <c r="C175" s="21"/>
      <c r="D175" s="22"/>
      <c r="E175" s="21"/>
      <c r="F175" s="21"/>
      <c r="G175" s="21"/>
      <c r="H175" s="21"/>
      <c r="I175" s="21"/>
      <c r="J175" s="21"/>
      <c r="K175" s="25"/>
      <c r="L175" s="21"/>
      <c r="M175" s="21"/>
      <c r="N175" s="21"/>
      <c r="O175" s="21"/>
    </row>
    <row r="176" spans="1:15" x14ac:dyDescent="0.3">
      <c r="A176" s="20"/>
      <c r="B176" s="21"/>
      <c r="C176" s="21"/>
      <c r="D176" s="22"/>
      <c r="E176" s="21"/>
      <c r="F176" s="21"/>
      <c r="G176" s="21"/>
      <c r="H176" s="21"/>
      <c r="I176" s="21"/>
      <c r="J176" s="21"/>
      <c r="K176" s="25"/>
      <c r="L176" s="21"/>
      <c r="M176" s="21"/>
      <c r="N176" s="21"/>
      <c r="O176" s="21"/>
    </row>
    <row r="177" spans="1:15" x14ac:dyDescent="0.3">
      <c r="A177" s="20"/>
      <c r="B177" s="21"/>
      <c r="C177" s="21"/>
      <c r="D177" s="22"/>
      <c r="E177" s="21"/>
      <c r="F177" s="21"/>
      <c r="G177" s="21"/>
      <c r="H177" s="21"/>
      <c r="I177" s="21"/>
      <c r="J177" s="21"/>
      <c r="K177" s="25"/>
      <c r="L177" s="21"/>
      <c r="M177" s="21"/>
      <c r="N177" s="21"/>
      <c r="O177" s="21"/>
    </row>
    <row r="178" spans="1:15" x14ac:dyDescent="0.3">
      <c r="A178" s="20"/>
      <c r="B178" s="21"/>
      <c r="C178" s="21"/>
      <c r="D178" s="22"/>
      <c r="E178" s="21"/>
      <c r="F178" s="21"/>
      <c r="G178" s="21"/>
      <c r="H178" s="21"/>
      <c r="I178" s="21"/>
      <c r="J178" s="21"/>
      <c r="K178" s="25"/>
      <c r="L178" s="21"/>
      <c r="M178" s="21"/>
      <c r="N178" s="21"/>
      <c r="O178" s="21"/>
    </row>
    <row r="179" spans="1:15" x14ac:dyDescent="0.3">
      <c r="A179" s="20"/>
      <c r="B179" s="21"/>
      <c r="C179" s="21"/>
      <c r="D179" s="22"/>
      <c r="E179" s="21"/>
      <c r="F179" s="21"/>
      <c r="G179" s="21"/>
      <c r="H179" s="21"/>
      <c r="I179" s="21"/>
      <c r="J179" s="21"/>
      <c r="K179" s="25"/>
      <c r="L179" s="21"/>
      <c r="M179" s="21"/>
      <c r="N179" s="21"/>
      <c r="O179" s="21"/>
    </row>
    <row r="180" spans="1:15" x14ac:dyDescent="0.3">
      <c r="A180" s="20"/>
      <c r="B180" s="21"/>
      <c r="C180" s="21"/>
      <c r="D180" s="22"/>
      <c r="E180" s="21"/>
      <c r="F180" s="21"/>
      <c r="G180" s="21"/>
      <c r="H180" s="21"/>
      <c r="I180" s="21"/>
      <c r="J180" s="21"/>
      <c r="K180" s="25"/>
      <c r="L180" s="21"/>
      <c r="M180" s="21"/>
      <c r="N180" s="21"/>
      <c r="O180" s="21"/>
    </row>
    <row r="181" spans="1:15" x14ac:dyDescent="0.3">
      <c r="A181" s="20"/>
      <c r="B181" s="21"/>
      <c r="C181" s="21"/>
      <c r="D181" s="22"/>
      <c r="E181" s="21"/>
      <c r="F181" s="21"/>
      <c r="G181" s="21"/>
      <c r="H181" s="21"/>
      <c r="I181" s="21"/>
      <c r="J181" s="21"/>
      <c r="K181" s="25"/>
      <c r="L181" s="21"/>
      <c r="M181" s="21"/>
      <c r="N181" s="21"/>
      <c r="O181" s="21"/>
    </row>
    <row r="182" spans="1:15" x14ac:dyDescent="0.3">
      <c r="A182" s="20"/>
      <c r="B182" s="21"/>
      <c r="C182" s="21"/>
      <c r="D182" s="22"/>
      <c r="E182" s="21"/>
      <c r="F182" s="21"/>
      <c r="G182" s="21"/>
      <c r="H182" s="21"/>
      <c r="I182" s="21"/>
      <c r="J182" s="21"/>
      <c r="K182" s="25"/>
      <c r="L182" s="21"/>
      <c r="M182" s="21"/>
      <c r="N182" s="21"/>
      <c r="O182" s="21"/>
    </row>
    <row r="183" spans="1:15" x14ac:dyDescent="0.3">
      <c r="A183" s="20"/>
      <c r="B183" s="21"/>
      <c r="C183" s="21"/>
      <c r="D183" s="22"/>
      <c r="E183" s="21"/>
      <c r="F183" s="21"/>
      <c r="G183" s="21"/>
      <c r="H183" s="21"/>
      <c r="I183" s="21"/>
      <c r="J183" s="21"/>
      <c r="K183" s="25"/>
      <c r="L183" s="21"/>
      <c r="M183" s="21"/>
      <c r="N183" s="21"/>
      <c r="O183" s="21"/>
    </row>
    <row r="184" spans="1:15" x14ac:dyDescent="0.3">
      <c r="A184" s="20"/>
      <c r="B184" s="21"/>
      <c r="C184" s="21"/>
      <c r="D184" s="22"/>
      <c r="E184" s="21"/>
      <c r="F184" s="21"/>
      <c r="G184" s="21"/>
      <c r="H184" s="21"/>
      <c r="I184" s="21"/>
      <c r="J184" s="21"/>
      <c r="K184" s="25"/>
      <c r="L184" s="21"/>
      <c r="M184" s="21"/>
      <c r="N184" s="21"/>
      <c r="O184" s="21"/>
    </row>
    <row r="185" spans="1:15" x14ac:dyDescent="0.3">
      <c r="A185" s="20"/>
      <c r="B185" s="21"/>
      <c r="C185" s="21"/>
      <c r="D185" s="22"/>
      <c r="E185" s="21"/>
      <c r="F185" s="21"/>
      <c r="G185" s="21"/>
      <c r="H185" s="21"/>
      <c r="I185" s="21"/>
      <c r="J185" s="21"/>
      <c r="K185" s="25"/>
      <c r="L185" s="21"/>
      <c r="M185" s="21"/>
      <c r="N185" s="21"/>
      <c r="O185" s="21"/>
    </row>
    <row r="186" spans="1:15" x14ac:dyDescent="0.3">
      <c r="A186" s="20"/>
      <c r="B186" s="21"/>
      <c r="C186" s="21"/>
      <c r="D186" s="22"/>
      <c r="E186" s="21"/>
      <c r="F186" s="21"/>
      <c r="G186" s="21"/>
      <c r="H186" s="21"/>
      <c r="I186" s="21"/>
      <c r="J186" s="21"/>
      <c r="K186" s="25"/>
      <c r="L186" s="21"/>
      <c r="M186" s="21"/>
      <c r="N186" s="21"/>
      <c r="O186" s="21"/>
    </row>
    <row r="187" spans="1:15" x14ac:dyDescent="0.3">
      <c r="A187" s="20"/>
      <c r="B187" s="21"/>
      <c r="C187" s="21"/>
      <c r="D187" s="22"/>
      <c r="E187" s="21"/>
      <c r="F187" s="21"/>
      <c r="G187" s="21"/>
      <c r="H187" s="21"/>
      <c r="I187" s="21"/>
      <c r="J187" s="21"/>
      <c r="K187" s="25"/>
      <c r="L187" s="21"/>
      <c r="M187" s="21"/>
      <c r="N187" s="21"/>
      <c r="O187" s="21"/>
    </row>
    <row r="188" spans="1:15" x14ac:dyDescent="0.3">
      <c r="A188" s="20"/>
      <c r="B188" s="21"/>
      <c r="C188" s="21"/>
      <c r="D188" s="22"/>
      <c r="E188" s="21"/>
      <c r="F188" s="21"/>
      <c r="G188" s="21"/>
      <c r="H188" s="21"/>
      <c r="I188" s="21"/>
      <c r="J188" s="21"/>
      <c r="K188" s="25"/>
      <c r="L188" s="21"/>
      <c r="M188" s="21"/>
      <c r="N188" s="21"/>
      <c r="O188" s="21"/>
    </row>
    <row r="189" spans="1:15" x14ac:dyDescent="0.3">
      <c r="A189" s="20"/>
      <c r="B189" s="21"/>
      <c r="C189" s="21"/>
      <c r="D189" s="22"/>
      <c r="E189" s="21"/>
      <c r="F189" s="21"/>
      <c r="G189" s="21"/>
      <c r="H189" s="21"/>
      <c r="I189" s="21"/>
      <c r="J189" s="21"/>
      <c r="K189" s="25"/>
      <c r="L189" s="21"/>
      <c r="M189" s="21"/>
      <c r="N189" s="21"/>
      <c r="O189" s="21"/>
    </row>
    <row r="190" spans="1:15" x14ac:dyDescent="0.3">
      <c r="A190" s="20"/>
      <c r="B190" s="21"/>
      <c r="C190" s="21"/>
      <c r="D190" s="22"/>
      <c r="E190" s="21"/>
      <c r="F190" s="21"/>
      <c r="G190" s="21"/>
      <c r="H190" s="21"/>
      <c r="I190" s="21"/>
      <c r="J190" s="21"/>
      <c r="K190" s="25"/>
      <c r="L190" s="21"/>
      <c r="M190" s="21"/>
      <c r="N190" s="21"/>
      <c r="O190" s="21"/>
    </row>
    <row r="191" spans="1:15" x14ac:dyDescent="0.3">
      <c r="A191" s="20"/>
      <c r="B191" s="21"/>
      <c r="C191" s="21"/>
      <c r="D191" s="22"/>
      <c r="E191" s="21"/>
      <c r="F191" s="21"/>
      <c r="G191" s="21"/>
      <c r="H191" s="21"/>
      <c r="I191" s="21"/>
      <c r="J191" s="21"/>
      <c r="K191" s="25"/>
      <c r="L191" s="21"/>
      <c r="M191" s="21"/>
      <c r="N191" s="21"/>
      <c r="O191" s="21"/>
    </row>
    <row r="192" spans="1:15" x14ac:dyDescent="0.3">
      <c r="A192" s="20"/>
      <c r="B192" s="21"/>
      <c r="C192" s="21"/>
      <c r="D192" s="22"/>
      <c r="E192" s="21"/>
      <c r="F192" s="21"/>
      <c r="G192" s="21"/>
      <c r="H192" s="21"/>
      <c r="I192" s="21"/>
      <c r="J192" s="21"/>
      <c r="K192" s="25"/>
      <c r="L192" s="21"/>
      <c r="M192" s="21"/>
      <c r="N192" s="21"/>
      <c r="O192" s="21"/>
    </row>
    <row r="193" spans="1:15" x14ac:dyDescent="0.3">
      <c r="A193" s="20"/>
      <c r="B193" s="21"/>
      <c r="C193" s="21"/>
      <c r="D193" s="22"/>
      <c r="E193" s="21"/>
      <c r="F193" s="21"/>
      <c r="G193" s="21"/>
      <c r="H193" s="21"/>
      <c r="I193" s="21"/>
      <c r="J193" s="21"/>
      <c r="K193" s="25"/>
      <c r="L193" s="21"/>
      <c r="M193" s="21"/>
      <c r="N193" s="21"/>
      <c r="O193" s="21"/>
    </row>
    <row r="194" spans="1:15" x14ac:dyDescent="0.3">
      <c r="A194" s="20"/>
      <c r="B194" s="21"/>
      <c r="C194" s="21"/>
      <c r="D194" s="22"/>
      <c r="E194" s="21"/>
      <c r="F194" s="21"/>
      <c r="G194" s="21"/>
      <c r="H194" s="21"/>
      <c r="I194" s="21"/>
      <c r="J194" s="21"/>
      <c r="K194" s="25"/>
      <c r="L194" s="21"/>
      <c r="M194" s="21"/>
      <c r="N194" s="21"/>
      <c r="O194" s="21"/>
    </row>
    <row r="195" spans="1:15" x14ac:dyDescent="0.3">
      <c r="A195" s="20"/>
      <c r="B195" s="21"/>
      <c r="C195" s="21"/>
      <c r="D195" s="22"/>
      <c r="E195" s="21"/>
      <c r="F195" s="21"/>
      <c r="G195" s="21"/>
      <c r="H195" s="21"/>
      <c r="I195" s="21"/>
      <c r="J195" s="21"/>
      <c r="K195" s="25"/>
      <c r="L195" s="21"/>
      <c r="M195" s="21"/>
      <c r="N195" s="21"/>
      <c r="O195" s="21"/>
    </row>
    <row r="196" spans="1:15" x14ac:dyDescent="0.3">
      <c r="A196" s="20"/>
      <c r="B196" s="21"/>
      <c r="C196" s="21"/>
      <c r="D196" s="22"/>
      <c r="E196" s="21"/>
      <c r="F196" s="21"/>
      <c r="G196" s="21"/>
      <c r="H196" s="21"/>
      <c r="I196" s="21"/>
      <c r="J196" s="21"/>
      <c r="K196" s="25"/>
      <c r="L196" s="21"/>
      <c r="M196" s="21"/>
      <c r="N196" s="21"/>
      <c r="O196" s="21"/>
    </row>
    <row r="197" spans="1:15" x14ac:dyDescent="0.3">
      <c r="A197" s="20"/>
      <c r="B197" s="21"/>
      <c r="C197" s="21"/>
      <c r="D197" s="22"/>
      <c r="E197" s="21"/>
      <c r="F197" s="21"/>
      <c r="G197" s="21"/>
      <c r="H197" s="21"/>
      <c r="I197" s="21"/>
      <c r="J197" s="21"/>
      <c r="K197" s="25"/>
      <c r="L197" s="21"/>
      <c r="M197" s="21"/>
      <c r="N197" s="21"/>
      <c r="O197" s="21"/>
    </row>
    <row r="198" spans="1:15" x14ac:dyDescent="0.3">
      <c r="A198" s="20"/>
      <c r="B198" s="21"/>
      <c r="C198" s="21"/>
      <c r="D198" s="22"/>
      <c r="E198" s="21"/>
      <c r="F198" s="21"/>
      <c r="G198" s="21"/>
      <c r="H198" s="21"/>
      <c r="I198" s="21"/>
      <c r="J198" s="21"/>
      <c r="K198" s="25"/>
      <c r="L198" s="21"/>
      <c r="M198" s="21"/>
      <c r="N198" s="21"/>
      <c r="O198" s="21"/>
    </row>
    <row r="199" spans="1:15" x14ac:dyDescent="0.3">
      <c r="A199" s="20"/>
      <c r="B199" s="21"/>
      <c r="C199" s="21"/>
      <c r="D199" s="22"/>
      <c r="E199" s="21"/>
      <c r="F199" s="21"/>
      <c r="G199" s="21"/>
      <c r="H199" s="21"/>
      <c r="I199" s="21"/>
      <c r="J199" s="21"/>
      <c r="K199" s="25"/>
      <c r="L199" s="21"/>
      <c r="M199" s="21"/>
      <c r="N199" s="21"/>
      <c r="O199" s="21"/>
    </row>
    <row r="200" spans="1:15" x14ac:dyDescent="0.3">
      <c r="A200" s="20"/>
      <c r="B200" s="21"/>
      <c r="C200" s="21"/>
      <c r="D200" s="22"/>
      <c r="E200" s="21"/>
      <c r="F200" s="21"/>
      <c r="G200" s="21"/>
      <c r="H200" s="21"/>
      <c r="I200" s="21"/>
      <c r="J200" s="21"/>
      <c r="K200" s="25"/>
      <c r="L200" s="21"/>
      <c r="M200" s="21"/>
      <c r="N200" s="21"/>
      <c r="O200" s="21"/>
    </row>
    <row r="201" spans="1:15" x14ac:dyDescent="0.3">
      <c r="A201" s="20"/>
      <c r="B201" s="21"/>
      <c r="C201" s="21"/>
      <c r="D201" s="22"/>
      <c r="E201" s="21"/>
      <c r="F201" s="21"/>
      <c r="G201" s="21"/>
      <c r="H201" s="21"/>
      <c r="I201" s="21"/>
      <c r="J201" s="21"/>
      <c r="K201" s="25"/>
      <c r="L201" s="21"/>
      <c r="M201" s="21"/>
      <c r="N201" s="21"/>
      <c r="O201" s="21"/>
    </row>
    <row r="202" spans="1:15" x14ac:dyDescent="0.3">
      <c r="A202" s="20"/>
      <c r="B202" s="21"/>
      <c r="C202" s="21"/>
      <c r="D202" s="22"/>
      <c r="E202" s="21"/>
      <c r="F202" s="21"/>
      <c r="G202" s="21"/>
      <c r="H202" s="21"/>
      <c r="I202" s="21"/>
      <c r="J202" s="21"/>
      <c r="K202" s="25"/>
      <c r="L202" s="21"/>
      <c r="M202" s="21"/>
      <c r="N202" s="21"/>
      <c r="O202" s="21"/>
    </row>
    <row r="203" spans="1:15" x14ac:dyDescent="0.3">
      <c r="A203" s="20"/>
      <c r="B203" s="21"/>
      <c r="C203" s="21"/>
      <c r="D203" s="22"/>
      <c r="E203" s="21"/>
      <c r="F203" s="21"/>
      <c r="G203" s="21"/>
      <c r="H203" s="21"/>
      <c r="I203" s="21"/>
      <c r="J203" s="21"/>
      <c r="K203" s="25"/>
      <c r="L203" s="21"/>
      <c r="M203" s="21"/>
      <c r="N203" s="21"/>
      <c r="O203" s="21"/>
    </row>
    <row r="204" spans="1:15" x14ac:dyDescent="0.3">
      <c r="A204" s="20"/>
      <c r="B204" s="21"/>
      <c r="C204" s="21"/>
      <c r="D204" s="22"/>
      <c r="E204" s="21"/>
      <c r="F204" s="21"/>
      <c r="G204" s="21"/>
      <c r="H204" s="21"/>
      <c r="I204" s="21"/>
      <c r="J204" s="21"/>
      <c r="K204" s="25"/>
      <c r="L204" s="21"/>
      <c r="M204" s="21"/>
      <c r="N204" s="21"/>
      <c r="O204" s="21"/>
    </row>
    <row r="205" spans="1:15" x14ac:dyDescent="0.3">
      <c r="A205" s="20"/>
      <c r="B205" s="21"/>
      <c r="C205" s="21"/>
      <c r="D205" s="22"/>
      <c r="E205" s="21"/>
      <c r="F205" s="21"/>
      <c r="G205" s="21"/>
      <c r="H205" s="21"/>
      <c r="I205" s="21"/>
      <c r="J205" s="21"/>
      <c r="K205" s="25"/>
      <c r="L205" s="21"/>
      <c r="M205" s="21"/>
      <c r="N205" s="21"/>
      <c r="O205" s="21"/>
    </row>
    <row r="206" spans="1:15" x14ac:dyDescent="0.3">
      <c r="A206" s="20"/>
      <c r="B206" s="21"/>
      <c r="C206" s="21"/>
      <c r="D206" s="22"/>
      <c r="E206" s="21"/>
      <c r="F206" s="21"/>
      <c r="G206" s="21"/>
      <c r="H206" s="21"/>
      <c r="I206" s="21"/>
      <c r="J206" s="21"/>
      <c r="K206" s="25"/>
      <c r="L206" s="21"/>
      <c r="M206" s="21"/>
      <c r="N206" s="21"/>
      <c r="O206" s="21"/>
    </row>
    <row r="207" spans="1:15" x14ac:dyDescent="0.3">
      <c r="A207" s="20"/>
      <c r="B207" s="21"/>
      <c r="C207" s="21"/>
      <c r="D207" s="22"/>
      <c r="E207" s="21"/>
      <c r="F207" s="21"/>
      <c r="G207" s="21"/>
      <c r="H207" s="21"/>
      <c r="I207" s="21"/>
      <c r="J207" s="21"/>
      <c r="K207" s="25"/>
      <c r="L207" s="21"/>
      <c r="M207" s="21"/>
      <c r="N207" s="21"/>
      <c r="O207" s="21"/>
    </row>
    <row r="208" spans="1:15" x14ac:dyDescent="0.3">
      <c r="A208" s="20" t="str">
        <f t="shared" ref="A208:A271" si="1">IF($B208="","",ROW()-1)</f>
        <v/>
      </c>
      <c r="B208" s="21"/>
      <c r="C208" s="21"/>
      <c r="D208" s="22" t="str">
        <f>IF($C208="","",IFERROR(VLOOKUP($C208,Map_Register!$A$2:$C$5,3,FALSE()),""))</f>
        <v/>
      </c>
      <c r="E208" s="21"/>
      <c r="F208" s="21"/>
      <c r="G208" s="21"/>
      <c r="H208" s="21"/>
      <c r="I208" s="21"/>
      <c r="J208" s="21"/>
      <c r="K208" s="25"/>
      <c r="L208" s="21"/>
      <c r="M208" s="21"/>
      <c r="N208" s="21"/>
      <c r="O208" s="21"/>
    </row>
    <row r="209" spans="1:15" x14ac:dyDescent="0.3">
      <c r="A209" s="20" t="str">
        <f t="shared" si="1"/>
        <v/>
      </c>
      <c r="B209" s="21"/>
      <c r="C209" s="21"/>
      <c r="D209" s="22" t="str">
        <f>IF($C209="","",IFERROR(VLOOKUP($C209,Map_Register!$A$2:$C$5,3,FALSE()),""))</f>
        <v/>
      </c>
      <c r="E209" s="21"/>
      <c r="F209" s="21"/>
      <c r="G209" s="21"/>
      <c r="H209" s="21"/>
      <c r="I209" s="21"/>
      <c r="J209" s="21"/>
      <c r="K209" s="25"/>
      <c r="L209" s="21"/>
      <c r="M209" s="21"/>
      <c r="N209" s="21"/>
      <c r="O209" s="21"/>
    </row>
    <row r="210" spans="1:15" x14ac:dyDescent="0.3">
      <c r="A210" s="20" t="str">
        <f t="shared" si="1"/>
        <v/>
      </c>
      <c r="B210" s="21"/>
      <c r="C210" s="21"/>
      <c r="D210" s="22" t="str">
        <f>IF($C210="","",IFERROR(VLOOKUP($C210,Map_Register!$A$2:$C$5,3,FALSE()),""))</f>
        <v/>
      </c>
      <c r="E210" s="21"/>
      <c r="F210" s="21"/>
      <c r="G210" s="21"/>
      <c r="H210" s="21"/>
      <c r="I210" s="21"/>
      <c r="J210" s="21"/>
      <c r="K210" s="25"/>
      <c r="L210" s="21"/>
      <c r="M210" s="21"/>
      <c r="N210" s="21"/>
      <c r="O210" s="21"/>
    </row>
    <row r="211" spans="1:15" x14ac:dyDescent="0.3">
      <c r="A211" s="20" t="str">
        <f t="shared" si="1"/>
        <v/>
      </c>
      <c r="B211" s="21"/>
      <c r="C211" s="21"/>
      <c r="D211" s="22" t="str">
        <f>IF($C211="","",IFERROR(VLOOKUP($C211,Map_Register!$A$2:$C$5,3,FALSE()),""))</f>
        <v/>
      </c>
      <c r="E211" s="21"/>
      <c r="F211" s="21"/>
      <c r="G211" s="21"/>
      <c r="H211" s="21"/>
      <c r="I211" s="21"/>
      <c r="J211" s="21"/>
      <c r="K211" s="25"/>
      <c r="L211" s="21"/>
      <c r="M211" s="21"/>
      <c r="N211" s="21"/>
      <c r="O211" s="21"/>
    </row>
    <row r="212" spans="1:15" x14ac:dyDescent="0.3">
      <c r="A212" s="20" t="str">
        <f t="shared" si="1"/>
        <v/>
      </c>
      <c r="B212" s="21"/>
      <c r="C212" s="21"/>
      <c r="D212" s="22" t="str">
        <f>IF($C212="","",IFERROR(VLOOKUP($C212,Map_Register!$A$2:$C$5,3,FALSE()),""))</f>
        <v/>
      </c>
      <c r="E212" s="21"/>
      <c r="F212" s="21"/>
      <c r="G212" s="21"/>
      <c r="H212" s="21"/>
      <c r="I212" s="21"/>
      <c r="J212" s="21"/>
      <c r="K212" s="25"/>
      <c r="L212" s="21"/>
      <c r="M212" s="21"/>
      <c r="N212" s="21"/>
      <c r="O212" s="21"/>
    </row>
    <row r="213" spans="1:15" x14ac:dyDescent="0.3">
      <c r="A213" s="20" t="str">
        <f t="shared" si="1"/>
        <v/>
      </c>
      <c r="B213" s="21"/>
      <c r="C213" s="21"/>
      <c r="D213" s="22" t="str">
        <f>IF($C213="","",IFERROR(VLOOKUP($C213,Map_Register!$A$2:$C$5,3,FALSE()),""))</f>
        <v/>
      </c>
      <c r="E213" s="21"/>
      <c r="F213" s="21"/>
      <c r="G213" s="21"/>
      <c r="H213" s="21"/>
      <c r="I213" s="21"/>
      <c r="J213" s="21"/>
      <c r="K213" s="25"/>
      <c r="L213" s="21"/>
      <c r="M213" s="21"/>
      <c r="N213" s="21"/>
      <c r="O213" s="21"/>
    </row>
    <row r="214" spans="1:15" x14ac:dyDescent="0.3">
      <c r="A214" s="20" t="str">
        <f t="shared" si="1"/>
        <v/>
      </c>
      <c r="B214" s="21"/>
      <c r="C214" s="21"/>
      <c r="D214" s="22" t="str">
        <f>IF($C214="","",IFERROR(VLOOKUP($C214,Map_Register!$A$2:$C$5,3,FALSE()),""))</f>
        <v/>
      </c>
      <c r="E214" s="21"/>
      <c r="F214" s="21"/>
      <c r="G214" s="21"/>
      <c r="H214" s="21"/>
      <c r="I214" s="21"/>
      <c r="J214" s="21"/>
      <c r="K214" s="25"/>
      <c r="L214" s="21"/>
      <c r="M214" s="21"/>
      <c r="N214" s="21"/>
      <c r="O214" s="21"/>
    </row>
    <row r="215" spans="1:15" x14ac:dyDescent="0.3">
      <c r="A215" s="20" t="str">
        <f t="shared" si="1"/>
        <v/>
      </c>
      <c r="B215" s="21"/>
      <c r="C215" s="21"/>
      <c r="D215" s="22" t="str">
        <f>IF($C215="","",IFERROR(VLOOKUP($C215,Map_Register!$A$2:$C$5,3,FALSE()),""))</f>
        <v/>
      </c>
      <c r="E215" s="21"/>
      <c r="F215" s="21"/>
      <c r="G215" s="21"/>
      <c r="H215" s="21"/>
      <c r="I215" s="21"/>
      <c r="J215" s="21"/>
      <c r="K215" s="25"/>
      <c r="L215" s="21"/>
      <c r="M215" s="21"/>
      <c r="N215" s="21"/>
      <c r="O215" s="21"/>
    </row>
    <row r="216" spans="1:15" x14ac:dyDescent="0.3">
      <c r="A216" s="20" t="str">
        <f t="shared" si="1"/>
        <v/>
      </c>
      <c r="B216" s="21"/>
      <c r="C216" s="21"/>
      <c r="D216" s="22" t="str">
        <f>IF($C216="","",IFERROR(VLOOKUP($C216,Map_Register!$A$2:$C$5,3,FALSE()),""))</f>
        <v/>
      </c>
      <c r="E216" s="21"/>
      <c r="F216" s="21"/>
      <c r="G216" s="21"/>
      <c r="H216" s="21"/>
      <c r="I216" s="21"/>
      <c r="J216" s="21"/>
      <c r="K216" s="25"/>
      <c r="L216" s="21"/>
      <c r="M216" s="21"/>
      <c r="N216" s="21"/>
      <c r="O216" s="21"/>
    </row>
    <row r="217" spans="1:15" x14ac:dyDescent="0.3">
      <c r="A217" s="20" t="str">
        <f t="shared" si="1"/>
        <v/>
      </c>
      <c r="B217" s="21"/>
      <c r="C217" s="21"/>
      <c r="D217" s="22" t="str">
        <f>IF($C217="","",IFERROR(VLOOKUP($C217,Map_Register!$A$2:$C$5,3,FALSE()),""))</f>
        <v/>
      </c>
      <c r="E217" s="21"/>
      <c r="F217" s="21"/>
      <c r="G217" s="21"/>
      <c r="H217" s="21"/>
      <c r="I217" s="21"/>
      <c r="J217" s="21"/>
      <c r="K217" s="25"/>
      <c r="L217" s="21"/>
      <c r="M217" s="21"/>
      <c r="N217" s="21"/>
      <c r="O217" s="21"/>
    </row>
    <row r="218" spans="1:15" x14ac:dyDescent="0.3">
      <c r="A218" s="20" t="str">
        <f t="shared" si="1"/>
        <v/>
      </c>
      <c r="B218" s="21"/>
      <c r="C218" s="21"/>
      <c r="D218" s="22" t="str">
        <f>IF($C218="","",IFERROR(VLOOKUP($C218,Map_Register!$A$2:$C$5,3,FALSE()),""))</f>
        <v/>
      </c>
      <c r="E218" s="21"/>
      <c r="F218" s="21"/>
      <c r="G218" s="21"/>
      <c r="H218" s="21"/>
      <c r="I218" s="21"/>
      <c r="J218" s="21"/>
      <c r="K218" s="25"/>
      <c r="L218" s="21"/>
      <c r="M218" s="21"/>
      <c r="N218" s="21"/>
      <c r="O218" s="21"/>
    </row>
    <row r="219" spans="1:15" x14ac:dyDescent="0.3">
      <c r="A219" s="20" t="str">
        <f t="shared" si="1"/>
        <v/>
      </c>
      <c r="B219" s="21"/>
      <c r="C219" s="21"/>
      <c r="D219" s="22" t="str">
        <f>IF($C219="","",IFERROR(VLOOKUP($C219,Map_Register!$A$2:$C$5,3,FALSE()),""))</f>
        <v/>
      </c>
      <c r="E219" s="21"/>
      <c r="F219" s="21"/>
      <c r="G219" s="21"/>
      <c r="H219" s="21"/>
      <c r="I219" s="21"/>
      <c r="J219" s="21"/>
      <c r="K219" s="25"/>
      <c r="L219" s="21"/>
      <c r="M219" s="21"/>
      <c r="N219" s="21"/>
      <c r="O219" s="21"/>
    </row>
    <row r="220" spans="1:15" x14ac:dyDescent="0.3">
      <c r="A220" s="20" t="str">
        <f t="shared" si="1"/>
        <v/>
      </c>
      <c r="B220" s="21"/>
      <c r="C220" s="21"/>
      <c r="D220" s="22" t="str">
        <f>IF($C220="","",IFERROR(VLOOKUP($C220,Map_Register!$A$2:$C$5,3,FALSE()),""))</f>
        <v/>
      </c>
      <c r="E220" s="21"/>
      <c r="F220" s="21"/>
      <c r="G220" s="21"/>
      <c r="H220" s="21"/>
      <c r="I220" s="21"/>
      <c r="J220" s="21"/>
      <c r="K220" s="25"/>
      <c r="L220" s="21"/>
      <c r="M220" s="21"/>
      <c r="N220" s="21"/>
      <c r="O220" s="21"/>
    </row>
    <row r="221" spans="1:15" x14ac:dyDescent="0.3">
      <c r="A221" s="20" t="str">
        <f t="shared" si="1"/>
        <v/>
      </c>
      <c r="B221" s="21"/>
      <c r="C221" s="21"/>
      <c r="D221" s="22" t="str">
        <f>IF($C221="","",IFERROR(VLOOKUP($C221,Map_Register!$A$2:$C$5,3,FALSE()),""))</f>
        <v/>
      </c>
      <c r="E221" s="21"/>
      <c r="F221" s="21"/>
      <c r="G221" s="21"/>
      <c r="H221" s="21"/>
      <c r="I221" s="21"/>
      <c r="J221" s="21"/>
      <c r="K221" s="25"/>
      <c r="L221" s="21"/>
      <c r="M221" s="21"/>
      <c r="N221" s="21"/>
      <c r="O221" s="21"/>
    </row>
    <row r="222" spans="1:15" x14ac:dyDescent="0.3">
      <c r="A222" s="20" t="str">
        <f t="shared" si="1"/>
        <v/>
      </c>
      <c r="B222" s="21"/>
      <c r="C222" s="21"/>
      <c r="D222" s="22" t="str">
        <f>IF($C222="","",IFERROR(VLOOKUP($C222,Map_Register!$A$2:$C$5,3,FALSE()),""))</f>
        <v/>
      </c>
      <c r="E222" s="21"/>
      <c r="F222" s="21"/>
      <c r="G222" s="21"/>
      <c r="H222" s="21"/>
      <c r="I222" s="21"/>
      <c r="J222" s="21"/>
      <c r="K222" s="25"/>
      <c r="L222" s="21"/>
      <c r="M222" s="21"/>
      <c r="N222" s="21"/>
      <c r="O222" s="21"/>
    </row>
    <row r="223" spans="1:15" x14ac:dyDescent="0.3">
      <c r="A223" s="20" t="str">
        <f t="shared" si="1"/>
        <v/>
      </c>
      <c r="B223" s="21"/>
      <c r="C223" s="21"/>
      <c r="D223" s="22" t="str">
        <f>IF($C223="","",IFERROR(VLOOKUP($C223,Map_Register!$A$2:$C$5,3,FALSE()),""))</f>
        <v/>
      </c>
      <c r="E223" s="21"/>
      <c r="F223" s="21"/>
      <c r="G223" s="21"/>
      <c r="H223" s="21"/>
      <c r="I223" s="21"/>
      <c r="J223" s="21"/>
      <c r="K223" s="25"/>
      <c r="L223" s="21"/>
      <c r="M223" s="21"/>
      <c r="N223" s="21"/>
      <c r="O223" s="21"/>
    </row>
    <row r="224" spans="1:15" x14ac:dyDescent="0.3">
      <c r="A224" s="20" t="str">
        <f t="shared" si="1"/>
        <v/>
      </c>
      <c r="B224" s="21"/>
      <c r="C224" s="21"/>
      <c r="D224" s="22" t="str">
        <f>IF($C224="","",IFERROR(VLOOKUP($C224,Map_Register!$A$2:$C$5,3,FALSE()),""))</f>
        <v/>
      </c>
      <c r="E224" s="21"/>
      <c r="F224" s="21"/>
      <c r="G224" s="21"/>
      <c r="H224" s="21"/>
      <c r="I224" s="21"/>
      <c r="J224" s="21"/>
      <c r="K224" s="25"/>
      <c r="L224" s="21"/>
      <c r="M224" s="21"/>
      <c r="N224" s="21"/>
      <c r="O224" s="21"/>
    </row>
    <row r="225" spans="1:15" x14ac:dyDescent="0.3">
      <c r="A225" s="20" t="str">
        <f t="shared" si="1"/>
        <v/>
      </c>
      <c r="B225" s="21"/>
      <c r="C225" s="21"/>
      <c r="D225" s="22" t="str">
        <f>IF($C225="","",IFERROR(VLOOKUP($C225,Map_Register!$A$2:$C$5,3,FALSE()),""))</f>
        <v/>
      </c>
      <c r="E225" s="21"/>
      <c r="F225" s="21"/>
      <c r="G225" s="21"/>
      <c r="H225" s="21"/>
      <c r="I225" s="21"/>
      <c r="J225" s="21"/>
      <c r="K225" s="25"/>
      <c r="L225" s="21"/>
      <c r="M225" s="21"/>
      <c r="N225" s="21"/>
      <c r="O225" s="21"/>
    </row>
    <row r="226" spans="1:15" x14ac:dyDescent="0.3">
      <c r="A226" s="20" t="str">
        <f t="shared" si="1"/>
        <v/>
      </c>
      <c r="B226" s="21"/>
      <c r="C226" s="21"/>
      <c r="D226" s="22" t="str">
        <f>IF($C226="","",IFERROR(VLOOKUP($C226,Map_Register!$A$2:$C$5,3,FALSE()),""))</f>
        <v/>
      </c>
      <c r="E226" s="21"/>
      <c r="F226" s="21"/>
      <c r="G226" s="21"/>
      <c r="H226" s="21"/>
      <c r="I226" s="21"/>
      <c r="J226" s="21"/>
      <c r="K226" s="25"/>
      <c r="L226" s="21"/>
      <c r="M226" s="21"/>
      <c r="N226" s="21"/>
      <c r="O226" s="21"/>
    </row>
    <row r="227" spans="1:15" x14ac:dyDescent="0.3">
      <c r="A227" s="20" t="str">
        <f t="shared" si="1"/>
        <v/>
      </c>
      <c r="B227" s="21"/>
      <c r="C227" s="21"/>
      <c r="D227" s="22" t="str">
        <f>IF($C227="","",IFERROR(VLOOKUP($C227,Map_Register!$A$2:$C$5,3,FALSE()),""))</f>
        <v/>
      </c>
      <c r="E227" s="21"/>
      <c r="F227" s="21"/>
      <c r="G227" s="21"/>
      <c r="H227" s="21"/>
      <c r="I227" s="21"/>
      <c r="J227" s="21"/>
      <c r="K227" s="25"/>
      <c r="L227" s="21"/>
      <c r="M227" s="21"/>
      <c r="N227" s="21"/>
      <c r="O227" s="21"/>
    </row>
    <row r="228" spans="1:15" x14ac:dyDescent="0.3">
      <c r="A228" s="20" t="str">
        <f t="shared" si="1"/>
        <v/>
      </c>
      <c r="B228" s="21"/>
      <c r="C228" s="21"/>
      <c r="D228" s="22" t="str">
        <f>IF($C228="","",IFERROR(VLOOKUP($C228,Map_Register!$A$2:$C$5,3,FALSE()),""))</f>
        <v/>
      </c>
      <c r="E228" s="21"/>
      <c r="F228" s="21"/>
      <c r="G228" s="21"/>
      <c r="H228" s="21"/>
      <c r="I228" s="21"/>
      <c r="J228" s="21"/>
      <c r="K228" s="25"/>
      <c r="L228" s="21"/>
      <c r="M228" s="21"/>
      <c r="N228" s="21"/>
      <c r="O228" s="21"/>
    </row>
    <row r="229" spans="1:15" x14ac:dyDescent="0.3">
      <c r="A229" s="20" t="str">
        <f t="shared" si="1"/>
        <v/>
      </c>
      <c r="B229" s="21"/>
      <c r="C229" s="21"/>
      <c r="D229" s="22" t="str">
        <f>IF($C229="","",IFERROR(VLOOKUP($C229,Map_Register!$A$2:$C$5,3,FALSE()),""))</f>
        <v/>
      </c>
      <c r="E229" s="21"/>
      <c r="F229" s="21"/>
      <c r="G229" s="21"/>
      <c r="H229" s="21"/>
      <c r="I229" s="21"/>
      <c r="J229" s="21"/>
      <c r="K229" s="25"/>
      <c r="L229" s="21"/>
      <c r="M229" s="21"/>
      <c r="N229" s="21"/>
      <c r="O229" s="21"/>
    </row>
    <row r="230" spans="1:15" x14ac:dyDescent="0.3">
      <c r="A230" s="20" t="str">
        <f t="shared" si="1"/>
        <v/>
      </c>
      <c r="B230" s="21"/>
      <c r="C230" s="21"/>
      <c r="D230" s="22" t="str">
        <f>IF($C230="","",IFERROR(VLOOKUP($C230,Map_Register!$A$2:$C$5,3,FALSE()),""))</f>
        <v/>
      </c>
      <c r="E230" s="21"/>
      <c r="F230" s="21"/>
      <c r="G230" s="21"/>
      <c r="H230" s="21"/>
      <c r="I230" s="21"/>
      <c r="J230" s="21"/>
      <c r="K230" s="25"/>
      <c r="L230" s="21"/>
      <c r="M230" s="21"/>
      <c r="N230" s="21"/>
      <c r="O230" s="21"/>
    </row>
    <row r="231" spans="1:15" x14ac:dyDescent="0.3">
      <c r="A231" s="20" t="str">
        <f t="shared" si="1"/>
        <v/>
      </c>
      <c r="B231" s="21"/>
      <c r="C231" s="21"/>
      <c r="D231" s="22" t="str">
        <f>IF($C231="","",IFERROR(VLOOKUP($C231,Map_Register!$A$2:$C$5,3,FALSE()),""))</f>
        <v/>
      </c>
      <c r="E231" s="21"/>
      <c r="F231" s="21"/>
      <c r="G231" s="21"/>
      <c r="H231" s="21"/>
      <c r="I231" s="21"/>
      <c r="J231" s="21"/>
      <c r="K231" s="25"/>
      <c r="L231" s="21"/>
      <c r="M231" s="21"/>
      <c r="N231" s="21"/>
      <c r="O231" s="21"/>
    </row>
    <row r="232" spans="1:15" x14ac:dyDescent="0.3">
      <c r="A232" s="20" t="str">
        <f t="shared" si="1"/>
        <v/>
      </c>
      <c r="B232" s="21"/>
      <c r="C232" s="21"/>
      <c r="D232" s="22" t="str">
        <f>IF($C232="","",IFERROR(VLOOKUP($C232,Map_Register!$A$2:$C$5,3,FALSE()),""))</f>
        <v/>
      </c>
      <c r="E232" s="21"/>
      <c r="F232" s="21"/>
      <c r="G232" s="21"/>
      <c r="H232" s="21"/>
      <c r="I232" s="21"/>
      <c r="J232" s="21"/>
      <c r="K232" s="25"/>
      <c r="L232" s="21"/>
      <c r="M232" s="21"/>
      <c r="N232" s="21"/>
      <c r="O232" s="21"/>
    </row>
    <row r="233" spans="1:15" x14ac:dyDescent="0.3">
      <c r="A233" s="20" t="str">
        <f t="shared" si="1"/>
        <v/>
      </c>
      <c r="B233" s="21"/>
      <c r="C233" s="21"/>
      <c r="D233" s="22" t="str">
        <f>IF($C233="","",IFERROR(VLOOKUP($C233,Map_Register!$A$2:$C$5,3,FALSE()),""))</f>
        <v/>
      </c>
      <c r="E233" s="21"/>
      <c r="F233" s="21"/>
      <c r="G233" s="21"/>
      <c r="H233" s="21"/>
      <c r="I233" s="21"/>
      <c r="J233" s="21"/>
      <c r="K233" s="25"/>
      <c r="L233" s="21"/>
      <c r="M233" s="21"/>
      <c r="N233" s="21"/>
      <c r="O233" s="21"/>
    </row>
    <row r="234" spans="1:15" x14ac:dyDescent="0.3">
      <c r="A234" s="20" t="str">
        <f t="shared" si="1"/>
        <v/>
      </c>
      <c r="B234" s="21"/>
      <c r="C234" s="21"/>
      <c r="D234" s="22" t="str">
        <f>IF($C234="","",IFERROR(VLOOKUP($C234,Map_Register!$A$2:$C$5,3,FALSE()),""))</f>
        <v/>
      </c>
      <c r="E234" s="21"/>
      <c r="F234" s="21"/>
      <c r="G234" s="21"/>
      <c r="H234" s="21"/>
      <c r="I234" s="21"/>
      <c r="J234" s="21"/>
      <c r="K234" s="25"/>
      <c r="L234" s="21"/>
      <c r="M234" s="21"/>
      <c r="N234" s="21"/>
      <c r="O234" s="21"/>
    </row>
    <row r="235" spans="1:15" x14ac:dyDescent="0.3">
      <c r="A235" s="20" t="str">
        <f t="shared" si="1"/>
        <v/>
      </c>
      <c r="B235" s="21"/>
      <c r="C235" s="21"/>
      <c r="D235" s="22" t="str">
        <f>IF($C235="","",IFERROR(VLOOKUP($C235,Map_Register!$A$2:$C$5,3,FALSE()),""))</f>
        <v/>
      </c>
      <c r="E235" s="21"/>
      <c r="F235" s="21"/>
      <c r="G235" s="21"/>
      <c r="H235" s="21"/>
      <c r="I235" s="21"/>
      <c r="J235" s="21"/>
      <c r="K235" s="25"/>
      <c r="L235" s="21"/>
      <c r="M235" s="21"/>
      <c r="N235" s="21"/>
      <c r="O235" s="21"/>
    </row>
    <row r="236" spans="1:15" x14ac:dyDescent="0.3">
      <c r="A236" s="20" t="str">
        <f t="shared" si="1"/>
        <v/>
      </c>
      <c r="B236" s="21"/>
      <c r="C236" s="21"/>
      <c r="D236" s="22" t="str">
        <f>IF($C236="","",IFERROR(VLOOKUP($C236,Map_Register!$A$2:$C$5,3,FALSE()),""))</f>
        <v/>
      </c>
      <c r="E236" s="21"/>
      <c r="F236" s="21"/>
      <c r="G236" s="21"/>
      <c r="H236" s="21"/>
      <c r="I236" s="21"/>
      <c r="J236" s="21"/>
      <c r="K236" s="25"/>
      <c r="L236" s="21"/>
      <c r="M236" s="21"/>
      <c r="N236" s="21"/>
      <c r="O236" s="21"/>
    </row>
    <row r="237" spans="1:15" x14ac:dyDescent="0.3">
      <c r="A237" s="20" t="str">
        <f t="shared" si="1"/>
        <v/>
      </c>
      <c r="B237" s="21"/>
      <c r="C237" s="21"/>
      <c r="D237" s="22" t="str">
        <f>IF($C237="","",IFERROR(VLOOKUP($C237,Map_Register!$A$2:$C$5,3,FALSE()),""))</f>
        <v/>
      </c>
      <c r="E237" s="21"/>
      <c r="F237" s="21"/>
      <c r="G237" s="21"/>
      <c r="H237" s="21"/>
      <c r="I237" s="21"/>
      <c r="J237" s="21"/>
      <c r="K237" s="25"/>
      <c r="L237" s="21"/>
      <c r="M237" s="21"/>
      <c r="N237" s="21"/>
      <c r="O237" s="21"/>
    </row>
    <row r="238" spans="1:15" x14ac:dyDescent="0.3">
      <c r="A238" s="20" t="str">
        <f t="shared" si="1"/>
        <v/>
      </c>
      <c r="B238" s="21"/>
      <c r="C238" s="21"/>
      <c r="D238" s="22" t="str">
        <f>IF($C238="","",IFERROR(VLOOKUP($C238,Map_Register!$A$2:$C$5,3,FALSE()),""))</f>
        <v/>
      </c>
      <c r="E238" s="21"/>
      <c r="F238" s="21"/>
      <c r="G238" s="21"/>
      <c r="H238" s="21"/>
      <c r="I238" s="21"/>
      <c r="J238" s="21"/>
      <c r="K238" s="25"/>
      <c r="L238" s="21"/>
      <c r="M238" s="21"/>
      <c r="N238" s="21"/>
      <c r="O238" s="21"/>
    </row>
    <row r="239" spans="1:15" x14ac:dyDescent="0.3">
      <c r="A239" s="20" t="str">
        <f t="shared" si="1"/>
        <v/>
      </c>
      <c r="B239" s="21"/>
      <c r="C239" s="21"/>
      <c r="D239" s="22" t="str">
        <f>IF($C239="","",IFERROR(VLOOKUP($C239,Map_Register!$A$2:$C$5,3,FALSE()),""))</f>
        <v/>
      </c>
      <c r="E239" s="21"/>
      <c r="F239" s="21"/>
      <c r="G239" s="21"/>
      <c r="H239" s="21"/>
      <c r="I239" s="21"/>
      <c r="J239" s="21"/>
      <c r="K239" s="25"/>
      <c r="L239" s="21"/>
      <c r="M239" s="21"/>
      <c r="N239" s="21"/>
      <c r="O239" s="21"/>
    </row>
    <row r="240" spans="1:15" x14ac:dyDescent="0.3">
      <c r="A240" s="20" t="str">
        <f t="shared" si="1"/>
        <v/>
      </c>
      <c r="B240" s="21"/>
      <c r="C240" s="21"/>
      <c r="D240" s="22" t="str">
        <f>IF($C240="","",IFERROR(VLOOKUP($C240,Map_Register!$A$2:$C$5,3,FALSE()),""))</f>
        <v/>
      </c>
      <c r="E240" s="21"/>
      <c r="F240" s="21"/>
      <c r="G240" s="21"/>
      <c r="H240" s="21"/>
      <c r="I240" s="21"/>
      <c r="J240" s="21"/>
      <c r="K240" s="25"/>
      <c r="L240" s="21"/>
      <c r="M240" s="21"/>
      <c r="N240" s="21"/>
      <c r="O240" s="21"/>
    </row>
    <row r="241" spans="1:15" x14ac:dyDescent="0.3">
      <c r="A241" s="20" t="str">
        <f t="shared" si="1"/>
        <v/>
      </c>
      <c r="B241" s="21"/>
      <c r="C241" s="21"/>
      <c r="D241" s="22" t="str">
        <f>IF($C241="","",IFERROR(VLOOKUP($C241,Map_Register!$A$2:$C$5,3,FALSE()),""))</f>
        <v/>
      </c>
      <c r="E241" s="21"/>
      <c r="F241" s="21"/>
      <c r="G241" s="21"/>
      <c r="H241" s="21"/>
      <c r="I241" s="21"/>
      <c r="J241" s="21"/>
      <c r="K241" s="25"/>
      <c r="L241" s="21"/>
      <c r="M241" s="21"/>
      <c r="N241" s="21"/>
      <c r="O241" s="21"/>
    </row>
    <row r="242" spans="1:15" x14ac:dyDescent="0.3">
      <c r="A242" s="20" t="str">
        <f t="shared" si="1"/>
        <v/>
      </c>
      <c r="B242" s="21"/>
      <c r="C242" s="21"/>
      <c r="D242" s="22" t="str">
        <f>IF($C242="","",IFERROR(VLOOKUP($C242,Map_Register!$A$2:$C$5,3,FALSE()),""))</f>
        <v/>
      </c>
      <c r="E242" s="21"/>
      <c r="F242" s="21"/>
      <c r="G242" s="21"/>
      <c r="H242" s="21"/>
      <c r="I242" s="21"/>
      <c r="J242" s="21"/>
      <c r="K242" s="25"/>
      <c r="L242" s="21"/>
      <c r="M242" s="21"/>
      <c r="N242" s="21"/>
      <c r="O242" s="21"/>
    </row>
    <row r="243" spans="1:15" x14ac:dyDescent="0.3">
      <c r="A243" s="20" t="str">
        <f t="shared" si="1"/>
        <v/>
      </c>
      <c r="B243" s="21"/>
      <c r="C243" s="21"/>
      <c r="D243" s="22" t="str">
        <f>IF($C243="","",IFERROR(VLOOKUP($C243,Map_Register!$A$2:$C$5,3,FALSE()),""))</f>
        <v/>
      </c>
      <c r="E243" s="21"/>
      <c r="F243" s="21"/>
      <c r="G243" s="21"/>
      <c r="H243" s="21"/>
      <c r="I243" s="21"/>
      <c r="J243" s="21"/>
      <c r="K243" s="25"/>
      <c r="L243" s="21"/>
      <c r="M243" s="21"/>
      <c r="N243" s="21"/>
      <c r="O243" s="21"/>
    </row>
    <row r="244" spans="1:15" x14ac:dyDescent="0.3">
      <c r="A244" s="20" t="str">
        <f t="shared" si="1"/>
        <v/>
      </c>
      <c r="B244" s="21"/>
      <c r="C244" s="21"/>
      <c r="D244" s="22" t="str">
        <f>IF($C244="","",IFERROR(VLOOKUP($C244,Map_Register!$A$2:$C$5,3,FALSE()),""))</f>
        <v/>
      </c>
      <c r="E244" s="21"/>
      <c r="F244" s="21"/>
      <c r="G244" s="21"/>
      <c r="H244" s="21"/>
      <c r="I244" s="21"/>
      <c r="J244" s="21"/>
      <c r="K244" s="25"/>
      <c r="L244" s="21"/>
      <c r="M244" s="21"/>
      <c r="N244" s="21"/>
      <c r="O244" s="21"/>
    </row>
    <row r="245" spans="1:15" x14ac:dyDescent="0.3">
      <c r="A245" s="20" t="str">
        <f t="shared" si="1"/>
        <v/>
      </c>
      <c r="B245" s="21"/>
      <c r="C245" s="21"/>
      <c r="D245" s="22" t="str">
        <f>IF($C245="","",IFERROR(VLOOKUP($C245,Map_Register!$A$2:$C$5,3,FALSE()),""))</f>
        <v/>
      </c>
      <c r="E245" s="21"/>
      <c r="F245" s="21"/>
      <c r="G245" s="21"/>
      <c r="H245" s="21"/>
      <c r="I245" s="21"/>
      <c r="J245" s="21"/>
      <c r="K245" s="25"/>
      <c r="L245" s="21"/>
      <c r="M245" s="21"/>
      <c r="N245" s="21"/>
      <c r="O245" s="21"/>
    </row>
    <row r="246" spans="1:15" x14ac:dyDescent="0.3">
      <c r="A246" s="20" t="str">
        <f t="shared" si="1"/>
        <v/>
      </c>
      <c r="B246" s="21"/>
      <c r="C246" s="21"/>
      <c r="D246" s="22" t="str">
        <f>IF($C246="","",IFERROR(VLOOKUP($C246,Map_Register!$A$2:$C$5,3,FALSE()),""))</f>
        <v/>
      </c>
      <c r="E246" s="21"/>
      <c r="F246" s="21"/>
      <c r="G246" s="21"/>
      <c r="H246" s="21"/>
      <c r="I246" s="21"/>
      <c r="J246" s="21"/>
      <c r="K246" s="25"/>
      <c r="L246" s="21"/>
      <c r="M246" s="21"/>
      <c r="N246" s="21"/>
      <c r="O246" s="21"/>
    </row>
    <row r="247" spans="1:15" x14ac:dyDescent="0.3">
      <c r="A247" s="20" t="str">
        <f t="shared" si="1"/>
        <v/>
      </c>
      <c r="B247" s="21"/>
      <c r="C247" s="21"/>
      <c r="D247" s="22" t="str">
        <f>IF($C247="","",IFERROR(VLOOKUP($C247,Map_Register!$A$2:$C$5,3,FALSE()),""))</f>
        <v/>
      </c>
      <c r="E247" s="21"/>
      <c r="F247" s="21"/>
      <c r="G247" s="21"/>
      <c r="H247" s="21"/>
      <c r="I247" s="21"/>
      <c r="J247" s="21"/>
      <c r="K247" s="25"/>
      <c r="L247" s="21"/>
      <c r="M247" s="21"/>
      <c r="N247" s="21"/>
      <c r="O247" s="21"/>
    </row>
    <row r="248" spans="1:15" x14ac:dyDescent="0.3">
      <c r="A248" s="20" t="str">
        <f t="shared" si="1"/>
        <v/>
      </c>
      <c r="B248" s="21"/>
      <c r="C248" s="21"/>
      <c r="D248" s="22" t="str">
        <f>IF($C248="","",IFERROR(VLOOKUP($C248,Map_Register!$A$2:$C$5,3,FALSE()),""))</f>
        <v/>
      </c>
      <c r="E248" s="21"/>
      <c r="F248" s="21"/>
      <c r="G248" s="21"/>
      <c r="H248" s="21"/>
      <c r="I248" s="21"/>
      <c r="J248" s="21"/>
      <c r="K248" s="25"/>
      <c r="L248" s="21"/>
      <c r="M248" s="21"/>
      <c r="N248" s="21"/>
      <c r="O248" s="21"/>
    </row>
    <row r="249" spans="1:15" x14ac:dyDescent="0.3">
      <c r="A249" s="20" t="str">
        <f t="shared" si="1"/>
        <v/>
      </c>
      <c r="B249" s="21"/>
      <c r="C249" s="21"/>
      <c r="D249" s="22" t="str">
        <f>IF($C249="","",IFERROR(VLOOKUP($C249,Map_Register!$A$2:$C$5,3,FALSE()),""))</f>
        <v/>
      </c>
      <c r="E249" s="21"/>
      <c r="F249" s="21"/>
      <c r="G249" s="21"/>
      <c r="H249" s="21"/>
      <c r="I249" s="21"/>
      <c r="J249" s="21"/>
      <c r="K249" s="25"/>
      <c r="L249" s="21"/>
      <c r="M249" s="21"/>
      <c r="N249" s="21"/>
      <c r="O249" s="21"/>
    </row>
    <row r="250" spans="1:15" x14ac:dyDescent="0.3">
      <c r="A250" s="20" t="str">
        <f t="shared" si="1"/>
        <v/>
      </c>
      <c r="B250" s="21"/>
      <c r="C250" s="21"/>
      <c r="D250" s="22" t="str">
        <f>IF($C250="","",IFERROR(VLOOKUP($C250,Map_Register!$A$2:$C$5,3,FALSE()),""))</f>
        <v/>
      </c>
      <c r="E250" s="21"/>
      <c r="F250" s="21"/>
      <c r="G250" s="21"/>
      <c r="H250" s="21"/>
      <c r="I250" s="21"/>
      <c r="J250" s="21"/>
      <c r="K250" s="25"/>
      <c r="L250" s="21"/>
      <c r="M250" s="21"/>
      <c r="N250" s="21"/>
      <c r="O250" s="21"/>
    </row>
    <row r="251" spans="1:15" x14ac:dyDescent="0.3">
      <c r="A251" s="20" t="str">
        <f t="shared" si="1"/>
        <v/>
      </c>
      <c r="B251" s="21"/>
      <c r="C251" s="21"/>
      <c r="D251" s="22" t="str">
        <f>IF($C251="","",IFERROR(VLOOKUP($C251,Map_Register!$A$2:$C$5,3,FALSE()),""))</f>
        <v/>
      </c>
      <c r="E251" s="21"/>
      <c r="F251" s="21"/>
      <c r="G251" s="21"/>
      <c r="H251" s="21"/>
      <c r="I251" s="21"/>
      <c r="J251" s="21"/>
      <c r="K251" s="25"/>
      <c r="L251" s="21"/>
      <c r="M251" s="21"/>
      <c r="N251" s="21"/>
      <c r="O251" s="21"/>
    </row>
    <row r="252" spans="1:15" x14ac:dyDescent="0.3">
      <c r="A252" s="20" t="str">
        <f t="shared" si="1"/>
        <v/>
      </c>
      <c r="B252" s="21"/>
      <c r="C252" s="21"/>
      <c r="D252" s="22" t="str">
        <f>IF($C252="","",IFERROR(VLOOKUP($C252,Map_Register!$A$2:$C$5,3,FALSE()),""))</f>
        <v/>
      </c>
      <c r="E252" s="21"/>
      <c r="F252" s="21"/>
      <c r="G252" s="21"/>
      <c r="H252" s="21"/>
      <c r="I252" s="21"/>
      <c r="J252" s="21"/>
      <c r="K252" s="25"/>
      <c r="L252" s="21"/>
      <c r="M252" s="21"/>
      <c r="N252" s="21"/>
      <c r="O252" s="21"/>
    </row>
    <row r="253" spans="1:15" x14ac:dyDescent="0.3">
      <c r="A253" s="20" t="str">
        <f t="shared" si="1"/>
        <v/>
      </c>
      <c r="B253" s="21"/>
      <c r="C253" s="21"/>
      <c r="D253" s="22" t="str">
        <f>IF($C253="","",IFERROR(VLOOKUP($C253,Map_Register!$A$2:$C$5,3,FALSE()),""))</f>
        <v/>
      </c>
      <c r="E253" s="21"/>
      <c r="F253" s="21"/>
      <c r="G253" s="21"/>
      <c r="H253" s="21"/>
      <c r="I253" s="21"/>
      <c r="J253" s="21"/>
      <c r="K253" s="25"/>
      <c r="L253" s="21"/>
      <c r="M253" s="21"/>
      <c r="N253" s="21"/>
      <c r="O253" s="21"/>
    </row>
    <row r="254" spans="1:15" x14ac:dyDescent="0.3">
      <c r="A254" s="20" t="str">
        <f t="shared" si="1"/>
        <v/>
      </c>
      <c r="B254" s="21"/>
      <c r="C254" s="21"/>
      <c r="D254" s="22" t="str">
        <f>IF($C254="","",IFERROR(VLOOKUP($C254,Map_Register!$A$2:$C$5,3,FALSE()),""))</f>
        <v/>
      </c>
      <c r="E254" s="21"/>
      <c r="F254" s="21"/>
      <c r="G254" s="21"/>
      <c r="H254" s="21"/>
      <c r="I254" s="21"/>
      <c r="J254" s="21"/>
      <c r="K254" s="25"/>
      <c r="L254" s="21"/>
      <c r="M254" s="21"/>
      <c r="N254" s="21"/>
      <c r="O254" s="21"/>
    </row>
    <row r="255" spans="1:15" x14ac:dyDescent="0.3">
      <c r="A255" s="20" t="str">
        <f t="shared" si="1"/>
        <v/>
      </c>
      <c r="B255" s="21"/>
      <c r="C255" s="21"/>
      <c r="D255" s="22" t="str">
        <f>IF($C255="","",IFERROR(VLOOKUP($C255,Map_Register!$A$2:$C$5,3,FALSE()),""))</f>
        <v/>
      </c>
      <c r="E255" s="21"/>
      <c r="F255" s="21"/>
      <c r="G255" s="21"/>
      <c r="H255" s="21"/>
      <c r="I255" s="21"/>
      <c r="J255" s="21"/>
      <c r="K255" s="25"/>
      <c r="L255" s="21"/>
      <c r="M255" s="21"/>
      <c r="N255" s="21"/>
      <c r="O255" s="21"/>
    </row>
    <row r="256" spans="1:15" x14ac:dyDescent="0.3">
      <c r="A256" s="20" t="str">
        <f t="shared" si="1"/>
        <v/>
      </c>
      <c r="B256" s="21"/>
      <c r="C256" s="21"/>
      <c r="D256" s="22" t="str">
        <f>IF($C256="","",IFERROR(VLOOKUP($C256,Map_Register!$A$2:$C$5,3,FALSE()),""))</f>
        <v/>
      </c>
      <c r="E256" s="21"/>
      <c r="F256" s="21"/>
      <c r="G256" s="21"/>
      <c r="H256" s="21"/>
      <c r="I256" s="21"/>
      <c r="J256" s="21"/>
      <c r="K256" s="25"/>
      <c r="L256" s="21"/>
      <c r="M256" s="21"/>
      <c r="N256" s="21"/>
      <c r="O256" s="21"/>
    </row>
    <row r="257" spans="1:15" x14ac:dyDescent="0.3">
      <c r="A257" s="20" t="str">
        <f t="shared" si="1"/>
        <v/>
      </c>
      <c r="B257" s="21"/>
      <c r="C257" s="21"/>
      <c r="D257" s="22" t="str">
        <f>IF($C257="","",IFERROR(VLOOKUP($C257,Map_Register!$A$2:$C$5,3,FALSE()),""))</f>
        <v/>
      </c>
      <c r="E257" s="21"/>
      <c r="F257" s="21"/>
      <c r="G257" s="21"/>
      <c r="H257" s="21"/>
      <c r="I257" s="21"/>
      <c r="J257" s="21"/>
      <c r="K257" s="25"/>
      <c r="L257" s="21"/>
      <c r="M257" s="21"/>
      <c r="N257" s="21"/>
      <c r="O257" s="21"/>
    </row>
    <row r="258" spans="1:15" x14ac:dyDescent="0.3">
      <c r="A258" s="20" t="str">
        <f t="shared" si="1"/>
        <v/>
      </c>
      <c r="B258" s="21"/>
      <c r="C258" s="21"/>
      <c r="D258" s="22" t="str">
        <f>IF($C258="","",IFERROR(VLOOKUP($C258,Map_Register!$A$2:$C$5,3,FALSE()),""))</f>
        <v/>
      </c>
      <c r="E258" s="21"/>
      <c r="F258" s="21"/>
      <c r="G258" s="21"/>
      <c r="H258" s="21"/>
      <c r="I258" s="21"/>
      <c r="J258" s="21"/>
      <c r="K258" s="25"/>
      <c r="L258" s="21"/>
      <c r="M258" s="21"/>
      <c r="N258" s="21"/>
      <c r="O258" s="21"/>
    </row>
    <row r="259" spans="1:15" x14ac:dyDescent="0.3">
      <c r="A259" s="20" t="str">
        <f t="shared" si="1"/>
        <v/>
      </c>
      <c r="B259" s="21"/>
      <c r="C259" s="21"/>
      <c r="D259" s="22" t="str">
        <f>IF($C259="","",IFERROR(VLOOKUP($C259,Map_Register!$A$2:$C$5,3,FALSE()),""))</f>
        <v/>
      </c>
      <c r="E259" s="21"/>
      <c r="F259" s="21"/>
      <c r="G259" s="21"/>
      <c r="H259" s="21"/>
      <c r="I259" s="21"/>
      <c r="J259" s="21"/>
      <c r="K259" s="25"/>
      <c r="L259" s="21"/>
      <c r="M259" s="21"/>
      <c r="N259" s="21"/>
      <c r="O259" s="21"/>
    </row>
    <row r="260" spans="1:15" x14ac:dyDescent="0.3">
      <c r="A260" s="20" t="str">
        <f t="shared" si="1"/>
        <v/>
      </c>
      <c r="B260" s="21"/>
      <c r="C260" s="21"/>
      <c r="D260" s="22" t="str">
        <f>IF($C260="","",IFERROR(VLOOKUP($C260,Map_Register!$A$2:$C$5,3,FALSE()),""))</f>
        <v/>
      </c>
      <c r="E260" s="21"/>
      <c r="F260" s="21"/>
      <c r="G260" s="21"/>
      <c r="H260" s="21"/>
      <c r="I260" s="21"/>
      <c r="J260" s="21"/>
      <c r="K260" s="25"/>
      <c r="L260" s="21"/>
      <c r="M260" s="21"/>
      <c r="N260" s="21"/>
      <c r="O260" s="21"/>
    </row>
    <row r="261" spans="1:15" x14ac:dyDescent="0.3">
      <c r="A261" s="20" t="str">
        <f t="shared" si="1"/>
        <v/>
      </c>
      <c r="B261" s="21"/>
      <c r="C261" s="21"/>
      <c r="D261" s="22" t="str">
        <f>IF($C261="","",IFERROR(VLOOKUP($C261,Map_Register!$A$2:$C$5,3,FALSE()),""))</f>
        <v/>
      </c>
      <c r="E261" s="21"/>
      <c r="F261" s="21"/>
      <c r="G261" s="21"/>
      <c r="H261" s="21"/>
      <c r="I261" s="21"/>
      <c r="J261" s="21"/>
      <c r="K261" s="25"/>
      <c r="L261" s="21"/>
      <c r="M261" s="21"/>
      <c r="N261" s="21"/>
      <c r="O261" s="21"/>
    </row>
    <row r="262" spans="1:15" x14ac:dyDescent="0.3">
      <c r="A262" s="20" t="str">
        <f t="shared" si="1"/>
        <v/>
      </c>
      <c r="B262" s="21"/>
      <c r="C262" s="21"/>
      <c r="D262" s="22" t="str">
        <f>IF($C262="","",IFERROR(VLOOKUP($C262,Map_Register!$A$2:$C$5,3,FALSE()),""))</f>
        <v/>
      </c>
      <c r="E262" s="21"/>
      <c r="F262" s="21"/>
      <c r="G262" s="21"/>
      <c r="H262" s="21"/>
      <c r="I262" s="21"/>
      <c r="J262" s="21"/>
      <c r="K262" s="25"/>
      <c r="L262" s="21"/>
      <c r="M262" s="21"/>
      <c r="N262" s="21"/>
      <c r="O262" s="21"/>
    </row>
    <row r="263" spans="1:15" x14ac:dyDescent="0.3">
      <c r="A263" s="20" t="str">
        <f t="shared" si="1"/>
        <v/>
      </c>
      <c r="B263" s="21"/>
      <c r="C263" s="21"/>
      <c r="D263" s="22" t="str">
        <f>IF($C263="","",IFERROR(VLOOKUP($C263,Map_Register!$A$2:$C$5,3,FALSE()),""))</f>
        <v/>
      </c>
      <c r="E263" s="21"/>
      <c r="F263" s="21"/>
      <c r="G263" s="21"/>
      <c r="H263" s="21"/>
      <c r="I263" s="21"/>
      <c r="J263" s="21"/>
      <c r="K263" s="25"/>
      <c r="L263" s="21"/>
      <c r="M263" s="21"/>
      <c r="N263" s="21"/>
      <c r="O263" s="21"/>
    </row>
    <row r="264" spans="1:15" x14ac:dyDescent="0.3">
      <c r="A264" s="20" t="str">
        <f t="shared" si="1"/>
        <v/>
      </c>
      <c r="B264" s="21"/>
      <c r="C264" s="21"/>
      <c r="D264" s="22" t="str">
        <f>IF($C264="","",IFERROR(VLOOKUP($C264,Map_Register!$A$2:$C$5,3,FALSE()),""))</f>
        <v/>
      </c>
      <c r="E264" s="21"/>
      <c r="F264" s="21"/>
      <c r="G264" s="21"/>
      <c r="H264" s="21"/>
      <c r="I264" s="21"/>
      <c r="J264" s="21"/>
      <c r="K264" s="25"/>
      <c r="L264" s="21"/>
      <c r="M264" s="21"/>
      <c r="N264" s="21"/>
      <c r="O264" s="21"/>
    </row>
    <row r="265" spans="1:15" x14ac:dyDescent="0.3">
      <c r="A265" s="20" t="str">
        <f t="shared" si="1"/>
        <v/>
      </c>
      <c r="B265" s="21"/>
      <c r="C265" s="21"/>
      <c r="D265" s="22" t="str">
        <f>IF($C265="","",IFERROR(VLOOKUP($C265,Map_Register!$A$2:$C$5,3,FALSE()),""))</f>
        <v/>
      </c>
      <c r="E265" s="21"/>
      <c r="F265" s="21"/>
      <c r="G265" s="21"/>
      <c r="H265" s="21"/>
      <c r="I265" s="21"/>
      <c r="J265" s="21"/>
      <c r="K265" s="25"/>
      <c r="L265" s="21"/>
      <c r="M265" s="21"/>
      <c r="N265" s="21"/>
      <c r="O265" s="21"/>
    </row>
    <row r="266" spans="1:15" x14ac:dyDescent="0.3">
      <c r="A266" s="20" t="str">
        <f t="shared" si="1"/>
        <v/>
      </c>
      <c r="B266" s="21"/>
      <c r="C266" s="21"/>
      <c r="D266" s="22" t="str">
        <f>IF($C266="","",IFERROR(VLOOKUP($C266,Map_Register!$A$2:$C$5,3,FALSE()),""))</f>
        <v/>
      </c>
      <c r="E266" s="21"/>
      <c r="F266" s="21"/>
      <c r="G266" s="21"/>
      <c r="H266" s="21"/>
      <c r="I266" s="21"/>
      <c r="J266" s="21"/>
      <c r="K266" s="25"/>
      <c r="L266" s="21"/>
      <c r="M266" s="21"/>
      <c r="N266" s="21"/>
      <c r="O266" s="21"/>
    </row>
    <row r="267" spans="1:15" x14ac:dyDescent="0.3">
      <c r="A267" s="20" t="str">
        <f t="shared" si="1"/>
        <v/>
      </c>
      <c r="B267" s="21"/>
      <c r="C267" s="21"/>
      <c r="D267" s="22" t="str">
        <f>IF($C267="","",IFERROR(VLOOKUP($C267,Map_Register!$A$2:$C$5,3,FALSE()),""))</f>
        <v/>
      </c>
      <c r="E267" s="21"/>
      <c r="F267" s="21"/>
      <c r="G267" s="21"/>
      <c r="H267" s="21"/>
      <c r="I267" s="21"/>
      <c r="J267" s="21"/>
      <c r="K267" s="25"/>
      <c r="L267" s="21"/>
      <c r="M267" s="21"/>
      <c r="N267" s="21"/>
      <c r="O267" s="21"/>
    </row>
    <row r="268" spans="1:15" x14ac:dyDescent="0.3">
      <c r="A268" s="20" t="str">
        <f t="shared" si="1"/>
        <v/>
      </c>
      <c r="B268" s="21"/>
      <c r="C268" s="21"/>
      <c r="D268" s="22" t="str">
        <f>IF($C268="","",IFERROR(VLOOKUP($C268,Map_Register!$A$2:$C$5,3,FALSE()),""))</f>
        <v/>
      </c>
      <c r="E268" s="21"/>
      <c r="F268" s="21"/>
      <c r="G268" s="21"/>
      <c r="H268" s="21"/>
      <c r="I268" s="21"/>
      <c r="J268" s="21"/>
      <c r="K268" s="25"/>
      <c r="L268" s="21"/>
      <c r="M268" s="21"/>
      <c r="N268" s="21"/>
      <c r="O268" s="21"/>
    </row>
    <row r="269" spans="1:15" x14ac:dyDescent="0.3">
      <c r="A269" s="20" t="str">
        <f t="shared" si="1"/>
        <v/>
      </c>
      <c r="B269" s="21"/>
      <c r="C269" s="21"/>
      <c r="D269" s="22" t="str">
        <f>IF($C269="","",IFERROR(VLOOKUP($C269,Map_Register!$A$2:$C$5,3,FALSE()),""))</f>
        <v/>
      </c>
      <c r="E269" s="21"/>
      <c r="F269" s="21"/>
      <c r="G269" s="21"/>
      <c r="H269" s="21"/>
      <c r="I269" s="21"/>
      <c r="J269" s="21"/>
      <c r="K269" s="25"/>
      <c r="L269" s="21"/>
      <c r="M269" s="21"/>
      <c r="N269" s="21"/>
      <c r="O269" s="21"/>
    </row>
    <row r="270" spans="1:15" x14ac:dyDescent="0.3">
      <c r="A270" s="20" t="str">
        <f t="shared" si="1"/>
        <v/>
      </c>
      <c r="B270" s="21"/>
      <c r="C270" s="21"/>
      <c r="D270" s="22" t="str">
        <f>IF($C270="","",IFERROR(VLOOKUP($C270,Map_Register!$A$2:$C$5,3,FALSE()),""))</f>
        <v/>
      </c>
      <c r="E270" s="21"/>
      <c r="F270" s="21"/>
      <c r="G270" s="21"/>
      <c r="H270" s="21"/>
      <c r="I270" s="21"/>
      <c r="J270" s="21"/>
      <c r="K270" s="25"/>
      <c r="L270" s="21"/>
      <c r="M270" s="21"/>
      <c r="N270" s="21"/>
      <c r="O270" s="21"/>
    </row>
    <row r="271" spans="1:15" x14ac:dyDescent="0.3">
      <c r="A271" s="20" t="str">
        <f t="shared" si="1"/>
        <v/>
      </c>
      <c r="B271" s="21"/>
      <c r="C271" s="21"/>
      <c r="D271" s="22" t="str">
        <f>IF($C271="","",IFERROR(VLOOKUP($C271,Map_Register!$A$2:$C$5,3,FALSE()),""))</f>
        <v/>
      </c>
      <c r="E271" s="21"/>
      <c r="F271" s="21"/>
      <c r="G271" s="21"/>
      <c r="H271" s="21"/>
      <c r="I271" s="21"/>
      <c r="J271" s="21"/>
      <c r="K271" s="25"/>
      <c r="L271" s="21"/>
      <c r="M271" s="21"/>
      <c r="N271" s="21"/>
      <c r="O271" s="21"/>
    </row>
    <row r="272" spans="1:15" x14ac:dyDescent="0.3">
      <c r="A272" s="20" t="str">
        <f t="shared" ref="A272:A335" si="2">IF($B272="","",ROW()-1)</f>
        <v/>
      </c>
      <c r="B272" s="21"/>
      <c r="C272" s="21"/>
      <c r="D272" s="22" t="str">
        <f>IF($C272="","",IFERROR(VLOOKUP($C272,Map_Register!$A$2:$C$5,3,FALSE()),""))</f>
        <v/>
      </c>
      <c r="E272" s="21"/>
      <c r="F272" s="21"/>
      <c r="G272" s="21"/>
      <c r="H272" s="21"/>
      <c r="I272" s="21"/>
      <c r="J272" s="21"/>
      <c r="K272" s="25"/>
      <c r="L272" s="21"/>
      <c r="M272" s="21"/>
      <c r="N272" s="21"/>
      <c r="O272" s="21"/>
    </row>
    <row r="273" spans="1:15" x14ac:dyDescent="0.3">
      <c r="A273" s="20" t="str">
        <f t="shared" si="2"/>
        <v/>
      </c>
      <c r="B273" s="21"/>
      <c r="C273" s="21"/>
      <c r="D273" s="22" t="str">
        <f>IF($C273="","",IFERROR(VLOOKUP($C273,Map_Register!$A$2:$C$5,3,FALSE()),""))</f>
        <v/>
      </c>
      <c r="E273" s="21"/>
      <c r="F273" s="21"/>
      <c r="G273" s="21"/>
      <c r="H273" s="21"/>
      <c r="I273" s="21"/>
      <c r="J273" s="21"/>
      <c r="K273" s="25"/>
      <c r="L273" s="21"/>
      <c r="M273" s="21"/>
      <c r="N273" s="21"/>
      <c r="O273" s="21"/>
    </row>
    <row r="274" spans="1:15" x14ac:dyDescent="0.3">
      <c r="A274" s="20" t="str">
        <f t="shared" si="2"/>
        <v/>
      </c>
      <c r="B274" s="21"/>
      <c r="C274" s="21"/>
      <c r="D274" s="22" t="str">
        <f>IF($C274="","",IFERROR(VLOOKUP($C274,Map_Register!$A$2:$C$5,3,FALSE()),""))</f>
        <v/>
      </c>
      <c r="E274" s="21"/>
      <c r="F274" s="21"/>
      <c r="G274" s="21"/>
      <c r="H274" s="21"/>
      <c r="I274" s="21"/>
      <c r="J274" s="21"/>
      <c r="K274" s="25"/>
      <c r="L274" s="21"/>
      <c r="M274" s="21"/>
      <c r="N274" s="21"/>
      <c r="O274" s="21"/>
    </row>
    <row r="275" spans="1:15" x14ac:dyDescent="0.3">
      <c r="A275" s="20" t="str">
        <f t="shared" si="2"/>
        <v/>
      </c>
      <c r="B275" s="21"/>
      <c r="C275" s="21"/>
      <c r="D275" s="22" t="str">
        <f>IF($C275="","",IFERROR(VLOOKUP($C275,Map_Register!$A$2:$C$5,3,FALSE()),""))</f>
        <v/>
      </c>
      <c r="E275" s="21"/>
      <c r="F275" s="21"/>
      <c r="G275" s="21"/>
      <c r="H275" s="21"/>
      <c r="I275" s="21"/>
      <c r="J275" s="21"/>
      <c r="K275" s="25"/>
      <c r="L275" s="21"/>
      <c r="M275" s="21"/>
      <c r="N275" s="21"/>
      <c r="O275" s="21"/>
    </row>
    <row r="276" spans="1:15" x14ac:dyDescent="0.3">
      <c r="A276" s="20" t="str">
        <f t="shared" si="2"/>
        <v/>
      </c>
      <c r="B276" s="21"/>
      <c r="C276" s="21"/>
      <c r="D276" s="22" t="str">
        <f>IF($C276="","",IFERROR(VLOOKUP($C276,Map_Register!$A$2:$C$5,3,FALSE()),""))</f>
        <v/>
      </c>
      <c r="E276" s="21"/>
      <c r="F276" s="21"/>
      <c r="G276" s="21"/>
      <c r="H276" s="21"/>
      <c r="I276" s="21"/>
      <c r="J276" s="21"/>
      <c r="K276" s="25"/>
      <c r="L276" s="21"/>
      <c r="M276" s="21"/>
      <c r="N276" s="21"/>
      <c r="O276" s="21"/>
    </row>
    <row r="277" spans="1:15" x14ac:dyDescent="0.3">
      <c r="A277" s="20" t="str">
        <f t="shared" si="2"/>
        <v/>
      </c>
      <c r="B277" s="21"/>
      <c r="C277" s="21"/>
      <c r="D277" s="22" t="str">
        <f>IF($C277="","",IFERROR(VLOOKUP($C277,Map_Register!$A$2:$C$5,3,FALSE()),""))</f>
        <v/>
      </c>
      <c r="E277" s="21"/>
      <c r="F277" s="21"/>
      <c r="G277" s="21"/>
      <c r="H277" s="21"/>
      <c r="I277" s="21"/>
      <c r="J277" s="21"/>
      <c r="K277" s="25"/>
      <c r="L277" s="21"/>
      <c r="M277" s="21"/>
      <c r="N277" s="21"/>
      <c r="O277" s="21"/>
    </row>
    <row r="278" spans="1:15" x14ac:dyDescent="0.3">
      <c r="A278" s="20" t="str">
        <f t="shared" si="2"/>
        <v/>
      </c>
      <c r="B278" s="21"/>
      <c r="C278" s="21"/>
      <c r="D278" s="22" t="str">
        <f>IF($C278="","",IFERROR(VLOOKUP($C278,Map_Register!$A$2:$C$5,3,FALSE()),""))</f>
        <v/>
      </c>
      <c r="E278" s="21"/>
      <c r="F278" s="21"/>
      <c r="G278" s="21"/>
      <c r="H278" s="21"/>
      <c r="I278" s="21"/>
      <c r="J278" s="21"/>
      <c r="K278" s="25"/>
      <c r="L278" s="21"/>
      <c r="M278" s="21"/>
      <c r="N278" s="21"/>
      <c r="O278" s="21"/>
    </row>
    <row r="279" spans="1:15" x14ac:dyDescent="0.3">
      <c r="A279" s="20" t="str">
        <f t="shared" si="2"/>
        <v/>
      </c>
      <c r="B279" s="21"/>
      <c r="C279" s="21"/>
      <c r="D279" s="22" t="str">
        <f>IF($C279="","",IFERROR(VLOOKUP($C279,Map_Register!$A$2:$C$5,3,FALSE()),""))</f>
        <v/>
      </c>
      <c r="E279" s="21"/>
      <c r="F279" s="21"/>
      <c r="G279" s="21"/>
      <c r="H279" s="21"/>
      <c r="I279" s="21"/>
      <c r="J279" s="21"/>
      <c r="K279" s="25"/>
      <c r="L279" s="21"/>
      <c r="M279" s="21"/>
      <c r="N279" s="21"/>
      <c r="O279" s="21"/>
    </row>
    <row r="280" spans="1:15" x14ac:dyDescent="0.3">
      <c r="A280" s="20" t="str">
        <f t="shared" si="2"/>
        <v/>
      </c>
      <c r="B280" s="21"/>
      <c r="C280" s="21"/>
      <c r="D280" s="22" t="str">
        <f>IF($C280="","",IFERROR(VLOOKUP($C280,Map_Register!$A$2:$C$5,3,FALSE()),""))</f>
        <v/>
      </c>
      <c r="E280" s="21"/>
      <c r="F280" s="21"/>
      <c r="G280" s="21"/>
      <c r="H280" s="21"/>
      <c r="I280" s="21"/>
      <c r="J280" s="21"/>
      <c r="K280" s="25"/>
      <c r="L280" s="21"/>
      <c r="M280" s="21"/>
      <c r="N280" s="21"/>
      <c r="O280" s="21"/>
    </row>
    <row r="281" spans="1:15" x14ac:dyDescent="0.3">
      <c r="A281" s="20" t="str">
        <f t="shared" si="2"/>
        <v/>
      </c>
      <c r="B281" s="21"/>
      <c r="C281" s="21"/>
      <c r="D281" s="22" t="str">
        <f>IF($C281="","",IFERROR(VLOOKUP($C281,Map_Register!$A$2:$C$5,3,FALSE()),""))</f>
        <v/>
      </c>
      <c r="E281" s="21"/>
      <c r="F281" s="21"/>
      <c r="G281" s="21"/>
      <c r="H281" s="21"/>
      <c r="I281" s="21"/>
      <c r="J281" s="21"/>
      <c r="K281" s="25"/>
      <c r="L281" s="21"/>
      <c r="M281" s="21"/>
      <c r="N281" s="21"/>
      <c r="O281" s="21"/>
    </row>
    <row r="282" spans="1:15" x14ac:dyDescent="0.3">
      <c r="A282" s="20" t="str">
        <f t="shared" si="2"/>
        <v/>
      </c>
      <c r="B282" s="21"/>
      <c r="C282" s="21"/>
      <c r="D282" s="22" t="str">
        <f>IF($C282="","",IFERROR(VLOOKUP($C282,Map_Register!$A$2:$C$5,3,FALSE()),""))</f>
        <v/>
      </c>
      <c r="E282" s="21"/>
      <c r="F282" s="21"/>
      <c r="G282" s="21"/>
      <c r="H282" s="21"/>
      <c r="I282" s="21"/>
      <c r="J282" s="21"/>
      <c r="K282" s="25"/>
      <c r="L282" s="21"/>
      <c r="M282" s="21"/>
      <c r="N282" s="21"/>
      <c r="O282" s="21"/>
    </row>
    <row r="283" spans="1:15" x14ac:dyDescent="0.3">
      <c r="A283" s="20" t="str">
        <f t="shared" si="2"/>
        <v/>
      </c>
      <c r="B283" s="21"/>
      <c r="C283" s="21"/>
      <c r="D283" s="22" t="str">
        <f>IF($C283="","",IFERROR(VLOOKUP($C283,Map_Register!$A$2:$C$5,3,FALSE()),""))</f>
        <v/>
      </c>
      <c r="E283" s="21"/>
      <c r="F283" s="21"/>
      <c r="G283" s="21"/>
      <c r="H283" s="21"/>
      <c r="I283" s="21"/>
      <c r="J283" s="21"/>
      <c r="K283" s="25"/>
      <c r="L283" s="21"/>
      <c r="M283" s="21"/>
      <c r="N283" s="21"/>
      <c r="O283" s="21"/>
    </row>
    <row r="284" spans="1:15" x14ac:dyDescent="0.3">
      <c r="A284" s="20" t="str">
        <f t="shared" si="2"/>
        <v/>
      </c>
      <c r="B284" s="21"/>
      <c r="C284" s="21"/>
      <c r="D284" s="22" t="str">
        <f>IF($C284="","",IFERROR(VLOOKUP($C284,Map_Register!$A$2:$C$5,3,FALSE()),""))</f>
        <v/>
      </c>
      <c r="E284" s="21"/>
      <c r="F284" s="21"/>
      <c r="G284" s="21"/>
      <c r="H284" s="21"/>
      <c r="I284" s="21"/>
      <c r="J284" s="21"/>
      <c r="K284" s="25"/>
      <c r="L284" s="21"/>
      <c r="M284" s="21"/>
      <c r="N284" s="21"/>
      <c r="O284" s="21"/>
    </row>
    <row r="285" spans="1:15" x14ac:dyDescent="0.3">
      <c r="A285" s="20" t="str">
        <f t="shared" si="2"/>
        <v/>
      </c>
      <c r="B285" s="21"/>
      <c r="C285" s="21"/>
      <c r="D285" s="22" t="str">
        <f>IF($C285="","",IFERROR(VLOOKUP($C285,Map_Register!$A$2:$C$5,3,FALSE()),""))</f>
        <v/>
      </c>
      <c r="E285" s="21"/>
      <c r="F285" s="21"/>
      <c r="G285" s="21"/>
      <c r="H285" s="21"/>
      <c r="I285" s="21"/>
      <c r="J285" s="21"/>
      <c r="K285" s="25"/>
      <c r="L285" s="21"/>
      <c r="M285" s="21"/>
      <c r="N285" s="21"/>
      <c r="O285" s="21"/>
    </row>
    <row r="286" spans="1:15" x14ac:dyDescent="0.3">
      <c r="A286" s="20" t="str">
        <f t="shared" si="2"/>
        <v/>
      </c>
      <c r="B286" s="21"/>
      <c r="C286" s="21"/>
      <c r="D286" s="22" t="str">
        <f>IF($C286="","",IFERROR(VLOOKUP($C286,Map_Register!$A$2:$C$5,3,FALSE()),""))</f>
        <v/>
      </c>
      <c r="E286" s="21"/>
      <c r="F286" s="21"/>
      <c r="G286" s="21"/>
      <c r="H286" s="21"/>
      <c r="I286" s="21"/>
      <c r="J286" s="21"/>
      <c r="K286" s="25"/>
      <c r="L286" s="21"/>
      <c r="M286" s="21"/>
      <c r="N286" s="21"/>
      <c r="O286" s="21"/>
    </row>
    <row r="287" spans="1:15" x14ac:dyDescent="0.3">
      <c r="A287" s="20" t="str">
        <f t="shared" si="2"/>
        <v/>
      </c>
      <c r="B287" s="21"/>
      <c r="C287" s="21"/>
      <c r="D287" s="22" t="str">
        <f>IF($C287="","",IFERROR(VLOOKUP($C287,Map_Register!$A$2:$C$5,3,FALSE()),""))</f>
        <v/>
      </c>
      <c r="E287" s="21"/>
      <c r="F287" s="21"/>
      <c r="G287" s="21"/>
      <c r="H287" s="21"/>
      <c r="I287" s="21"/>
      <c r="J287" s="21"/>
      <c r="K287" s="25"/>
      <c r="L287" s="21"/>
      <c r="M287" s="21"/>
      <c r="N287" s="21"/>
      <c r="O287" s="21"/>
    </row>
    <row r="288" spans="1:15" x14ac:dyDescent="0.3">
      <c r="A288" s="20" t="str">
        <f t="shared" si="2"/>
        <v/>
      </c>
      <c r="B288" s="21"/>
      <c r="C288" s="21"/>
      <c r="D288" s="22" t="str">
        <f>IF($C288="","",IFERROR(VLOOKUP($C288,Map_Register!$A$2:$C$5,3,FALSE()),""))</f>
        <v/>
      </c>
      <c r="E288" s="21"/>
      <c r="F288" s="21"/>
      <c r="G288" s="21"/>
      <c r="H288" s="21"/>
      <c r="I288" s="21"/>
      <c r="J288" s="21"/>
      <c r="K288" s="25"/>
      <c r="L288" s="21"/>
      <c r="M288" s="21"/>
      <c r="N288" s="21"/>
      <c r="O288" s="21"/>
    </row>
    <row r="289" spans="1:15" x14ac:dyDescent="0.3">
      <c r="A289" s="20" t="str">
        <f t="shared" si="2"/>
        <v/>
      </c>
      <c r="B289" s="21"/>
      <c r="C289" s="21"/>
      <c r="D289" s="22" t="str">
        <f>IF($C289="","",IFERROR(VLOOKUP($C289,Map_Register!$A$2:$C$5,3,FALSE()),""))</f>
        <v/>
      </c>
      <c r="E289" s="21"/>
      <c r="F289" s="21"/>
      <c r="G289" s="21"/>
      <c r="H289" s="21"/>
      <c r="I289" s="21"/>
      <c r="J289" s="21"/>
      <c r="K289" s="25"/>
      <c r="L289" s="21"/>
      <c r="M289" s="21"/>
      <c r="N289" s="21"/>
      <c r="O289" s="21"/>
    </row>
    <row r="290" spans="1:15" x14ac:dyDescent="0.3">
      <c r="A290" s="20" t="str">
        <f t="shared" si="2"/>
        <v/>
      </c>
      <c r="B290" s="21"/>
      <c r="C290" s="21"/>
      <c r="D290" s="22" t="str">
        <f>IF($C290="","",IFERROR(VLOOKUP($C290,Map_Register!$A$2:$C$5,3,FALSE()),""))</f>
        <v/>
      </c>
      <c r="E290" s="21"/>
      <c r="F290" s="21"/>
      <c r="G290" s="21"/>
      <c r="H290" s="21"/>
      <c r="I290" s="21"/>
      <c r="J290" s="21"/>
      <c r="K290" s="25"/>
      <c r="L290" s="21"/>
      <c r="M290" s="21"/>
      <c r="N290" s="21"/>
      <c r="O290" s="21"/>
    </row>
    <row r="291" spans="1:15" x14ac:dyDescent="0.3">
      <c r="A291" s="20" t="str">
        <f t="shared" si="2"/>
        <v/>
      </c>
      <c r="B291" s="21"/>
      <c r="C291" s="21"/>
      <c r="D291" s="22" t="str">
        <f>IF($C291="","",IFERROR(VLOOKUP($C291,Map_Register!$A$2:$C$5,3,FALSE()),""))</f>
        <v/>
      </c>
      <c r="E291" s="21"/>
      <c r="F291" s="21"/>
      <c r="G291" s="21"/>
      <c r="H291" s="21"/>
      <c r="I291" s="21"/>
      <c r="J291" s="21"/>
      <c r="K291" s="25"/>
      <c r="L291" s="21"/>
      <c r="M291" s="21"/>
      <c r="N291" s="21"/>
      <c r="O291" s="21"/>
    </row>
    <row r="292" spans="1:15" x14ac:dyDescent="0.3">
      <c r="A292" s="20" t="str">
        <f t="shared" si="2"/>
        <v/>
      </c>
      <c r="B292" s="21"/>
      <c r="C292" s="21"/>
      <c r="D292" s="22" t="str">
        <f>IF($C292="","",IFERROR(VLOOKUP($C292,Map_Register!$A$2:$C$5,3,FALSE()),""))</f>
        <v/>
      </c>
      <c r="E292" s="21"/>
      <c r="F292" s="21"/>
      <c r="G292" s="21"/>
      <c r="H292" s="21"/>
      <c r="I292" s="21"/>
      <c r="J292" s="21"/>
      <c r="K292" s="25"/>
      <c r="L292" s="21"/>
      <c r="M292" s="21"/>
      <c r="N292" s="21"/>
      <c r="O292" s="21"/>
    </row>
    <row r="293" spans="1:15" x14ac:dyDescent="0.3">
      <c r="A293" s="20" t="str">
        <f t="shared" si="2"/>
        <v/>
      </c>
      <c r="B293" s="21"/>
      <c r="C293" s="21"/>
      <c r="D293" s="22" t="str">
        <f>IF($C293="","",IFERROR(VLOOKUP($C293,Map_Register!$A$2:$C$5,3,FALSE()),""))</f>
        <v/>
      </c>
      <c r="E293" s="21"/>
      <c r="F293" s="21"/>
      <c r="G293" s="21"/>
      <c r="H293" s="21"/>
      <c r="I293" s="21"/>
      <c r="J293" s="21"/>
      <c r="K293" s="25"/>
      <c r="L293" s="21"/>
      <c r="M293" s="21"/>
      <c r="N293" s="21"/>
      <c r="O293" s="21"/>
    </row>
    <row r="294" spans="1:15" x14ac:dyDescent="0.3">
      <c r="A294" s="20" t="str">
        <f t="shared" si="2"/>
        <v/>
      </c>
      <c r="B294" s="21"/>
      <c r="C294" s="21"/>
      <c r="D294" s="22" t="str">
        <f>IF($C294="","",IFERROR(VLOOKUP($C294,Map_Register!$A$2:$C$5,3,FALSE()),""))</f>
        <v/>
      </c>
      <c r="E294" s="21"/>
      <c r="F294" s="21"/>
      <c r="G294" s="21"/>
      <c r="H294" s="21"/>
      <c r="I294" s="21"/>
      <c r="J294" s="21"/>
      <c r="K294" s="25"/>
      <c r="L294" s="21"/>
      <c r="M294" s="21"/>
      <c r="N294" s="21"/>
      <c r="O294" s="21"/>
    </row>
    <row r="295" spans="1:15" x14ac:dyDescent="0.3">
      <c r="A295" s="20" t="str">
        <f t="shared" si="2"/>
        <v/>
      </c>
      <c r="B295" s="21"/>
      <c r="C295" s="21"/>
      <c r="D295" s="22" t="str">
        <f>IF($C295="","",IFERROR(VLOOKUP($C295,Map_Register!$A$2:$C$5,3,FALSE()),""))</f>
        <v/>
      </c>
      <c r="E295" s="21"/>
      <c r="F295" s="21"/>
      <c r="G295" s="21"/>
      <c r="H295" s="21"/>
      <c r="I295" s="21"/>
      <c r="J295" s="21"/>
      <c r="K295" s="25"/>
      <c r="L295" s="21"/>
      <c r="M295" s="21"/>
      <c r="N295" s="21"/>
      <c r="O295" s="21"/>
    </row>
    <row r="296" spans="1:15" x14ac:dyDescent="0.3">
      <c r="A296" s="20" t="str">
        <f t="shared" si="2"/>
        <v/>
      </c>
      <c r="B296" s="21"/>
      <c r="C296" s="21"/>
      <c r="D296" s="22" t="str">
        <f>IF($C296="","",IFERROR(VLOOKUP($C296,Map_Register!$A$2:$C$5,3,FALSE()),""))</f>
        <v/>
      </c>
      <c r="E296" s="21"/>
      <c r="F296" s="21"/>
      <c r="G296" s="21"/>
      <c r="H296" s="21"/>
      <c r="I296" s="21"/>
      <c r="J296" s="21"/>
      <c r="K296" s="25"/>
      <c r="L296" s="21"/>
      <c r="M296" s="21"/>
      <c r="N296" s="21"/>
      <c r="O296" s="21"/>
    </row>
    <row r="297" spans="1:15" x14ac:dyDescent="0.3">
      <c r="A297" s="20" t="str">
        <f t="shared" si="2"/>
        <v/>
      </c>
      <c r="B297" s="21"/>
      <c r="C297" s="21"/>
      <c r="D297" s="22" t="str">
        <f>IF($C297="","",IFERROR(VLOOKUP($C297,Map_Register!$A$2:$C$5,3,FALSE()),""))</f>
        <v/>
      </c>
      <c r="E297" s="21"/>
      <c r="F297" s="21"/>
      <c r="G297" s="21"/>
      <c r="H297" s="21"/>
      <c r="I297" s="21"/>
      <c r="J297" s="21"/>
      <c r="K297" s="25"/>
      <c r="L297" s="21"/>
      <c r="M297" s="21"/>
      <c r="N297" s="21"/>
      <c r="O297" s="21"/>
    </row>
    <row r="298" spans="1:15" x14ac:dyDescent="0.3">
      <c r="A298" s="20" t="str">
        <f t="shared" si="2"/>
        <v/>
      </c>
      <c r="B298" s="21"/>
      <c r="C298" s="21"/>
      <c r="D298" s="22" t="str">
        <f>IF($C298="","",IFERROR(VLOOKUP($C298,Map_Register!$A$2:$C$5,3,FALSE()),""))</f>
        <v/>
      </c>
      <c r="E298" s="21"/>
      <c r="F298" s="21"/>
      <c r="G298" s="21"/>
      <c r="H298" s="21"/>
      <c r="I298" s="21"/>
      <c r="J298" s="21"/>
      <c r="K298" s="25"/>
      <c r="L298" s="21"/>
      <c r="M298" s="21"/>
      <c r="N298" s="21"/>
      <c r="O298" s="21"/>
    </row>
    <row r="299" spans="1:15" x14ac:dyDescent="0.3">
      <c r="A299" s="20" t="str">
        <f t="shared" si="2"/>
        <v/>
      </c>
      <c r="B299" s="21"/>
      <c r="C299" s="21"/>
      <c r="D299" s="22" t="str">
        <f>IF($C299="","",IFERROR(VLOOKUP($C299,Map_Register!$A$2:$C$5,3,FALSE()),""))</f>
        <v/>
      </c>
      <c r="E299" s="21"/>
      <c r="F299" s="21"/>
      <c r="G299" s="21"/>
      <c r="H299" s="21"/>
      <c r="I299" s="21"/>
      <c r="J299" s="21"/>
      <c r="K299" s="25"/>
      <c r="L299" s="21"/>
      <c r="M299" s="21"/>
      <c r="N299" s="21"/>
      <c r="O299" s="21"/>
    </row>
    <row r="300" spans="1:15" x14ac:dyDescent="0.3">
      <c r="A300" s="20" t="str">
        <f t="shared" si="2"/>
        <v/>
      </c>
      <c r="B300" s="21"/>
      <c r="C300" s="21"/>
      <c r="D300" s="22" t="str">
        <f>IF($C300="","",IFERROR(VLOOKUP($C300,Map_Register!$A$2:$C$5,3,FALSE()),""))</f>
        <v/>
      </c>
      <c r="E300" s="21"/>
      <c r="F300" s="21"/>
      <c r="G300" s="21"/>
      <c r="H300" s="21"/>
      <c r="I300" s="21"/>
      <c r="J300" s="21"/>
      <c r="K300" s="25"/>
      <c r="L300" s="21"/>
      <c r="M300" s="21"/>
      <c r="N300" s="21"/>
      <c r="O300" s="21"/>
    </row>
    <row r="301" spans="1:15" x14ac:dyDescent="0.3">
      <c r="A301" s="20" t="str">
        <f t="shared" si="2"/>
        <v/>
      </c>
      <c r="B301" s="21"/>
      <c r="C301" s="21"/>
      <c r="D301" s="22" t="str">
        <f>IF($C301="","",IFERROR(VLOOKUP($C301,Map_Register!$A$2:$C$5,3,FALSE()),""))</f>
        <v/>
      </c>
      <c r="E301" s="21"/>
      <c r="F301" s="21"/>
      <c r="G301" s="21"/>
      <c r="H301" s="21"/>
      <c r="I301" s="21"/>
      <c r="J301" s="21"/>
      <c r="K301" s="25"/>
      <c r="L301" s="21"/>
      <c r="M301" s="21"/>
      <c r="N301" s="21"/>
      <c r="O301" s="21"/>
    </row>
    <row r="302" spans="1:15" x14ac:dyDescent="0.3">
      <c r="A302" s="20" t="str">
        <f t="shared" si="2"/>
        <v/>
      </c>
      <c r="B302" s="21"/>
      <c r="C302" s="21"/>
      <c r="D302" s="22" t="str">
        <f>IF($C302="","",IFERROR(VLOOKUP($C302,Map_Register!$A$2:$C$5,3,FALSE()),""))</f>
        <v/>
      </c>
      <c r="E302" s="21"/>
      <c r="F302" s="21"/>
      <c r="G302" s="21"/>
      <c r="H302" s="21"/>
      <c r="I302" s="21"/>
      <c r="J302" s="21"/>
      <c r="K302" s="25"/>
      <c r="L302" s="21"/>
      <c r="M302" s="21"/>
      <c r="N302" s="21"/>
      <c r="O302" s="21"/>
    </row>
    <row r="303" spans="1:15" x14ac:dyDescent="0.3">
      <c r="A303" s="20" t="str">
        <f t="shared" si="2"/>
        <v/>
      </c>
      <c r="B303" s="21"/>
      <c r="C303" s="21"/>
      <c r="D303" s="22" t="str">
        <f>IF($C303="","",IFERROR(VLOOKUP($C303,Map_Register!$A$2:$C$5,3,FALSE()),""))</f>
        <v/>
      </c>
      <c r="E303" s="21"/>
      <c r="F303" s="21"/>
      <c r="G303" s="21"/>
      <c r="H303" s="21"/>
      <c r="I303" s="21"/>
      <c r="J303" s="21"/>
      <c r="K303" s="25"/>
      <c r="L303" s="21"/>
      <c r="M303" s="21"/>
      <c r="N303" s="21"/>
      <c r="O303" s="21"/>
    </row>
    <row r="304" spans="1:15" x14ac:dyDescent="0.3">
      <c r="A304" s="20" t="str">
        <f t="shared" si="2"/>
        <v/>
      </c>
      <c r="B304" s="21"/>
      <c r="C304" s="21"/>
      <c r="D304" s="22" t="str">
        <f>IF($C304="","",IFERROR(VLOOKUP($C304,Map_Register!$A$2:$C$5,3,FALSE()),""))</f>
        <v/>
      </c>
      <c r="E304" s="21"/>
      <c r="F304" s="21"/>
      <c r="G304" s="21"/>
      <c r="H304" s="21"/>
      <c r="I304" s="21"/>
      <c r="J304" s="21"/>
      <c r="K304" s="25"/>
      <c r="L304" s="21"/>
      <c r="M304" s="21"/>
      <c r="N304" s="21"/>
      <c r="O304" s="21"/>
    </row>
    <row r="305" spans="1:15" x14ac:dyDescent="0.3">
      <c r="A305" s="20" t="str">
        <f t="shared" si="2"/>
        <v/>
      </c>
      <c r="B305" s="21"/>
      <c r="C305" s="21"/>
      <c r="D305" s="22" t="str">
        <f>IF($C305="","",IFERROR(VLOOKUP($C305,Map_Register!$A$2:$C$5,3,FALSE()),""))</f>
        <v/>
      </c>
      <c r="E305" s="21"/>
      <c r="F305" s="21"/>
      <c r="G305" s="21"/>
      <c r="H305" s="21"/>
      <c r="I305" s="21"/>
      <c r="J305" s="21"/>
      <c r="K305" s="25"/>
      <c r="L305" s="21"/>
      <c r="M305" s="21"/>
      <c r="N305" s="21"/>
      <c r="O305" s="21"/>
    </row>
    <row r="306" spans="1:15" x14ac:dyDescent="0.3">
      <c r="A306" s="20" t="str">
        <f t="shared" si="2"/>
        <v/>
      </c>
      <c r="B306" s="21"/>
      <c r="C306" s="21"/>
      <c r="D306" s="22" t="str">
        <f>IF($C306="","",IFERROR(VLOOKUP($C306,Map_Register!$A$2:$C$5,3,FALSE()),""))</f>
        <v/>
      </c>
      <c r="E306" s="21"/>
      <c r="F306" s="21"/>
      <c r="G306" s="21"/>
      <c r="H306" s="21"/>
      <c r="I306" s="21"/>
      <c r="J306" s="21"/>
      <c r="K306" s="25"/>
      <c r="L306" s="21"/>
      <c r="M306" s="21"/>
      <c r="N306" s="21"/>
      <c r="O306" s="21"/>
    </row>
    <row r="307" spans="1:15" x14ac:dyDescent="0.3">
      <c r="A307" s="20" t="str">
        <f t="shared" si="2"/>
        <v/>
      </c>
      <c r="B307" s="21"/>
      <c r="C307" s="21"/>
      <c r="D307" s="22" t="str">
        <f>IF($C307="","",IFERROR(VLOOKUP($C307,Map_Register!$A$2:$C$5,3,FALSE()),""))</f>
        <v/>
      </c>
      <c r="E307" s="21"/>
      <c r="F307" s="21"/>
      <c r="G307" s="21"/>
      <c r="H307" s="21"/>
      <c r="I307" s="21"/>
      <c r="J307" s="21"/>
      <c r="K307" s="25"/>
      <c r="L307" s="21"/>
      <c r="M307" s="21"/>
      <c r="N307" s="21"/>
      <c r="O307" s="21"/>
    </row>
    <row r="308" spans="1:15" x14ac:dyDescent="0.3">
      <c r="A308" s="20" t="str">
        <f t="shared" si="2"/>
        <v/>
      </c>
      <c r="B308" s="21"/>
      <c r="C308" s="21"/>
      <c r="D308" s="22" t="str">
        <f>IF($C308="","",IFERROR(VLOOKUP($C308,Map_Register!$A$2:$C$5,3,FALSE()),""))</f>
        <v/>
      </c>
      <c r="E308" s="21"/>
      <c r="F308" s="21"/>
      <c r="G308" s="21"/>
      <c r="H308" s="21"/>
      <c r="I308" s="21"/>
      <c r="J308" s="21"/>
      <c r="K308" s="25"/>
      <c r="L308" s="21"/>
      <c r="M308" s="21"/>
      <c r="N308" s="21"/>
      <c r="O308" s="21"/>
    </row>
    <row r="309" spans="1:15" x14ac:dyDescent="0.3">
      <c r="A309" s="20" t="str">
        <f t="shared" si="2"/>
        <v/>
      </c>
      <c r="B309" s="21"/>
      <c r="C309" s="21"/>
      <c r="D309" s="22" t="str">
        <f>IF($C309="","",IFERROR(VLOOKUP($C309,Map_Register!$A$2:$C$5,3,FALSE()),""))</f>
        <v/>
      </c>
      <c r="E309" s="21"/>
      <c r="F309" s="21"/>
      <c r="G309" s="21"/>
      <c r="H309" s="21"/>
      <c r="I309" s="21"/>
      <c r="J309" s="21"/>
      <c r="K309" s="25"/>
      <c r="L309" s="21"/>
      <c r="M309" s="21"/>
      <c r="N309" s="21"/>
      <c r="O309" s="21"/>
    </row>
    <row r="310" spans="1:15" x14ac:dyDescent="0.3">
      <c r="A310" s="20" t="str">
        <f t="shared" si="2"/>
        <v/>
      </c>
      <c r="B310" s="21"/>
      <c r="C310" s="21"/>
      <c r="D310" s="22" t="str">
        <f>IF($C310="","",IFERROR(VLOOKUP($C310,Map_Register!$A$2:$C$5,3,FALSE()),""))</f>
        <v/>
      </c>
      <c r="E310" s="21"/>
      <c r="F310" s="21"/>
      <c r="G310" s="21"/>
      <c r="H310" s="21"/>
      <c r="I310" s="21"/>
      <c r="J310" s="21"/>
      <c r="K310" s="25"/>
      <c r="L310" s="21"/>
      <c r="M310" s="21"/>
      <c r="N310" s="21"/>
      <c r="O310" s="21"/>
    </row>
    <row r="311" spans="1:15" x14ac:dyDescent="0.3">
      <c r="A311" s="20" t="str">
        <f t="shared" si="2"/>
        <v/>
      </c>
      <c r="B311" s="21"/>
      <c r="C311" s="21"/>
      <c r="D311" s="22" t="str">
        <f>IF($C311="","",IFERROR(VLOOKUP($C311,Map_Register!$A$2:$C$5,3,FALSE()),""))</f>
        <v/>
      </c>
      <c r="E311" s="21"/>
      <c r="F311" s="21"/>
      <c r="G311" s="21"/>
      <c r="H311" s="21"/>
      <c r="I311" s="21"/>
      <c r="J311" s="21"/>
      <c r="K311" s="25"/>
      <c r="L311" s="21"/>
      <c r="M311" s="21"/>
      <c r="N311" s="21"/>
      <c r="O311" s="21"/>
    </row>
    <row r="312" spans="1:15" x14ac:dyDescent="0.3">
      <c r="A312" s="20" t="str">
        <f t="shared" si="2"/>
        <v/>
      </c>
      <c r="B312" s="21"/>
      <c r="C312" s="21"/>
      <c r="D312" s="22" t="str">
        <f>IF($C312="","",IFERROR(VLOOKUP($C312,Map_Register!$A$2:$C$5,3,FALSE()),""))</f>
        <v/>
      </c>
      <c r="E312" s="21"/>
      <c r="F312" s="21"/>
      <c r="G312" s="21"/>
      <c r="H312" s="21"/>
      <c r="I312" s="21"/>
      <c r="J312" s="21"/>
      <c r="K312" s="25"/>
      <c r="L312" s="21"/>
      <c r="M312" s="21"/>
      <c r="N312" s="21"/>
      <c r="O312" s="21"/>
    </row>
    <row r="313" spans="1:15" x14ac:dyDescent="0.3">
      <c r="A313" s="20" t="str">
        <f t="shared" si="2"/>
        <v/>
      </c>
      <c r="B313" s="21"/>
      <c r="C313" s="21"/>
      <c r="D313" s="22" t="str">
        <f>IF($C313="","",IFERROR(VLOOKUP($C313,Map_Register!$A$2:$C$5,3,FALSE()),""))</f>
        <v/>
      </c>
      <c r="E313" s="21"/>
      <c r="F313" s="21"/>
      <c r="G313" s="21"/>
      <c r="H313" s="21"/>
      <c r="I313" s="21"/>
      <c r="J313" s="21"/>
      <c r="K313" s="25"/>
      <c r="L313" s="21"/>
      <c r="M313" s="21"/>
      <c r="N313" s="21"/>
      <c r="O313" s="21"/>
    </row>
    <row r="314" spans="1:15" x14ac:dyDescent="0.3">
      <c r="A314" s="20" t="str">
        <f t="shared" si="2"/>
        <v/>
      </c>
      <c r="B314" s="21"/>
      <c r="C314" s="21"/>
      <c r="D314" s="22" t="str">
        <f>IF($C314="","",IFERROR(VLOOKUP($C314,Map_Register!$A$2:$C$5,3,FALSE()),""))</f>
        <v/>
      </c>
      <c r="E314" s="21"/>
      <c r="F314" s="21"/>
      <c r="G314" s="21"/>
      <c r="H314" s="21"/>
      <c r="I314" s="21"/>
      <c r="J314" s="21"/>
      <c r="K314" s="25"/>
      <c r="L314" s="21"/>
      <c r="M314" s="21"/>
      <c r="N314" s="21"/>
      <c r="O314" s="21"/>
    </row>
    <row r="315" spans="1:15" x14ac:dyDescent="0.3">
      <c r="A315" s="20" t="str">
        <f t="shared" si="2"/>
        <v/>
      </c>
      <c r="B315" s="21"/>
      <c r="C315" s="21"/>
      <c r="D315" s="22" t="str">
        <f>IF($C315="","",IFERROR(VLOOKUP($C315,Map_Register!$A$2:$C$5,3,FALSE()),""))</f>
        <v/>
      </c>
      <c r="E315" s="21"/>
      <c r="F315" s="21"/>
      <c r="G315" s="21"/>
      <c r="H315" s="21"/>
      <c r="I315" s="21"/>
      <c r="J315" s="21"/>
      <c r="K315" s="25"/>
      <c r="L315" s="21"/>
      <c r="M315" s="21"/>
      <c r="N315" s="21"/>
      <c r="O315" s="21"/>
    </row>
    <row r="316" spans="1:15" x14ac:dyDescent="0.3">
      <c r="A316" s="20" t="str">
        <f t="shared" si="2"/>
        <v/>
      </c>
      <c r="B316" s="21"/>
      <c r="C316" s="21"/>
      <c r="D316" s="22" t="str">
        <f>IF($C316="","",IFERROR(VLOOKUP($C316,Map_Register!$A$2:$C$5,3,FALSE()),""))</f>
        <v/>
      </c>
      <c r="E316" s="21"/>
      <c r="F316" s="21"/>
      <c r="G316" s="21"/>
      <c r="H316" s="21"/>
      <c r="I316" s="21"/>
      <c r="J316" s="21"/>
      <c r="K316" s="25"/>
      <c r="L316" s="21"/>
      <c r="M316" s="21"/>
      <c r="N316" s="21"/>
      <c r="O316" s="21"/>
    </row>
    <row r="317" spans="1:15" x14ac:dyDescent="0.3">
      <c r="A317" s="20" t="str">
        <f t="shared" si="2"/>
        <v/>
      </c>
      <c r="B317" s="21"/>
      <c r="C317" s="21"/>
      <c r="D317" s="22" t="str">
        <f>IF($C317="","",IFERROR(VLOOKUP($C317,Map_Register!$A$2:$C$5,3,FALSE()),""))</f>
        <v/>
      </c>
      <c r="E317" s="21"/>
      <c r="F317" s="21"/>
      <c r="G317" s="21"/>
      <c r="H317" s="21"/>
      <c r="I317" s="21"/>
      <c r="J317" s="21"/>
      <c r="K317" s="25"/>
      <c r="L317" s="21"/>
      <c r="M317" s="21"/>
      <c r="N317" s="21"/>
      <c r="O317" s="21"/>
    </row>
    <row r="318" spans="1:15" x14ac:dyDescent="0.3">
      <c r="A318" s="20" t="str">
        <f t="shared" si="2"/>
        <v/>
      </c>
      <c r="B318" s="21"/>
      <c r="C318" s="21"/>
      <c r="D318" s="22" t="str">
        <f>IF($C318="","",IFERROR(VLOOKUP($C318,Map_Register!$A$2:$C$5,3,FALSE()),""))</f>
        <v/>
      </c>
      <c r="E318" s="21"/>
      <c r="F318" s="21"/>
      <c r="G318" s="21"/>
      <c r="H318" s="21"/>
      <c r="I318" s="21"/>
      <c r="J318" s="21"/>
      <c r="K318" s="25"/>
      <c r="L318" s="21"/>
      <c r="M318" s="21"/>
      <c r="N318" s="21"/>
      <c r="O318" s="21"/>
    </row>
    <row r="319" spans="1:15" x14ac:dyDescent="0.3">
      <c r="A319" s="20" t="str">
        <f t="shared" si="2"/>
        <v/>
      </c>
      <c r="B319" s="21"/>
      <c r="C319" s="21"/>
      <c r="D319" s="22" t="str">
        <f>IF($C319="","",IFERROR(VLOOKUP($C319,Map_Register!$A$2:$C$5,3,FALSE()),""))</f>
        <v/>
      </c>
      <c r="E319" s="21"/>
      <c r="F319" s="21"/>
      <c r="G319" s="21"/>
      <c r="H319" s="21"/>
      <c r="I319" s="21"/>
      <c r="J319" s="21"/>
      <c r="K319" s="25"/>
      <c r="L319" s="21"/>
      <c r="M319" s="21"/>
      <c r="N319" s="21"/>
      <c r="O319" s="21"/>
    </row>
    <row r="320" spans="1:15" x14ac:dyDescent="0.3">
      <c r="A320" s="20" t="str">
        <f t="shared" si="2"/>
        <v/>
      </c>
      <c r="B320" s="21"/>
      <c r="C320" s="21"/>
      <c r="D320" s="22" t="str">
        <f>IF($C320="","",IFERROR(VLOOKUP($C320,Map_Register!$A$2:$C$5,3,FALSE()),""))</f>
        <v/>
      </c>
      <c r="E320" s="21"/>
      <c r="F320" s="21"/>
      <c r="G320" s="21"/>
      <c r="H320" s="21"/>
      <c r="I320" s="21"/>
      <c r="J320" s="21"/>
      <c r="K320" s="25"/>
      <c r="L320" s="21"/>
      <c r="M320" s="21"/>
      <c r="N320" s="21"/>
      <c r="O320" s="21"/>
    </row>
    <row r="321" spans="1:15" x14ac:dyDescent="0.3">
      <c r="A321" s="20" t="str">
        <f t="shared" si="2"/>
        <v/>
      </c>
      <c r="B321" s="21"/>
      <c r="C321" s="21"/>
      <c r="D321" s="22" t="str">
        <f>IF($C321="","",IFERROR(VLOOKUP($C321,Map_Register!$A$2:$C$5,3,FALSE()),""))</f>
        <v/>
      </c>
      <c r="E321" s="21"/>
      <c r="F321" s="21"/>
      <c r="G321" s="21"/>
      <c r="H321" s="21"/>
      <c r="I321" s="21"/>
      <c r="J321" s="21"/>
      <c r="K321" s="25"/>
      <c r="L321" s="21"/>
      <c r="M321" s="21"/>
      <c r="N321" s="21"/>
      <c r="O321" s="21"/>
    </row>
    <row r="322" spans="1:15" x14ac:dyDescent="0.3">
      <c r="A322" s="20" t="str">
        <f t="shared" si="2"/>
        <v/>
      </c>
      <c r="B322" s="21"/>
      <c r="C322" s="21"/>
      <c r="D322" s="22" t="str">
        <f>IF($C322="","",IFERROR(VLOOKUP($C322,Map_Register!$A$2:$C$5,3,FALSE()),""))</f>
        <v/>
      </c>
      <c r="E322" s="21"/>
      <c r="F322" s="21"/>
      <c r="G322" s="21"/>
      <c r="H322" s="21"/>
      <c r="I322" s="21"/>
      <c r="J322" s="21"/>
      <c r="K322" s="25"/>
      <c r="L322" s="21"/>
      <c r="M322" s="21"/>
      <c r="N322" s="21"/>
      <c r="O322" s="21"/>
    </row>
    <row r="323" spans="1:15" x14ac:dyDescent="0.3">
      <c r="A323" s="20" t="str">
        <f t="shared" si="2"/>
        <v/>
      </c>
      <c r="B323" s="21"/>
      <c r="C323" s="21"/>
      <c r="D323" s="22" t="str">
        <f>IF($C323="","",IFERROR(VLOOKUP($C323,Map_Register!$A$2:$C$5,3,FALSE()),""))</f>
        <v/>
      </c>
      <c r="E323" s="21"/>
      <c r="F323" s="21"/>
      <c r="G323" s="21"/>
      <c r="H323" s="21"/>
      <c r="I323" s="21"/>
      <c r="J323" s="21"/>
      <c r="K323" s="25"/>
      <c r="L323" s="21"/>
      <c r="M323" s="21"/>
      <c r="N323" s="21"/>
      <c r="O323" s="21"/>
    </row>
    <row r="324" spans="1:15" x14ac:dyDescent="0.3">
      <c r="A324" s="20" t="str">
        <f t="shared" si="2"/>
        <v/>
      </c>
      <c r="B324" s="21"/>
      <c r="C324" s="21"/>
      <c r="D324" s="22" t="str">
        <f>IF($C324="","",IFERROR(VLOOKUP($C324,Map_Register!$A$2:$C$5,3,FALSE()),""))</f>
        <v/>
      </c>
      <c r="E324" s="21"/>
      <c r="F324" s="21"/>
      <c r="G324" s="21"/>
      <c r="H324" s="21"/>
      <c r="I324" s="21"/>
      <c r="J324" s="21"/>
      <c r="K324" s="25"/>
      <c r="L324" s="21"/>
      <c r="M324" s="21"/>
      <c r="N324" s="21"/>
      <c r="O324" s="21"/>
    </row>
    <row r="325" spans="1:15" x14ac:dyDescent="0.3">
      <c r="A325" s="20" t="str">
        <f t="shared" si="2"/>
        <v/>
      </c>
      <c r="B325" s="21"/>
      <c r="C325" s="21"/>
      <c r="D325" s="22" t="str">
        <f>IF($C325="","",IFERROR(VLOOKUP($C325,Map_Register!$A$2:$C$5,3,FALSE()),""))</f>
        <v/>
      </c>
      <c r="E325" s="21"/>
      <c r="F325" s="21"/>
      <c r="G325" s="21"/>
      <c r="H325" s="21"/>
      <c r="I325" s="21"/>
      <c r="J325" s="21"/>
      <c r="K325" s="25"/>
      <c r="L325" s="21"/>
      <c r="M325" s="21"/>
      <c r="N325" s="21"/>
      <c r="O325" s="21"/>
    </row>
    <row r="326" spans="1:15" x14ac:dyDescent="0.3">
      <c r="A326" s="20" t="str">
        <f t="shared" si="2"/>
        <v/>
      </c>
      <c r="B326" s="21"/>
      <c r="C326" s="21"/>
      <c r="D326" s="22" t="str">
        <f>IF($C326="","",IFERROR(VLOOKUP($C326,Map_Register!$A$2:$C$5,3,FALSE()),""))</f>
        <v/>
      </c>
      <c r="E326" s="21"/>
      <c r="F326" s="21"/>
      <c r="G326" s="21"/>
      <c r="H326" s="21"/>
      <c r="I326" s="21"/>
      <c r="J326" s="21"/>
      <c r="K326" s="25"/>
      <c r="L326" s="21"/>
      <c r="M326" s="21"/>
      <c r="N326" s="21"/>
      <c r="O326" s="21"/>
    </row>
    <row r="327" spans="1:15" x14ac:dyDescent="0.3">
      <c r="A327" s="20" t="str">
        <f t="shared" si="2"/>
        <v/>
      </c>
      <c r="B327" s="21"/>
      <c r="C327" s="21"/>
      <c r="D327" s="22" t="str">
        <f>IF($C327="","",IFERROR(VLOOKUP($C327,Map_Register!$A$2:$C$5,3,FALSE()),""))</f>
        <v/>
      </c>
      <c r="E327" s="21"/>
      <c r="F327" s="21"/>
      <c r="G327" s="21"/>
      <c r="H327" s="21"/>
      <c r="I327" s="21"/>
      <c r="J327" s="21"/>
      <c r="K327" s="25"/>
      <c r="L327" s="21"/>
      <c r="M327" s="21"/>
      <c r="N327" s="21"/>
      <c r="O327" s="21"/>
    </row>
    <row r="328" spans="1:15" x14ac:dyDescent="0.3">
      <c r="A328" s="20" t="str">
        <f t="shared" si="2"/>
        <v/>
      </c>
      <c r="B328" s="21"/>
      <c r="C328" s="21"/>
      <c r="D328" s="22" t="str">
        <f>IF($C328="","",IFERROR(VLOOKUP($C328,Map_Register!$A$2:$C$5,3,FALSE()),""))</f>
        <v/>
      </c>
      <c r="E328" s="21"/>
      <c r="F328" s="21"/>
      <c r="G328" s="21"/>
      <c r="H328" s="21"/>
      <c r="I328" s="21"/>
      <c r="J328" s="21"/>
      <c r="K328" s="25"/>
      <c r="L328" s="21"/>
      <c r="M328" s="21"/>
      <c r="N328" s="21"/>
      <c r="O328" s="21"/>
    </row>
    <row r="329" spans="1:15" x14ac:dyDescent="0.3">
      <c r="A329" s="20" t="str">
        <f t="shared" si="2"/>
        <v/>
      </c>
      <c r="B329" s="21"/>
      <c r="C329" s="21"/>
      <c r="D329" s="22" t="str">
        <f>IF($C329="","",IFERROR(VLOOKUP($C329,Map_Register!$A$2:$C$5,3,FALSE()),""))</f>
        <v/>
      </c>
      <c r="E329" s="21"/>
      <c r="F329" s="21"/>
      <c r="G329" s="21"/>
      <c r="H329" s="21"/>
      <c r="I329" s="21"/>
      <c r="J329" s="21"/>
      <c r="K329" s="25"/>
      <c r="L329" s="21"/>
      <c r="M329" s="21"/>
      <c r="N329" s="21"/>
      <c r="O329" s="21"/>
    </row>
    <row r="330" spans="1:15" x14ac:dyDescent="0.3">
      <c r="A330" s="20" t="str">
        <f t="shared" si="2"/>
        <v/>
      </c>
      <c r="B330" s="21"/>
      <c r="C330" s="21"/>
      <c r="D330" s="22" t="str">
        <f>IF($C330="","",IFERROR(VLOOKUP($C330,Map_Register!$A$2:$C$5,3,FALSE()),""))</f>
        <v/>
      </c>
      <c r="E330" s="21"/>
      <c r="F330" s="21"/>
      <c r="G330" s="21"/>
      <c r="H330" s="21"/>
      <c r="I330" s="21"/>
      <c r="J330" s="21"/>
      <c r="K330" s="25"/>
      <c r="L330" s="21"/>
      <c r="M330" s="21"/>
      <c r="N330" s="21"/>
      <c r="O330" s="21"/>
    </row>
    <row r="331" spans="1:15" x14ac:dyDescent="0.3">
      <c r="A331" s="20" t="str">
        <f t="shared" si="2"/>
        <v/>
      </c>
      <c r="B331" s="21"/>
      <c r="C331" s="21"/>
      <c r="D331" s="22" t="str">
        <f>IF($C331="","",IFERROR(VLOOKUP($C331,Map_Register!$A$2:$C$5,3,FALSE()),""))</f>
        <v/>
      </c>
      <c r="E331" s="21"/>
      <c r="F331" s="21"/>
      <c r="G331" s="21"/>
      <c r="H331" s="21"/>
      <c r="I331" s="21"/>
      <c r="J331" s="21"/>
      <c r="K331" s="25"/>
      <c r="L331" s="21"/>
      <c r="M331" s="21"/>
      <c r="N331" s="21"/>
      <c r="O331" s="21"/>
    </row>
    <row r="332" spans="1:15" x14ac:dyDescent="0.3">
      <c r="A332" s="20" t="str">
        <f t="shared" si="2"/>
        <v/>
      </c>
      <c r="B332" s="21"/>
      <c r="C332" s="21"/>
      <c r="D332" s="22" t="str">
        <f>IF($C332="","",IFERROR(VLOOKUP($C332,Map_Register!$A$2:$C$5,3,FALSE()),""))</f>
        <v/>
      </c>
      <c r="E332" s="21"/>
      <c r="F332" s="21"/>
      <c r="G332" s="21"/>
      <c r="H332" s="21"/>
      <c r="I332" s="21"/>
      <c r="J332" s="21"/>
      <c r="K332" s="25"/>
      <c r="L332" s="21"/>
      <c r="M332" s="21"/>
      <c r="N332" s="21"/>
      <c r="O332" s="21"/>
    </row>
    <row r="333" spans="1:15" x14ac:dyDescent="0.3">
      <c r="A333" s="20" t="str">
        <f t="shared" si="2"/>
        <v/>
      </c>
      <c r="B333" s="21"/>
      <c r="C333" s="21"/>
      <c r="D333" s="22" t="str">
        <f>IF($C333="","",IFERROR(VLOOKUP($C333,Map_Register!$A$2:$C$5,3,FALSE()),""))</f>
        <v/>
      </c>
      <c r="E333" s="21"/>
      <c r="F333" s="21"/>
      <c r="G333" s="21"/>
      <c r="H333" s="21"/>
      <c r="I333" s="21"/>
      <c r="J333" s="21"/>
      <c r="K333" s="25"/>
      <c r="L333" s="21"/>
      <c r="M333" s="21"/>
      <c r="N333" s="21"/>
      <c r="O333" s="21"/>
    </row>
    <row r="334" spans="1:15" x14ac:dyDescent="0.3">
      <c r="A334" s="20" t="str">
        <f t="shared" si="2"/>
        <v/>
      </c>
      <c r="B334" s="21"/>
      <c r="C334" s="21"/>
      <c r="D334" s="22" t="str">
        <f>IF($C334="","",IFERROR(VLOOKUP($C334,Map_Register!$A$2:$C$5,3,FALSE()),""))</f>
        <v/>
      </c>
      <c r="E334" s="21"/>
      <c r="F334" s="21"/>
      <c r="G334" s="21"/>
      <c r="H334" s="21"/>
      <c r="I334" s="21"/>
      <c r="J334" s="21"/>
      <c r="K334" s="25"/>
      <c r="L334" s="21"/>
      <c r="M334" s="21"/>
      <c r="N334" s="21"/>
      <c r="O334" s="21"/>
    </row>
    <row r="335" spans="1:15" x14ac:dyDescent="0.3">
      <c r="A335" s="20" t="str">
        <f t="shared" si="2"/>
        <v/>
      </c>
      <c r="B335" s="21"/>
      <c r="C335" s="21"/>
      <c r="D335" s="22" t="str">
        <f>IF($C335="","",IFERROR(VLOOKUP($C335,Map_Register!$A$2:$C$5,3,FALSE()),""))</f>
        <v/>
      </c>
      <c r="E335" s="21"/>
      <c r="F335" s="21"/>
      <c r="G335" s="21"/>
      <c r="H335" s="21"/>
      <c r="I335" s="21"/>
      <c r="J335" s="21"/>
      <c r="K335" s="25"/>
      <c r="L335" s="21"/>
      <c r="M335" s="21"/>
      <c r="N335" s="21"/>
      <c r="O335" s="21"/>
    </row>
    <row r="336" spans="1:15" x14ac:dyDescent="0.3">
      <c r="A336" s="20" t="str">
        <f t="shared" ref="A336:A399" si="3">IF($B336="","",ROW()-1)</f>
        <v/>
      </c>
      <c r="B336" s="21"/>
      <c r="C336" s="21"/>
      <c r="D336" s="22" t="str">
        <f>IF($C336="","",IFERROR(VLOOKUP($C336,Map_Register!$A$2:$C$5,3,FALSE()),""))</f>
        <v/>
      </c>
      <c r="E336" s="21"/>
      <c r="F336" s="21"/>
      <c r="G336" s="21"/>
      <c r="H336" s="21"/>
      <c r="I336" s="21"/>
      <c r="J336" s="21"/>
      <c r="K336" s="25"/>
      <c r="L336" s="21"/>
      <c r="M336" s="21"/>
      <c r="N336" s="21"/>
      <c r="O336" s="21"/>
    </row>
    <row r="337" spans="1:15" x14ac:dyDescent="0.3">
      <c r="A337" s="20" t="str">
        <f t="shared" si="3"/>
        <v/>
      </c>
      <c r="B337" s="21"/>
      <c r="C337" s="21"/>
      <c r="D337" s="22" t="str">
        <f>IF($C337="","",IFERROR(VLOOKUP($C337,Map_Register!$A$2:$C$5,3,FALSE()),""))</f>
        <v/>
      </c>
      <c r="E337" s="21"/>
      <c r="F337" s="21"/>
      <c r="G337" s="21"/>
      <c r="H337" s="21"/>
      <c r="I337" s="21"/>
      <c r="J337" s="21"/>
      <c r="K337" s="25"/>
      <c r="L337" s="21"/>
      <c r="M337" s="21"/>
      <c r="N337" s="21"/>
      <c r="O337" s="21"/>
    </row>
    <row r="338" spans="1:15" x14ac:dyDescent="0.3">
      <c r="A338" s="20" t="str">
        <f t="shared" si="3"/>
        <v/>
      </c>
      <c r="B338" s="21"/>
      <c r="C338" s="21"/>
      <c r="D338" s="22" t="str">
        <f>IF($C338="","",IFERROR(VLOOKUP($C338,Map_Register!$A$2:$C$5,3,FALSE()),""))</f>
        <v/>
      </c>
      <c r="E338" s="21"/>
      <c r="F338" s="21"/>
      <c r="G338" s="21"/>
      <c r="H338" s="21"/>
      <c r="I338" s="21"/>
      <c r="J338" s="21"/>
      <c r="K338" s="25"/>
      <c r="L338" s="21"/>
      <c r="M338" s="21"/>
      <c r="N338" s="21"/>
      <c r="O338" s="21"/>
    </row>
    <row r="339" spans="1:15" x14ac:dyDescent="0.3">
      <c r="A339" s="20" t="str">
        <f t="shared" si="3"/>
        <v/>
      </c>
      <c r="B339" s="21"/>
      <c r="C339" s="21"/>
      <c r="D339" s="22" t="str">
        <f>IF($C339="","",IFERROR(VLOOKUP($C339,Map_Register!$A$2:$C$5,3,FALSE()),""))</f>
        <v/>
      </c>
      <c r="E339" s="21"/>
      <c r="F339" s="21"/>
      <c r="G339" s="21"/>
      <c r="H339" s="21"/>
      <c r="I339" s="21"/>
      <c r="J339" s="21"/>
      <c r="K339" s="25"/>
      <c r="L339" s="21"/>
      <c r="M339" s="21"/>
      <c r="N339" s="21"/>
      <c r="O339" s="21"/>
    </row>
    <row r="340" spans="1:15" x14ac:dyDescent="0.3">
      <c r="A340" s="20" t="str">
        <f t="shared" si="3"/>
        <v/>
      </c>
      <c r="B340" s="21"/>
      <c r="C340" s="21"/>
      <c r="D340" s="22" t="str">
        <f>IF($C340="","",IFERROR(VLOOKUP($C340,Map_Register!$A$2:$C$5,3,FALSE()),""))</f>
        <v/>
      </c>
      <c r="E340" s="21"/>
      <c r="F340" s="21"/>
      <c r="G340" s="21"/>
      <c r="H340" s="21"/>
      <c r="I340" s="21"/>
      <c r="J340" s="21"/>
      <c r="K340" s="25"/>
      <c r="L340" s="21"/>
      <c r="M340" s="21"/>
      <c r="N340" s="21"/>
      <c r="O340" s="21"/>
    </row>
    <row r="341" spans="1:15" x14ac:dyDescent="0.3">
      <c r="A341" s="20" t="str">
        <f t="shared" si="3"/>
        <v/>
      </c>
      <c r="B341" s="21"/>
      <c r="C341" s="21"/>
      <c r="D341" s="22" t="str">
        <f>IF($C341="","",IFERROR(VLOOKUP($C341,Map_Register!$A$2:$C$5,3,FALSE()),""))</f>
        <v/>
      </c>
      <c r="E341" s="21"/>
      <c r="F341" s="21"/>
      <c r="G341" s="21"/>
      <c r="H341" s="21"/>
      <c r="I341" s="21"/>
      <c r="J341" s="21"/>
      <c r="K341" s="25"/>
      <c r="L341" s="21"/>
      <c r="M341" s="21"/>
      <c r="N341" s="21"/>
      <c r="O341" s="21"/>
    </row>
    <row r="342" spans="1:15" x14ac:dyDescent="0.3">
      <c r="A342" s="20" t="str">
        <f t="shared" si="3"/>
        <v/>
      </c>
      <c r="B342" s="21"/>
      <c r="C342" s="21"/>
      <c r="D342" s="22" t="str">
        <f>IF($C342="","",IFERROR(VLOOKUP($C342,Map_Register!$A$2:$C$5,3,FALSE()),""))</f>
        <v/>
      </c>
      <c r="E342" s="21"/>
      <c r="F342" s="21"/>
      <c r="G342" s="21"/>
      <c r="H342" s="21"/>
      <c r="I342" s="21"/>
      <c r="J342" s="21"/>
      <c r="K342" s="25"/>
      <c r="L342" s="21"/>
      <c r="M342" s="21"/>
      <c r="N342" s="21"/>
      <c r="O342" s="21"/>
    </row>
    <row r="343" spans="1:15" x14ac:dyDescent="0.3">
      <c r="A343" s="20" t="str">
        <f t="shared" si="3"/>
        <v/>
      </c>
      <c r="B343" s="21"/>
      <c r="C343" s="21"/>
      <c r="D343" s="22" t="str">
        <f>IF($C343="","",IFERROR(VLOOKUP($C343,Map_Register!$A$2:$C$5,3,FALSE()),""))</f>
        <v/>
      </c>
      <c r="E343" s="21"/>
      <c r="F343" s="21"/>
      <c r="G343" s="21"/>
      <c r="H343" s="21"/>
      <c r="I343" s="21"/>
      <c r="J343" s="21"/>
      <c r="K343" s="25"/>
      <c r="L343" s="21"/>
      <c r="M343" s="21"/>
      <c r="N343" s="21"/>
      <c r="O343" s="21"/>
    </row>
    <row r="344" spans="1:15" x14ac:dyDescent="0.3">
      <c r="A344" s="20" t="str">
        <f t="shared" si="3"/>
        <v/>
      </c>
      <c r="B344" s="21"/>
      <c r="C344" s="21"/>
      <c r="D344" s="22" t="str">
        <f>IF($C344="","",IFERROR(VLOOKUP($C344,Map_Register!$A$2:$C$5,3,FALSE()),""))</f>
        <v/>
      </c>
      <c r="E344" s="21"/>
      <c r="F344" s="21"/>
      <c r="G344" s="21"/>
      <c r="H344" s="21"/>
      <c r="I344" s="21"/>
      <c r="J344" s="21"/>
      <c r="K344" s="25"/>
      <c r="L344" s="21"/>
      <c r="M344" s="21"/>
      <c r="N344" s="21"/>
      <c r="O344" s="21"/>
    </row>
    <row r="345" spans="1:15" x14ac:dyDescent="0.3">
      <c r="A345" s="20" t="str">
        <f t="shared" si="3"/>
        <v/>
      </c>
      <c r="B345" s="21"/>
      <c r="C345" s="21"/>
      <c r="D345" s="22" t="str">
        <f>IF($C345="","",IFERROR(VLOOKUP($C345,Map_Register!$A$2:$C$5,3,FALSE()),""))</f>
        <v/>
      </c>
      <c r="E345" s="21"/>
      <c r="F345" s="21"/>
      <c r="G345" s="21"/>
      <c r="H345" s="21"/>
      <c r="I345" s="21"/>
      <c r="J345" s="21"/>
      <c r="K345" s="25"/>
      <c r="L345" s="21"/>
      <c r="M345" s="21"/>
      <c r="N345" s="21"/>
      <c r="O345" s="21"/>
    </row>
    <row r="346" spans="1:15" x14ac:dyDescent="0.3">
      <c r="A346" s="20" t="str">
        <f t="shared" si="3"/>
        <v/>
      </c>
      <c r="B346" s="21"/>
      <c r="C346" s="21"/>
      <c r="D346" s="22" t="str">
        <f>IF($C346="","",IFERROR(VLOOKUP($C346,Map_Register!$A$2:$C$5,3,FALSE()),""))</f>
        <v/>
      </c>
      <c r="E346" s="21"/>
      <c r="F346" s="21"/>
      <c r="G346" s="21"/>
      <c r="H346" s="21"/>
      <c r="I346" s="21"/>
      <c r="J346" s="21"/>
      <c r="K346" s="25"/>
      <c r="L346" s="21"/>
      <c r="M346" s="21"/>
      <c r="N346" s="21"/>
      <c r="O346" s="21"/>
    </row>
    <row r="347" spans="1:15" x14ac:dyDescent="0.3">
      <c r="A347" s="20" t="str">
        <f t="shared" si="3"/>
        <v/>
      </c>
      <c r="B347" s="21"/>
      <c r="C347" s="21"/>
      <c r="D347" s="22" t="str">
        <f>IF($C347="","",IFERROR(VLOOKUP($C347,Map_Register!$A$2:$C$5,3,FALSE()),""))</f>
        <v/>
      </c>
      <c r="E347" s="21"/>
      <c r="F347" s="21"/>
      <c r="G347" s="21"/>
      <c r="H347" s="21"/>
      <c r="I347" s="21"/>
      <c r="J347" s="21"/>
      <c r="K347" s="25"/>
      <c r="L347" s="21"/>
      <c r="M347" s="21"/>
      <c r="N347" s="21"/>
      <c r="O347" s="21"/>
    </row>
    <row r="348" spans="1:15" x14ac:dyDescent="0.3">
      <c r="A348" s="20" t="str">
        <f t="shared" si="3"/>
        <v/>
      </c>
      <c r="B348" s="21"/>
      <c r="C348" s="21"/>
      <c r="D348" s="22" t="str">
        <f>IF($C348="","",IFERROR(VLOOKUP($C348,Map_Register!$A$2:$C$5,3,FALSE()),""))</f>
        <v/>
      </c>
      <c r="E348" s="21"/>
      <c r="F348" s="21"/>
      <c r="G348" s="21"/>
      <c r="H348" s="21"/>
      <c r="I348" s="21"/>
      <c r="J348" s="21"/>
      <c r="K348" s="25"/>
      <c r="L348" s="21"/>
      <c r="M348" s="21"/>
      <c r="N348" s="21"/>
      <c r="O348" s="21"/>
    </row>
    <row r="349" spans="1:15" x14ac:dyDescent="0.3">
      <c r="A349" s="20" t="str">
        <f t="shared" si="3"/>
        <v/>
      </c>
      <c r="B349" s="21"/>
      <c r="C349" s="21"/>
      <c r="D349" s="22" t="str">
        <f>IF($C349="","",IFERROR(VLOOKUP($C349,Map_Register!$A$2:$C$5,3,FALSE()),""))</f>
        <v/>
      </c>
      <c r="E349" s="21"/>
      <c r="F349" s="21"/>
      <c r="G349" s="21"/>
      <c r="H349" s="21"/>
      <c r="I349" s="21"/>
      <c r="J349" s="21"/>
      <c r="K349" s="25"/>
      <c r="L349" s="21"/>
      <c r="M349" s="21"/>
      <c r="N349" s="21"/>
      <c r="O349" s="21"/>
    </row>
    <row r="350" spans="1:15" x14ac:dyDescent="0.3">
      <c r="A350" s="20" t="str">
        <f t="shared" si="3"/>
        <v/>
      </c>
      <c r="B350" s="21"/>
      <c r="C350" s="21"/>
      <c r="D350" s="22" t="str">
        <f>IF($C350="","",IFERROR(VLOOKUP($C350,Map_Register!$A$2:$C$5,3,FALSE()),""))</f>
        <v/>
      </c>
      <c r="E350" s="21"/>
      <c r="F350" s="21"/>
      <c r="G350" s="21"/>
      <c r="H350" s="21"/>
      <c r="I350" s="21"/>
      <c r="J350" s="21"/>
      <c r="K350" s="25"/>
      <c r="L350" s="21"/>
      <c r="M350" s="21"/>
      <c r="N350" s="21"/>
      <c r="O350" s="21"/>
    </row>
    <row r="351" spans="1:15" x14ac:dyDescent="0.3">
      <c r="A351" s="20" t="str">
        <f t="shared" si="3"/>
        <v/>
      </c>
      <c r="B351" s="21"/>
      <c r="C351" s="21"/>
      <c r="D351" s="22" t="str">
        <f>IF($C351="","",IFERROR(VLOOKUP($C351,Map_Register!$A$2:$C$5,3,FALSE()),""))</f>
        <v/>
      </c>
      <c r="E351" s="21"/>
      <c r="F351" s="21"/>
      <c r="G351" s="21"/>
      <c r="H351" s="21"/>
      <c r="I351" s="21"/>
      <c r="J351" s="21"/>
      <c r="K351" s="25"/>
      <c r="L351" s="21"/>
      <c r="M351" s="21"/>
      <c r="N351" s="21"/>
      <c r="O351" s="21"/>
    </row>
    <row r="352" spans="1:15" x14ac:dyDescent="0.3">
      <c r="A352" s="20" t="str">
        <f t="shared" si="3"/>
        <v/>
      </c>
      <c r="B352" s="21"/>
      <c r="C352" s="21"/>
      <c r="D352" s="22" t="str">
        <f>IF($C352="","",IFERROR(VLOOKUP($C352,Map_Register!$A$2:$C$5,3,FALSE()),""))</f>
        <v/>
      </c>
      <c r="E352" s="21"/>
      <c r="F352" s="21"/>
      <c r="G352" s="21"/>
      <c r="H352" s="21"/>
      <c r="I352" s="21"/>
      <c r="J352" s="21"/>
      <c r="K352" s="25"/>
      <c r="L352" s="21"/>
      <c r="M352" s="21"/>
      <c r="N352" s="21"/>
      <c r="O352" s="21"/>
    </row>
    <row r="353" spans="1:15" x14ac:dyDescent="0.3">
      <c r="A353" s="20" t="str">
        <f t="shared" si="3"/>
        <v/>
      </c>
      <c r="B353" s="21"/>
      <c r="C353" s="21"/>
      <c r="D353" s="22" t="str">
        <f>IF($C353="","",IFERROR(VLOOKUP($C353,Map_Register!$A$2:$C$5,3,FALSE()),""))</f>
        <v/>
      </c>
      <c r="E353" s="21"/>
      <c r="F353" s="21"/>
      <c r="G353" s="21"/>
      <c r="H353" s="21"/>
      <c r="I353" s="21"/>
      <c r="J353" s="21"/>
      <c r="K353" s="25"/>
      <c r="L353" s="21"/>
      <c r="M353" s="21"/>
      <c r="N353" s="21"/>
      <c r="O353" s="21"/>
    </row>
    <row r="354" spans="1:15" x14ac:dyDescent="0.3">
      <c r="A354" s="20" t="str">
        <f t="shared" si="3"/>
        <v/>
      </c>
      <c r="B354" s="21"/>
      <c r="C354" s="21"/>
      <c r="D354" s="22" t="str">
        <f>IF($C354="","",IFERROR(VLOOKUP($C354,Map_Register!$A$2:$C$5,3,FALSE()),""))</f>
        <v/>
      </c>
      <c r="E354" s="21"/>
      <c r="F354" s="21"/>
      <c r="G354" s="21"/>
      <c r="H354" s="21"/>
      <c r="I354" s="21"/>
      <c r="J354" s="21"/>
      <c r="K354" s="25"/>
      <c r="L354" s="21"/>
      <c r="M354" s="21"/>
      <c r="N354" s="21"/>
      <c r="O354" s="21"/>
    </row>
    <row r="355" spans="1:15" x14ac:dyDescent="0.3">
      <c r="A355" s="20" t="str">
        <f t="shared" si="3"/>
        <v/>
      </c>
      <c r="B355" s="21"/>
      <c r="C355" s="21"/>
      <c r="D355" s="22" t="str">
        <f>IF($C355="","",IFERROR(VLOOKUP($C355,Map_Register!$A$2:$C$5,3,FALSE()),""))</f>
        <v/>
      </c>
      <c r="E355" s="21"/>
      <c r="F355" s="21"/>
      <c r="G355" s="21"/>
      <c r="H355" s="21"/>
      <c r="I355" s="21"/>
      <c r="J355" s="21"/>
      <c r="K355" s="25"/>
      <c r="L355" s="21"/>
      <c r="M355" s="21"/>
      <c r="N355" s="21"/>
      <c r="O355" s="21"/>
    </row>
    <row r="356" spans="1:15" x14ac:dyDescent="0.3">
      <c r="A356" s="20" t="str">
        <f t="shared" si="3"/>
        <v/>
      </c>
      <c r="B356" s="21"/>
      <c r="C356" s="21"/>
      <c r="D356" s="22" t="str">
        <f>IF($C356="","",IFERROR(VLOOKUP($C356,Map_Register!$A$2:$C$5,3,FALSE()),""))</f>
        <v/>
      </c>
      <c r="E356" s="21"/>
      <c r="F356" s="21"/>
      <c r="G356" s="21"/>
      <c r="H356" s="21"/>
      <c r="I356" s="21"/>
      <c r="J356" s="21"/>
      <c r="K356" s="25"/>
      <c r="L356" s="21"/>
      <c r="M356" s="21"/>
      <c r="N356" s="21"/>
      <c r="O356" s="21"/>
    </row>
    <row r="357" spans="1:15" x14ac:dyDescent="0.3">
      <c r="A357" s="20" t="str">
        <f t="shared" si="3"/>
        <v/>
      </c>
      <c r="B357" s="21"/>
      <c r="C357" s="21"/>
      <c r="D357" s="22" t="str">
        <f>IF($C357="","",IFERROR(VLOOKUP($C357,Map_Register!$A$2:$C$5,3,FALSE()),""))</f>
        <v/>
      </c>
      <c r="E357" s="21"/>
      <c r="F357" s="21"/>
      <c r="G357" s="21"/>
      <c r="H357" s="21"/>
      <c r="I357" s="21"/>
      <c r="J357" s="21"/>
      <c r="K357" s="25"/>
      <c r="L357" s="21"/>
      <c r="M357" s="21"/>
      <c r="N357" s="21"/>
      <c r="O357" s="21"/>
    </row>
    <row r="358" spans="1:15" x14ac:dyDescent="0.3">
      <c r="A358" s="20" t="str">
        <f t="shared" si="3"/>
        <v/>
      </c>
      <c r="B358" s="21"/>
      <c r="C358" s="21"/>
      <c r="D358" s="22" t="str">
        <f>IF($C358="","",IFERROR(VLOOKUP($C358,Map_Register!$A$2:$C$5,3,FALSE()),""))</f>
        <v/>
      </c>
      <c r="E358" s="21"/>
      <c r="F358" s="21"/>
      <c r="G358" s="21"/>
      <c r="H358" s="21"/>
      <c r="I358" s="21"/>
      <c r="J358" s="21"/>
      <c r="K358" s="25"/>
      <c r="L358" s="21"/>
      <c r="M358" s="21"/>
      <c r="N358" s="21"/>
      <c r="O358" s="21"/>
    </row>
    <row r="359" spans="1:15" x14ac:dyDescent="0.3">
      <c r="A359" s="20" t="str">
        <f t="shared" si="3"/>
        <v/>
      </c>
      <c r="B359" s="21"/>
      <c r="C359" s="21"/>
      <c r="D359" s="22" t="str">
        <f>IF($C359="","",IFERROR(VLOOKUP($C359,Map_Register!$A$2:$C$5,3,FALSE()),""))</f>
        <v/>
      </c>
      <c r="E359" s="21"/>
      <c r="F359" s="21"/>
      <c r="G359" s="21"/>
      <c r="H359" s="21"/>
      <c r="I359" s="21"/>
      <c r="J359" s="21"/>
      <c r="K359" s="25"/>
      <c r="L359" s="21"/>
      <c r="M359" s="21"/>
      <c r="N359" s="21"/>
      <c r="O359" s="21"/>
    </row>
    <row r="360" spans="1:15" x14ac:dyDescent="0.3">
      <c r="A360" s="20" t="str">
        <f t="shared" si="3"/>
        <v/>
      </c>
      <c r="B360" s="21"/>
      <c r="C360" s="21"/>
      <c r="D360" s="22" t="str">
        <f>IF($C360="","",IFERROR(VLOOKUP($C360,Map_Register!$A$2:$C$5,3,FALSE()),""))</f>
        <v/>
      </c>
      <c r="E360" s="21"/>
      <c r="F360" s="21"/>
      <c r="G360" s="21"/>
      <c r="H360" s="21"/>
      <c r="I360" s="21"/>
      <c r="J360" s="21"/>
      <c r="K360" s="25"/>
      <c r="L360" s="21"/>
      <c r="M360" s="21"/>
      <c r="N360" s="21"/>
      <c r="O360" s="21"/>
    </row>
    <row r="361" spans="1:15" x14ac:dyDescent="0.3">
      <c r="A361" s="20" t="str">
        <f t="shared" si="3"/>
        <v/>
      </c>
      <c r="B361" s="21"/>
      <c r="C361" s="21"/>
      <c r="D361" s="22" t="str">
        <f>IF($C361="","",IFERROR(VLOOKUP($C361,Map_Register!$A$2:$C$5,3,FALSE()),""))</f>
        <v/>
      </c>
      <c r="E361" s="21"/>
      <c r="F361" s="21"/>
      <c r="G361" s="21"/>
      <c r="H361" s="21"/>
      <c r="I361" s="21"/>
      <c r="J361" s="21"/>
      <c r="K361" s="25"/>
      <c r="L361" s="21"/>
      <c r="M361" s="21"/>
      <c r="N361" s="21"/>
      <c r="O361" s="21"/>
    </row>
    <row r="362" spans="1:15" x14ac:dyDescent="0.3">
      <c r="A362" s="20" t="str">
        <f t="shared" si="3"/>
        <v/>
      </c>
      <c r="B362" s="21"/>
      <c r="C362" s="21"/>
      <c r="D362" s="22" t="str">
        <f>IF($C362="","",IFERROR(VLOOKUP($C362,Map_Register!$A$2:$C$5,3,FALSE()),""))</f>
        <v/>
      </c>
      <c r="E362" s="21"/>
      <c r="F362" s="21"/>
      <c r="G362" s="21"/>
      <c r="H362" s="21"/>
      <c r="I362" s="21"/>
      <c r="J362" s="21"/>
      <c r="K362" s="25"/>
      <c r="L362" s="21"/>
      <c r="M362" s="21"/>
      <c r="N362" s="21"/>
      <c r="O362" s="21"/>
    </row>
    <row r="363" spans="1:15" x14ac:dyDescent="0.3">
      <c r="A363" s="20" t="str">
        <f t="shared" si="3"/>
        <v/>
      </c>
      <c r="B363" s="21"/>
      <c r="C363" s="21"/>
      <c r="D363" s="22" t="str">
        <f>IF($C363="","",IFERROR(VLOOKUP($C363,Map_Register!$A$2:$C$5,3,FALSE()),""))</f>
        <v/>
      </c>
      <c r="E363" s="21"/>
      <c r="F363" s="21"/>
      <c r="G363" s="21"/>
      <c r="H363" s="21"/>
      <c r="I363" s="21"/>
      <c r="J363" s="21"/>
      <c r="K363" s="25"/>
      <c r="L363" s="21"/>
      <c r="M363" s="21"/>
      <c r="N363" s="21"/>
      <c r="O363" s="21"/>
    </row>
    <row r="364" spans="1:15" x14ac:dyDescent="0.3">
      <c r="A364" s="20" t="str">
        <f t="shared" si="3"/>
        <v/>
      </c>
      <c r="B364" s="21"/>
      <c r="C364" s="21"/>
      <c r="D364" s="22" t="str">
        <f>IF($C364="","",IFERROR(VLOOKUP($C364,Map_Register!$A$2:$C$5,3,FALSE()),""))</f>
        <v/>
      </c>
      <c r="E364" s="21"/>
      <c r="F364" s="21"/>
      <c r="G364" s="21"/>
      <c r="H364" s="21"/>
      <c r="I364" s="21"/>
      <c r="J364" s="21"/>
      <c r="K364" s="25"/>
      <c r="L364" s="21"/>
      <c r="M364" s="21"/>
      <c r="N364" s="21"/>
      <c r="O364" s="21"/>
    </row>
    <row r="365" spans="1:15" x14ac:dyDescent="0.3">
      <c r="A365" s="20" t="str">
        <f t="shared" si="3"/>
        <v/>
      </c>
      <c r="B365" s="21"/>
      <c r="C365" s="21"/>
      <c r="D365" s="22" t="str">
        <f>IF($C365="","",IFERROR(VLOOKUP($C365,Map_Register!$A$2:$C$5,3,FALSE()),""))</f>
        <v/>
      </c>
      <c r="E365" s="21"/>
      <c r="F365" s="21"/>
      <c r="G365" s="21"/>
      <c r="H365" s="21"/>
      <c r="I365" s="21"/>
      <c r="J365" s="21"/>
      <c r="K365" s="25"/>
      <c r="L365" s="21"/>
      <c r="M365" s="21"/>
      <c r="N365" s="21"/>
      <c r="O365" s="21"/>
    </row>
    <row r="366" spans="1:15" x14ac:dyDescent="0.3">
      <c r="A366" s="20" t="str">
        <f t="shared" si="3"/>
        <v/>
      </c>
      <c r="B366" s="21"/>
      <c r="C366" s="21"/>
      <c r="D366" s="22" t="str">
        <f>IF($C366="","",IFERROR(VLOOKUP($C366,Map_Register!$A$2:$C$5,3,FALSE()),""))</f>
        <v/>
      </c>
      <c r="E366" s="21"/>
      <c r="F366" s="21"/>
      <c r="G366" s="21"/>
      <c r="H366" s="21"/>
      <c r="I366" s="21"/>
      <c r="J366" s="21"/>
      <c r="K366" s="25"/>
      <c r="L366" s="21"/>
      <c r="M366" s="21"/>
      <c r="N366" s="21"/>
      <c r="O366" s="21"/>
    </row>
    <row r="367" spans="1:15" x14ac:dyDescent="0.3">
      <c r="A367" s="20" t="str">
        <f t="shared" si="3"/>
        <v/>
      </c>
      <c r="B367" s="21"/>
      <c r="C367" s="21"/>
      <c r="D367" s="22" t="str">
        <f>IF($C367="","",IFERROR(VLOOKUP($C367,Map_Register!$A$2:$C$5,3,FALSE()),""))</f>
        <v/>
      </c>
      <c r="E367" s="21"/>
      <c r="F367" s="21"/>
      <c r="G367" s="21"/>
      <c r="H367" s="21"/>
      <c r="I367" s="21"/>
      <c r="J367" s="21"/>
      <c r="K367" s="25"/>
      <c r="L367" s="21"/>
      <c r="M367" s="21"/>
      <c r="N367" s="21"/>
      <c r="O367" s="21"/>
    </row>
    <row r="368" spans="1:15" x14ac:dyDescent="0.3">
      <c r="A368" s="20" t="str">
        <f t="shared" si="3"/>
        <v/>
      </c>
      <c r="B368" s="21"/>
      <c r="C368" s="21"/>
      <c r="D368" s="22" t="str">
        <f>IF($C368="","",IFERROR(VLOOKUP($C368,Map_Register!$A$2:$C$5,3,FALSE()),""))</f>
        <v/>
      </c>
      <c r="E368" s="21"/>
      <c r="F368" s="21"/>
      <c r="G368" s="21"/>
      <c r="H368" s="21"/>
      <c r="I368" s="21"/>
      <c r="J368" s="21"/>
      <c r="K368" s="25"/>
      <c r="L368" s="21"/>
      <c r="M368" s="21"/>
      <c r="N368" s="21"/>
      <c r="O368" s="21"/>
    </row>
    <row r="369" spans="1:15" x14ac:dyDescent="0.3">
      <c r="A369" s="20" t="str">
        <f t="shared" si="3"/>
        <v/>
      </c>
      <c r="B369" s="21"/>
      <c r="C369" s="21"/>
      <c r="D369" s="22" t="str">
        <f>IF($C369="","",IFERROR(VLOOKUP($C369,Map_Register!$A$2:$C$5,3,FALSE()),""))</f>
        <v/>
      </c>
      <c r="E369" s="21"/>
      <c r="F369" s="21"/>
      <c r="G369" s="21"/>
      <c r="H369" s="21"/>
      <c r="I369" s="21"/>
      <c r="J369" s="21"/>
      <c r="K369" s="25"/>
      <c r="L369" s="21"/>
      <c r="M369" s="21"/>
      <c r="N369" s="21"/>
      <c r="O369" s="21"/>
    </row>
    <row r="370" spans="1:15" x14ac:dyDescent="0.3">
      <c r="A370" s="20" t="str">
        <f t="shared" si="3"/>
        <v/>
      </c>
      <c r="B370" s="21"/>
      <c r="C370" s="21"/>
      <c r="D370" s="22" t="str">
        <f>IF($C370="","",IFERROR(VLOOKUP($C370,Map_Register!$A$2:$C$5,3,FALSE()),""))</f>
        <v/>
      </c>
      <c r="E370" s="21"/>
      <c r="F370" s="21"/>
      <c r="G370" s="21"/>
      <c r="H370" s="21"/>
      <c r="I370" s="21"/>
      <c r="J370" s="21"/>
      <c r="K370" s="25"/>
      <c r="L370" s="21"/>
      <c r="M370" s="21"/>
      <c r="N370" s="21"/>
      <c r="O370" s="21"/>
    </row>
    <row r="371" spans="1:15" x14ac:dyDescent="0.3">
      <c r="A371" s="20" t="str">
        <f t="shared" si="3"/>
        <v/>
      </c>
      <c r="B371" s="21"/>
      <c r="C371" s="21"/>
      <c r="D371" s="22" t="str">
        <f>IF($C371="","",IFERROR(VLOOKUP($C371,Map_Register!$A$2:$C$5,3,FALSE()),""))</f>
        <v/>
      </c>
      <c r="E371" s="21"/>
      <c r="F371" s="21"/>
      <c r="G371" s="21"/>
      <c r="H371" s="21"/>
      <c r="I371" s="21"/>
      <c r="J371" s="21"/>
      <c r="K371" s="25"/>
      <c r="L371" s="21"/>
      <c r="M371" s="21"/>
      <c r="N371" s="21"/>
      <c r="O371" s="21"/>
    </row>
    <row r="372" spans="1:15" x14ac:dyDescent="0.3">
      <c r="A372" s="20" t="str">
        <f t="shared" si="3"/>
        <v/>
      </c>
      <c r="B372" s="21"/>
      <c r="C372" s="21"/>
      <c r="D372" s="22" t="str">
        <f>IF($C372="","",IFERROR(VLOOKUP($C372,Map_Register!$A$2:$C$5,3,FALSE()),""))</f>
        <v/>
      </c>
      <c r="E372" s="21"/>
      <c r="F372" s="21"/>
      <c r="G372" s="21"/>
      <c r="H372" s="21"/>
      <c r="I372" s="21"/>
      <c r="J372" s="21"/>
      <c r="K372" s="25"/>
      <c r="L372" s="21"/>
      <c r="M372" s="21"/>
      <c r="N372" s="21"/>
      <c r="O372" s="21"/>
    </row>
    <row r="373" spans="1:15" x14ac:dyDescent="0.3">
      <c r="A373" s="20" t="str">
        <f t="shared" si="3"/>
        <v/>
      </c>
      <c r="B373" s="21"/>
      <c r="C373" s="21"/>
      <c r="D373" s="22" t="str">
        <f>IF($C373="","",IFERROR(VLOOKUP($C373,Map_Register!$A$2:$C$5,3,FALSE()),""))</f>
        <v/>
      </c>
      <c r="E373" s="21"/>
      <c r="F373" s="21"/>
      <c r="G373" s="21"/>
      <c r="H373" s="21"/>
      <c r="I373" s="21"/>
      <c r="J373" s="21"/>
      <c r="K373" s="25"/>
      <c r="L373" s="21"/>
      <c r="M373" s="21"/>
      <c r="N373" s="21"/>
      <c r="O373" s="21"/>
    </row>
    <row r="374" spans="1:15" x14ac:dyDescent="0.3">
      <c r="A374" s="20" t="str">
        <f t="shared" si="3"/>
        <v/>
      </c>
      <c r="B374" s="21"/>
      <c r="C374" s="21"/>
      <c r="D374" s="22" t="str">
        <f>IF($C374="","",IFERROR(VLOOKUP($C374,Map_Register!$A$2:$C$5,3,FALSE()),""))</f>
        <v/>
      </c>
      <c r="E374" s="21"/>
      <c r="F374" s="21"/>
      <c r="G374" s="21"/>
      <c r="H374" s="21"/>
      <c r="I374" s="21"/>
      <c r="J374" s="21"/>
      <c r="K374" s="25"/>
      <c r="L374" s="21"/>
      <c r="M374" s="21"/>
      <c r="N374" s="21"/>
      <c r="O374" s="21"/>
    </row>
    <row r="375" spans="1:15" x14ac:dyDescent="0.3">
      <c r="A375" s="20" t="str">
        <f t="shared" si="3"/>
        <v/>
      </c>
      <c r="B375" s="21"/>
      <c r="C375" s="21"/>
      <c r="D375" s="22" t="str">
        <f>IF($C375="","",IFERROR(VLOOKUP($C375,Map_Register!$A$2:$C$5,3,FALSE()),""))</f>
        <v/>
      </c>
      <c r="E375" s="21"/>
      <c r="F375" s="21"/>
      <c r="G375" s="21"/>
      <c r="H375" s="21"/>
      <c r="I375" s="21"/>
      <c r="J375" s="21"/>
      <c r="K375" s="25"/>
      <c r="L375" s="21"/>
      <c r="M375" s="21"/>
      <c r="N375" s="21"/>
      <c r="O375" s="21"/>
    </row>
    <row r="376" spans="1:15" x14ac:dyDescent="0.3">
      <c r="A376" s="20" t="str">
        <f t="shared" si="3"/>
        <v/>
      </c>
      <c r="B376" s="21"/>
      <c r="C376" s="21"/>
      <c r="D376" s="22" t="str">
        <f>IF($C376="","",IFERROR(VLOOKUP($C376,Map_Register!$A$2:$C$5,3,FALSE()),""))</f>
        <v/>
      </c>
      <c r="E376" s="21"/>
      <c r="F376" s="21"/>
      <c r="G376" s="21"/>
      <c r="H376" s="21"/>
      <c r="I376" s="21"/>
      <c r="J376" s="21"/>
      <c r="K376" s="25"/>
      <c r="L376" s="21"/>
      <c r="M376" s="21"/>
      <c r="N376" s="21"/>
      <c r="O376" s="21"/>
    </row>
    <row r="377" spans="1:15" x14ac:dyDescent="0.3">
      <c r="A377" s="20" t="str">
        <f t="shared" si="3"/>
        <v/>
      </c>
      <c r="B377" s="21"/>
      <c r="C377" s="21"/>
      <c r="D377" s="22" t="str">
        <f>IF($C377="","",IFERROR(VLOOKUP($C377,Map_Register!$A$2:$C$5,3,FALSE()),""))</f>
        <v/>
      </c>
      <c r="E377" s="21"/>
      <c r="F377" s="21"/>
      <c r="G377" s="21"/>
      <c r="H377" s="21"/>
      <c r="I377" s="21"/>
      <c r="J377" s="21"/>
      <c r="K377" s="25"/>
      <c r="L377" s="21"/>
      <c r="M377" s="21"/>
      <c r="N377" s="21"/>
      <c r="O377" s="21"/>
    </row>
    <row r="378" spans="1:15" x14ac:dyDescent="0.3">
      <c r="A378" s="20" t="str">
        <f t="shared" si="3"/>
        <v/>
      </c>
      <c r="B378" s="21"/>
      <c r="C378" s="21"/>
      <c r="D378" s="22" t="str">
        <f>IF($C378="","",IFERROR(VLOOKUP($C378,Map_Register!$A$2:$C$5,3,FALSE()),""))</f>
        <v/>
      </c>
      <c r="E378" s="21"/>
      <c r="F378" s="21"/>
      <c r="G378" s="21"/>
      <c r="H378" s="21"/>
      <c r="I378" s="21"/>
      <c r="J378" s="21"/>
      <c r="K378" s="25"/>
      <c r="L378" s="21"/>
      <c r="M378" s="21"/>
      <c r="N378" s="21"/>
      <c r="O378" s="21"/>
    </row>
    <row r="379" spans="1:15" x14ac:dyDescent="0.3">
      <c r="A379" s="20" t="str">
        <f t="shared" si="3"/>
        <v/>
      </c>
      <c r="B379" s="21"/>
      <c r="C379" s="21"/>
      <c r="D379" s="22" t="str">
        <f>IF($C379="","",IFERROR(VLOOKUP($C379,Map_Register!$A$2:$C$5,3,FALSE()),""))</f>
        <v/>
      </c>
      <c r="E379" s="21"/>
      <c r="F379" s="21"/>
      <c r="G379" s="21"/>
      <c r="H379" s="21"/>
      <c r="I379" s="21"/>
      <c r="J379" s="21"/>
      <c r="K379" s="25"/>
      <c r="L379" s="21"/>
      <c r="M379" s="21"/>
      <c r="N379" s="21"/>
      <c r="O379" s="21"/>
    </row>
    <row r="380" spans="1:15" x14ac:dyDescent="0.3">
      <c r="A380" s="20" t="str">
        <f t="shared" si="3"/>
        <v/>
      </c>
      <c r="B380" s="21"/>
      <c r="C380" s="21"/>
      <c r="D380" s="22" t="str">
        <f>IF($C380="","",IFERROR(VLOOKUP($C380,Map_Register!$A$2:$C$5,3,FALSE()),""))</f>
        <v/>
      </c>
      <c r="E380" s="21"/>
      <c r="F380" s="21"/>
      <c r="G380" s="21"/>
      <c r="H380" s="21"/>
      <c r="I380" s="21"/>
      <c r="J380" s="21"/>
      <c r="K380" s="25"/>
      <c r="L380" s="21"/>
      <c r="M380" s="21"/>
      <c r="N380" s="21"/>
      <c r="O380" s="21"/>
    </row>
    <row r="381" spans="1:15" x14ac:dyDescent="0.3">
      <c r="A381" s="20" t="str">
        <f t="shared" si="3"/>
        <v/>
      </c>
      <c r="B381" s="21"/>
      <c r="C381" s="21"/>
      <c r="D381" s="22" t="str">
        <f>IF($C381="","",IFERROR(VLOOKUP($C381,Map_Register!$A$2:$C$5,3,FALSE()),""))</f>
        <v/>
      </c>
      <c r="E381" s="21"/>
      <c r="F381" s="21"/>
      <c r="G381" s="21"/>
      <c r="H381" s="21"/>
      <c r="I381" s="21"/>
      <c r="J381" s="21"/>
      <c r="K381" s="25"/>
      <c r="L381" s="21"/>
      <c r="M381" s="21"/>
      <c r="N381" s="21"/>
      <c r="O381" s="21"/>
    </row>
    <row r="382" spans="1:15" x14ac:dyDescent="0.3">
      <c r="A382" s="20" t="str">
        <f t="shared" si="3"/>
        <v/>
      </c>
      <c r="B382" s="21"/>
      <c r="C382" s="21"/>
      <c r="D382" s="22" t="str">
        <f>IF($C382="","",IFERROR(VLOOKUP($C382,Map_Register!$A$2:$C$5,3,FALSE()),""))</f>
        <v/>
      </c>
      <c r="E382" s="21"/>
      <c r="F382" s="21"/>
      <c r="G382" s="21"/>
      <c r="H382" s="21"/>
      <c r="I382" s="21"/>
      <c r="J382" s="21"/>
      <c r="K382" s="25"/>
      <c r="L382" s="21"/>
      <c r="M382" s="21"/>
      <c r="N382" s="21"/>
      <c r="O382" s="21"/>
    </row>
    <row r="383" spans="1:15" x14ac:dyDescent="0.3">
      <c r="A383" s="20" t="str">
        <f t="shared" si="3"/>
        <v/>
      </c>
      <c r="B383" s="21"/>
      <c r="C383" s="21"/>
      <c r="D383" s="22" t="str">
        <f>IF($C383="","",IFERROR(VLOOKUP($C383,Map_Register!$A$2:$C$5,3,FALSE()),""))</f>
        <v/>
      </c>
      <c r="E383" s="21"/>
      <c r="F383" s="21"/>
      <c r="G383" s="21"/>
      <c r="H383" s="21"/>
      <c r="I383" s="21"/>
      <c r="J383" s="21"/>
      <c r="K383" s="25"/>
      <c r="L383" s="21"/>
      <c r="M383" s="21"/>
      <c r="N383" s="21"/>
      <c r="O383" s="21"/>
    </row>
    <row r="384" spans="1:15" x14ac:dyDescent="0.3">
      <c r="A384" s="20" t="str">
        <f t="shared" si="3"/>
        <v/>
      </c>
      <c r="B384" s="21"/>
      <c r="C384" s="21"/>
      <c r="D384" s="22" t="str">
        <f>IF($C384="","",IFERROR(VLOOKUP($C384,Map_Register!$A$2:$C$5,3,FALSE()),""))</f>
        <v/>
      </c>
      <c r="E384" s="21"/>
      <c r="F384" s="21"/>
      <c r="G384" s="21"/>
      <c r="H384" s="21"/>
      <c r="I384" s="21"/>
      <c r="J384" s="21"/>
      <c r="K384" s="25"/>
      <c r="L384" s="21"/>
      <c r="M384" s="21"/>
      <c r="N384" s="21"/>
      <c r="O384" s="21"/>
    </row>
    <row r="385" spans="1:15" x14ac:dyDescent="0.3">
      <c r="A385" s="20" t="str">
        <f t="shared" si="3"/>
        <v/>
      </c>
      <c r="B385" s="21"/>
      <c r="C385" s="21"/>
      <c r="D385" s="22" t="str">
        <f>IF($C385="","",IFERROR(VLOOKUP($C385,Map_Register!$A$2:$C$5,3,FALSE()),""))</f>
        <v/>
      </c>
      <c r="E385" s="21"/>
      <c r="F385" s="21"/>
      <c r="G385" s="21"/>
      <c r="H385" s="21"/>
      <c r="I385" s="21"/>
      <c r="J385" s="21"/>
      <c r="K385" s="25"/>
      <c r="L385" s="21"/>
      <c r="M385" s="21"/>
      <c r="N385" s="21"/>
      <c r="O385" s="21"/>
    </row>
    <row r="386" spans="1:15" x14ac:dyDescent="0.3">
      <c r="A386" s="20" t="str">
        <f t="shared" si="3"/>
        <v/>
      </c>
      <c r="B386" s="21"/>
      <c r="C386" s="21"/>
      <c r="D386" s="22" t="str">
        <f>IF($C386="","",IFERROR(VLOOKUP($C386,Map_Register!$A$2:$C$5,3,FALSE()),""))</f>
        <v/>
      </c>
      <c r="E386" s="21"/>
      <c r="F386" s="21"/>
      <c r="G386" s="21"/>
      <c r="H386" s="21"/>
      <c r="I386" s="21"/>
      <c r="J386" s="21"/>
      <c r="K386" s="25"/>
      <c r="L386" s="21"/>
      <c r="M386" s="21"/>
      <c r="N386" s="21"/>
      <c r="O386" s="21"/>
    </row>
    <row r="387" spans="1:15" x14ac:dyDescent="0.3">
      <c r="A387" s="20" t="str">
        <f t="shared" si="3"/>
        <v/>
      </c>
      <c r="B387" s="21"/>
      <c r="C387" s="21"/>
      <c r="D387" s="22" t="str">
        <f>IF($C387="","",IFERROR(VLOOKUP($C387,Map_Register!$A$2:$C$5,3,FALSE()),""))</f>
        <v/>
      </c>
      <c r="E387" s="21"/>
      <c r="F387" s="21"/>
      <c r="G387" s="21"/>
      <c r="H387" s="21"/>
      <c r="I387" s="21"/>
      <c r="J387" s="21"/>
      <c r="K387" s="25"/>
      <c r="L387" s="21"/>
      <c r="M387" s="21"/>
      <c r="N387" s="21"/>
      <c r="O387" s="21"/>
    </row>
    <row r="388" spans="1:15" x14ac:dyDescent="0.3">
      <c r="A388" s="20" t="str">
        <f t="shared" si="3"/>
        <v/>
      </c>
      <c r="B388" s="21"/>
      <c r="C388" s="21"/>
      <c r="D388" s="22" t="str">
        <f>IF($C388="","",IFERROR(VLOOKUP($C388,Map_Register!$A$2:$C$5,3,FALSE()),""))</f>
        <v/>
      </c>
      <c r="E388" s="21"/>
      <c r="F388" s="21"/>
      <c r="G388" s="21"/>
      <c r="H388" s="21"/>
      <c r="I388" s="21"/>
      <c r="J388" s="21"/>
      <c r="K388" s="25"/>
      <c r="L388" s="21"/>
      <c r="M388" s="21"/>
      <c r="N388" s="21"/>
      <c r="O388" s="21"/>
    </row>
    <row r="389" spans="1:15" x14ac:dyDescent="0.3">
      <c r="A389" s="20" t="str">
        <f t="shared" si="3"/>
        <v/>
      </c>
      <c r="B389" s="21"/>
      <c r="C389" s="21"/>
      <c r="D389" s="22" t="str">
        <f>IF($C389="","",IFERROR(VLOOKUP($C389,Map_Register!$A$2:$C$5,3,FALSE()),""))</f>
        <v/>
      </c>
      <c r="E389" s="21"/>
      <c r="F389" s="21"/>
      <c r="G389" s="21"/>
      <c r="H389" s="21"/>
      <c r="I389" s="21"/>
      <c r="J389" s="21"/>
      <c r="K389" s="25"/>
      <c r="L389" s="21"/>
      <c r="M389" s="21"/>
      <c r="N389" s="21"/>
      <c r="O389" s="21"/>
    </row>
    <row r="390" spans="1:15" x14ac:dyDescent="0.3">
      <c r="A390" s="20" t="str">
        <f t="shared" si="3"/>
        <v/>
      </c>
      <c r="B390" s="21"/>
      <c r="C390" s="21"/>
      <c r="D390" s="22" t="str">
        <f>IF($C390="","",IFERROR(VLOOKUP($C390,Map_Register!$A$2:$C$5,3,FALSE()),""))</f>
        <v/>
      </c>
      <c r="E390" s="21"/>
      <c r="F390" s="21"/>
      <c r="G390" s="21"/>
      <c r="H390" s="21"/>
      <c r="I390" s="21"/>
      <c r="J390" s="21"/>
      <c r="K390" s="25"/>
      <c r="L390" s="21"/>
      <c r="M390" s="21"/>
      <c r="N390" s="21"/>
      <c r="O390" s="21"/>
    </row>
    <row r="391" spans="1:15" x14ac:dyDescent="0.3">
      <c r="A391" s="20" t="str">
        <f t="shared" si="3"/>
        <v/>
      </c>
      <c r="B391" s="21"/>
      <c r="C391" s="21"/>
      <c r="D391" s="22" t="str">
        <f>IF($C391="","",IFERROR(VLOOKUP($C391,Map_Register!$A$2:$C$5,3,FALSE()),""))</f>
        <v/>
      </c>
      <c r="E391" s="21"/>
      <c r="F391" s="21"/>
      <c r="G391" s="21"/>
      <c r="H391" s="21"/>
      <c r="I391" s="21"/>
      <c r="J391" s="21"/>
      <c r="K391" s="25"/>
      <c r="L391" s="21"/>
      <c r="M391" s="21"/>
      <c r="N391" s="21"/>
      <c r="O391" s="21"/>
    </row>
    <row r="392" spans="1:15" x14ac:dyDescent="0.3">
      <c r="A392" s="20" t="str">
        <f t="shared" si="3"/>
        <v/>
      </c>
      <c r="B392" s="21"/>
      <c r="C392" s="21"/>
      <c r="D392" s="22" t="str">
        <f>IF($C392="","",IFERROR(VLOOKUP($C392,Map_Register!$A$2:$C$5,3,FALSE()),""))</f>
        <v/>
      </c>
      <c r="E392" s="21"/>
      <c r="F392" s="21"/>
      <c r="G392" s="21"/>
      <c r="H392" s="21"/>
      <c r="I392" s="21"/>
      <c r="J392" s="21"/>
      <c r="K392" s="25"/>
      <c r="L392" s="21"/>
      <c r="M392" s="21"/>
      <c r="N392" s="21"/>
      <c r="O392" s="21"/>
    </row>
    <row r="393" spans="1:15" x14ac:dyDescent="0.3">
      <c r="A393" s="20" t="str">
        <f t="shared" si="3"/>
        <v/>
      </c>
      <c r="B393" s="21"/>
      <c r="C393" s="21"/>
      <c r="D393" s="22" t="str">
        <f>IF($C393="","",IFERROR(VLOOKUP($C393,Map_Register!$A$2:$C$5,3,FALSE()),""))</f>
        <v/>
      </c>
      <c r="E393" s="21"/>
      <c r="F393" s="21"/>
      <c r="G393" s="21"/>
      <c r="H393" s="21"/>
      <c r="I393" s="21"/>
      <c r="J393" s="21"/>
      <c r="K393" s="25"/>
      <c r="L393" s="21"/>
      <c r="M393" s="21"/>
      <c r="N393" s="21"/>
      <c r="O393" s="21"/>
    </row>
    <row r="394" spans="1:15" x14ac:dyDescent="0.3">
      <c r="A394" s="20" t="str">
        <f t="shared" si="3"/>
        <v/>
      </c>
      <c r="B394" s="21"/>
      <c r="C394" s="21"/>
      <c r="D394" s="22" t="str">
        <f>IF($C394="","",IFERROR(VLOOKUP($C394,Map_Register!$A$2:$C$5,3,FALSE()),""))</f>
        <v/>
      </c>
      <c r="E394" s="21"/>
      <c r="F394" s="21"/>
      <c r="G394" s="21"/>
      <c r="H394" s="21"/>
      <c r="I394" s="21"/>
      <c r="J394" s="21"/>
      <c r="K394" s="25"/>
      <c r="L394" s="21"/>
      <c r="M394" s="21"/>
      <c r="N394" s="21"/>
      <c r="O394" s="21"/>
    </row>
    <row r="395" spans="1:15" x14ac:dyDescent="0.3">
      <c r="A395" s="20" t="str">
        <f t="shared" si="3"/>
        <v/>
      </c>
      <c r="B395" s="21"/>
      <c r="C395" s="21"/>
      <c r="D395" s="22" t="str">
        <f>IF($C395="","",IFERROR(VLOOKUP($C395,Map_Register!$A$2:$C$5,3,FALSE()),""))</f>
        <v/>
      </c>
      <c r="E395" s="21"/>
      <c r="F395" s="21"/>
      <c r="G395" s="21"/>
      <c r="H395" s="21"/>
      <c r="I395" s="21"/>
      <c r="J395" s="21"/>
      <c r="K395" s="25"/>
      <c r="L395" s="21"/>
      <c r="M395" s="21"/>
      <c r="N395" s="21"/>
      <c r="O395" s="21"/>
    </row>
    <row r="396" spans="1:15" x14ac:dyDescent="0.3">
      <c r="A396" s="20" t="str">
        <f t="shared" si="3"/>
        <v/>
      </c>
      <c r="B396" s="21"/>
      <c r="C396" s="21"/>
      <c r="D396" s="22" t="str">
        <f>IF($C396="","",IFERROR(VLOOKUP($C396,Map_Register!$A$2:$C$5,3,FALSE()),""))</f>
        <v/>
      </c>
      <c r="E396" s="21"/>
      <c r="F396" s="21"/>
      <c r="G396" s="21"/>
      <c r="H396" s="21"/>
      <c r="I396" s="21"/>
      <c r="J396" s="21"/>
      <c r="K396" s="25"/>
      <c r="L396" s="21"/>
      <c r="M396" s="21"/>
      <c r="N396" s="21"/>
      <c r="O396" s="21"/>
    </row>
    <row r="397" spans="1:15" x14ac:dyDescent="0.3">
      <c r="A397" s="20" t="str">
        <f t="shared" si="3"/>
        <v/>
      </c>
      <c r="B397" s="21"/>
      <c r="C397" s="21"/>
      <c r="D397" s="22" t="str">
        <f>IF($C397="","",IFERROR(VLOOKUP($C397,Map_Register!$A$2:$C$5,3,FALSE()),""))</f>
        <v/>
      </c>
      <c r="E397" s="21"/>
      <c r="F397" s="21"/>
      <c r="G397" s="21"/>
      <c r="H397" s="21"/>
      <c r="I397" s="21"/>
      <c r="J397" s="21"/>
      <c r="K397" s="25"/>
      <c r="L397" s="21"/>
      <c r="M397" s="21"/>
      <c r="N397" s="21"/>
      <c r="O397" s="21"/>
    </row>
    <row r="398" spans="1:15" x14ac:dyDescent="0.3">
      <c r="A398" s="20" t="str">
        <f t="shared" si="3"/>
        <v/>
      </c>
      <c r="B398" s="21"/>
      <c r="C398" s="21"/>
      <c r="D398" s="22" t="str">
        <f>IF($C398="","",IFERROR(VLOOKUP($C398,Map_Register!$A$2:$C$5,3,FALSE()),""))</f>
        <v/>
      </c>
      <c r="E398" s="21"/>
      <c r="F398" s="21"/>
      <c r="G398" s="21"/>
      <c r="H398" s="21"/>
      <c r="I398" s="21"/>
      <c r="J398" s="21"/>
      <c r="K398" s="25"/>
      <c r="L398" s="21"/>
      <c r="M398" s="21"/>
      <c r="N398" s="21"/>
      <c r="O398" s="21"/>
    </row>
    <row r="399" spans="1:15" x14ac:dyDescent="0.3">
      <c r="A399" s="20" t="str">
        <f t="shared" si="3"/>
        <v/>
      </c>
      <c r="B399" s="21"/>
      <c r="C399" s="21"/>
      <c r="D399" s="22" t="str">
        <f>IF($C399="","",IFERROR(VLOOKUP($C399,Map_Register!$A$2:$C$5,3,FALSE()),""))</f>
        <v/>
      </c>
      <c r="E399" s="21"/>
      <c r="F399" s="21"/>
      <c r="G399" s="21"/>
      <c r="H399" s="21"/>
      <c r="I399" s="21"/>
      <c r="J399" s="21"/>
      <c r="K399" s="25"/>
      <c r="L399" s="21"/>
      <c r="M399" s="21"/>
      <c r="N399" s="21"/>
      <c r="O399" s="21"/>
    </row>
    <row r="400" spans="1:15" x14ac:dyDescent="0.3">
      <c r="A400" s="20" t="str">
        <f t="shared" ref="A400:A463" si="4">IF($B400="","",ROW()-1)</f>
        <v/>
      </c>
      <c r="B400" s="21"/>
      <c r="C400" s="21"/>
      <c r="D400" s="22" t="str">
        <f>IF($C400="","",IFERROR(VLOOKUP($C400,Map_Register!$A$2:$C$5,3,FALSE()),""))</f>
        <v/>
      </c>
      <c r="E400" s="21"/>
      <c r="F400" s="21"/>
      <c r="G400" s="21"/>
      <c r="H400" s="21"/>
      <c r="I400" s="21"/>
      <c r="J400" s="21"/>
      <c r="K400" s="25"/>
      <c r="L400" s="21"/>
      <c r="M400" s="21"/>
      <c r="N400" s="21"/>
      <c r="O400" s="21"/>
    </row>
    <row r="401" spans="1:15" x14ac:dyDescent="0.3">
      <c r="A401" s="20" t="str">
        <f t="shared" si="4"/>
        <v/>
      </c>
      <c r="B401" s="21"/>
      <c r="C401" s="21"/>
      <c r="D401" s="22" t="str">
        <f>IF($C401="","",IFERROR(VLOOKUP($C401,Map_Register!$A$2:$C$5,3,FALSE()),""))</f>
        <v/>
      </c>
      <c r="E401" s="21"/>
      <c r="F401" s="21"/>
      <c r="G401" s="21"/>
      <c r="H401" s="21"/>
      <c r="I401" s="21"/>
      <c r="J401" s="21"/>
      <c r="K401" s="25"/>
      <c r="L401" s="21"/>
      <c r="M401" s="21"/>
      <c r="N401" s="21"/>
      <c r="O401" s="21"/>
    </row>
    <row r="402" spans="1:15" x14ac:dyDescent="0.3">
      <c r="A402" s="20" t="str">
        <f t="shared" si="4"/>
        <v/>
      </c>
      <c r="B402" s="21"/>
      <c r="C402" s="21"/>
      <c r="D402" s="22" t="str">
        <f>IF($C402="","",IFERROR(VLOOKUP($C402,Map_Register!$A$2:$C$5,3,FALSE()),""))</f>
        <v/>
      </c>
      <c r="E402" s="21"/>
      <c r="F402" s="21"/>
      <c r="G402" s="21"/>
      <c r="H402" s="21"/>
      <c r="I402" s="21"/>
      <c r="J402" s="21"/>
      <c r="K402" s="25"/>
      <c r="L402" s="21"/>
      <c r="M402" s="21"/>
      <c r="N402" s="21"/>
      <c r="O402" s="21"/>
    </row>
    <row r="403" spans="1:15" x14ac:dyDescent="0.3">
      <c r="A403" s="20" t="str">
        <f t="shared" si="4"/>
        <v/>
      </c>
      <c r="B403" s="21"/>
      <c r="C403" s="21"/>
      <c r="D403" s="22" t="str">
        <f>IF($C403="","",IFERROR(VLOOKUP($C403,Map_Register!$A$2:$C$5,3,FALSE()),""))</f>
        <v/>
      </c>
      <c r="E403" s="21"/>
      <c r="F403" s="21"/>
      <c r="G403" s="21"/>
      <c r="H403" s="21"/>
      <c r="I403" s="21"/>
      <c r="J403" s="21"/>
      <c r="K403" s="25"/>
      <c r="L403" s="21"/>
      <c r="M403" s="21"/>
      <c r="N403" s="21"/>
      <c r="O403" s="21"/>
    </row>
    <row r="404" spans="1:15" x14ac:dyDescent="0.3">
      <c r="A404" s="20" t="str">
        <f t="shared" si="4"/>
        <v/>
      </c>
      <c r="B404" s="21"/>
      <c r="C404" s="21"/>
      <c r="D404" s="22" t="str">
        <f>IF($C404="","",IFERROR(VLOOKUP($C404,Map_Register!$A$2:$C$5,3,FALSE()),""))</f>
        <v/>
      </c>
      <c r="E404" s="21"/>
      <c r="F404" s="21"/>
      <c r="G404" s="21"/>
      <c r="H404" s="21"/>
      <c r="I404" s="21"/>
      <c r="J404" s="21"/>
      <c r="K404" s="25"/>
      <c r="L404" s="21"/>
      <c r="M404" s="21"/>
      <c r="N404" s="21"/>
      <c r="O404" s="21"/>
    </row>
    <row r="405" spans="1:15" x14ac:dyDescent="0.3">
      <c r="A405" s="20" t="str">
        <f t="shared" si="4"/>
        <v/>
      </c>
      <c r="B405" s="21"/>
      <c r="C405" s="21"/>
      <c r="D405" s="22" t="str">
        <f>IF($C405="","",IFERROR(VLOOKUP($C405,Map_Register!$A$2:$C$5,3,FALSE()),""))</f>
        <v/>
      </c>
      <c r="E405" s="21"/>
      <c r="F405" s="21"/>
      <c r="G405" s="21"/>
      <c r="H405" s="21"/>
      <c r="I405" s="21"/>
      <c r="J405" s="21"/>
      <c r="K405" s="25"/>
      <c r="L405" s="21"/>
      <c r="M405" s="21"/>
      <c r="N405" s="21"/>
      <c r="O405" s="21"/>
    </row>
    <row r="406" spans="1:15" x14ac:dyDescent="0.3">
      <c r="A406" s="20" t="str">
        <f t="shared" si="4"/>
        <v/>
      </c>
      <c r="B406" s="21"/>
      <c r="C406" s="21"/>
      <c r="D406" s="22" t="str">
        <f>IF($C406="","",IFERROR(VLOOKUP($C406,Map_Register!$A$2:$C$5,3,FALSE()),""))</f>
        <v/>
      </c>
      <c r="E406" s="21"/>
      <c r="F406" s="21"/>
      <c r="G406" s="21"/>
      <c r="H406" s="21"/>
      <c r="I406" s="21"/>
      <c r="J406" s="21"/>
      <c r="K406" s="25"/>
      <c r="L406" s="21"/>
      <c r="M406" s="21"/>
      <c r="N406" s="21"/>
      <c r="O406" s="21"/>
    </row>
    <row r="407" spans="1:15" x14ac:dyDescent="0.3">
      <c r="A407" s="20" t="str">
        <f t="shared" si="4"/>
        <v/>
      </c>
      <c r="B407" s="21"/>
      <c r="C407" s="21"/>
      <c r="D407" s="22" t="str">
        <f>IF($C407="","",IFERROR(VLOOKUP($C407,Map_Register!$A$2:$C$5,3,FALSE()),""))</f>
        <v/>
      </c>
      <c r="E407" s="21"/>
      <c r="F407" s="21"/>
      <c r="G407" s="21"/>
      <c r="H407" s="21"/>
      <c r="I407" s="21"/>
      <c r="J407" s="21"/>
      <c r="K407" s="25"/>
      <c r="L407" s="21"/>
      <c r="M407" s="21"/>
      <c r="N407" s="21"/>
      <c r="O407" s="21"/>
    </row>
    <row r="408" spans="1:15" x14ac:dyDescent="0.3">
      <c r="A408" s="20" t="str">
        <f t="shared" si="4"/>
        <v/>
      </c>
      <c r="B408" s="21"/>
      <c r="C408" s="21"/>
      <c r="D408" s="22" t="str">
        <f>IF($C408="","",IFERROR(VLOOKUP($C408,Map_Register!$A$2:$C$5,3,FALSE()),""))</f>
        <v/>
      </c>
      <c r="E408" s="21"/>
      <c r="F408" s="21"/>
      <c r="G408" s="21"/>
      <c r="H408" s="21"/>
      <c r="I408" s="21"/>
      <c r="J408" s="21"/>
      <c r="K408" s="25"/>
      <c r="L408" s="21"/>
      <c r="M408" s="21"/>
      <c r="N408" s="21"/>
      <c r="O408" s="21"/>
    </row>
    <row r="409" spans="1:15" x14ac:dyDescent="0.3">
      <c r="A409" s="20" t="str">
        <f t="shared" si="4"/>
        <v/>
      </c>
      <c r="B409" s="21"/>
      <c r="C409" s="21"/>
      <c r="D409" s="22" t="str">
        <f>IF($C409="","",IFERROR(VLOOKUP($C409,Map_Register!$A$2:$C$5,3,FALSE()),""))</f>
        <v/>
      </c>
      <c r="E409" s="21"/>
      <c r="F409" s="21"/>
      <c r="G409" s="21"/>
      <c r="H409" s="21"/>
      <c r="I409" s="21"/>
      <c r="J409" s="21"/>
      <c r="K409" s="25"/>
      <c r="L409" s="21"/>
      <c r="M409" s="21"/>
      <c r="N409" s="21"/>
      <c r="O409" s="21"/>
    </row>
    <row r="410" spans="1:15" x14ac:dyDescent="0.3">
      <c r="A410" s="20" t="str">
        <f t="shared" si="4"/>
        <v/>
      </c>
      <c r="B410" s="21"/>
      <c r="C410" s="21"/>
      <c r="D410" s="22" t="str">
        <f>IF($C410="","",IFERROR(VLOOKUP($C410,Map_Register!$A$2:$C$5,3,FALSE()),""))</f>
        <v/>
      </c>
      <c r="E410" s="21"/>
      <c r="F410" s="21"/>
      <c r="G410" s="21"/>
      <c r="H410" s="21"/>
      <c r="I410" s="21"/>
      <c r="J410" s="21"/>
      <c r="K410" s="25"/>
      <c r="L410" s="21"/>
      <c r="M410" s="21"/>
      <c r="N410" s="21"/>
      <c r="O410" s="21"/>
    </row>
    <row r="411" spans="1:15" x14ac:dyDescent="0.3">
      <c r="A411" s="20" t="str">
        <f t="shared" si="4"/>
        <v/>
      </c>
      <c r="B411" s="21"/>
      <c r="C411" s="21"/>
      <c r="D411" s="22" t="str">
        <f>IF($C411="","",IFERROR(VLOOKUP($C411,Map_Register!$A$2:$C$5,3,FALSE()),""))</f>
        <v/>
      </c>
      <c r="E411" s="21"/>
      <c r="F411" s="21"/>
      <c r="G411" s="21"/>
      <c r="H411" s="21"/>
      <c r="I411" s="21"/>
      <c r="J411" s="21"/>
      <c r="K411" s="25"/>
      <c r="L411" s="21"/>
      <c r="M411" s="21"/>
      <c r="N411" s="21"/>
      <c r="O411" s="21"/>
    </row>
    <row r="412" spans="1:15" x14ac:dyDescent="0.3">
      <c r="A412" s="20" t="str">
        <f t="shared" si="4"/>
        <v/>
      </c>
      <c r="B412" s="21"/>
      <c r="C412" s="21"/>
      <c r="D412" s="22" t="str">
        <f>IF($C412="","",IFERROR(VLOOKUP($C412,Map_Register!$A$2:$C$5,3,FALSE()),""))</f>
        <v/>
      </c>
      <c r="E412" s="21"/>
      <c r="F412" s="21"/>
      <c r="G412" s="21"/>
      <c r="H412" s="21"/>
      <c r="I412" s="21"/>
      <c r="J412" s="21"/>
      <c r="K412" s="25"/>
      <c r="L412" s="21"/>
      <c r="M412" s="21"/>
      <c r="N412" s="21"/>
      <c r="O412" s="21"/>
    </row>
    <row r="413" spans="1:15" x14ac:dyDescent="0.3">
      <c r="A413" s="20" t="str">
        <f t="shared" si="4"/>
        <v/>
      </c>
      <c r="B413" s="21"/>
      <c r="C413" s="21"/>
      <c r="D413" s="22" t="str">
        <f>IF($C413="","",IFERROR(VLOOKUP($C413,Map_Register!$A$2:$C$5,3,FALSE()),""))</f>
        <v/>
      </c>
      <c r="E413" s="21"/>
      <c r="F413" s="21"/>
      <c r="G413" s="21"/>
      <c r="H413" s="21"/>
      <c r="I413" s="21"/>
      <c r="J413" s="21"/>
      <c r="K413" s="25"/>
      <c r="L413" s="21"/>
      <c r="M413" s="21"/>
      <c r="N413" s="21"/>
      <c r="O413" s="21"/>
    </row>
    <row r="414" spans="1:15" x14ac:dyDescent="0.3">
      <c r="A414" s="20" t="str">
        <f t="shared" si="4"/>
        <v/>
      </c>
      <c r="B414" s="21"/>
      <c r="C414" s="21"/>
      <c r="D414" s="22" t="str">
        <f>IF($C414="","",IFERROR(VLOOKUP($C414,Map_Register!$A$2:$C$5,3,FALSE()),""))</f>
        <v/>
      </c>
      <c r="E414" s="21"/>
      <c r="F414" s="21"/>
      <c r="G414" s="21"/>
      <c r="H414" s="21"/>
      <c r="I414" s="21"/>
      <c r="J414" s="21"/>
      <c r="K414" s="25"/>
      <c r="L414" s="21"/>
      <c r="M414" s="21"/>
      <c r="N414" s="21"/>
      <c r="O414" s="21"/>
    </row>
    <row r="415" spans="1:15" x14ac:dyDescent="0.3">
      <c r="A415" s="20" t="str">
        <f t="shared" si="4"/>
        <v/>
      </c>
      <c r="B415" s="21"/>
      <c r="C415" s="21"/>
      <c r="D415" s="22" t="str">
        <f>IF($C415="","",IFERROR(VLOOKUP($C415,Map_Register!$A$2:$C$5,3,FALSE()),""))</f>
        <v/>
      </c>
      <c r="E415" s="21"/>
      <c r="F415" s="21"/>
      <c r="G415" s="21"/>
      <c r="H415" s="21"/>
      <c r="I415" s="21"/>
      <c r="J415" s="21"/>
      <c r="K415" s="25"/>
      <c r="L415" s="21"/>
      <c r="M415" s="21"/>
      <c r="N415" s="21"/>
      <c r="O415" s="21"/>
    </row>
    <row r="416" spans="1:15" x14ac:dyDescent="0.3">
      <c r="A416" s="20" t="str">
        <f t="shared" si="4"/>
        <v/>
      </c>
      <c r="B416" s="21"/>
      <c r="C416" s="21"/>
      <c r="D416" s="22" t="str">
        <f>IF($C416="","",IFERROR(VLOOKUP($C416,Map_Register!$A$2:$C$5,3,FALSE()),""))</f>
        <v/>
      </c>
      <c r="E416" s="21"/>
      <c r="F416" s="21"/>
      <c r="G416" s="21"/>
      <c r="H416" s="21"/>
      <c r="I416" s="21"/>
      <c r="J416" s="21"/>
      <c r="K416" s="25"/>
      <c r="L416" s="21"/>
      <c r="M416" s="21"/>
      <c r="N416" s="21"/>
      <c r="O416" s="21"/>
    </row>
    <row r="417" spans="1:15" x14ac:dyDescent="0.3">
      <c r="A417" s="20" t="str">
        <f t="shared" si="4"/>
        <v/>
      </c>
      <c r="B417" s="21"/>
      <c r="C417" s="21"/>
      <c r="D417" s="22" t="str">
        <f>IF($C417="","",IFERROR(VLOOKUP($C417,Map_Register!$A$2:$C$5,3,FALSE()),""))</f>
        <v/>
      </c>
      <c r="E417" s="21"/>
      <c r="F417" s="21"/>
      <c r="G417" s="21"/>
      <c r="H417" s="21"/>
      <c r="I417" s="21"/>
      <c r="J417" s="21"/>
      <c r="K417" s="25"/>
      <c r="L417" s="21"/>
      <c r="M417" s="21"/>
      <c r="N417" s="21"/>
      <c r="O417" s="21"/>
    </row>
    <row r="418" spans="1:15" x14ac:dyDescent="0.3">
      <c r="A418" s="20" t="str">
        <f t="shared" si="4"/>
        <v/>
      </c>
      <c r="B418" s="21"/>
      <c r="C418" s="21"/>
      <c r="D418" s="22" t="str">
        <f>IF($C418="","",IFERROR(VLOOKUP($C418,Map_Register!$A$2:$C$5,3,FALSE()),""))</f>
        <v/>
      </c>
      <c r="E418" s="21"/>
      <c r="F418" s="21"/>
      <c r="G418" s="21"/>
      <c r="H418" s="21"/>
      <c r="I418" s="21"/>
      <c r="J418" s="21"/>
      <c r="K418" s="25"/>
      <c r="L418" s="21"/>
      <c r="M418" s="21"/>
      <c r="N418" s="21"/>
      <c r="O418" s="21"/>
    </row>
    <row r="419" spans="1:15" x14ac:dyDescent="0.3">
      <c r="A419" s="20" t="str">
        <f t="shared" si="4"/>
        <v/>
      </c>
      <c r="B419" s="21"/>
      <c r="C419" s="21"/>
      <c r="D419" s="22" t="str">
        <f>IF($C419="","",IFERROR(VLOOKUP($C419,Map_Register!$A$2:$C$5,3,FALSE()),""))</f>
        <v/>
      </c>
      <c r="E419" s="21"/>
      <c r="F419" s="21"/>
      <c r="G419" s="21"/>
      <c r="H419" s="21"/>
      <c r="I419" s="21"/>
      <c r="J419" s="21"/>
      <c r="K419" s="25"/>
      <c r="L419" s="21"/>
      <c r="M419" s="21"/>
      <c r="N419" s="21"/>
      <c r="O419" s="21"/>
    </row>
    <row r="420" spans="1:15" x14ac:dyDescent="0.3">
      <c r="A420" s="20" t="str">
        <f t="shared" si="4"/>
        <v/>
      </c>
      <c r="B420" s="21"/>
      <c r="C420" s="21"/>
      <c r="D420" s="22" t="str">
        <f>IF($C420="","",IFERROR(VLOOKUP($C420,Map_Register!$A$2:$C$5,3,FALSE()),""))</f>
        <v/>
      </c>
      <c r="E420" s="21"/>
      <c r="F420" s="21"/>
      <c r="G420" s="21"/>
      <c r="H420" s="21"/>
      <c r="I420" s="21"/>
      <c r="J420" s="21"/>
      <c r="K420" s="25"/>
      <c r="L420" s="21"/>
      <c r="M420" s="21"/>
      <c r="N420" s="21"/>
      <c r="O420" s="21"/>
    </row>
    <row r="421" spans="1:15" x14ac:dyDescent="0.3">
      <c r="A421" s="20" t="str">
        <f t="shared" si="4"/>
        <v/>
      </c>
      <c r="B421" s="21"/>
      <c r="C421" s="21"/>
      <c r="D421" s="22" t="str">
        <f>IF($C421="","",IFERROR(VLOOKUP($C421,Map_Register!$A$2:$C$5,3,FALSE()),""))</f>
        <v/>
      </c>
      <c r="E421" s="21"/>
      <c r="F421" s="21"/>
      <c r="G421" s="21"/>
      <c r="H421" s="21"/>
      <c r="I421" s="21"/>
      <c r="J421" s="21"/>
      <c r="K421" s="25"/>
      <c r="L421" s="21"/>
      <c r="M421" s="21"/>
      <c r="N421" s="21"/>
      <c r="O421" s="21"/>
    </row>
    <row r="422" spans="1:15" x14ac:dyDescent="0.3">
      <c r="A422" s="20" t="str">
        <f t="shared" si="4"/>
        <v/>
      </c>
      <c r="B422" s="21"/>
      <c r="C422" s="21"/>
      <c r="D422" s="22" t="str">
        <f>IF($C422="","",IFERROR(VLOOKUP($C422,Map_Register!$A$2:$C$5,3,FALSE()),""))</f>
        <v/>
      </c>
      <c r="E422" s="21"/>
      <c r="F422" s="21"/>
      <c r="G422" s="21"/>
      <c r="H422" s="21"/>
      <c r="I422" s="21"/>
      <c r="J422" s="21"/>
      <c r="K422" s="25"/>
      <c r="L422" s="21"/>
      <c r="M422" s="21"/>
      <c r="N422" s="21"/>
      <c r="O422" s="21"/>
    </row>
    <row r="423" spans="1:15" x14ac:dyDescent="0.3">
      <c r="A423" s="20" t="str">
        <f t="shared" si="4"/>
        <v/>
      </c>
      <c r="B423" s="21"/>
      <c r="C423" s="21"/>
      <c r="D423" s="22" t="str">
        <f>IF($C423="","",IFERROR(VLOOKUP($C423,Map_Register!$A$2:$C$5,3,FALSE()),""))</f>
        <v/>
      </c>
      <c r="E423" s="21"/>
      <c r="F423" s="21"/>
      <c r="G423" s="21"/>
      <c r="H423" s="21"/>
      <c r="I423" s="21"/>
      <c r="J423" s="21"/>
      <c r="K423" s="25"/>
      <c r="L423" s="21"/>
      <c r="M423" s="21"/>
      <c r="N423" s="21"/>
      <c r="O423" s="21"/>
    </row>
    <row r="424" spans="1:15" x14ac:dyDescent="0.3">
      <c r="A424" s="20" t="str">
        <f t="shared" si="4"/>
        <v/>
      </c>
      <c r="B424" s="21"/>
      <c r="C424" s="21"/>
      <c r="D424" s="22" t="str">
        <f>IF($C424="","",IFERROR(VLOOKUP($C424,Map_Register!$A$2:$C$5,3,FALSE()),""))</f>
        <v/>
      </c>
      <c r="E424" s="21"/>
      <c r="F424" s="21"/>
      <c r="G424" s="21"/>
      <c r="H424" s="21"/>
      <c r="I424" s="21"/>
      <c r="J424" s="21"/>
      <c r="K424" s="25"/>
      <c r="L424" s="21"/>
      <c r="M424" s="21"/>
      <c r="N424" s="21"/>
      <c r="O424" s="21"/>
    </row>
    <row r="425" spans="1:15" x14ac:dyDescent="0.3">
      <c r="A425" s="20" t="str">
        <f t="shared" si="4"/>
        <v/>
      </c>
      <c r="B425" s="21"/>
      <c r="C425" s="21"/>
      <c r="D425" s="22" t="str">
        <f>IF($C425="","",IFERROR(VLOOKUP($C425,Map_Register!$A$2:$C$5,3,FALSE()),""))</f>
        <v/>
      </c>
      <c r="E425" s="21"/>
      <c r="F425" s="21"/>
      <c r="G425" s="21"/>
      <c r="H425" s="21"/>
      <c r="I425" s="21"/>
      <c r="J425" s="21"/>
      <c r="K425" s="25"/>
      <c r="L425" s="21"/>
      <c r="M425" s="21"/>
      <c r="N425" s="21"/>
      <c r="O425" s="21"/>
    </row>
    <row r="426" spans="1:15" x14ac:dyDescent="0.3">
      <c r="A426" s="20" t="str">
        <f t="shared" si="4"/>
        <v/>
      </c>
      <c r="B426" s="21"/>
      <c r="C426" s="21"/>
      <c r="D426" s="22" t="str">
        <f>IF($C426="","",IFERROR(VLOOKUP($C426,Map_Register!$A$2:$C$5,3,FALSE()),""))</f>
        <v/>
      </c>
      <c r="E426" s="21"/>
      <c r="F426" s="21"/>
      <c r="G426" s="21"/>
      <c r="H426" s="21"/>
      <c r="I426" s="21"/>
      <c r="J426" s="21"/>
      <c r="K426" s="25"/>
      <c r="L426" s="21"/>
      <c r="M426" s="21"/>
      <c r="N426" s="21"/>
      <c r="O426" s="21"/>
    </row>
    <row r="427" spans="1:15" x14ac:dyDescent="0.3">
      <c r="A427" s="20" t="str">
        <f t="shared" si="4"/>
        <v/>
      </c>
      <c r="B427" s="21"/>
      <c r="C427" s="21"/>
      <c r="D427" s="22" t="str">
        <f>IF($C427="","",IFERROR(VLOOKUP($C427,Map_Register!$A$2:$C$5,3,FALSE()),""))</f>
        <v/>
      </c>
      <c r="E427" s="21"/>
      <c r="F427" s="21"/>
      <c r="G427" s="21"/>
      <c r="H427" s="21"/>
      <c r="I427" s="21"/>
      <c r="J427" s="21"/>
      <c r="K427" s="25"/>
      <c r="L427" s="21"/>
      <c r="M427" s="21"/>
      <c r="N427" s="21"/>
      <c r="O427" s="21"/>
    </row>
    <row r="428" spans="1:15" x14ac:dyDescent="0.3">
      <c r="A428" s="20" t="str">
        <f t="shared" si="4"/>
        <v/>
      </c>
      <c r="B428" s="21"/>
      <c r="C428" s="21"/>
      <c r="D428" s="22" t="str">
        <f>IF($C428="","",IFERROR(VLOOKUP($C428,Map_Register!$A$2:$C$5,3,FALSE()),""))</f>
        <v/>
      </c>
      <c r="E428" s="21"/>
      <c r="F428" s="21"/>
      <c r="G428" s="21"/>
      <c r="H428" s="21"/>
      <c r="I428" s="21"/>
      <c r="J428" s="21"/>
      <c r="K428" s="25"/>
      <c r="L428" s="21"/>
      <c r="M428" s="21"/>
      <c r="N428" s="21"/>
      <c r="O428" s="21"/>
    </row>
    <row r="429" spans="1:15" x14ac:dyDescent="0.3">
      <c r="A429" s="20" t="str">
        <f t="shared" si="4"/>
        <v/>
      </c>
      <c r="B429" s="21"/>
      <c r="C429" s="21"/>
      <c r="D429" s="22" t="str">
        <f>IF($C429="","",IFERROR(VLOOKUP($C429,Map_Register!$A$2:$C$5,3,FALSE()),""))</f>
        <v/>
      </c>
      <c r="E429" s="21"/>
      <c r="F429" s="21"/>
      <c r="G429" s="21"/>
      <c r="H429" s="21"/>
      <c r="I429" s="21"/>
      <c r="J429" s="21"/>
      <c r="K429" s="25"/>
      <c r="L429" s="21"/>
      <c r="M429" s="21"/>
      <c r="N429" s="21"/>
      <c r="O429" s="21"/>
    </row>
    <row r="430" spans="1:15" x14ac:dyDescent="0.3">
      <c r="A430" s="20" t="str">
        <f t="shared" si="4"/>
        <v/>
      </c>
      <c r="B430" s="21"/>
      <c r="C430" s="21"/>
      <c r="D430" s="22" t="str">
        <f>IF($C430="","",IFERROR(VLOOKUP($C430,Map_Register!$A$2:$C$5,3,FALSE()),""))</f>
        <v/>
      </c>
      <c r="E430" s="21"/>
      <c r="F430" s="21"/>
      <c r="G430" s="21"/>
      <c r="H430" s="21"/>
      <c r="I430" s="21"/>
      <c r="J430" s="21"/>
      <c r="K430" s="25"/>
      <c r="L430" s="21"/>
      <c r="M430" s="21"/>
      <c r="N430" s="21"/>
      <c r="O430" s="21"/>
    </row>
    <row r="431" spans="1:15" x14ac:dyDescent="0.3">
      <c r="A431" s="20" t="str">
        <f t="shared" si="4"/>
        <v/>
      </c>
      <c r="B431" s="21"/>
      <c r="C431" s="21"/>
      <c r="D431" s="22" t="str">
        <f>IF($C431="","",IFERROR(VLOOKUP($C431,Map_Register!$A$2:$C$5,3,FALSE()),""))</f>
        <v/>
      </c>
      <c r="E431" s="21"/>
      <c r="F431" s="21"/>
      <c r="G431" s="21"/>
      <c r="H431" s="21"/>
      <c r="I431" s="21"/>
      <c r="J431" s="21"/>
      <c r="K431" s="25"/>
      <c r="L431" s="21"/>
      <c r="M431" s="21"/>
      <c r="N431" s="21"/>
      <c r="O431" s="21"/>
    </row>
    <row r="432" spans="1:15" x14ac:dyDescent="0.3">
      <c r="A432" s="20" t="str">
        <f t="shared" si="4"/>
        <v/>
      </c>
      <c r="B432" s="21"/>
      <c r="C432" s="21"/>
      <c r="D432" s="22" t="str">
        <f>IF($C432="","",IFERROR(VLOOKUP($C432,Map_Register!$A$2:$C$5,3,FALSE()),""))</f>
        <v/>
      </c>
      <c r="E432" s="21"/>
      <c r="F432" s="21"/>
      <c r="G432" s="21"/>
      <c r="H432" s="21"/>
      <c r="I432" s="21"/>
      <c r="J432" s="21"/>
      <c r="K432" s="25"/>
      <c r="L432" s="21"/>
      <c r="M432" s="21"/>
      <c r="N432" s="21"/>
      <c r="O432" s="21"/>
    </row>
    <row r="433" spans="1:15" x14ac:dyDescent="0.3">
      <c r="A433" s="20" t="str">
        <f t="shared" si="4"/>
        <v/>
      </c>
      <c r="B433" s="21"/>
      <c r="C433" s="21"/>
      <c r="D433" s="22" t="str">
        <f>IF($C433="","",IFERROR(VLOOKUP($C433,Map_Register!$A$2:$C$5,3,FALSE()),""))</f>
        <v/>
      </c>
      <c r="E433" s="21"/>
      <c r="F433" s="21"/>
      <c r="G433" s="21"/>
      <c r="H433" s="21"/>
      <c r="I433" s="21"/>
      <c r="J433" s="21"/>
      <c r="K433" s="25"/>
      <c r="L433" s="21"/>
      <c r="M433" s="21"/>
      <c r="N433" s="21"/>
      <c r="O433" s="21"/>
    </row>
    <row r="434" spans="1:15" x14ac:dyDescent="0.3">
      <c r="A434" s="20" t="str">
        <f t="shared" si="4"/>
        <v/>
      </c>
      <c r="B434" s="21"/>
      <c r="C434" s="21"/>
      <c r="D434" s="22" t="str">
        <f>IF($C434="","",IFERROR(VLOOKUP($C434,Map_Register!$A$2:$C$5,3,FALSE()),""))</f>
        <v/>
      </c>
      <c r="E434" s="21"/>
      <c r="F434" s="21"/>
      <c r="G434" s="21"/>
      <c r="H434" s="21"/>
      <c r="I434" s="21"/>
      <c r="J434" s="21"/>
      <c r="K434" s="25"/>
      <c r="L434" s="21"/>
      <c r="M434" s="21"/>
      <c r="N434" s="21"/>
      <c r="O434" s="21"/>
    </row>
    <row r="435" spans="1:15" x14ac:dyDescent="0.3">
      <c r="A435" s="20" t="str">
        <f t="shared" si="4"/>
        <v/>
      </c>
      <c r="B435" s="21"/>
      <c r="C435" s="21"/>
      <c r="D435" s="22" t="str">
        <f>IF($C435="","",IFERROR(VLOOKUP($C435,Map_Register!$A$2:$C$5,3,FALSE()),""))</f>
        <v/>
      </c>
      <c r="E435" s="21"/>
      <c r="F435" s="21"/>
      <c r="G435" s="21"/>
      <c r="H435" s="21"/>
      <c r="I435" s="21"/>
      <c r="J435" s="21"/>
      <c r="K435" s="25"/>
      <c r="L435" s="21"/>
      <c r="M435" s="21"/>
      <c r="N435" s="21"/>
      <c r="O435" s="21"/>
    </row>
    <row r="436" spans="1:15" x14ac:dyDescent="0.3">
      <c r="A436" s="20" t="str">
        <f t="shared" si="4"/>
        <v/>
      </c>
      <c r="B436" s="21"/>
      <c r="C436" s="21"/>
      <c r="D436" s="22" t="str">
        <f>IF($C436="","",IFERROR(VLOOKUP($C436,Map_Register!$A$2:$C$5,3,FALSE()),""))</f>
        <v/>
      </c>
      <c r="E436" s="21"/>
      <c r="F436" s="21"/>
      <c r="G436" s="21"/>
      <c r="H436" s="21"/>
      <c r="I436" s="21"/>
      <c r="J436" s="21"/>
      <c r="K436" s="25"/>
      <c r="L436" s="21"/>
      <c r="M436" s="21"/>
      <c r="N436" s="21"/>
      <c r="O436" s="21"/>
    </row>
    <row r="437" spans="1:15" x14ac:dyDescent="0.3">
      <c r="A437" s="20" t="str">
        <f t="shared" si="4"/>
        <v/>
      </c>
      <c r="B437" s="21"/>
      <c r="C437" s="21"/>
      <c r="D437" s="22" t="str">
        <f>IF($C437="","",IFERROR(VLOOKUP($C437,Map_Register!$A$2:$C$5,3,FALSE()),""))</f>
        <v/>
      </c>
      <c r="E437" s="21"/>
      <c r="F437" s="21"/>
      <c r="G437" s="21"/>
      <c r="H437" s="21"/>
      <c r="I437" s="21"/>
      <c r="J437" s="21"/>
      <c r="K437" s="25"/>
      <c r="L437" s="21"/>
      <c r="M437" s="21"/>
      <c r="N437" s="21"/>
      <c r="O437" s="21"/>
    </row>
    <row r="438" spans="1:15" x14ac:dyDescent="0.3">
      <c r="A438" s="20" t="str">
        <f t="shared" si="4"/>
        <v/>
      </c>
      <c r="B438" s="21"/>
      <c r="C438" s="21"/>
      <c r="D438" s="22" t="str">
        <f>IF($C438="","",IFERROR(VLOOKUP($C438,Map_Register!$A$2:$C$5,3,FALSE()),""))</f>
        <v/>
      </c>
      <c r="E438" s="21"/>
      <c r="F438" s="21"/>
      <c r="G438" s="21"/>
      <c r="H438" s="21"/>
      <c r="I438" s="21"/>
      <c r="J438" s="21"/>
      <c r="K438" s="25"/>
      <c r="L438" s="21"/>
      <c r="M438" s="21"/>
      <c r="N438" s="21"/>
      <c r="O438" s="21"/>
    </row>
    <row r="439" spans="1:15" x14ac:dyDescent="0.3">
      <c r="A439" s="20" t="str">
        <f t="shared" si="4"/>
        <v/>
      </c>
      <c r="B439" s="21"/>
      <c r="C439" s="21"/>
      <c r="D439" s="22" t="str">
        <f>IF($C439="","",IFERROR(VLOOKUP($C439,Map_Register!$A$2:$C$5,3,FALSE()),""))</f>
        <v/>
      </c>
      <c r="E439" s="21"/>
      <c r="F439" s="21"/>
      <c r="G439" s="21"/>
      <c r="H439" s="21"/>
      <c r="I439" s="21"/>
      <c r="J439" s="21"/>
      <c r="K439" s="25"/>
      <c r="L439" s="21"/>
      <c r="M439" s="21"/>
      <c r="N439" s="21"/>
      <c r="O439" s="21"/>
    </row>
    <row r="440" spans="1:15" x14ac:dyDescent="0.3">
      <c r="A440" s="20" t="str">
        <f t="shared" si="4"/>
        <v/>
      </c>
      <c r="B440" s="21"/>
      <c r="C440" s="21"/>
      <c r="D440" s="22" t="str">
        <f>IF($C440="","",IFERROR(VLOOKUP($C440,Map_Register!$A$2:$C$5,3,FALSE()),""))</f>
        <v/>
      </c>
      <c r="E440" s="21"/>
      <c r="F440" s="21"/>
      <c r="G440" s="21"/>
      <c r="H440" s="21"/>
      <c r="I440" s="21"/>
      <c r="J440" s="21"/>
      <c r="K440" s="25"/>
      <c r="L440" s="21"/>
      <c r="M440" s="21"/>
      <c r="N440" s="21"/>
      <c r="O440" s="21"/>
    </row>
    <row r="441" spans="1:15" x14ac:dyDescent="0.3">
      <c r="A441" s="20" t="str">
        <f t="shared" si="4"/>
        <v/>
      </c>
      <c r="B441" s="21"/>
      <c r="C441" s="21"/>
      <c r="D441" s="22" t="str">
        <f>IF($C441="","",IFERROR(VLOOKUP($C441,Map_Register!$A$2:$C$5,3,FALSE()),""))</f>
        <v/>
      </c>
      <c r="E441" s="21"/>
      <c r="F441" s="21"/>
      <c r="G441" s="21"/>
      <c r="H441" s="21"/>
      <c r="I441" s="21"/>
      <c r="J441" s="21"/>
      <c r="K441" s="25"/>
      <c r="L441" s="21"/>
      <c r="M441" s="21"/>
      <c r="N441" s="21"/>
      <c r="O441" s="21"/>
    </row>
    <row r="442" spans="1:15" x14ac:dyDescent="0.3">
      <c r="A442" s="20" t="str">
        <f t="shared" si="4"/>
        <v/>
      </c>
      <c r="B442" s="21"/>
      <c r="C442" s="21"/>
      <c r="D442" s="22" t="str">
        <f>IF($C442="","",IFERROR(VLOOKUP($C442,Map_Register!$A$2:$C$5,3,FALSE()),""))</f>
        <v/>
      </c>
      <c r="E442" s="21"/>
      <c r="F442" s="21"/>
      <c r="G442" s="21"/>
      <c r="H442" s="21"/>
      <c r="I442" s="21"/>
      <c r="J442" s="21"/>
      <c r="K442" s="25"/>
      <c r="L442" s="21"/>
      <c r="M442" s="21"/>
      <c r="N442" s="21"/>
      <c r="O442" s="21"/>
    </row>
    <row r="443" spans="1:15" x14ac:dyDescent="0.3">
      <c r="A443" s="20" t="str">
        <f t="shared" si="4"/>
        <v/>
      </c>
      <c r="B443" s="21"/>
      <c r="C443" s="21"/>
      <c r="D443" s="22" t="str">
        <f>IF($C443="","",IFERROR(VLOOKUP($C443,Map_Register!$A$2:$C$5,3,FALSE()),""))</f>
        <v/>
      </c>
      <c r="E443" s="21"/>
      <c r="F443" s="21"/>
      <c r="G443" s="21"/>
      <c r="H443" s="21"/>
      <c r="I443" s="21"/>
      <c r="J443" s="21"/>
      <c r="K443" s="25"/>
      <c r="L443" s="21"/>
      <c r="M443" s="21"/>
      <c r="N443" s="21"/>
      <c r="O443" s="21"/>
    </row>
    <row r="444" spans="1:15" x14ac:dyDescent="0.3">
      <c r="A444" s="20" t="str">
        <f t="shared" si="4"/>
        <v/>
      </c>
      <c r="B444" s="21"/>
      <c r="C444" s="21"/>
      <c r="D444" s="22" t="str">
        <f>IF($C444="","",IFERROR(VLOOKUP($C444,Map_Register!$A$2:$C$5,3,FALSE()),""))</f>
        <v/>
      </c>
      <c r="E444" s="21"/>
      <c r="F444" s="21"/>
      <c r="G444" s="21"/>
      <c r="H444" s="21"/>
      <c r="I444" s="21"/>
      <c r="J444" s="21"/>
      <c r="K444" s="25"/>
      <c r="L444" s="21"/>
      <c r="M444" s="21"/>
      <c r="N444" s="21"/>
      <c r="O444" s="21"/>
    </row>
    <row r="445" spans="1:15" x14ac:dyDescent="0.3">
      <c r="A445" s="20" t="str">
        <f t="shared" si="4"/>
        <v/>
      </c>
      <c r="B445" s="21"/>
      <c r="C445" s="21"/>
      <c r="D445" s="22" t="str">
        <f>IF($C445="","",IFERROR(VLOOKUP($C445,Map_Register!$A$2:$C$5,3,FALSE()),""))</f>
        <v/>
      </c>
      <c r="E445" s="21"/>
      <c r="F445" s="21"/>
      <c r="G445" s="21"/>
      <c r="H445" s="21"/>
      <c r="I445" s="21"/>
      <c r="J445" s="21"/>
      <c r="K445" s="25"/>
      <c r="L445" s="21"/>
      <c r="M445" s="21"/>
      <c r="N445" s="21"/>
      <c r="O445" s="21"/>
    </row>
    <row r="446" spans="1:15" x14ac:dyDescent="0.3">
      <c r="A446" s="20" t="str">
        <f t="shared" si="4"/>
        <v/>
      </c>
      <c r="B446" s="21"/>
      <c r="C446" s="21"/>
      <c r="D446" s="22" t="str">
        <f>IF($C446="","",IFERROR(VLOOKUP($C446,Map_Register!$A$2:$C$5,3,FALSE()),""))</f>
        <v/>
      </c>
      <c r="E446" s="21"/>
      <c r="F446" s="21"/>
      <c r="G446" s="21"/>
      <c r="H446" s="21"/>
      <c r="I446" s="21"/>
      <c r="J446" s="21"/>
      <c r="K446" s="25"/>
      <c r="L446" s="21"/>
      <c r="M446" s="21"/>
      <c r="N446" s="21"/>
      <c r="O446" s="21"/>
    </row>
    <row r="447" spans="1:15" x14ac:dyDescent="0.3">
      <c r="A447" s="20" t="str">
        <f t="shared" si="4"/>
        <v/>
      </c>
      <c r="B447" s="21"/>
      <c r="C447" s="21"/>
      <c r="D447" s="22" t="str">
        <f>IF($C447="","",IFERROR(VLOOKUP($C447,Map_Register!$A$2:$C$5,3,FALSE()),""))</f>
        <v/>
      </c>
      <c r="E447" s="21"/>
      <c r="F447" s="21"/>
      <c r="G447" s="21"/>
      <c r="H447" s="21"/>
      <c r="I447" s="21"/>
      <c r="J447" s="21"/>
      <c r="K447" s="25"/>
      <c r="L447" s="21"/>
      <c r="M447" s="21"/>
      <c r="N447" s="21"/>
      <c r="O447" s="21"/>
    </row>
    <row r="448" spans="1:15" x14ac:dyDescent="0.3">
      <c r="A448" s="20" t="str">
        <f t="shared" si="4"/>
        <v/>
      </c>
      <c r="B448" s="21"/>
      <c r="C448" s="21"/>
      <c r="D448" s="22" t="str">
        <f>IF($C448="","",IFERROR(VLOOKUP($C448,Map_Register!$A$2:$C$5,3,FALSE()),""))</f>
        <v/>
      </c>
      <c r="E448" s="21"/>
      <c r="F448" s="21"/>
      <c r="G448" s="21"/>
      <c r="H448" s="21"/>
      <c r="I448" s="21"/>
      <c r="J448" s="21"/>
      <c r="K448" s="25"/>
      <c r="L448" s="21"/>
      <c r="M448" s="21"/>
      <c r="N448" s="21"/>
      <c r="O448" s="21"/>
    </row>
    <row r="449" spans="1:15" x14ac:dyDescent="0.3">
      <c r="A449" s="20" t="str">
        <f t="shared" si="4"/>
        <v/>
      </c>
      <c r="B449" s="21"/>
      <c r="C449" s="21"/>
      <c r="D449" s="22" t="str">
        <f>IF($C449="","",IFERROR(VLOOKUP($C449,Map_Register!$A$2:$C$5,3,FALSE()),""))</f>
        <v/>
      </c>
      <c r="E449" s="21"/>
      <c r="F449" s="21"/>
      <c r="G449" s="21"/>
      <c r="H449" s="21"/>
      <c r="I449" s="21"/>
      <c r="J449" s="21"/>
      <c r="K449" s="25"/>
      <c r="L449" s="21"/>
      <c r="M449" s="21"/>
      <c r="N449" s="21"/>
      <c r="O449" s="21"/>
    </row>
    <row r="450" spans="1:15" x14ac:dyDescent="0.3">
      <c r="A450" s="20" t="str">
        <f t="shared" si="4"/>
        <v/>
      </c>
      <c r="B450" s="21"/>
      <c r="C450" s="21"/>
      <c r="D450" s="22" t="str">
        <f>IF($C450="","",IFERROR(VLOOKUP($C450,Map_Register!$A$2:$C$5,3,FALSE()),""))</f>
        <v/>
      </c>
      <c r="E450" s="21"/>
      <c r="F450" s="21"/>
      <c r="G450" s="21"/>
      <c r="H450" s="21"/>
      <c r="I450" s="21"/>
      <c r="J450" s="21"/>
      <c r="K450" s="25"/>
      <c r="L450" s="21"/>
      <c r="M450" s="21"/>
      <c r="N450" s="21"/>
      <c r="O450" s="21"/>
    </row>
    <row r="451" spans="1:15" x14ac:dyDescent="0.3">
      <c r="A451" s="20" t="str">
        <f t="shared" si="4"/>
        <v/>
      </c>
      <c r="B451" s="21"/>
      <c r="C451" s="21"/>
      <c r="D451" s="22" t="str">
        <f>IF($C451="","",IFERROR(VLOOKUP($C451,Map_Register!$A$2:$C$5,3,FALSE()),""))</f>
        <v/>
      </c>
      <c r="E451" s="21"/>
      <c r="F451" s="21"/>
      <c r="G451" s="21"/>
      <c r="H451" s="21"/>
      <c r="I451" s="21"/>
      <c r="J451" s="21"/>
      <c r="K451" s="25"/>
      <c r="L451" s="21"/>
      <c r="M451" s="21"/>
      <c r="N451" s="21"/>
      <c r="O451" s="21"/>
    </row>
    <row r="452" spans="1:15" x14ac:dyDescent="0.3">
      <c r="A452" s="20" t="str">
        <f t="shared" si="4"/>
        <v/>
      </c>
      <c r="B452" s="21"/>
      <c r="C452" s="21"/>
      <c r="D452" s="22" t="str">
        <f>IF($C452="","",IFERROR(VLOOKUP($C452,Map_Register!$A$2:$C$5,3,FALSE()),""))</f>
        <v/>
      </c>
      <c r="E452" s="21"/>
      <c r="F452" s="21"/>
      <c r="G452" s="21"/>
      <c r="H452" s="21"/>
      <c r="I452" s="21"/>
      <c r="J452" s="21"/>
      <c r="K452" s="25"/>
      <c r="L452" s="21"/>
      <c r="M452" s="21"/>
      <c r="N452" s="21"/>
      <c r="O452" s="21"/>
    </row>
    <row r="453" spans="1:15" x14ac:dyDescent="0.3">
      <c r="A453" s="20" t="str">
        <f t="shared" si="4"/>
        <v/>
      </c>
      <c r="B453" s="21"/>
      <c r="C453" s="21"/>
      <c r="D453" s="22" t="str">
        <f>IF($C453="","",IFERROR(VLOOKUP($C453,Map_Register!$A$2:$C$5,3,FALSE()),""))</f>
        <v/>
      </c>
      <c r="E453" s="21"/>
      <c r="F453" s="21"/>
      <c r="G453" s="21"/>
      <c r="H453" s="21"/>
      <c r="I453" s="21"/>
      <c r="J453" s="21"/>
      <c r="K453" s="25"/>
      <c r="L453" s="21"/>
      <c r="M453" s="21"/>
      <c r="N453" s="21"/>
      <c r="O453" s="21"/>
    </row>
    <row r="454" spans="1:15" x14ac:dyDescent="0.3">
      <c r="A454" s="20" t="str">
        <f t="shared" si="4"/>
        <v/>
      </c>
      <c r="B454" s="21"/>
      <c r="C454" s="21"/>
      <c r="D454" s="22" t="str">
        <f>IF($C454="","",IFERROR(VLOOKUP($C454,Map_Register!$A$2:$C$5,3,FALSE()),""))</f>
        <v/>
      </c>
      <c r="E454" s="21"/>
      <c r="F454" s="21"/>
      <c r="G454" s="21"/>
      <c r="H454" s="21"/>
      <c r="I454" s="21"/>
      <c r="J454" s="21"/>
      <c r="K454" s="25"/>
      <c r="L454" s="21"/>
      <c r="M454" s="21"/>
      <c r="N454" s="21"/>
      <c r="O454" s="21"/>
    </row>
    <row r="455" spans="1:15" x14ac:dyDescent="0.3">
      <c r="A455" s="20" t="str">
        <f t="shared" si="4"/>
        <v/>
      </c>
      <c r="B455" s="21"/>
      <c r="C455" s="21"/>
      <c r="D455" s="22" t="str">
        <f>IF($C455="","",IFERROR(VLOOKUP($C455,Map_Register!$A$2:$C$5,3,FALSE()),""))</f>
        <v/>
      </c>
      <c r="E455" s="21"/>
      <c r="F455" s="21"/>
      <c r="G455" s="21"/>
      <c r="H455" s="21"/>
      <c r="I455" s="21"/>
      <c r="J455" s="21"/>
      <c r="K455" s="25"/>
      <c r="L455" s="21"/>
      <c r="M455" s="21"/>
      <c r="N455" s="21"/>
      <c r="O455" s="21"/>
    </row>
    <row r="456" spans="1:15" x14ac:dyDescent="0.3">
      <c r="A456" s="20" t="str">
        <f t="shared" si="4"/>
        <v/>
      </c>
      <c r="B456" s="21"/>
      <c r="C456" s="21"/>
      <c r="D456" s="22" t="str">
        <f>IF($C456="","",IFERROR(VLOOKUP($C456,Map_Register!$A$2:$C$5,3,FALSE()),""))</f>
        <v/>
      </c>
      <c r="E456" s="21"/>
      <c r="F456" s="21"/>
      <c r="G456" s="21"/>
      <c r="H456" s="21"/>
      <c r="I456" s="21"/>
      <c r="J456" s="21"/>
      <c r="K456" s="25"/>
      <c r="L456" s="21"/>
      <c r="M456" s="21"/>
      <c r="N456" s="21"/>
      <c r="O456" s="21"/>
    </row>
    <row r="457" spans="1:15" x14ac:dyDescent="0.3">
      <c r="A457" s="20" t="str">
        <f t="shared" si="4"/>
        <v/>
      </c>
      <c r="B457" s="21"/>
      <c r="C457" s="21"/>
      <c r="D457" s="22" t="str">
        <f>IF($C457="","",IFERROR(VLOOKUP($C457,Map_Register!$A$2:$C$5,3,FALSE()),""))</f>
        <v/>
      </c>
      <c r="E457" s="21"/>
      <c r="F457" s="21"/>
      <c r="G457" s="21"/>
      <c r="H457" s="21"/>
      <c r="I457" s="21"/>
      <c r="J457" s="21"/>
      <c r="K457" s="25"/>
      <c r="L457" s="21"/>
      <c r="M457" s="21"/>
      <c r="N457" s="21"/>
      <c r="O457" s="21"/>
    </row>
    <row r="458" spans="1:15" x14ac:dyDescent="0.3">
      <c r="A458" s="20" t="str">
        <f t="shared" si="4"/>
        <v/>
      </c>
      <c r="B458" s="21"/>
      <c r="C458" s="21"/>
      <c r="D458" s="22" t="str">
        <f>IF($C458="","",IFERROR(VLOOKUP($C458,Map_Register!$A$2:$C$5,3,FALSE()),""))</f>
        <v/>
      </c>
      <c r="E458" s="21"/>
      <c r="F458" s="21"/>
      <c r="G458" s="21"/>
      <c r="H458" s="21"/>
      <c r="I458" s="21"/>
      <c r="J458" s="21"/>
      <c r="K458" s="25"/>
      <c r="L458" s="21"/>
      <c r="M458" s="21"/>
      <c r="N458" s="21"/>
      <c r="O458" s="21"/>
    </row>
    <row r="459" spans="1:15" x14ac:dyDescent="0.3">
      <c r="A459" s="20" t="str">
        <f t="shared" si="4"/>
        <v/>
      </c>
      <c r="B459" s="21"/>
      <c r="C459" s="21"/>
      <c r="D459" s="22" t="str">
        <f>IF($C459="","",IFERROR(VLOOKUP($C459,Map_Register!$A$2:$C$5,3,FALSE()),""))</f>
        <v/>
      </c>
      <c r="E459" s="21"/>
      <c r="F459" s="21"/>
      <c r="G459" s="21"/>
      <c r="H459" s="21"/>
      <c r="I459" s="21"/>
      <c r="J459" s="21"/>
      <c r="K459" s="25"/>
      <c r="L459" s="21"/>
      <c r="M459" s="21"/>
      <c r="N459" s="21"/>
      <c r="O459" s="21"/>
    </row>
    <row r="460" spans="1:15" x14ac:dyDescent="0.3">
      <c r="A460" s="20" t="str">
        <f t="shared" si="4"/>
        <v/>
      </c>
      <c r="B460" s="21"/>
      <c r="C460" s="21"/>
      <c r="D460" s="22" t="str">
        <f>IF($C460="","",IFERROR(VLOOKUP($C460,Map_Register!$A$2:$C$5,3,FALSE()),""))</f>
        <v/>
      </c>
      <c r="E460" s="21"/>
      <c r="F460" s="21"/>
      <c r="G460" s="21"/>
      <c r="H460" s="21"/>
      <c r="I460" s="21"/>
      <c r="J460" s="21"/>
      <c r="K460" s="25"/>
      <c r="L460" s="21"/>
      <c r="M460" s="21"/>
      <c r="N460" s="21"/>
      <c r="O460" s="21"/>
    </row>
    <row r="461" spans="1:15" x14ac:dyDescent="0.3">
      <c r="A461" s="20" t="str">
        <f t="shared" si="4"/>
        <v/>
      </c>
      <c r="B461" s="21"/>
      <c r="C461" s="21"/>
      <c r="D461" s="22" t="str">
        <f>IF($C461="","",IFERROR(VLOOKUP($C461,Map_Register!$A$2:$C$5,3,FALSE()),""))</f>
        <v/>
      </c>
      <c r="E461" s="21"/>
      <c r="F461" s="21"/>
      <c r="G461" s="21"/>
      <c r="H461" s="21"/>
      <c r="I461" s="21"/>
      <c r="J461" s="21"/>
      <c r="K461" s="25"/>
      <c r="L461" s="21"/>
      <c r="M461" s="21"/>
      <c r="N461" s="21"/>
      <c r="O461" s="21"/>
    </row>
    <row r="462" spans="1:15" x14ac:dyDescent="0.3">
      <c r="A462" s="20" t="str">
        <f t="shared" si="4"/>
        <v/>
      </c>
      <c r="B462" s="21"/>
      <c r="C462" s="21"/>
      <c r="D462" s="22" t="str">
        <f>IF($C462="","",IFERROR(VLOOKUP($C462,Map_Register!$A$2:$C$5,3,FALSE()),""))</f>
        <v/>
      </c>
      <c r="E462" s="21"/>
      <c r="F462" s="21"/>
      <c r="G462" s="21"/>
      <c r="H462" s="21"/>
      <c r="I462" s="21"/>
      <c r="J462" s="21"/>
      <c r="K462" s="25"/>
      <c r="L462" s="21"/>
      <c r="M462" s="21"/>
      <c r="N462" s="21"/>
      <c r="O462" s="21"/>
    </row>
    <row r="463" spans="1:15" x14ac:dyDescent="0.3">
      <c r="A463" s="20" t="str">
        <f t="shared" si="4"/>
        <v/>
      </c>
      <c r="B463" s="21"/>
      <c r="C463" s="21"/>
      <c r="D463" s="22" t="str">
        <f>IF($C463="","",IFERROR(VLOOKUP($C463,Map_Register!$A$2:$C$5,3,FALSE()),""))</f>
        <v/>
      </c>
      <c r="E463" s="21"/>
      <c r="F463" s="21"/>
      <c r="G463" s="21"/>
      <c r="H463" s="21"/>
      <c r="I463" s="21"/>
      <c r="J463" s="21"/>
      <c r="K463" s="25"/>
      <c r="L463" s="21"/>
      <c r="M463" s="21"/>
      <c r="N463" s="21"/>
      <c r="O463" s="21"/>
    </row>
    <row r="464" spans="1:15" x14ac:dyDescent="0.3">
      <c r="A464" s="20" t="str">
        <f t="shared" ref="A464:A504" si="5">IF($B464="","",ROW()-1)</f>
        <v/>
      </c>
      <c r="B464" s="21"/>
      <c r="C464" s="21"/>
      <c r="D464" s="22" t="str">
        <f>IF($C464="","",IFERROR(VLOOKUP($C464,Map_Register!$A$2:$C$5,3,FALSE()),""))</f>
        <v/>
      </c>
      <c r="E464" s="21"/>
      <c r="F464" s="21"/>
      <c r="G464" s="21"/>
      <c r="H464" s="21"/>
      <c r="I464" s="21"/>
      <c r="J464" s="21"/>
      <c r="K464" s="25"/>
      <c r="L464" s="21"/>
      <c r="M464" s="21"/>
      <c r="N464" s="21"/>
      <c r="O464" s="21"/>
    </row>
    <row r="465" spans="1:15" x14ac:dyDescent="0.3">
      <c r="A465" s="20" t="str">
        <f t="shared" si="5"/>
        <v/>
      </c>
      <c r="B465" s="21"/>
      <c r="C465" s="21"/>
      <c r="D465" s="22" t="str">
        <f>IF($C465="","",IFERROR(VLOOKUP($C465,Map_Register!$A$2:$C$5,3,FALSE()),""))</f>
        <v/>
      </c>
      <c r="E465" s="21"/>
      <c r="F465" s="21"/>
      <c r="G465" s="21"/>
      <c r="H465" s="21"/>
      <c r="I465" s="21"/>
      <c r="J465" s="21"/>
      <c r="K465" s="25"/>
      <c r="L465" s="21"/>
      <c r="M465" s="21"/>
      <c r="N465" s="21"/>
      <c r="O465" s="21"/>
    </row>
    <row r="466" spans="1:15" x14ac:dyDescent="0.3">
      <c r="A466" s="20" t="str">
        <f t="shared" si="5"/>
        <v/>
      </c>
      <c r="B466" s="21"/>
      <c r="C466" s="21"/>
      <c r="D466" s="22" t="str">
        <f>IF($C466="","",IFERROR(VLOOKUP($C466,Map_Register!$A$2:$C$5,3,FALSE()),""))</f>
        <v/>
      </c>
      <c r="E466" s="21"/>
      <c r="F466" s="21"/>
      <c r="G466" s="21"/>
      <c r="H466" s="21"/>
      <c r="I466" s="21"/>
      <c r="J466" s="21"/>
      <c r="K466" s="25"/>
      <c r="L466" s="21"/>
      <c r="M466" s="21"/>
      <c r="N466" s="21"/>
      <c r="O466" s="21"/>
    </row>
    <row r="467" spans="1:15" x14ac:dyDescent="0.3">
      <c r="A467" s="20" t="str">
        <f t="shared" si="5"/>
        <v/>
      </c>
      <c r="B467" s="21"/>
      <c r="C467" s="21"/>
      <c r="D467" s="22" t="str">
        <f>IF($C467="","",IFERROR(VLOOKUP($C467,Map_Register!$A$2:$C$5,3,FALSE()),""))</f>
        <v/>
      </c>
      <c r="E467" s="21"/>
      <c r="F467" s="21"/>
      <c r="G467" s="21"/>
      <c r="H467" s="21"/>
      <c r="I467" s="21"/>
      <c r="J467" s="21"/>
      <c r="K467" s="25"/>
      <c r="L467" s="21"/>
      <c r="M467" s="21"/>
      <c r="N467" s="21"/>
      <c r="O467" s="21"/>
    </row>
    <row r="468" spans="1:15" x14ac:dyDescent="0.3">
      <c r="A468" s="20" t="str">
        <f t="shared" si="5"/>
        <v/>
      </c>
      <c r="B468" s="21"/>
      <c r="C468" s="21"/>
      <c r="D468" s="22" t="str">
        <f>IF($C468="","",IFERROR(VLOOKUP($C468,Map_Register!$A$2:$C$5,3,FALSE()),""))</f>
        <v/>
      </c>
      <c r="E468" s="21"/>
      <c r="F468" s="21"/>
      <c r="G468" s="21"/>
      <c r="H468" s="21"/>
      <c r="I468" s="21"/>
      <c r="J468" s="21"/>
      <c r="K468" s="25"/>
      <c r="L468" s="21"/>
      <c r="M468" s="21"/>
      <c r="N468" s="21"/>
      <c r="O468" s="21"/>
    </row>
    <row r="469" spans="1:15" x14ac:dyDescent="0.3">
      <c r="A469" s="20" t="str">
        <f t="shared" si="5"/>
        <v/>
      </c>
      <c r="B469" s="21"/>
      <c r="C469" s="21"/>
      <c r="D469" s="22" t="str">
        <f>IF($C469="","",IFERROR(VLOOKUP($C469,Map_Register!$A$2:$C$5,3,FALSE()),""))</f>
        <v/>
      </c>
      <c r="E469" s="21"/>
      <c r="F469" s="21"/>
      <c r="G469" s="21"/>
      <c r="H469" s="21"/>
      <c r="I469" s="21"/>
      <c r="J469" s="21"/>
      <c r="K469" s="25"/>
      <c r="L469" s="21"/>
      <c r="M469" s="21"/>
      <c r="N469" s="21"/>
      <c r="O469" s="21"/>
    </row>
    <row r="470" spans="1:15" x14ac:dyDescent="0.3">
      <c r="A470" s="20" t="str">
        <f t="shared" si="5"/>
        <v/>
      </c>
      <c r="B470" s="21"/>
      <c r="C470" s="21"/>
      <c r="D470" s="22" t="str">
        <f>IF($C470="","",IFERROR(VLOOKUP($C470,Map_Register!$A$2:$C$5,3,FALSE()),""))</f>
        <v/>
      </c>
      <c r="E470" s="21"/>
      <c r="F470" s="21"/>
      <c r="G470" s="21"/>
      <c r="H470" s="21"/>
      <c r="I470" s="21"/>
      <c r="J470" s="21"/>
      <c r="K470" s="25"/>
      <c r="L470" s="21"/>
      <c r="M470" s="21"/>
      <c r="N470" s="21"/>
      <c r="O470" s="21"/>
    </row>
    <row r="471" spans="1:15" x14ac:dyDescent="0.3">
      <c r="A471" s="20" t="str">
        <f t="shared" si="5"/>
        <v/>
      </c>
      <c r="B471" s="21"/>
      <c r="C471" s="21"/>
      <c r="D471" s="22" t="str">
        <f>IF($C471="","",IFERROR(VLOOKUP($C471,Map_Register!$A$2:$C$5,3,FALSE()),""))</f>
        <v/>
      </c>
      <c r="E471" s="21"/>
      <c r="F471" s="21"/>
      <c r="G471" s="21"/>
      <c r="H471" s="21"/>
      <c r="I471" s="21"/>
      <c r="J471" s="21"/>
      <c r="K471" s="25"/>
      <c r="L471" s="21"/>
      <c r="M471" s="21"/>
      <c r="N471" s="21"/>
      <c r="O471" s="21"/>
    </row>
    <row r="472" spans="1:15" x14ac:dyDescent="0.3">
      <c r="A472" s="20" t="str">
        <f t="shared" si="5"/>
        <v/>
      </c>
      <c r="B472" s="21"/>
      <c r="C472" s="21"/>
      <c r="D472" s="22" t="str">
        <f>IF($C472="","",IFERROR(VLOOKUP($C472,Map_Register!$A$2:$C$5,3,FALSE()),""))</f>
        <v/>
      </c>
      <c r="E472" s="21"/>
      <c r="F472" s="21"/>
      <c r="G472" s="21"/>
      <c r="H472" s="21"/>
      <c r="I472" s="21"/>
      <c r="J472" s="21"/>
      <c r="K472" s="25"/>
      <c r="L472" s="21"/>
      <c r="M472" s="21"/>
      <c r="N472" s="21"/>
      <c r="O472" s="21"/>
    </row>
    <row r="473" spans="1:15" x14ac:dyDescent="0.3">
      <c r="A473" s="20" t="str">
        <f t="shared" si="5"/>
        <v/>
      </c>
      <c r="B473" s="21"/>
      <c r="C473" s="21"/>
      <c r="D473" s="22" t="str">
        <f>IF($C473="","",IFERROR(VLOOKUP($C473,Map_Register!$A$2:$C$5,3,FALSE()),""))</f>
        <v/>
      </c>
      <c r="E473" s="21"/>
      <c r="F473" s="21"/>
      <c r="G473" s="21"/>
      <c r="H473" s="21"/>
      <c r="I473" s="21"/>
      <c r="J473" s="21"/>
      <c r="K473" s="25"/>
      <c r="L473" s="21"/>
      <c r="M473" s="21"/>
      <c r="N473" s="21"/>
      <c r="O473" s="21"/>
    </row>
    <row r="474" spans="1:15" x14ac:dyDescent="0.3">
      <c r="A474" s="20" t="str">
        <f t="shared" si="5"/>
        <v/>
      </c>
      <c r="B474" s="21"/>
      <c r="C474" s="21"/>
      <c r="D474" s="22" t="str">
        <f>IF($C474="","",IFERROR(VLOOKUP($C474,Map_Register!$A$2:$C$5,3,FALSE()),""))</f>
        <v/>
      </c>
      <c r="E474" s="21"/>
      <c r="F474" s="21"/>
      <c r="G474" s="21"/>
      <c r="H474" s="21"/>
      <c r="I474" s="21"/>
      <c r="J474" s="21"/>
      <c r="K474" s="25"/>
      <c r="L474" s="21"/>
      <c r="M474" s="21"/>
      <c r="N474" s="21"/>
      <c r="O474" s="21"/>
    </row>
    <row r="475" spans="1:15" x14ac:dyDescent="0.3">
      <c r="A475" s="20" t="str">
        <f t="shared" si="5"/>
        <v/>
      </c>
      <c r="B475" s="21"/>
      <c r="C475" s="21"/>
      <c r="D475" s="22" t="str">
        <f>IF($C475="","",IFERROR(VLOOKUP($C475,Map_Register!$A$2:$C$5,3,FALSE()),""))</f>
        <v/>
      </c>
      <c r="E475" s="21"/>
      <c r="F475" s="21"/>
      <c r="G475" s="21"/>
      <c r="H475" s="21"/>
      <c r="I475" s="21"/>
      <c r="J475" s="21"/>
      <c r="K475" s="25"/>
      <c r="L475" s="21"/>
      <c r="M475" s="21"/>
      <c r="N475" s="21"/>
      <c r="O475" s="21"/>
    </row>
    <row r="476" spans="1:15" x14ac:dyDescent="0.3">
      <c r="A476" s="20" t="str">
        <f t="shared" si="5"/>
        <v/>
      </c>
      <c r="B476" s="21"/>
      <c r="C476" s="21"/>
      <c r="D476" s="22" t="str">
        <f>IF($C476="","",IFERROR(VLOOKUP($C476,Map_Register!$A$2:$C$5,3,FALSE()),""))</f>
        <v/>
      </c>
      <c r="E476" s="21"/>
      <c r="F476" s="21"/>
      <c r="G476" s="21"/>
      <c r="H476" s="21"/>
      <c r="I476" s="21"/>
      <c r="J476" s="21"/>
      <c r="K476" s="25"/>
      <c r="L476" s="21"/>
      <c r="M476" s="21"/>
      <c r="N476" s="21"/>
      <c r="O476" s="21"/>
    </row>
    <row r="477" spans="1:15" x14ac:dyDescent="0.3">
      <c r="A477" s="20" t="str">
        <f t="shared" si="5"/>
        <v/>
      </c>
      <c r="B477" s="21"/>
      <c r="C477" s="21"/>
      <c r="D477" s="22" t="str">
        <f>IF($C477="","",IFERROR(VLOOKUP($C477,Map_Register!$A$2:$C$5,3,FALSE()),""))</f>
        <v/>
      </c>
      <c r="E477" s="21"/>
      <c r="F477" s="21"/>
      <c r="G477" s="21"/>
      <c r="H477" s="21"/>
      <c r="I477" s="21"/>
      <c r="J477" s="21"/>
      <c r="K477" s="25"/>
      <c r="L477" s="21"/>
      <c r="M477" s="21"/>
      <c r="N477" s="21"/>
      <c r="O477" s="21"/>
    </row>
    <row r="478" spans="1:15" x14ac:dyDescent="0.3">
      <c r="A478" s="20" t="str">
        <f t="shared" si="5"/>
        <v/>
      </c>
      <c r="B478" s="21"/>
      <c r="C478" s="21"/>
      <c r="D478" s="22" t="str">
        <f>IF($C478="","",IFERROR(VLOOKUP($C478,Map_Register!$A$2:$C$5,3,FALSE()),""))</f>
        <v/>
      </c>
      <c r="E478" s="21"/>
      <c r="F478" s="21"/>
      <c r="G478" s="21"/>
      <c r="H478" s="21"/>
      <c r="I478" s="21"/>
      <c r="J478" s="21"/>
      <c r="K478" s="25"/>
      <c r="L478" s="21"/>
      <c r="M478" s="21"/>
      <c r="N478" s="21"/>
      <c r="O478" s="21"/>
    </row>
    <row r="479" spans="1:15" x14ac:dyDescent="0.3">
      <c r="A479" s="20" t="str">
        <f t="shared" si="5"/>
        <v/>
      </c>
      <c r="B479" s="21"/>
      <c r="C479" s="21"/>
      <c r="D479" s="22" t="str">
        <f>IF($C479="","",IFERROR(VLOOKUP($C479,Map_Register!$A$2:$C$5,3,FALSE()),""))</f>
        <v/>
      </c>
      <c r="E479" s="21"/>
      <c r="F479" s="21"/>
      <c r="G479" s="21"/>
      <c r="H479" s="21"/>
      <c r="I479" s="21"/>
      <c r="J479" s="21"/>
      <c r="K479" s="25"/>
      <c r="L479" s="21"/>
      <c r="M479" s="21"/>
      <c r="N479" s="21"/>
      <c r="O479" s="21"/>
    </row>
    <row r="480" spans="1:15" x14ac:dyDescent="0.3">
      <c r="A480" s="20" t="str">
        <f t="shared" si="5"/>
        <v/>
      </c>
      <c r="B480" s="21"/>
      <c r="C480" s="21"/>
      <c r="D480" s="22" t="str">
        <f>IF($C480="","",IFERROR(VLOOKUP($C480,Map_Register!$A$2:$C$5,3,FALSE()),""))</f>
        <v/>
      </c>
      <c r="E480" s="21"/>
      <c r="F480" s="21"/>
      <c r="G480" s="21"/>
      <c r="H480" s="21"/>
      <c r="I480" s="21"/>
      <c r="J480" s="21"/>
      <c r="K480" s="25"/>
      <c r="L480" s="21"/>
      <c r="M480" s="21"/>
      <c r="N480" s="21"/>
      <c r="O480" s="21"/>
    </row>
    <row r="481" spans="1:15" x14ac:dyDescent="0.3">
      <c r="A481" s="20" t="str">
        <f t="shared" si="5"/>
        <v/>
      </c>
      <c r="B481" s="21"/>
      <c r="C481" s="21"/>
      <c r="D481" s="22" t="str">
        <f>IF($C481="","",IFERROR(VLOOKUP($C481,Map_Register!$A$2:$C$5,3,FALSE()),""))</f>
        <v/>
      </c>
      <c r="E481" s="21"/>
      <c r="F481" s="21"/>
      <c r="G481" s="21"/>
      <c r="H481" s="21"/>
      <c r="I481" s="21"/>
      <c r="J481" s="21"/>
      <c r="K481" s="25"/>
      <c r="L481" s="21"/>
      <c r="M481" s="21"/>
      <c r="N481" s="21"/>
      <c r="O481" s="21"/>
    </row>
    <row r="482" spans="1:15" x14ac:dyDescent="0.3">
      <c r="A482" s="20" t="str">
        <f t="shared" si="5"/>
        <v/>
      </c>
      <c r="B482" s="21"/>
      <c r="C482" s="21"/>
      <c r="D482" s="22" t="str">
        <f>IF($C482="","",IFERROR(VLOOKUP($C482,Map_Register!$A$2:$C$5,3,FALSE()),""))</f>
        <v/>
      </c>
      <c r="E482" s="21"/>
      <c r="F482" s="21"/>
      <c r="G482" s="21"/>
      <c r="H482" s="21"/>
      <c r="I482" s="21"/>
      <c r="J482" s="21"/>
      <c r="K482" s="25"/>
      <c r="L482" s="21"/>
      <c r="M482" s="21"/>
      <c r="N482" s="21"/>
      <c r="O482" s="21"/>
    </row>
    <row r="483" spans="1:15" x14ac:dyDescent="0.3">
      <c r="A483" s="20" t="str">
        <f t="shared" si="5"/>
        <v/>
      </c>
      <c r="B483" s="21"/>
      <c r="C483" s="21"/>
      <c r="D483" s="22" t="str">
        <f>IF($C483="","",IFERROR(VLOOKUP($C483,Map_Register!$A$2:$C$5,3,FALSE()),""))</f>
        <v/>
      </c>
      <c r="E483" s="21"/>
      <c r="F483" s="21"/>
      <c r="G483" s="21"/>
      <c r="H483" s="21"/>
      <c r="I483" s="21"/>
      <c r="J483" s="21"/>
      <c r="K483" s="25"/>
      <c r="L483" s="21"/>
      <c r="M483" s="21"/>
      <c r="N483" s="21"/>
      <c r="O483" s="21"/>
    </row>
    <row r="484" spans="1:15" x14ac:dyDescent="0.3">
      <c r="A484" s="20" t="str">
        <f t="shared" si="5"/>
        <v/>
      </c>
      <c r="B484" s="21"/>
      <c r="C484" s="21"/>
      <c r="D484" s="22" t="str">
        <f>IF($C484="","",IFERROR(VLOOKUP($C484,Map_Register!$A$2:$C$5,3,FALSE()),""))</f>
        <v/>
      </c>
      <c r="E484" s="21"/>
      <c r="F484" s="21"/>
      <c r="G484" s="21"/>
      <c r="H484" s="21"/>
      <c r="I484" s="21"/>
      <c r="J484" s="21"/>
      <c r="K484" s="25"/>
      <c r="L484" s="21"/>
      <c r="M484" s="21"/>
      <c r="N484" s="21"/>
      <c r="O484" s="21"/>
    </row>
    <row r="485" spans="1:15" x14ac:dyDescent="0.3">
      <c r="A485" s="20" t="str">
        <f t="shared" si="5"/>
        <v/>
      </c>
      <c r="B485" s="21"/>
      <c r="C485" s="21"/>
      <c r="D485" s="22" t="str">
        <f>IF($C485="","",IFERROR(VLOOKUP($C485,Map_Register!$A$2:$C$5,3,FALSE()),""))</f>
        <v/>
      </c>
      <c r="E485" s="21"/>
      <c r="F485" s="21"/>
      <c r="G485" s="21"/>
      <c r="H485" s="21"/>
      <c r="I485" s="21"/>
      <c r="J485" s="21"/>
      <c r="K485" s="25"/>
      <c r="L485" s="21"/>
      <c r="M485" s="21"/>
      <c r="N485" s="21"/>
      <c r="O485" s="21"/>
    </row>
    <row r="486" spans="1:15" x14ac:dyDescent="0.3">
      <c r="A486" s="20" t="str">
        <f t="shared" si="5"/>
        <v/>
      </c>
      <c r="B486" s="21"/>
      <c r="C486" s="21"/>
      <c r="D486" s="22" t="str">
        <f>IF($C486="","",IFERROR(VLOOKUP($C486,Map_Register!$A$2:$C$5,3,FALSE()),""))</f>
        <v/>
      </c>
      <c r="E486" s="21"/>
      <c r="F486" s="21"/>
      <c r="G486" s="21"/>
      <c r="H486" s="21"/>
      <c r="I486" s="21"/>
      <c r="J486" s="21"/>
      <c r="K486" s="25"/>
      <c r="L486" s="21"/>
      <c r="M486" s="21"/>
      <c r="N486" s="21"/>
      <c r="O486" s="21"/>
    </row>
    <row r="487" spans="1:15" x14ac:dyDescent="0.3">
      <c r="A487" s="20" t="str">
        <f t="shared" si="5"/>
        <v/>
      </c>
      <c r="B487" s="21"/>
      <c r="C487" s="21"/>
      <c r="D487" s="22" t="str">
        <f>IF($C487="","",IFERROR(VLOOKUP($C487,Map_Register!$A$2:$C$5,3,FALSE()),""))</f>
        <v/>
      </c>
      <c r="E487" s="21"/>
      <c r="F487" s="21"/>
      <c r="G487" s="21"/>
      <c r="H487" s="21"/>
      <c r="I487" s="21"/>
      <c r="J487" s="21"/>
      <c r="K487" s="25"/>
      <c r="L487" s="21"/>
      <c r="M487" s="21"/>
      <c r="N487" s="21"/>
      <c r="O487" s="21"/>
    </row>
    <row r="488" spans="1:15" x14ac:dyDescent="0.3">
      <c r="A488" s="20" t="str">
        <f t="shared" si="5"/>
        <v/>
      </c>
      <c r="B488" s="21"/>
      <c r="C488" s="21"/>
      <c r="D488" s="22" t="str">
        <f>IF($C488="","",IFERROR(VLOOKUP($C488,Map_Register!$A$2:$C$5,3,FALSE()),""))</f>
        <v/>
      </c>
      <c r="E488" s="21"/>
      <c r="F488" s="21"/>
      <c r="G488" s="21"/>
      <c r="H488" s="21"/>
      <c r="I488" s="21"/>
      <c r="J488" s="21"/>
      <c r="K488" s="25"/>
      <c r="L488" s="21"/>
      <c r="M488" s="21"/>
      <c r="N488" s="21"/>
      <c r="O488" s="21"/>
    </row>
    <row r="489" spans="1:15" x14ac:dyDescent="0.3">
      <c r="A489" s="20" t="str">
        <f t="shared" si="5"/>
        <v/>
      </c>
      <c r="B489" s="21"/>
      <c r="C489" s="21"/>
      <c r="D489" s="22" t="str">
        <f>IF($C489="","",IFERROR(VLOOKUP($C489,Map_Register!$A$2:$C$5,3,FALSE()),""))</f>
        <v/>
      </c>
      <c r="E489" s="21"/>
      <c r="F489" s="21"/>
      <c r="G489" s="21"/>
      <c r="H489" s="21"/>
      <c r="I489" s="21"/>
      <c r="J489" s="21"/>
      <c r="K489" s="25"/>
      <c r="L489" s="21"/>
      <c r="M489" s="21"/>
      <c r="N489" s="21"/>
      <c r="O489" s="21"/>
    </row>
    <row r="490" spans="1:15" x14ac:dyDescent="0.3">
      <c r="A490" s="20" t="str">
        <f t="shared" si="5"/>
        <v/>
      </c>
      <c r="B490" s="21"/>
      <c r="C490" s="21"/>
      <c r="D490" s="22" t="str">
        <f>IF($C490="","",IFERROR(VLOOKUP($C490,Map_Register!$A$2:$C$5,3,FALSE()),""))</f>
        <v/>
      </c>
      <c r="E490" s="21"/>
      <c r="F490" s="21"/>
      <c r="G490" s="21"/>
      <c r="H490" s="21"/>
      <c r="I490" s="21"/>
      <c r="J490" s="21"/>
      <c r="K490" s="25"/>
      <c r="L490" s="21"/>
      <c r="M490" s="21"/>
      <c r="N490" s="21"/>
      <c r="O490" s="21"/>
    </row>
    <row r="491" spans="1:15" x14ac:dyDescent="0.3">
      <c r="A491" s="20" t="str">
        <f t="shared" si="5"/>
        <v/>
      </c>
      <c r="B491" s="21"/>
      <c r="C491" s="21"/>
      <c r="D491" s="22" t="str">
        <f>IF($C491="","",IFERROR(VLOOKUP($C491,Map_Register!$A$2:$C$5,3,FALSE()),""))</f>
        <v/>
      </c>
      <c r="E491" s="21"/>
      <c r="F491" s="21"/>
      <c r="G491" s="21"/>
      <c r="H491" s="21"/>
      <c r="I491" s="21"/>
      <c r="J491" s="21"/>
      <c r="K491" s="25"/>
      <c r="L491" s="21"/>
      <c r="M491" s="21"/>
      <c r="N491" s="21"/>
      <c r="O491" s="21"/>
    </row>
    <row r="492" spans="1:15" x14ac:dyDescent="0.3">
      <c r="A492" s="20" t="str">
        <f t="shared" si="5"/>
        <v/>
      </c>
      <c r="B492" s="21"/>
      <c r="C492" s="21"/>
      <c r="D492" s="22" t="str">
        <f>IF($C492="","",IFERROR(VLOOKUP($C492,Map_Register!$A$2:$C$5,3,FALSE()),""))</f>
        <v/>
      </c>
      <c r="E492" s="21"/>
      <c r="F492" s="21"/>
      <c r="G492" s="21"/>
      <c r="H492" s="21"/>
      <c r="I492" s="21"/>
      <c r="J492" s="21"/>
      <c r="K492" s="25"/>
      <c r="L492" s="21"/>
      <c r="M492" s="21"/>
      <c r="N492" s="21"/>
      <c r="O492" s="21"/>
    </row>
    <row r="493" spans="1:15" x14ac:dyDescent="0.3">
      <c r="A493" s="20" t="str">
        <f t="shared" si="5"/>
        <v/>
      </c>
      <c r="B493" s="21"/>
      <c r="C493" s="21"/>
      <c r="D493" s="22" t="str">
        <f>IF($C493="","",IFERROR(VLOOKUP($C493,Map_Register!$A$2:$C$5,3,FALSE()),""))</f>
        <v/>
      </c>
      <c r="E493" s="21"/>
      <c r="F493" s="21"/>
      <c r="G493" s="21"/>
      <c r="H493" s="21"/>
      <c r="I493" s="21"/>
      <c r="J493" s="21"/>
      <c r="K493" s="25"/>
      <c r="L493" s="21"/>
      <c r="M493" s="21"/>
      <c r="N493" s="21"/>
      <c r="O493" s="21"/>
    </row>
    <row r="494" spans="1:15" x14ac:dyDescent="0.3">
      <c r="A494" s="20" t="str">
        <f t="shared" si="5"/>
        <v/>
      </c>
      <c r="B494" s="21"/>
      <c r="C494" s="21"/>
      <c r="D494" s="22" t="str">
        <f>IF($C494="","",IFERROR(VLOOKUP($C494,Map_Register!$A$2:$C$5,3,FALSE()),""))</f>
        <v/>
      </c>
      <c r="E494" s="21"/>
      <c r="F494" s="21"/>
      <c r="G494" s="21"/>
      <c r="H494" s="21"/>
      <c r="I494" s="21"/>
      <c r="J494" s="21"/>
      <c r="K494" s="25"/>
      <c r="L494" s="21"/>
      <c r="M494" s="21"/>
      <c r="N494" s="21"/>
      <c r="O494" s="21"/>
    </row>
    <row r="495" spans="1:15" x14ac:dyDescent="0.3">
      <c r="A495" s="20" t="str">
        <f t="shared" si="5"/>
        <v/>
      </c>
      <c r="B495" s="21"/>
      <c r="C495" s="21"/>
      <c r="D495" s="22" t="str">
        <f>IF($C495="","",IFERROR(VLOOKUP($C495,Map_Register!$A$2:$C$5,3,FALSE()),""))</f>
        <v/>
      </c>
      <c r="E495" s="21"/>
      <c r="F495" s="21"/>
      <c r="G495" s="21"/>
      <c r="H495" s="21"/>
      <c r="I495" s="21"/>
      <c r="J495" s="21"/>
      <c r="K495" s="25"/>
      <c r="L495" s="21"/>
      <c r="M495" s="21"/>
      <c r="N495" s="21"/>
      <c r="O495" s="21"/>
    </row>
    <row r="496" spans="1:15" x14ac:dyDescent="0.3">
      <c r="A496" s="20" t="str">
        <f t="shared" si="5"/>
        <v/>
      </c>
      <c r="B496" s="21"/>
      <c r="C496" s="21"/>
      <c r="D496" s="22" t="str">
        <f>IF($C496="","",IFERROR(VLOOKUP($C496,Map_Register!$A$2:$C$5,3,FALSE()),""))</f>
        <v/>
      </c>
      <c r="E496" s="21"/>
      <c r="F496" s="21"/>
      <c r="G496" s="21"/>
      <c r="H496" s="21"/>
      <c r="I496" s="21"/>
      <c r="J496" s="21"/>
      <c r="K496" s="25"/>
      <c r="L496" s="21"/>
      <c r="M496" s="21"/>
      <c r="N496" s="21"/>
      <c r="O496" s="21"/>
    </row>
    <row r="497" spans="1:15" x14ac:dyDescent="0.3">
      <c r="A497" s="20" t="str">
        <f t="shared" si="5"/>
        <v/>
      </c>
      <c r="B497" s="21"/>
      <c r="C497" s="21"/>
      <c r="D497" s="22" t="str">
        <f>IF($C497="","",IFERROR(VLOOKUP($C497,Map_Register!$A$2:$C$5,3,FALSE()),""))</f>
        <v/>
      </c>
      <c r="E497" s="21"/>
      <c r="F497" s="21"/>
      <c r="G497" s="21"/>
      <c r="H497" s="21"/>
      <c r="I497" s="21"/>
      <c r="J497" s="21"/>
      <c r="K497" s="25"/>
      <c r="L497" s="21"/>
      <c r="M497" s="21"/>
      <c r="N497" s="21"/>
      <c r="O497" s="21"/>
    </row>
    <row r="498" spans="1:15" x14ac:dyDescent="0.3">
      <c r="A498" s="20" t="str">
        <f t="shared" si="5"/>
        <v/>
      </c>
      <c r="B498" s="21"/>
      <c r="C498" s="21"/>
      <c r="D498" s="22" t="str">
        <f>IF($C498="","",IFERROR(VLOOKUP($C498,Map_Register!$A$2:$C$5,3,FALSE()),""))</f>
        <v/>
      </c>
      <c r="E498" s="21"/>
      <c r="F498" s="21"/>
      <c r="G498" s="21"/>
      <c r="H498" s="21"/>
      <c r="I498" s="21"/>
      <c r="J498" s="21"/>
      <c r="K498" s="25"/>
      <c r="L498" s="21"/>
      <c r="M498" s="21"/>
      <c r="N498" s="21"/>
      <c r="O498" s="21"/>
    </row>
    <row r="499" spans="1:15" x14ac:dyDescent="0.3">
      <c r="A499" s="20" t="str">
        <f t="shared" si="5"/>
        <v/>
      </c>
      <c r="B499" s="21"/>
      <c r="C499" s="21"/>
      <c r="D499" s="22" t="str">
        <f>IF($C499="","",IFERROR(VLOOKUP($C499,Map_Register!$A$2:$C$5,3,FALSE()),""))</f>
        <v/>
      </c>
      <c r="E499" s="21"/>
      <c r="F499" s="21"/>
      <c r="G499" s="21"/>
      <c r="H499" s="21"/>
      <c r="I499" s="21"/>
      <c r="J499" s="21"/>
      <c r="K499" s="25"/>
      <c r="L499" s="21"/>
      <c r="M499" s="21"/>
      <c r="N499" s="21"/>
      <c r="O499" s="21"/>
    </row>
    <row r="500" spans="1:15" x14ac:dyDescent="0.3">
      <c r="A500" s="20" t="str">
        <f t="shared" si="5"/>
        <v/>
      </c>
      <c r="B500" s="21"/>
      <c r="C500" s="21"/>
      <c r="D500" s="22" t="str">
        <f>IF($C500="","",IFERROR(VLOOKUP($C500,Map_Register!$A$2:$C$5,3,FALSE()),""))</f>
        <v/>
      </c>
      <c r="E500" s="21"/>
      <c r="F500" s="21"/>
      <c r="G500" s="21"/>
      <c r="H500" s="21"/>
      <c r="I500" s="21"/>
      <c r="J500" s="21"/>
      <c r="K500" s="25"/>
      <c r="L500" s="21"/>
      <c r="M500" s="21"/>
      <c r="N500" s="21"/>
      <c r="O500" s="21"/>
    </row>
    <row r="501" spans="1:15" x14ac:dyDescent="0.3">
      <c r="A501" s="20" t="str">
        <f t="shared" si="5"/>
        <v/>
      </c>
      <c r="B501" s="21"/>
      <c r="C501" s="21"/>
      <c r="D501" s="22" t="str">
        <f>IF($C501="","",IFERROR(VLOOKUP($C501,Map_Register!$A$2:$C$5,3,FALSE()),""))</f>
        <v/>
      </c>
      <c r="E501" s="21"/>
      <c r="F501" s="21"/>
      <c r="G501" s="21"/>
      <c r="H501" s="21"/>
      <c r="I501" s="21"/>
      <c r="J501" s="21"/>
      <c r="K501" s="25"/>
      <c r="L501" s="21"/>
      <c r="M501" s="21"/>
      <c r="N501" s="21"/>
      <c r="O501" s="21"/>
    </row>
    <row r="502" spans="1:15" x14ac:dyDescent="0.3">
      <c r="A502" s="20" t="str">
        <f t="shared" si="5"/>
        <v/>
      </c>
      <c r="B502" s="21"/>
      <c r="C502" s="21"/>
      <c r="D502" s="22" t="str">
        <f>IF($C502="","",IFERROR(VLOOKUP($C502,Map_Register!$A$2:$C$5,3,FALSE()),""))</f>
        <v/>
      </c>
      <c r="E502" s="21"/>
      <c r="F502" s="21"/>
      <c r="G502" s="21"/>
      <c r="H502" s="21"/>
      <c r="I502" s="21"/>
      <c r="J502" s="21"/>
      <c r="K502" s="25"/>
      <c r="L502" s="21"/>
      <c r="M502" s="21"/>
      <c r="N502" s="21"/>
      <c r="O502" s="21"/>
    </row>
    <row r="503" spans="1:15" x14ac:dyDescent="0.3">
      <c r="A503" s="20" t="str">
        <f t="shared" si="5"/>
        <v/>
      </c>
      <c r="B503" s="21"/>
      <c r="C503" s="21"/>
      <c r="D503" s="22" t="str">
        <f>IF($C503="","",IFERROR(VLOOKUP($C503,Map_Register!$A$2:$C$5,3,FALSE()),""))</f>
        <v/>
      </c>
      <c r="E503" s="21"/>
      <c r="F503" s="21"/>
      <c r="G503" s="21"/>
      <c r="H503" s="21"/>
      <c r="I503" s="21"/>
      <c r="J503" s="21"/>
      <c r="K503" s="25"/>
      <c r="L503" s="21"/>
      <c r="M503" s="21"/>
      <c r="N503" s="21"/>
      <c r="O503" s="21"/>
    </row>
    <row r="504" spans="1:15" x14ac:dyDescent="0.3">
      <c r="A504" s="20" t="str">
        <f t="shared" si="5"/>
        <v/>
      </c>
      <c r="B504" s="21"/>
      <c r="C504" s="21"/>
      <c r="D504" s="22" t="str">
        <f>IF($C504="","",IFERROR(VLOOKUP($C504,Map_Register!$A$2:$C$5,3,FALSE()),""))</f>
        <v/>
      </c>
      <c r="E504" s="21"/>
      <c r="F504" s="21"/>
      <c r="G504" s="21"/>
      <c r="H504" s="21"/>
      <c r="I504" s="21"/>
      <c r="J504" s="21"/>
      <c r="K504" s="25"/>
      <c r="L504" s="21"/>
      <c r="M504" s="21"/>
      <c r="N504" s="21"/>
      <c r="O504" s="21"/>
    </row>
  </sheetData>
  <autoFilter ref="A1:O26" xr:uid="{00000000-0009-0000-0000-000006000000}"/>
  <conditionalFormatting sqref="H2:H504">
    <cfRule type="expression" dxfId="15" priority="2">
      <formula>$H2="Absent"</formula>
    </cfRule>
    <cfRule type="expression" dxfId="14" priority="3">
      <formula>$H2="Present (Emphasized)"</formula>
    </cfRule>
    <cfRule type="expression" dxfId="13" priority="4">
      <formula>$H2="Present (De-emphasized)"</formula>
    </cfRule>
    <cfRule type="expression" dxfId="12" priority="5">
      <formula>$H2="Present (Differentiated)"</formula>
    </cfRule>
  </conditionalFormatting>
  <hyperlinks>
    <hyperlink ref="O2" r:id="rId1" xr:uid="{00000000-0004-0000-0600-000000000000}"/>
    <hyperlink ref="O7" r:id="rId2" xr:uid="{00000000-0004-0000-0600-000001000000}"/>
    <hyperlink ref="O8" r:id="rId3" xr:uid="{00000000-0004-0000-0600-000002000000}"/>
    <hyperlink ref="O9" r:id="rId4" xr:uid="{00000000-0004-0000-0600-000003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Q1834"/>
  <sheetViews>
    <sheetView tabSelected="1" zoomScale="70" zoomScaleNormal="70" workbookViewId="0">
      <pane ySplit="1" topLeftCell="A1475" activePane="bottomLeft" state="frozen"/>
      <selection pane="bottomLeft" activeCell="L21" sqref="L21:L1815"/>
    </sheetView>
  </sheetViews>
  <sheetFormatPr defaultColWidth="8.6640625" defaultRowHeight="14.4" x14ac:dyDescent="0.3"/>
  <cols>
    <col min="1" max="1" width="10.109375" customWidth="1"/>
    <col min="2" max="2" width="5" customWidth="1"/>
    <col min="3" max="3" width="7.33203125" customWidth="1"/>
    <col min="4" max="4" width="14.33203125" customWidth="1"/>
    <col min="5" max="5" width="10.21875" customWidth="1"/>
    <col min="6" max="6" width="8" customWidth="1"/>
    <col min="7" max="7" width="20.44140625" customWidth="1"/>
    <col min="8" max="9" width="51.44140625" customWidth="1"/>
    <col min="10" max="10" width="32.33203125" customWidth="1"/>
    <col min="11" max="11" width="10.6640625" customWidth="1"/>
    <col min="12" max="12" width="13.44140625" customWidth="1"/>
    <col min="13" max="13" width="157.77734375" customWidth="1"/>
    <col min="14" max="14" width="9" customWidth="1"/>
    <col min="16" max="16" width="15.6640625" customWidth="1"/>
    <col min="17" max="17" width="50.5546875" customWidth="1"/>
  </cols>
  <sheetData>
    <row r="1" spans="1:17" ht="27" customHeight="1" x14ac:dyDescent="0.3">
      <c r="A1" s="15" t="s">
        <v>45</v>
      </c>
      <c r="B1" s="15" t="s">
        <v>48</v>
      </c>
      <c r="C1" s="15" t="s">
        <v>51</v>
      </c>
      <c r="D1" s="15" t="s">
        <v>100</v>
      </c>
      <c r="E1" s="15" t="s">
        <v>4</v>
      </c>
      <c r="F1" s="15" t="s">
        <v>101</v>
      </c>
      <c r="G1" s="15" t="s">
        <v>56</v>
      </c>
      <c r="H1" s="15" t="s">
        <v>102</v>
      </c>
      <c r="I1" s="15" t="s">
        <v>675</v>
      </c>
      <c r="J1" s="15" t="s">
        <v>59</v>
      </c>
      <c r="K1" s="15" t="s">
        <v>62</v>
      </c>
      <c r="L1" s="15" t="s">
        <v>68</v>
      </c>
      <c r="M1" s="15" t="s">
        <v>70</v>
      </c>
      <c r="N1" s="15" t="s">
        <v>65</v>
      </c>
      <c r="O1" s="15" t="s">
        <v>73</v>
      </c>
      <c r="P1" s="15" t="s">
        <v>103</v>
      </c>
      <c r="Q1" s="15" t="s">
        <v>79</v>
      </c>
    </row>
    <row r="2" spans="1:17" ht="12.75" hidden="1" customHeight="1" x14ac:dyDescent="0.3">
      <c r="A2" s="20">
        <f t="shared" ref="A2:A65" si="0">IF($B2="","",ROW()-1)</f>
        <v>1</v>
      </c>
      <c r="B2" s="21" t="s">
        <v>87</v>
      </c>
      <c r="C2" s="21" t="s">
        <v>97</v>
      </c>
      <c r="D2" s="22" t="str">
        <f>IF($C2="","",IFERROR(VLOOKUP($C2,Map_Register!$A$2:$C$5,3,FALSE()),""))</f>
        <v>Toponym Labels</v>
      </c>
      <c r="E2" s="21" t="s">
        <v>15</v>
      </c>
      <c r="F2" s="23">
        <v>46</v>
      </c>
      <c r="G2" s="20" t="s">
        <v>676</v>
      </c>
      <c r="H2" s="20" t="s">
        <v>677</v>
      </c>
      <c r="I2" s="20" t="s">
        <v>678</v>
      </c>
      <c r="J2" s="20" t="s">
        <v>220</v>
      </c>
      <c r="L2" s="20" t="s">
        <v>137</v>
      </c>
      <c r="M2" t="s">
        <v>679</v>
      </c>
      <c r="N2" s="21"/>
      <c r="O2" s="21"/>
      <c r="P2" s="21"/>
      <c r="Q2" s="24" t="s">
        <v>680</v>
      </c>
    </row>
    <row r="3" spans="1:17" hidden="1" x14ac:dyDescent="0.3">
      <c r="A3" s="20">
        <f t="shared" si="0"/>
        <v>2</v>
      </c>
      <c r="B3" s="21" t="s">
        <v>87</v>
      </c>
      <c r="C3" s="21" t="s">
        <v>97</v>
      </c>
      <c r="D3" s="22" t="str">
        <f>IF($C3="","",IFERROR(VLOOKUP($C3,Map_Register!$A$2:$C$5,3,FALSE()),""))</f>
        <v>Toponym Labels</v>
      </c>
      <c r="E3" s="21" t="s">
        <v>15</v>
      </c>
      <c r="F3" s="23">
        <v>177</v>
      </c>
      <c r="G3" s="20" t="s">
        <v>681</v>
      </c>
      <c r="H3" s="20" t="s">
        <v>682</v>
      </c>
      <c r="I3" s="20" t="s">
        <v>678</v>
      </c>
      <c r="J3" s="20" t="s">
        <v>8</v>
      </c>
      <c r="K3" t="s">
        <v>107</v>
      </c>
      <c r="L3" t="s">
        <v>107</v>
      </c>
      <c r="M3" s="20" t="s">
        <v>683</v>
      </c>
      <c r="N3" s="20" t="s">
        <v>108</v>
      </c>
      <c r="Q3" s="24" t="s">
        <v>680</v>
      </c>
    </row>
    <row r="4" spans="1:17" hidden="1" x14ac:dyDescent="0.3">
      <c r="A4" s="20">
        <f t="shared" si="0"/>
        <v>3</v>
      </c>
      <c r="B4" s="21" t="s">
        <v>87</v>
      </c>
      <c r="C4" s="21" t="s">
        <v>97</v>
      </c>
      <c r="D4" s="22" t="str">
        <f>IF($C4="","",IFERROR(VLOOKUP($C4,Map_Register!$A$2:$C$5,3,FALSE()),""))</f>
        <v>Toponym Labels</v>
      </c>
      <c r="E4" s="21" t="s">
        <v>15</v>
      </c>
      <c r="F4" s="23">
        <v>216</v>
      </c>
      <c r="G4" s="20" t="s">
        <v>681</v>
      </c>
      <c r="H4" s="20" t="s">
        <v>684</v>
      </c>
      <c r="I4" s="20" t="s">
        <v>678</v>
      </c>
      <c r="J4" s="20" t="s">
        <v>6</v>
      </c>
      <c r="K4" s="20" t="s">
        <v>137</v>
      </c>
      <c r="L4" s="20" t="s">
        <v>137</v>
      </c>
      <c r="M4" s="20" t="s">
        <v>685</v>
      </c>
      <c r="Q4" s="24" t="s">
        <v>680</v>
      </c>
    </row>
    <row r="5" spans="1:17" hidden="1" x14ac:dyDescent="0.3">
      <c r="A5" s="20">
        <f t="shared" si="0"/>
        <v>4</v>
      </c>
      <c r="B5" s="21" t="s">
        <v>87</v>
      </c>
      <c r="C5" s="21" t="s">
        <v>97</v>
      </c>
      <c r="D5" s="22" t="str">
        <f>IF($C5="","",IFERROR(VLOOKUP($C5,Map_Register!$A$2:$C$5,3,FALSE()),""))</f>
        <v>Toponym Labels</v>
      </c>
      <c r="E5" s="21" t="s">
        <v>15</v>
      </c>
      <c r="F5" s="23">
        <v>323</v>
      </c>
      <c r="G5" s="20" t="s">
        <v>686</v>
      </c>
      <c r="H5" s="20" t="s">
        <v>687</v>
      </c>
      <c r="I5" s="20" t="s">
        <v>678</v>
      </c>
      <c r="J5" s="20" t="s">
        <v>6</v>
      </c>
      <c r="K5" s="20" t="s">
        <v>137</v>
      </c>
      <c r="L5" s="20" t="s">
        <v>137</v>
      </c>
      <c r="M5" s="20" t="s">
        <v>688</v>
      </c>
      <c r="Q5" s="24" t="s">
        <v>680</v>
      </c>
    </row>
    <row r="6" spans="1:17" hidden="1" x14ac:dyDescent="0.3">
      <c r="A6" s="20">
        <f t="shared" si="0"/>
        <v>5</v>
      </c>
      <c r="B6" s="21" t="s">
        <v>87</v>
      </c>
      <c r="C6" s="21" t="s">
        <v>97</v>
      </c>
      <c r="D6" s="22" t="str">
        <f>IF($C6="","",IFERROR(VLOOKUP($C6,Map_Register!$A$2:$C$5,3,FALSE()),""))</f>
        <v>Toponym Labels</v>
      </c>
      <c r="E6" s="21" t="s">
        <v>15</v>
      </c>
      <c r="F6" s="23">
        <v>378</v>
      </c>
      <c r="G6" s="20" t="s">
        <v>686</v>
      </c>
      <c r="H6" s="20" t="s">
        <v>689</v>
      </c>
      <c r="I6" s="20" t="s">
        <v>678</v>
      </c>
      <c r="J6" s="20" t="s">
        <v>6</v>
      </c>
      <c r="K6" s="20" t="s">
        <v>137</v>
      </c>
      <c r="L6" s="20" t="s">
        <v>137</v>
      </c>
      <c r="M6" s="20" t="s">
        <v>690</v>
      </c>
      <c r="Q6" s="24" t="s">
        <v>680</v>
      </c>
    </row>
    <row r="7" spans="1:17" hidden="1" x14ac:dyDescent="0.3">
      <c r="A7" s="20">
        <f t="shared" si="0"/>
        <v>6</v>
      </c>
      <c r="B7" s="21" t="s">
        <v>87</v>
      </c>
      <c r="C7" s="21" t="s">
        <v>97</v>
      </c>
      <c r="D7" s="22" t="str">
        <f>IF($C7="","",IFERROR(VLOOKUP($C7,Map_Register!$A$2:$C$5,3,FALSE()),""))</f>
        <v>Toponym Labels</v>
      </c>
      <c r="E7" s="21" t="s">
        <v>15</v>
      </c>
      <c r="F7" s="23">
        <v>396</v>
      </c>
      <c r="G7" s="20" t="s">
        <v>686</v>
      </c>
      <c r="H7" s="20" t="s">
        <v>691</v>
      </c>
      <c r="I7" s="20" t="s">
        <v>678</v>
      </c>
      <c r="J7" s="20" t="s">
        <v>6</v>
      </c>
      <c r="K7" s="20" t="s">
        <v>137</v>
      </c>
      <c r="L7" s="20" t="s">
        <v>137</v>
      </c>
      <c r="M7" s="20" t="s">
        <v>692</v>
      </c>
      <c r="Q7" s="24" t="s">
        <v>680</v>
      </c>
    </row>
    <row r="8" spans="1:17" hidden="1" x14ac:dyDescent="0.3">
      <c r="A8" s="20">
        <f t="shared" si="0"/>
        <v>7</v>
      </c>
      <c r="B8" s="21" t="s">
        <v>87</v>
      </c>
      <c r="C8" s="21" t="s">
        <v>97</v>
      </c>
      <c r="D8" s="22" t="str">
        <f>IF($C8="","",IFERROR(VLOOKUP($C8,Map_Register!$A$2:$C$5,3,FALSE()),""))</f>
        <v>Toponym Labels</v>
      </c>
      <c r="E8" s="21" t="s">
        <v>15</v>
      </c>
      <c r="F8" s="23">
        <v>436</v>
      </c>
      <c r="G8" s="20" t="s">
        <v>686</v>
      </c>
      <c r="H8" s="20" t="s">
        <v>693</v>
      </c>
      <c r="I8" s="20" t="s">
        <v>678</v>
      </c>
      <c r="J8" t="s">
        <v>6</v>
      </c>
      <c r="K8" s="20" t="s">
        <v>137</v>
      </c>
      <c r="L8" s="20" t="s">
        <v>137</v>
      </c>
      <c r="M8" s="20" t="s">
        <v>694</v>
      </c>
      <c r="Q8" s="24" t="s">
        <v>680</v>
      </c>
    </row>
    <row r="9" spans="1:17" hidden="1" x14ac:dyDescent="0.3">
      <c r="A9" s="20">
        <f t="shared" si="0"/>
        <v>8</v>
      </c>
      <c r="B9" s="21" t="s">
        <v>87</v>
      </c>
      <c r="C9" s="21" t="s">
        <v>97</v>
      </c>
      <c r="D9" s="22" t="str">
        <f>IF($C9="","",IFERROR(VLOOKUP($C9,Map_Register!$A$2:$C$5,3,FALSE()),""))</f>
        <v>Toponym Labels</v>
      </c>
      <c r="E9" s="21" t="s">
        <v>15</v>
      </c>
      <c r="F9" s="23">
        <v>1020</v>
      </c>
      <c r="G9" s="20" t="s">
        <v>695</v>
      </c>
      <c r="H9" s="20" t="s">
        <v>696</v>
      </c>
      <c r="I9" t="s">
        <v>697</v>
      </c>
      <c r="J9" s="20" t="s">
        <v>6</v>
      </c>
      <c r="K9" s="20" t="s">
        <v>137</v>
      </c>
      <c r="L9" s="20" t="s">
        <v>137</v>
      </c>
      <c r="M9" t="s">
        <v>698</v>
      </c>
      <c r="Q9" s="24" t="s">
        <v>680</v>
      </c>
    </row>
    <row r="10" spans="1:17" hidden="1" x14ac:dyDescent="0.3">
      <c r="A10" s="20">
        <f t="shared" si="0"/>
        <v>9</v>
      </c>
      <c r="B10" s="21" t="s">
        <v>87</v>
      </c>
      <c r="C10" s="21" t="s">
        <v>97</v>
      </c>
      <c r="D10" s="22" t="str">
        <f>IF($C10="","",IFERROR(VLOOKUP($C10,Map_Register!$A$2:$C$5,3,FALSE()),""))</f>
        <v>Toponym Labels</v>
      </c>
      <c r="E10" s="21" t="s">
        <v>15</v>
      </c>
      <c r="F10" s="23">
        <v>1022</v>
      </c>
      <c r="G10" s="20" t="s">
        <v>695</v>
      </c>
      <c r="H10" s="20" t="s">
        <v>699</v>
      </c>
      <c r="I10" t="s">
        <v>697</v>
      </c>
      <c r="J10" s="20" t="s">
        <v>6</v>
      </c>
      <c r="K10" s="20" t="s">
        <v>137</v>
      </c>
      <c r="L10" s="20" t="s">
        <v>137</v>
      </c>
      <c r="M10" s="20" t="s">
        <v>700</v>
      </c>
      <c r="Q10" s="24" t="s">
        <v>680</v>
      </c>
    </row>
    <row r="11" spans="1:17" hidden="1" x14ac:dyDescent="0.3">
      <c r="A11" s="20">
        <f t="shared" si="0"/>
        <v>10</v>
      </c>
      <c r="B11" s="21" t="s">
        <v>87</v>
      </c>
      <c r="C11" s="21" t="s">
        <v>97</v>
      </c>
      <c r="D11" s="22" t="str">
        <f>IF($C11="","",IFERROR(VLOOKUP($C11,Map_Register!$A$2:$C$5,3,FALSE()),""))</f>
        <v>Toponym Labels</v>
      </c>
      <c r="E11" s="21" t="s">
        <v>15</v>
      </c>
      <c r="F11" s="23">
        <v>1036</v>
      </c>
      <c r="G11" s="20" t="s">
        <v>695</v>
      </c>
      <c r="H11" s="20" t="s">
        <v>701</v>
      </c>
      <c r="I11" t="s">
        <v>697</v>
      </c>
      <c r="J11" s="20" t="s">
        <v>6</v>
      </c>
      <c r="K11" s="20" t="s">
        <v>137</v>
      </c>
      <c r="L11" s="20" t="s">
        <v>137</v>
      </c>
      <c r="M11" s="20" t="s">
        <v>702</v>
      </c>
      <c r="Q11" s="24" t="s">
        <v>680</v>
      </c>
    </row>
    <row r="12" spans="1:17" hidden="1" x14ac:dyDescent="0.3">
      <c r="A12" s="20">
        <f t="shared" si="0"/>
        <v>11</v>
      </c>
      <c r="B12" s="21" t="s">
        <v>87</v>
      </c>
      <c r="C12" s="21" t="s">
        <v>97</v>
      </c>
      <c r="D12" s="22" t="str">
        <f>IF($C12="","",IFERROR(VLOOKUP($C12,Map_Register!$A$2:$C$5,3,FALSE()),""))</f>
        <v>Toponym Labels</v>
      </c>
      <c r="E12" s="21" t="s">
        <v>15</v>
      </c>
      <c r="F12" s="23">
        <v>1037</v>
      </c>
      <c r="G12" s="20" t="s">
        <v>695</v>
      </c>
      <c r="H12" s="20" t="s">
        <v>703</v>
      </c>
      <c r="I12" t="s">
        <v>697</v>
      </c>
      <c r="J12" s="20" t="s">
        <v>6</v>
      </c>
      <c r="K12" s="20" t="s">
        <v>137</v>
      </c>
      <c r="L12" s="20" t="s">
        <v>137</v>
      </c>
      <c r="M12" s="20" t="s">
        <v>704</v>
      </c>
      <c r="Q12" s="24" t="s">
        <v>680</v>
      </c>
    </row>
    <row r="13" spans="1:17" hidden="1" x14ac:dyDescent="0.3">
      <c r="A13" s="20">
        <f t="shared" si="0"/>
        <v>12</v>
      </c>
      <c r="B13" s="21" t="s">
        <v>87</v>
      </c>
      <c r="C13" s="21" t="s">
        <v>97</v>
      </c>
      <c r="D13" s="22" t="str">
        <f>IF($C13="","",IFERROR(VLOOKUP($C13,Map_Register!$A$2:$C$5,3,FALSE()),""))</f>
        <v>Toponym Labels</v>
      </c>
      <c r="E13" s="21" t="s">
        <v>15</v>
      </c>
      <c r="F13" s="23">
        <v>3152</v>
      </c>
      <c r="G13" s="20" t="s">
        <v>705</v>
      </c>
      <c r="H13" s="20" t="s">
        <v>706</v>
      </c>
      <c r="I13" s="20" t="s">
        <v>678</v>
      </c>
      <c r="J13" s="20" t="s">
        <v>8</v>
      </c>
      <c r="K13" t="s">
        <v>107</v>
      </c>
      <c r="L13" t="s">
        <v>107</v>
      </c>
      <c r="M13" s="20" t="s">
        <v>683</v>
      </c>
      <c r="N13" s="20" t="s">
        <v>108</v>
      </c>
      <c r="Q13" s="24" t="s">
        <v>680</v>
      </c>
    </row>
    <row r="14" spans="1:17" hidden="1" x14ac:dyDescent="0.3">
      <c r="A14" s="20">
        <f t="shared" si="0"/>
        <v>13</v>
      </c>
      <c r="B14" s="21" t="s">
        <v>87</v>
      </c>
      <c r="C14" s="21" t="s">
        <v>97</v>
      </c>
      <c r="D14" s="22" t="str">
        <f>IF($C14="","",IFERROR(VLOOKUP($C14,Map_Register!$A$2:$C$5,3,FALSE()),""))</f>
        <v>Toponym Labels</v>
      </c>
      <c r="E14" s="21" t="s">
        <v>15</v>
      </c>
      <c r="F14" s="23">
        <v>3771</v>
      </c>
      <c r="G14" s="20" t="s">
        <v>705</v>
      </c>
      <c r="H14" s="20" t="s">
        <v>707</v>
      </c>
      <c r="I14" s="20" t="s">
        <v>678</v>
      </c>
      <c r="J14" s="20" t="s">
        <v>8</v>
      </c>
      <c r="K14" t="s">
        <v>107</v>
      </c>
      <c r="L14" t="s">
        <v>107</v>
      </c>
      <c r="M14" s="20" t="s">
        <v>683</v>
      </c>
      <c r="N14" s="20" t="s">
        <v>108</v>
      </c>
      <c r="Q14" s="24" t="s">
        <v>680</v>
      </c>
    </row>
    <row r="15" spans="1:17" hidden="1" x14ac:dyDescent="0.3">
      <c r="A15" s="20">
        <f t="shared" si="0"/>
        <v>14</v>
      </c>
      <c r="B15" s="21" t="s">
        <v>87</v>
      </c>
      <c r="C15" s="21" t="s">
        <v>97</v>
      </c>
      <c r="D15" s="22" t="str">
        <f>IF($C15="","",IFERROR(VLOOKUP($C15,Map_Register!$A$2:$C$5,3,FALSE()),""))</f>
        <v>Toponym Labels</v>
      </c>
      <c r="E15" s="21" t="s">
        <v>15</v>
      </c>
      <c r="F15" s="23">
        <v>4126</v>
      </c>
      <c r="G15" s="20" t="s">
        <v>705</v>
      </c>
      <c r="H15" s="20" t="s">
        <v>708</v>
      </c>
      <c r="I15" s="20" t="s">
        <v>678</v>
      </c>
      <c r="J15" s="20" t="s">
        <v>8</v>
      </c>
      <c r="K15" t="s">
        <v>107</v>
      </c>
      <c r="L15" t="s">
        <v>107</v>
      </c>
      <c r="M15" s="20" t="s">
        <v>683</v>
      </c>
      <c r="N15" s="20" t="s">
        <v>108</v>
      </c>
      <c r="Q15" s="24" t="s">
        <v>680</v>
      </c>
    </row>
    <row r="16" spans="1:17" hidden="1" x14ac:dyDescent="0.3">
      <c r="A16" s="20">
        <f t="shared" si="0"/>
        <v>15</v>
      </c>
      <c r="B16" s="21" t="s">
        <v>87</v>
      </c>
      <c r="C16" s="21" t="s">
        <v>97</v>
      </c>
      <c r="D16" s="22" t="str">
        <f>IF($C16="","",IFERROR(VLOOKUP($C16,Map_Register!$A$2:$C$5,3,FALSE()),""))</f>
        <v>Toponym Labels</v>
      </c>
      <c r="E16" s="21" t="s">
        <v>15</v>
      </c>
      <c r="F16" s="23">
        <v>5088</v>
      </c>
      <c r="G16" s="20" t="s">
        <v>709</v>
      </c>
      <c r="H16" s="20" t="s">
        <v>710</v>
      </c>
      <c r="I16" s="20" t="s">
        <v>678</v>
      </c>
      <c r="J16" s="20" t="s">
        <v>8</v>
      </c>
      <c r="K16" t="s">
        <v>107</v>
      </c>
      <c r="L16" t="s">
        <v>107</v>
      </c>
      <c r="M16" s="20" t="s">
        <v>683</v>
      </c>
      <c r="N16" s="20" t="s">
        <v>108</v>
      </c>
      <c r="Q16" s="24" t="s">
        <v>680</v>
      </c>
    </row>
    <row r="17" spans="1:17" hidden="1" x14ac:dyDescent="0.3">
      <c r="A17" s="20">
        <f t="shared" si="0"/>
        <v>16</v>
      </c>
      <c r="B17" s="21" t="s">
        <v>87</v>
      </c>
      <c r="C17" s="21" t="s">
        <v>97</v>
      </c>
      <c r="D17" s="22" t="str">
        <f>IF($C17="","",IFERROR(VLOOKUP($C17,Map_Register!$A$2:$C$5,3,FALSE()),""))</f>
        <v>Toponym Labels</v>
      </c>
      <c r="E17" s="21" t="s">
        <v>15</v>
      </c>
      <c r="F17" s="23">
        <v>8156</v>
      </c>
      <c r="G17" s="20" t="s">
        <v>711</v>
      </c>
      <c r="H17" s="20" t="s">
        <v>712</v>
      </c>
      <c r="I17" s="20" t="s">
        <v>678</v>
      </c>
      <c r="J17" s="20" t="s">
        <v>8</v>
      </c>
      <c r="K17" t="s">
        <v>107</v>
      </c>
      <c r="L17" t="s">
        <v>107</v>
      </c>
      <c r="M17" s="20" t="s">
        <v>683</v>
      </c>
      <c r="N17" s="20" t="s">
        <v>108</v>
      </c>
      <c r="Q17" s="24" t="s">
        <v>680</v>
      </c>
    </row>
    <row r="18" spans="1:17" hidden="1" x14ac:dyDescent="0.3">
      <c r="A18" s="20">
        <f t="shared" si="0"/>
        <v>17</v>
      </c>
      <c r="B18" s="21" t="s">
        <v>87</v>
      </c>
      <c r="C18" s="21" t="s">
        <v>97</v>
      </c>
      <c r="D18" s="22" t="str">
        <f>IF($C18="","",IFERROR(VLOOKUP($C18,Map_Register!$A$2:$C$5,3,FALSE()),""))</f>
        <v>Toponym Labels</v>
      </c>
      <c r="E18" s="21" t="s">
        <v>15</v>
      </c>
      <c r="F18" s="23">
        <v>8388</v>
      </c>
      <c r="G18" s="20" t="s">
        <v>713</v>
      </c>
      <c r="H18" s="20" t="s">
        <v>714</v>
      </c>
      <c r="I18" s="20" t="s">
        <v>678</v>
      </c>
      <c r="J18" s="20" t="s">
        <v>8</v>
      </c>
      <c r="K18" t="s">
        <v>107</v>
      </c>
      <c r="L18" t="s">
        <v>107</v>
      </c>
      <c r="M18" s="20" t="s">
        <v>715</v>
      </c>
      <c r="N18" s="20" t="s">
        <v>108</v>
      </c>
      <c r="Q18" s="24" t="s">
        <v>680</v>
      </c>
    </row>
    <row r="19" spans="1:17" hidden="1" x14ac:dyDescent="0.3">
      <c r="A19" s="20">
        <f t="shared" si="0"/>
        <v>18</v>
      </c>
      <c r="B19" s="21" t="s">
        <v>87</v>
      </c>
      <c r="C19" s="21" t="s">
        <v>97</v>
      </c>
      <c r="D19" s="22" t="str">
        <f>IF($C19="","",IFERROR(VLOOKUP($C19,Map_Register!$A$2:$C$5,3,FALSE()),""))</f>
        <v>Toponym Labels</v>
      </c>
      <c r="E19" s="21" t="s">
        <v>15</v>
      </c>
      <c r="F19" s="23">
        <v>16969</v>
      </c>
      <c r="G19" s="20" t="s">
        <v>716</v>
      </c>
      <c r="H19" s="20" t="s">
        <v>717</v>
      </c>
      <c r="I19" s="20" t="s">
        <v>678</v>
      </c>
      <c r="J19" s="20" t="s">
        <v>6</v>
      </c>
      <c r="K19" s="20" t="s">
        <v>137</v>
      </c>
      <c r="L19" s="20" t="s">
        <v>137</v>
      </c>
      <c r="M19" s="20" t="s">
        <v>718</v>
      </c>
      <c r="Q19" s="24" t="s">
        <v>680</v>
      </c>
    </row>
    <row r="20" spans="1:17" hidden="1" x14ac:dyDescent="0.3">
      <c r="A20" s="20">
        <f t="shared" si="0"/>
        <v>19</v>
      </c>
      <c r="B20" s="21" t="s">
        <v>87</v>
      </c>
      <c r="C20" s="21" t="s">
        <v>97</v>
      </c>
      <c r="D20" s="22" t="str">
        <f>IF($C20="","",IFERROR(VLOOKUP($C20,Map_Register!$A$2:$C$5,3,FALSE()),""))</f>
        <v>Toponym Labels</v>
      </c>
      <c r="E20" s="21" t="s">
        <v>15</v>
      </c>
      <c r="F20" s="23">
        <v>102008</v>
      </c>
      <c r="G20" s="20" t="s">
        <v>719</v>
      </c>
      <c r="H20" s="20" t="s">
        <v>720</v>
      </c>
      <c r="I20" t="s">
        <v>697</v>
      </c>
      <c r="J20" s="20" t="s">
        <v>6</v>
      </c>
      <c r="K20" s="20" t="s">
        <v>137</v>
      </c>
      <c r="L20" s="20" t="s">
        <v>137</v>
      </c>
      <c r="M20" s="20" t="s">
        <v>721</v>
      </c>
      <c r="Q20" s="24" t="s">
        <v>680</v>
      </c>
    </row>
    <row r="21" spans="1:17" x14ac:dyDescent="0.3">
      <c r="A21" s="20">
        <f t="shared" si="0"/>
        <v>20</v>
      </c>
      <c r="B21" s="21" t="s">
        <v>87</v>
      </c>
      <c r="C21" s="21" t="s">
        <v>97</v>
      </c>
      <c r="D21" s="22" t="str">
        <f>IF($C21="","",IFERROR(VLOOKUP($C21,Map_Register!$A$2:$C$5,3,FALSE()),""))</f>
        <v>Toponym Labels</v>
      </c>
      <c r="E21" s="21" t="s">
        <v>15</v>
      </c>
      <c r="F21" s="23">
        <v>102009</v>
      </c>
      <c r="G21" s="20" t="s">
        <v>719</v>
      </c>
      <c r="H21" s="20" t="s">
        <v>722</v>
      </c>
      <c r="I21" t="s">
        <v>697</v>
      </c>
      <c r="J21" s="20" t="s">
        <v>8</v>
      </c>
      <c r="K21" t="s">
        <v>107</v>
      </c>
      <c r="L21" t="s">
        <v>108</v>
      </c>
      <c r="M21" s="20" t="s">
        <v>723</v>
      </c>
      <c r="N21" s="20" t="s">
        <v>108</v>
      </c>
      <c r="Q21" s="24" t="s">
        <v>680</v>
      </c>
    </row>
    <row r="22" spans="1:17" hidden="1" x14ac:dyDescent="0.3">
      <c r="A22" s="20">
        <f t="shared" si="0"/>
        <v>21</v>
      </c>
      <c r="B22" s="21" t="s">
        <v>87</v>
      </c>
      <c r="C22" s="21" t="s">
        <v>97</v>
      </c>
      <c r="D22" s="22" t="str">
        <f>IF($C22="","",IFERROR(VLOOKUP($C22,Map_Register!$A$2:$C$5,3,FALSE()),""))</f>
        <v>Toponym Labels</v>
      </c>
      <c r="E22" s="21" t="s">
        <v>15</v>
      </c>
      <c r="F22" s="23">
        <v>102010</v>
      </c>
      <c r="G22" s="20" t="s">
        <v>719</v>
      </c>
      <c r="H22" s="20" t="s">
        <v>724</v>
      </c>
      <c r="I22" t="s">
        <v>697</v>
      </c>
      <c r="J22" s="20" t="s">
        <v>6</v>
      </c>
      <c r="K22" s="20" t="s">
        <v>137</v>
      </c>
      <c r="L22" s="20" t="s">
        <v>137</v>
      </c>
      <c r="M22" s="20" t="s">
        <v>721</v>
      </c>
      <c r="Q22" s="24" t="s">
        <v>680</v>
      </c>
    </row>
    <row r="23" spans="1:17" x14ac:dyDescent="0.3">
      <c r="A23" s="20">
        <f t="shared" si="0"/>
        <v>22</v>
      </c>
      <c r="B23" s="21" t="s">
        <v>87</v>
      </c>
      <c r="C23" s="21" t="s">
        <v>97</v>
      </c>
      <c r="D23" s="22" t="str">
        <f>IF($C23="","",IFERROR(VLOOKUP($C23,Map_Register!$A$2:$C$5,3,FALSE()),""))</f>
        <v>Toponym Labels</v>
      </c>
      <c r="E23" s="21" t="s">
        <v>15</v>
      </c>
      <c r="F23" s="23">
        <v>102011</v>
      </c>
      <c r="G23" s="20" t="s">
        <v>719</v>
      </c>
      <c r="H23" s="20" t="s">
        <v>725</v>
      </c>
      <c r="I23" t="s">
        <v>697</v>
      </c>
      <c r="J23" s="20" t="s">
        <v>8</v>
      </c>
      <c r="K23" t="s">
        <v>107</v>
      </c>
      <c r="L23" t="s">
        <v>108</v>
      </c>
      <c r="M23" s="20" t="s">
        <v>723</v>
      </c>
      <c r="N23" s="20" t="s">
        <v>108</v>
      </c>
      <c r="Q23" s="24" t="s">
        <v>680</v>
      </c>
    </row>
    <row r="24" spans="1:17" hidden="1" x14ac:dyDescent="0.3">
      <c r="A24" s="20">
        <f t="shared" si="0"/>
        <v>23</v>
      </c>
      <c r="B24" s="21" t="s">
        <v>87</v>
      </c>
      <c r="C24" s="21" t="s">
        <v>97</v>
      </c>
      <c r="D24" s="22" t="str">
        <f>IF($C24="","",IFERROR(VLOOKUP($C24,Map_Register!$A$2:$C$5,3,FALSE()),""))</f>
        <v>Toponym Labels</v>
      </c>
      <c r="E24" s="21" t="s">
        <v>15</v>
      </c>
      <c r="F24" s="23">
        <v>102012</v>
      </c>
      <c r="G24" s="20" t="s">
        <v>719</v>
      </c>
      <c r="H24" s="20" t="s">
        <v>726</v>
      </c>
      <c r="I24" t="s">
        <v>697</v>
      </c>
      <c r="J24" s="20" t="s">
        <v>6</v>
      </c>
      <c r="K24" s="20" t="s">
        <v>137</v>
      </c>
      <c r="L24" s="20" t="s">
        <v>137</v>
      </c>
      <c r="M24" s="20" t="s">
        <v>721</v>
      </c>
      <c r="Q24" s="24" t="s">
        <v>680</v>
      </c>
    </row>
    <row r="25" spans="1:17" hidden="1" x14ac:dyDescent="0.3">
      <c r="A25" s="20">
        <f t="shared" si="0"/>
        <v>24</v>
      </c>
      <c r="B25" s="21" t="s">
        <v>87</v>
      </c>
      <c r="C25" s="21" t="s">
        <v>97</v>
      </c>
      <c r="D25" s="22" t="str">
        <f>IF($C25="","",IFERROR(VLOOKUP($C25,Map_Register!$A$2:$C$5,3,FALSE()),""))</f>
        <v>Toponym Labels</v>
      </c>
      <c r="E25" s="21" t="s">
        <v>15</v>
      </c>
      <c r="F25" s="23">
        <v>102013</v>
      </c>
      <c r="G25" s="20" t="s">
        <v>719</v>
      </c>
      <c r="H25" s="20" t="s">
        <v>727</v>
      </c>
      <c r="I25" t="s">
        <v>697</v>
      </c>
      <c r="J25" s="20" t="s">
        <v>6</v>
      </c>
      <c r="K25" s="20" t="s">
        <v>137</v>
      </c>
      <c r="L25" s="20" t="s">
        <v>137</v>
      </c>
      <c r="M25" s="20" t="s">
        <v>721</v>
      </c>
      <c r="Q25" s="24" t="s">
        <v>680</v>
      </c>
    </row>
    <row r="26" spans="1:17" hidden="1" x14ac:dyDescent="0.3">
      <c r="A26" s="20">
        <f t="shared" si="0"/>
        <v>25</v>
      </c>
      <c r="B26" s="21" t="s">
        <v>87</v>
      </c>
      <c r="C26" s="21" t="s">
        <v>97</v>
      </c>
      <c r="D26" s="22" t="str">
        <f>IF($C26="","",IFERROR(VLOOKUP($C26,Map_Register!$A$2:$C$5,3,FALSE()),""))</f>
        <v>Toponym Labels</v>
      </c>
      <c r="E26" s="21" t="s">
        <v>15</v>
      </c>
      <c r="F26" s="23">
        <v>102014</v>
      </c>
      <c r="G26" s="20" t="s">
        <v>719</v>
      </c>
      <c r="H26" s="20" t="s">
        <v>728</v>
      </c>
      <c r="I26" t="s">
        <v>697</v>
      </c>
      <c r="J26" s="20" t="s">
        <v>6</v>
      </c>
      <c r="K26" s="20" t="s">
        <v>137</v>
      </c>
      <c r="L26" s="20" t="s">
        <v>137</v>
      </c>
      <c r="M26" s="20" t="s">
        <v>721</v>
      </c>
      <c r="Q26" s="24" t="s">
        <v>680</v>
      </c>
    </row>
    <row r="27" spans="1:17" x14ac:dyDescent="0.3">
      <c r="A27" s="20">
        <f t="shared" si="0"/>
        <v>26</v>
      </c>
      <c r="B27" s="21" t="s">
        <v>87</v>
      </c>
      <c r="C27" s="21" t="s">
        <v>97</v>
      </c>
      <c r="D27" s="22" t="str">
        <f>IF($C27="","",IFERROR(VLOOKUP($C27,Map_Register!$A$2:$C$5,3,FALSE()),""))</f>
        <v>Toponym Labels</v>
      </c>
      <c r="E27" s="21" t="s">
        <v>15</v>
      </c>
      <c r="F27" s="23">
        <v>102015</v>
      </c>
      <c r="G27" s="20" t="s">
        <v>719</v>
      </c>
      <c r="H27" s="20" t="s">
        <v>729</v>
      </c>
      <c r="I27" t="s">
        <v>697</v>
      </c>
      <c r="J27" s="20" t="s">
        <v>8</v>
      </c>
      <c r="K27" t="s">
        <v>107</v>
      </c>
      <c r="L27" t="s">
        <v>108</v>
      </c>
      <c r="M27" s="20" t="s">
        <v>723</v>
      </c>
      <c r="N27" s="20" t="s">
        <v>108</v>
      </c>
      <c r="Q27" s="24" t="s">
        <v>680</v>
      </c>
    </row>
    <row r="28" spans="1:17" x14ac:dyDescent="0.3">
      <c r="A28" s="20">
        <f t="shared" si="0"/>
        <v>27</v>
      </c>
      <c r="B28" s="21" t="s">
        <v>87</v>
      </c>
      <c r="C28" s="21" t="s">
        <v>97</v>
      </c>
      <c r="D28" s="22" t="str">
        <f>IF($C28="","",IFERROR(VLOOKUP($C28,Map_Register!$A$2:$C$5,3,FALSE()),""))</f>
        <v>Toponym Labels</v>
      </c>
      <c r="E28" s="21" t="s">
        <v>15</v>
      </c>
      <c r="F28" s="23">
        <v>102063</v>
      </c>
      <c r="G28" s="20" t="s">
        <v>719</v>
      </c>
      <c r="H28" s="20" t="s">
        <v>730</v>
      </c>
      <c r="I28" t="s">
        <v>697</v>
      </c>
      <c r="J28" s="20" t="s">
        <v>8</v>
      </c>
      <c r="K28" t="s">
        <v>107</v>
      </c>
      <c r="L28" s="20" t="s">
        <v>108</v>
      </c>
      <c r="M28" s="20" t="s">
        <v>723</v>
      </c>
      <c r="N28" s="20" t="s">
        <v>108</v>
      </c>
      <c r="Q28" s="24" t="s">
        <v>680</v>
      </c>
    </row>
    <row r="29" spans="1:17" hidden="1" x14ac:dyDescent="0.3">
      <c r="A29" s="20">
        <f t="shared" si="0"/>
        <v>28</v>
      </c>
      <c r="B29" s="21" t="s">
        <v>87</v>
      </c>
      <c r="C29" s="21" t="s">
        <v>97</v>
      </c>
      <c r="D29" s="22" t="str">
        <f>IF($C29="","",IFERROR(VLOOKUP($C29,Map_Register!$A$2:$C$5,3,FALSE()),""))</f>
        <v>Toponym Labels</v>
      </c>
      <c r="E29" s="21" t="s">
        <v>15</v>
      </c>
      <c r="F29" s="23">
        <v>102064</v>
      </c>
      <c r="G29" s="20" t="s">
        <v>719</v>
      </c>
      <c r="H29" s="20" t="s">
        <v>731</v>
      </c>
      <c r="I29" t="s">
        <v>697</v>
      </c>
      <c r="J29" s="20" t="s">
        <v>6</v>
      </c>
      <c r="K29" s="20" t="s">
        <v>137</v>
      </c>
      <c r="L29" s="20" t="s">
        <v>137</v>
      </c>
      <c r="M29" s="20" t="s">
        <v>721</v>
      </c>
      <c r="Q29" s="24" t="s">
        <v>680</v>
      </c>
    </row>
    <row r="30" spans="1:17" hidden="1" x14ac:dyDescent="0.3">
      <c r="A30" s="20">
        <f t="shared" si="0"/>
        <v>29</v>
      </c>
      <c r="B30" s="21" t="s">
        <v>87</v>
      </c>
      <c r="C30" s="21" t="s">
        <v>97</v>
      </c>
      <c r="D30" s="22" t="str">
        <f>IF($C30="","",IFERROR(VLOOKUP($C30,Map_Register!$A$2:$C$5,3,FALSE()),""))</f>
        <v>Toponym Labels</v>
      </c>
      <c r="E30" s="21" t="s">
        <v>15</v>
      </c>
      <c r="F30" s="23">
        <v>102065</v>
      </c>
      <c r="G30" s="20" t="s">
        <v>719</v>
      </c>
      <c r="H30" s="20" t="s">
        <v>732</v>
      </c>
      <c r="I30" t="s">
        <v>697</v>
      </c>
      <c r="J30" s="20" t="s">
        <v>6</v>
      </c>
      <c r="K30" s="20" t="s">
        <v>137</v>
      </c>
      <c r="L30" s="20" t="s">
        <v>137</v>
      </c>
      <c r="M30" s="20" t="s">
        <v>721</v>
      </c>
      <c r="Q30" s="24" t="s">
        <v>680</v>
      </c>
    </row>
    <row r="31" spans="1:17" hidden="1" x14ac:dyDescent="0.3">
      <c r="A31" s="20">
        <f t="shared" si="0"/>
        <v>30</v>
      </c>
      <c r="B31" s="21" t="s">
        <v>87</v>
      </c>
      <c r="C31" s="21" t="s">
        <v>97</v>
      </c>
      <c r="D31" s="22" t="str">
        <f>IF($C31="","",IFERROR(VLOOKUP($C31,Map_Register!$A$2:$C$5,3,FALSE()),""))</f>
        <v>Toponym Labels</v>
      </c>
      <c r="E31" s="21" t="s">
        <v>15</v>
      </c>
      <c r="F31" s="23">
        <v>102066</v>
      </c>
      <c r="G31" s="20" t="s">
        <v>719</v>
      </c>
      <c r="H31" s="20" t="s">
        <v>733</v>
      </c>
      <c r="I31" t="s">
        <v>697</v>
      </c>
      <c r="J31" s="20" t="s">
        <v>6</v>
      </c>
      <c r="K31" s="20" t="s">
        <v>137</v>
      </c>
      <c r="L31" s="20" t="s">
        <v>137</v>
      </c>
      <c r="M31" s="20" t="s">
        <v>734</v>
      </c>
      <c r="Q31" s="24" t="s">
        <v>680</v>
      </c>
    </row>
    <row r="32" spans="1:17" x14ac:dyDescent="0.3">
      <c r="A32" s="20">
        <f t="shared" si="0"/>
        <v>31</v>
      </c>
      <c r="B32" s="21" t="s">
        <v>87</v>
      </c>
      <c r="C32" s="21" t="s">
        <v>97</v>
      </c>
      <c r="D32" s="22" t="str">
        <f>IF($C32="","",IFERROR(VLOOKUP($C32,Map_Register!$A$2:$C$5,3,FALSE()),""))</f>
        <v>Toponym Labels</v>
      </c>
      <c r="E32" s="21" t="s">
        <v>15</v>
      </c>
      <c r="F32" s="23">
        <v>102067</v>
      </c>
      <c r="G32" s="20" t="s">
        <v>719</v>
      </c>
      <c r="H32" s="20" t="s">
        <v>735</v>
      </c>
      <c r="I32" t="s">
        <v>697</v>
      </c>
      <c r="J32" s="20" t="s">
        <v>8</v>
      </c>
      <c r="K32" t="s">
        <v>107</v>
      </c>
      <c r="L32" t="s">
        <v>108</v>
      </c>
      <c r="M32" s="20" t="s">
        <v>723</v>
      </c>
      <c r="N32" s="20" t="s">
        <v>108</v>
      </c>
      <c r="Q32" s="24" t="s">
        <v>680</v>
      </c>
    </row>
    <row r="33" spans="1:17" hidden="1" x14ac:dyDescent="0.3">
      <c r="A33" s="20">
        <f t="shared" si="0"/>
        <v>32</v>
      </c>
      <c r="B33" s="21" t="s">
        <v>87</v>
      </c>
      <c r="C33" s="21" t="s">
        <v>97</v>
      </c>
      <c r="D33" s="22" t="str">
        <f>IF($C33="","",IFERROR(VLOOKUP($C33,Map_Register!$A$2:$C$5,3,FALSE()),""))</f>
        <v>Toponym Labels</v>
      </c>
      <c r="E33" s="21" t="s">
        <v>15</v>
      </c>
      <c r="F33" s="23">
        <v>102068</v>
      </c>
      <c r="G33" s="20" t="s">
        <v>719</v>
      </c>
      <c r="H33" s="20" t="s">
        <v>736</v>
      </c>
      <c r="I33" t="s">
        <v>697</v>
      </c>
      <c r="J33" s="20" t="s">
        <v>6</v>
      </c>
      <c r="K33" s="20" t="s">
        <v>137</v>
      </c>
      <c r="L33" s="20" t="s">
        <v>137</v>
      </c>
      <c r="M33" s="20" t="s">
        <v>721</v>
      </c>
      <c r="Q33" s="24" t="s">
        <v>680</v>
      </c>
    </row>
    <row r="34" spans="1:17" hidden="1" x14ac:dyDescent="0.3">
      <c r="A34" s="20">
        <f t="shared" si="0"/>
        <v>33</v>
      </c>
      <c r="B34" s="21" t="s">
        <v>87</v>
      </c>
      <c r="C34" s="21" t="s">
        <v>97</v>
      </c>
      <c r="D34" s="22" t="str">
        <f>IF($C34="","",IFERROR(VLOOKUP($C34,Map_Register!$A$2:$C$5,3,FALSE()),""))</f>
        <v>Toponym Labels</v>
      </c>
      <c r="E34" s="21" t="s">
        <v>15</v>
      </c>
      <c r="F34" s="23">
        <v>102072</v>
      </c>
      <c r="G34" s="20" t="s">
        <v>719</v>
      </c>
      <c r="H34" s="20" t="s">
        <v>737</v>
      </c>
      <c r="I34" t="s">
        <v>697</v>
      </c>
      <c r="J34" s="20" t="s">
        <v>8</v>
      </c>
      <c r="K34" t="s">
        <v>107</v>
      </c>
      <c r="L34" t="s">
        <v>107</v>
      </c>
      <c r="M34" s="20" t="s">
        <v>683</v>
      </c>
      <c r="N34" s="20" t="s">
        <v>108</v>
      </c>
      <c r="Q34" s="24" t="s">
        <v>680</v>
      </c>
    </row>
    <row r="35" spans="1:17" hidden="1" x14ac:dyDescent="0.3">
      <c r="A35" s="20">
        <f t="shared" si="0"/>
        <v>34</v>
      </c>
      <c r="B35" s="21" t="s">
        <v>87</v>
      </c>
      <c r="C35" s="21" t="s">
        <v>97</v>
      </c>
      <c r="D35" s="22" t="str">
        <f>IF($C35="","",IFERROR(VLOOKUP($C35,Map_Register!$A$2:$C$5,3,FALSE()),""))</f>
        <v>Toponym Labels</v>
      </c>
      <c r="E35" s="21" t="s">
        <v>15</v>
      </c>
      <c r="F35" s="23">
        <v>102415</v>
      </c>
      <c r="G35" s="20" t="s">
        <v>719</v>
      </c>
      <c r="H35" s="20" t="s">
        <v>738</v>
      </c>
      <c r="I35" t="s">
        <v>697</v>
      </c>
      <c r="J35" s="20" t="s">
        <v>6</v>
      </c>
      <c r="K35" s="20" t="s">
        <v>137</v>
      </c>
      <c r="L35" s="20" t="s">
        <v>137</v>
      </c>
      <c r="M35" s="20" t="s">
        <v>721</v>
      </c>
      <c r="Q35" s="24" t="s">
        <v>680</v>
      </c>
    </row>
    <row r="36" spans="1:17" hidden="1" x14ac:dyDescent="0.3">
      <c r="A36" s="20">
        <f t="shared" si="0"/>
        <v>35</v>
      </c>
      <c r="B36" s="21" t="s">
        <v>87</v>
      </c>
      <c r="C36" s="21" t="s">
        <v>97</v>
      </c>
      <c r="D36" s="22" t="str">
        <f>IF($C36="","",IFERROR(VLOOKUP($C36,Map_Register!$A$2:$C$5,3,FALSE()),""))</f>
        <v>Toponym Labels</v>
      </c>
      <c r="E36" s="21" t="s">
        <v>15</v>
      </c>
      <c r="F36" s="23">
        <v>102416</v>
      </c>
      <c r="G36" s="20" t="s">
        <v>719</v>
      </c>
      <c r="H36" s="20" t="s">
        <v>739</v>
      </c>
      <c r="I36" t="s">
        <v>697</v>
      </c>
      <c r="J36" s="20" t="s">
        <v>6</v>
      </c>
      <c r="K36" s="20" t="s">
        <v>137</v>
      </c>
      <c r="L36" s="20" t="s">
        <v>137</v>
      </c>
      <c r="M36" s="20" t="s">
        <v>721</v>
      </c>
      <c r="Q36" s="24" t="s">
        <v>680</v>
      </c>
    </row>
    <row r="37" spans="1:17" x14ac:dyDescent="0.3">
      <c r="A37" s="20">
        <f t="shared" si="0"/>
        <v>36</v>
      </c>
      <c r="B37" s="21" t="s">
        <v>87</v>
      </c>
      <c r="C37" s="21" t="s">
        <v>97</v>
      </c>
      <c r="D37" s="22" t="str">
        <f>IF($C37="","",IFERROR(VLOOKUP($C37,Map_Register!$A$2:$C$5,3,FALSE()),""))</f>
        <v>Toponym Labels</v>
      </c>
      <c r="E37" s="21" t="s">
        <v>15</v>
      </c>
      <c r="F37" s="23">
        <v>102417</v>
      </c>
      <c r="G37" s="20" t="s">
        <v>719</v>
      </c>
      <c r="H37" s="20" t="s">
        <v>740</v>
      </c>
      <c r="I37" t="s">
        <v>697</v>
      </c>
      <c r="J37" s="20" t="s">
        <v>8</v>
      </c>
      <c r="K37" t="s">
        <v>107</v>
      </c>
      <c r="L37" t="s">
        <v>108</v>
      </c>
      <c r="M37" s="20" t="s">
        <v>723</v>
      </c>
      <c r="N37" s="20" t="s">
        <v>108</v>
      </c>
      <c r="Q37" s="24" t="s">
        <v>680</v>
      </c>
    </row>
    <row r="38" spans="1:17" hidden="1" x14ac:dyDescent="0.3">
      <c r="A38" s="20">
        <f t="shared" si="0"/>
        <v>37</v>
      </c>
      <c r="B38" s="21" t="s">
        <v>87</v>
      </c>
      <c r="C38" s="21" t="s">
        <v>97</v>
      </c>
      <c r="D38" s="22" t="str">
        <f>IF($C38="","",IFERROR(VLOOKUP($C38,Map_Register!$A$2:$C$5,3,FALSE()),""))</f>
        <v>Toponym Labels</v>
      </c>
      <c r="E38" s="21" t="s">
        <v>15</v>
      </c>
      <c r="F38" s="23">
        <v>102418</v>
      </c>
      <c r="G38" s="20" t="s">
        <v>719</v>
      </c>
      <c r="H38" s="20" t="s">
        <v>741</v>
      </c>
      <c r="I38" t="s">
        <v>697</v>
      </c>
      <c r="J38" s="20" t="s">
        <v>6</v>
      </c>
      <c r="K38" s="20" t="s">
        <v>137</v>
      </c>
      <c r="L38" s="20" t="s">
        <v>137</v>
      </c>
      <c r="M38" s="20" t="s">
        <v>721</v>
      </c>
      <c r="Q38" s="24" t="s">
        <v>680</v>
      </c>
    </row>
    <row r="39" spans="1:17" x14ac:dyDescent="0.3">
      <c r="A39" s="20">
        <f t="shared" si="0"/>
        <v>38</v>
      </c>
      <c r="B39" s="21" t="s">
        <v>87</v>
      </c>
      <c r="C39" s="21" t="s">
        <v>97</v>
      </c>
      <c r="D39" s="22" t="str">
        <f>IF($C39="","",IFERROR(VLOOKUP($C39,Map_Register!$A$2:$C$5,3,FALSE()),""))</f>
        <v>Toponym Labels</v>
      </c>
      <c r="E39" s="21" t="s">
        <v>15</v>
      </c>
      <c r="F39" s="23">
        <v>102419</v>
      </c>
      <c r="G39" s="20" t="s">
        <v>719</v>
      </c>
      <c r="H39" s="20" t="s">
        <v>742</v>
      </c>
      <c r="I39" t="s">
        <v>697</v>
      </c>
      <c r="J39" s="20" t="s">
        <v>8</v>
      </c>
      <c r="K39" t="s">
        <v>107</v>
      </c>
      <c r="L39" t="s">
        <v>108</v>
      </c>
      <c r="M39" s="20" t="s">
        <v>743</v>
      </c>
      <c r="N39" s="20" t="s">
        <v>108</v>
      </c>
      <c r="Q39" s="24" t="s">
        <v>680</v>
      </c>
    </row>
    <row r="40" spans="1:17" hidden="1" x14ac:dyDescent="0.3">
      <c r="A40" s="20">
        <f t="shared" si="0"/>
        <v>39</v>
      </c>
      <c r="B40" s="21" t="s">
        <v>87</v>
      </c>
      <c r="C40" s="21" t="s">
        <v>97</v>
      </c>
      <c r="D40" s="22" t="str">
        <f>IF($C40="","",IFERROR(VLOOKUP($C40,Map_Register!$A$2:$C$5,3,FALSE()),""))</f>
        <v>Toponym Labels</v>
      </c>
      <c r="E40" s="21" t="s">
        <v>15</v>
      </c>
      <c r="F40" s="23">
        <v>102420</v>
      </c>
      <c r="G40" s="20" t="s">
        <v>719</v>
      </c>
      <c r="H40" s="20" t="s">
        <v>744</v>
      </c>
      <c r="I40" t="s">
        <v>697</v>
      </c>
      <c r="J40" s="20" t="s">
        <v>6</v>
      </c>
      <c r="K40" s="20" t="s">
        <v>137</v>
      </c>
      <c r="L40" s="20" t="s">
        <v>137</v>
      </c>
      <c r="M40" s="20" t="s">
        <v>721</v>
      </c>
      <c r="Q40" s="24" t="s">
        <v>680</v>
      </c>
    </row>
    <row r="41" spans="1:17" hidden="1" x14ac:dyDescent="0.3">
      <c r="A41" s="20">
        <f t="shared" si="0"/>
        <v>40</v>
      </c>
      <c r="B41" s="21" t="s">
        <v>87</v>
      </c>
      <c r="C41" s="21" t="s">
        <v>97</v>
      </c>
      <c r="D41" s="22" t="str">
        <f>IF($C41="","",IFERROR(VLOOKUP($C41,Map_Register!$A$2:$C$5,3,FALSE()),""))</f>
        <v>Toponym Labels</v>
      </c>
      <c r="E41" s="21" t="s">
        <v>15</v>
      </c>
      <c r="F41" s="23">
        <v>102421</v>
      </c>
      <c r="G41" s="20" t="s">
        <v>719</v>
      </c>
      <c r="H41" s="20" t="s">
        <v>745</v>
      </c>
      <c r="I41" t="s">
        <v>697</v>
      </c>
      <c r="J41" s="20" t="s">
        <v>6</v>
      </c>
      <c r="K41" s="20" t="s">
        <v>137</v>
      </c>
      <c r="L41" s="20" t="s">
        <v>137</v>
      </c>
      <c r="M41" s="20" t="s">
        <v>721</v>
      </c>
      <c r="Q41" s="24" t="s">
        <v>680</v>
      </c>
    </row>
    <row r="42" spans="1:17" hidden="1" x14ac:dyDescent="0.3">
      <c r="A42" s="20">
        <f t="shared" si="0"/>
        <v>41</v>
      </c>
      <c r="B42" s="21" t="s">
        <v>87</v>
      </c>
      <c r="C42" s="21" t="s">
        <v>97</v>
      </c>
      <c r="D42" s="22" t="str">
        <f>IF($C42="","",IFERROR(VLOOKUP($C42,Map_Register!$A$2:$C$5,3,FALSE()),""))</f>
        <v>Toponym Labels</v>
      </c>
      <c r="E42" s="21" t="s">
        <v>15</v>
      </c>
      <c r="F42" s="23">
        <v>102422</v>
      </c>
      <c r="G42" s="20" t="s">
        <v>719</v>
      </c>
      <c r="H42" s="20" t="s">
        <v>746</v>
      </c>
      <c r="I42" t="s">
        <v>697</v>
      </c>
      <c r="J42" s="20" t="s">
        <v>6</v>
      </c>
      <c r="K42" s="20" t="s">
        <v>137</v>
      </c>
      <c r="L42" s="20" t="s">
        <v>137</v>
      </c>
      <c r="M42" s="20" t="s">
        <v>721</v>
      </c>
      <c r="Q42" s="24" t="s">
        <v>680</v>
      </c>
    </row>
    <row r="43" spans="1:17" hidden="1" x14ac:dyDescent="0.3">
      <c r="A43" s="20">
        <f t="shared" si="0"/>
        <v>42</v>
      </c>
      <c r="B43" s="21" t="s">
        <v>87</v>
      </c>
      <c r="C43" s="21" t="s">
        <v>97</v>
      </c>
      <c r="D43" s="22" t="str">
        <f>IF($C43="","",IFERROR(VLOOKUP($C43,Map_Register!$A$2:$C$5,3,FALSE()),""))</f>
        <v>Toponym Labels</v>
      </c>
      <c r="E43" s="21" t="s">
        <v>15</v>
      </c>
      <c r="F43" s="23">
        <v>102423</v>
      </c>
      <c r="G43" s="20" t="s">
        <v>719</v>
      </c>
      <c r="H43" s="20" t="s">
        <v>747</v>
      </c>
      <c r="I43" t="s">
        <v>697</v>
      </c>
      <c r="J43" s="20" t="s">
        <v>6</v>
      </c>
      <c r="K43" s="20" t="s">
        <v>137</v>
      </c>
      <c r="L43" s="20" t="s">
        <v>137</v>
      </c>
      <c r="M43" s="20" t="s">
        <v>721</v>
      </c>
      <c r="Q43" s="24" t="s">
        <v>680</v>
      </c>
    </row>
    <row r="44" spans="1:17" hidden="1" x14ac:dyDescent="0.3">
      <c r="A44" s="20">
        <f t="shared" si="0"/>
        <v>43</v>
      </c>
      <c r="B44" s="21" t="s">
        <v>87</v>
      </c>
      <c r="C44" s="21" t="s">
        <v>97</v>
      </c>
      <c r="D44" s="22" t="str">
        <f>IF($C44="","",IFERROR(VLOOKUP($C44,Map_Register!$A$2:$C$5,3,FALSE()),""))</f>
        <v>Toponym Labels</v>
      </c>
      <c r="E44" s="21" t="s">
        <v>15</v>
      </c>
      <c r="F44" s="23">
        <v>102424</v>
      </c>
      <c r="G44" s="20" t="s">
        <v>719</v>
      </c>
      <c r="H44" s="20" t="s">
        <v>748</v>
      </c>
      <c r="I44" t="s">
        <v>697</v>
      </c>
      <c r="J44" s="20" t="s">
        <v>6</v>
      </c>
      <c r="K44" s="20" t="s">
        <v>137</v>
      </c>
      <c r="L44" s="20" t="s">
        <v>137</v>
      </c>
      <c r="M44" s="20" t="s">
        <v>721</v>
      </c>
      <c r="Q44" s="24" t="s">
        <v>680</v>
      </c>
    </row>
    <row r="45" spans="1:17" hidden="1" x14ac:dyDescent="0.3">
      <c r="A45" s="20">
        <f t="shared" si="0"/>
        <v>44</v>
      </c>
      <c r="B45" s="21" t="s">
        <v>87</v>
      </c>
      <c r="C45" s="21" t="s">
        <v>97</v>
      </c>
      <c r="D45" s="22" t="str">
        <f>IF($C45="","",IFERROR(VLOOKUP($C45,Map_Register!$A$2:$C$5,3,FALSE()),""))</f>
        <v>Toponym Labels</v>
      </c>
      <c r="E45" s="21" t="s">
        <v>15</v>
      </c>
      <c r="F45" s="23">
        <v>102425</v>
      </c>
      <c r="G45" s="20" t="s">
        <v>719</v>
      </c>
      <c r="H45" s="20" t="s">
        <v>749</v>
      </c>
      <c r="I45" t="s">
        <v>697</v>
      </c>
      <c r="J45" s="20" t="s">
        <v>8</v>
      </c>
      <c r="K45" t="s">
        <v>107</v>
      </c>
      <c r="L45" t="s">
        <v>107</v>
      </c>
      <c r="M45" s="20" t="s">
        <v>683</v>
      </c>
      <c r="N45" s="20" t="s">
        <v>108</v>
      </c>
      <c r="Q45" s="24" t="s">
        <v>680</v>
      </c>
    </row>
    <row r="46" spans="1:17" hidden="1" x14ac:dyDescent="0.3">
      <c r="A46" s="20">
        <f t="shared" si="0"/>
        <v>45</v>
      </c>
      <c r="B46" s="21" t="s">
        <v>87</v>
      </c>
      <c r="C46" s="21" t="s">
        <v>97</v>
      </c>
      <c r="D46" s="22" t="str">
        <f>IF($C46="","",IFERROR(VLOOKUP($C46,Map_Register!$A$2:$C$5,3,FALSE()),""))</f>
        <v>Toponym Labels</v>
      </c>
      <c r="E46" s="21" t="s">
        <v>15</v>
      </c>
      <c r="F46" s="23">
        <v>102426</v>
      </c>
      <c r="G46" s="20" t="s">
        <v>719</v>
      </c>
      <c r="H46" s="20" t="s">
        <v>750</v>
      </c>
      <c r="I46" t="s">
        <v>697</v>
      </c>
      <c r="J46" s="20" t="s">
        <v>6</v>
      </c>
      <c r="K46" s="20" t="s">
        <v>137</v>
      </c>
      <c r="L46" s="20" t="s">
        <v>137</v>
      </c>
      <c r="M46" s="20" t="s">
        <v>721</v>
      </c>
      <c r="Q46" s="24" t="s">
        <v>680</v>
      </c>
    </row>
    <row r="47" spans="1:17" hidden="1" x14ac:dyDescent="0.3">
      <c r="A47" s="20">
        <f t="shared" si="0"/>
        <v>46</v>
      </c>
      <c r="B47" s="21" t="s">
        <v>87</v>
      </c>
      <c r="C47" s="21" t="s">
        <v>97</v>
      </c>
      <c r="D47" s="22" t="str">
        <f>IF($C47="","",IFERROR(VLOOKUP($C47,Map_Register!$A$2:$C$5,3,FALSE()),""))</f>
        <v>Toponym Labels</v>
      </c>
      <c r="E47" s="21" t="s">
        <v>15</v>
      </c>
      <c r="F47" s="23">
        <v>102427</v>
      </c>
      <c r="G47" s="20" t="s">
        <v>719</v>
      </c>
      <c r="H47" s="20" t="s">
        <v>751</v>
      </c>
      <c r="I47" t="s">
        <v>697</v>
      </c>
      <c r="J47" s="20" t="s">
        <v>6</v>
      </c>
      <c r="K47" s="20" t="s">
        <v>137</v>
      </c>
      <c r="L47" s="20" t="s">
        <v>137</v>
      </c>
      <c r="M47" s="20" t="s">
        <v>721</v>
      </c>
      <c r="Q47" s="24" t="s">
        <v>680</v>
      </c>
    </row>
    <row r="48" spans="1:17" hidden="1" x14ac:dyDescent="0.3">
      <c r="A48" s="20">
        <f t="shared" si="0"/>
        <v>47</v>
      </c>
      <c r="B48" s="21" t="s">
        <v>87</v>
      </c>
      <c r="C48" s="21" t="s">
        <v>97</v>
      </c>
      <c r="D48" s="22" t="str">
        <f>IF($C48="","",IFERROR(VLOOKUP($C48,Map_Register!$A$2:$C$5,3,FALSE()),""))</f>
        <v>Toponym Labels</v>
      </c>
      <c r="E48" s="21" t="s">
        <v>15</v>
      </c>
      <c r="F48" s="23">
        <v>102428</v>
      </c>
      <c r="G48" s="20" t="s">
        <v>719</v>
      </c>
      <c r="H48" s="20" t="s">
        <v>752</v>
      </c>
      <c r="I48" t="s">
        <v>697</v>
      </c>
      <c r="J48" s="20" t="s">
        <v>8</v>
      </c>
      <c r="K48" t="s">
        <v>107</v>
      </c>
      <c r="L48" t="s">
        <v>107</v>
      </c>
      <c r="M48" s="20" t="s">
        <v>683</v>
      </c>
      <c r="N48" s="20" t="s">
        <v>108</v>
      </c>
      <c r="Q48" s="24" t="s">
        <v>680</v>
      </c>
    </row>
    <row r="49" spans="1:17" x14ac:dyDescent="0.3">
      <c r="A49" s="20">
        <f t="shared" si="0"/>
        <v>48</v>
      </c>
      <c r="B49" s="21" t="s">
        <v>87</v>
      </c>
      <c r="C49" s="21" t="s">
        <v>97</v>
      </c>
      <c r="D49" s="22" t="str">
        <f>IF($C49="","",IFERROR(VLOOKUP($C49,Map_Register!$A$2:$C$5,3,FALSE()),""))</f>
        <v>Toponym Labels</v>
      </c>
      <c r="E49" s="21" t="s">
        <v>15</v>
      </c>
      <c r="F49" s="23">
        <v>102429</v>
      </c>
      <c r="G49" s="20" t="s">
        <v>719</v>
      </c>
      <c r="H49" s="20" t="s">
        <v>753</v>
      </c>
      <c r="I49" t="s">
        <v>697</v>
      </c>
      <c r="J49" s="20" t="s">
        <v>8</v>
      </c>
      <c r="K49" t="s">
        <v>107</v>
      </c>
      <c r="L49" t="s">
        <v>108</v>
      </c>
      <c r="M49" s="20" t="s">
        <v>723</v>
      </c>
      <c r="N49" s="20" t="s">
        <v>108</v>
      </c>
      <c r="Q49" s="24" t="s">
        <v>680</v>
      </c>
    </row>
    <row r="50" spans="1:17" hidden="1" x14ac:dyDescent="0.3">
      <c r="A50" s="20">
        <f t="shared" si="0"/>
        <v>49</v>
      </c>
      <c r="B50" s="21" t="s">
        <v>87</v>
      </c>
      <c r="C50" s="21" t="s">
        <v>97</v>
      </c>
      <c r="D50" s="22" t="str">
        <f>IF($C50="","",IFERROR(VLOOKUP($C50,Map_Register!$A$2:$C$5,3,FALSE()),""))</f>
        <v>Toponym Labels</v>
      </c>
      <c r="E50" s="21" t="s">
        <v>15</v>
      </c>
      <c r="F50" s="23">
        <v>102430</v>
      </c>
      <c r="G50" s="20" t="s">
        <v>719</v>
      </c>
      <c r="H50" s="20" t="s">
        <v>754</v>
      </c>
      <c r="I50" t="s">
        <v>697</v>
      </c>
      <c r="J50" s="20" t="s">
        <v>6</v>
      </c>
      <c r="K50" s="20" t="s">
        <v>137</v>
      </c>
      <c r="L50" s="20" t="s">
        <v>137</v>
      </c>
      <c r="M50" s="20" t="s">
        <v>721</v>
      </c>
      <c r="Q50" s="24" t="s">
        <v>680</v>
      </c>
    </row>
    <row r="51" spans="1:17" x14ac:dyDescent="0.3">
      <c r="A51" s="20">
        <f t="shared" si="0"/>
        <v>50</v>
      </c>
      <c r="B51" s="21" t="s">
        <v>87</v>
      </c>
      <c r="C51" s="21" t="s">
        <v>97</v>
      </c>
      <c r="D51" s="22" t="str">
        <f>IF($C51="","",IFERROR(VLOOKUP($C51,Map_Register!$A$2:$C$5,3,FALSE()),""))</f>
        <v>Toponym Labels</v>
      </c>
      <c r="E51" s="21" t="s">
        <v>15</v>
      </c>
      <c r="F51" s="23">
        <v>102431</v>
      </c>
      <c r="G51" s="20" t="s">
        <v>719</v>
      </c>
      <c r="H51" s="20" t="s">
        <v>755</v>
      </c>
      <c r="I51" t="s">
        <v>697</v>
      </c>
      <c r="J51" s="20" t="s">
        <v>8</v>
      </c>
      <c r="K51" t="s">
        <v>107</v>
      </c>
      <c r="L51" t="s">
        <v>108</v>
      </c>
      <c r="M51" s="20" t="s">
        <v>723</v>
      </c>
      <c r="N51" s="20" t="s">
        <v>108</v>
      </c>
      <c r="Q51" s="24" t="s">
        <v>680</v>
      </c>
    </row>
    <row r="52" spans="1:17" x14ac:dyDescent="0.3">
      <c r="A52" s="20">
        <f t="shared" si="0"/>
        <v>51</v>
      </c>
      <c r="B52" s="21" t="s">
        <v>87</v>
      </c>
      <c r="C52" s="21" t="s">
        <v>97</v>
      </c>
      <c r="D52" s="22" t="str">
        <f>IF($C52="","",IFERROR(VLOOKUP($C52,Map_Register!$A$2:$C$5,3,FALSE()),""))</f>
        <v>Toponym Labels</v>
      </c>
      <c r="E52" s="21" t="s">
        <v>15</v>
      </c>
      <c r="F52" s="23">
        <v>102432</v>
      </c>
      <c r="G52" s="20" t="s">
        <v>719</v>
      </c>
      <c r="H52" s="20" t="s">
        <v>756</v>
      </c>
      <c r="I52" t="s">
        <v>697</v>
      </c>
      <c r="J52" s="20" t="s">
        <v>8</v>
      </c>
      <c r="K52" t="s">
        <v>107</v>
      </c>
      <c r="L52" t="s">
        <v>108</v>
      </c>
      <c r="M52" s="20" t="s">
        <v>723</v>
      </c>
      <c r="N52" s="20" t="s">
        <v>108</v>
      </c>
      <c r="Q52" s="24" t="s">
        <v>680</v>
      </c>
    </row>
    <row r="53" spans="1:17" hidden="1" x14ac:dyDescent="0.3">
      <c r="A53" s="20">
        <f t="shared" si="0"/>
        <v>52</v>
      </c>
      <c r="B53" s="21" t="s">
        <v>87</v>
      </c>
      <c r="C53" s="21" t="s">
        <v>97</v>
      </c>
      <c r="D53" s="22" t="str">
        <f>IF($C53="","",IFERROR(VLOOKUP($C53,Map_Register!$A$2:$C$5,3,FALSE()),""))</f>
        <v>Toponym Labels</v>
      </c>
      <c r="E53" s="21" t="s">
        <v>15</v>
      </c>
      <c r="F53" s="23">
        <v>102433</v>
      </c>
      <c r="G53" s="20" t="s">
        <v>719</v>
      </c>
      <c r="H53" s="20" t="s">
        <v>757</v>
      </c>
      <c r="I53" t="s">
        <v>697</v>
      </c>
      <c r="J53" s="20" t="s">
        <v>6</v>
      </c>
      <c r="K53" s="20" t="s">
        <v>137</v>
      </c>
      <c r="L53" s="20" t="s">
        <v>137</v>
      </c>
      <c r="M53" s="20" t="s">
        <v>721</v>
      </c>
      <c r="Q53" s="24" t="s">
        <v>680</v>
      </c>
    </row>
    <row r="54" spans="1:17" hidden="1" x14ac:dyDescent="0.3">
      <c r="A54" s="20">
        <f t="shared" si="0"/>
        <v>53</v>
      </c>
      <c r="B54" s="21" t="s">
        <v>87</v>
      </c>
      <c r="C54" s="21" t="s">
        <v>97</v>
      </c>
      <c r="D54" s="22" t="str">
        <f>IF($C54="","",IFERROR(VLOOKUP($C54,Map_Register!$A$2:$C$5,3,FALSE()),""))</f>
        <v>Toponym Labels</v>
      </c>
      <c r="E54" s="21" t="s">
        <v>15</v>
      </c>
      <c r="F54" s="23">
        <v>102434</v>
      </c>
      <c r="G54" s="20" t="s">
        <v>719</v>
      </c>
      <c r="H54" s="20" t="s">
        <v>758</v>
      </c>
      <c r="I54" t="s">
        <v>697</v>
      </c>
      <c r="J54" s="20" t="s">
        <v>6</v>
      </c>
      <c r="K54" s="20" t="s">
        <v>137</v>
      </c>
      <c r="L54" s="20" t="s">
        <v>137</v>
      </c>
      <c r="M54" s="20" t="s">
        <v>721</v>
      </c>
      <c r="Q54" s="24" t="s">
        <v>680</v>
      </c>
    </row>
    <row r="55" spans="1:17" x14ac:dyDescent="0.3">
      <c r="A55" s="20">
        <f t="shared" si="0"/>
        <v>54</v>
      </c>
      <c r="B55" s="21" t="s">
        <v>87</v>
      </c>
      <c r="C55" s="21" t="s">
        <v>97</v>
      </c>
      <c r="D55" s="22" t="str">
        <f>IF($C55="","",IFERROR(VLOOKUP($C55,Map_Register!$A$2:$C$5,3,FALSE()),""))</f>
        <v>Toponym Labels</v>
      </c>
      <c r="E55" s="21" t="s">
        <v>15</v>
      </c>
      <c r="F55" s="23">
        <v>102435</v>
      </c>
      <c r="G55" s="20" t="s">
        <v>719</v>
      </c>
      <c r="H55" s="20" t="s">
        <v>759</v>
      </c>
      <c r="I55" t="s">
        <v>697</v>
      </c>
      <c r="J55" s="20" t="s">
        <v>8</v>
      </c>
      <c r="K55" t="s">
        <v>107</v>
      </c>
      <c r="L55" t="s">
        <v>108</v>
      </c>
      <c r="M55" s="20" t="s">
        <v>723</v>
      </c>
      <c r="N55" s="20" t="s">
        <v>108</v>
      </c>
      <c r="Q55" s="24" t="s">
        <v>680</v>
      </c>
    </row>
    <row r="56" spans="1:17" x14ac:dyDescent="0.3">
      <c r="A56" s="20">
        <f t="shared" si="0"/>
        <v>55</v>
      </c>
      <c r="B56" s="21" t="s">
        <v>87</v>
      </c>
      <c r="C56" s="21" t="s">
        <v>97</v>
      </c>
      <c r="D56" s="22" t="str">
        <f>IF($C56="","",IFERROR(VLOOKUP($C56,Map_Register!$A$2:$C$5,3,FALSE()),""))</f>
        <v>Toponym Labels</v>
      </c>
      <c r="E56" s="21" t="s">
        <v>15</v>
      </c>
      <c r="F56" s="23">
        <v>102828</v>
      </c>
      <c r="G56" s="20" t="s">
        <v>719</v>
      </c>
      <c r="H56" s="20" t="s">
        <v>760</v>
      </c>
      <c r="I56" t="s">
        <v>697</v>
      </c>
      <c r="J56" s="20" t="s">
        <v>8</v>
      </c>
      <c r="K56" t="s">
        <v>107</v>
      </c>
      <c r="L56" t="s">
        <v>108</v>
      </c>
      <c r="M56" s="20" t="s">
        <v>723</v>
      </c>
      <c r="N56" s="20" t="s">
        <v>108</v>
      </c>
      <c r="Q56" s="24" t="s">
        <v>680</v>
      </c>
    </row>
    <row r="57" spans="1:17" hidden="1" x14ac:dyDescent="0.3">
      <c r="A57" s="20">
        <f t="shared" si="0"/>
        <v>56</v>
      </c>
      <c r="B57" s="21" t="s">
        <v>87</v>
      </c>
      <c r="C57" s="21" t="s">
        <v>97</v>
      </c>
      <c r="D57" s="22" t="str">
        <f>IF($C57="","",IFERROR(VLOOKUP($C57,Map_Register!$A$2:$C$5,3,FALSE()),""))</f>
        <v>Toponym Labels</v>
      </c>
      <c r="E57" s="21" t="s">
        <v>15</v>
      </c>
      <c r="F57" s="23">
        <v>102829</v>
      </c>
      <c r="G57" s="20" t="s">
        <v>719</v>
      </c>
      <c r="H57" s="20" t="s">
        <v>761</v>
      </c>
      <c r="I57" t="s">
        <v>697</v>
      </c>
      <c r="J57" s="20" t="s">
        <v>6</v>
      </c>
      <c r="K57" s="20" t="s">
        <v>137</v>
      </c>
      <c r="L57" s="20" t="s">
        <v>137</v>
      </c>
      <c r="M57" s="20" t="s">
        <v>721</v>
      </c>
      <c r="Q57" s="24" t="s">
        <v>680</v>
      </c>
    </row>
    <row r="58" spans="1:17" x14ac:dyDescent="0.3">
      <c r="A58" s="20">
        <f t="shared" si="0"/>
        <v>57</v>
      </c>
      <c r="B58" s="21" t="s">
        <v>87</v>
      </c>
      <c r="C58" s="21" t="s">
        <v>97</v>
      </c>
      <c r="D58" s="22" t="str">
        <f>IF($C58="","",IFERROR(VLOOKUP($C58,Map_Register!$A$2:$C$5,3,FALSE()),""))</f>
        <v>Toponym Labels</v>
      </c>
      <c r="E58" s="21" t="s">
        <v>15</v>
      </c>
      <c r="F58" s="23">
        <v>102830</v>
      </c>
      <c r="G58" s="20" t="s">
        <v>719</v>
      </c>
      <c r="H58" s="20" t="s">
        <v>762</v>
      </c>
      <c r="I58" t="s">
        <v>697</v>
      </c>
      <c r="J58" s="20" t="s">
        <v>8</v>
      </c>
      <c r="K58" t="s">
        <v>107</v>
      </c>
      <c r="L58" t="s">
        <v>108</v>
      </c>
      <c r="M58" s="20" t="s">
        <v>723</v>
      </c>
      <c r="N58" s="20" t="s">
        <v>108</v>
      </c>
      <c r="Q58" s="24" t="s">
        <v>680</v>
      </c>
    </row>
    <row r="59" spans="1:17" hidden="1" x14ac:dyDescent="0.3">
      <c r="A59" s="20">
        <f t="shared" si="0"/>
        <v>58</v>
      </c>
      <c r="B59" s="21" t="s">
        <v>87</v>
      </c>
      <c r="C59" s="21" t="s">
        <v>97</v>
      </c>
      <c r="D59" s="22" t="str">
        <f>IF($C59="","",IFERROR(VLOOKUP($C59,Map_Register!$A$2:$C$5,3,FALSE()),""))</f>
        <v>Toponym Labels</v>
      </c>
      <c r="E59" s="21" t="s">
        <v>15</v>
      </c>
      <c r="F59" s="23">
        <v>102831</v>
      </c>
      <c r="G59" s="20" t="s">
        <v>719</v>
      </c>
      <c r="H59" s="20" t="s">
        <v>763</v>
      </c>
      <c r="I59" t="s">
        <v>697</v>
      </c>
      <c r="J59" s="20" t="s">
        <v>6</v>
      </c>
      <c r="K59" s="20" t="s">
        <v>137</v>
      </c>
      <c r="L59" s="20" t="s">
        <v>137</v>
      </c>
      <c r="M59" s="20" t="s">
        <v>721</v>
      </c>
      <c r="Q59" s="24" t="s">
        <v>680</v>
      </c>
    </row>
    <row r="60" spans="1:17" x14ac:dyDescent="0.3">
      <c r="A60" s="20">
        <f t="shared" si="0"/>
        <v>59</v>
      </c>
      <c r="B60" s="21" t="s">
        <v>87</v>
      </c>
      <c r="C60" s="21" t="s">
        <v>97</v>
      </c>
      <c r="D60" s="22" t="str">
        <f>IF($C60="","",IFERROR(VLOOKUP($C60,Map_Register!$A$2:$C$5,3,FALSE()),""))</f>
        <v>Toponym Labels</v>
      </c>
      <c r="E60" s="21" t="s">
        <v>15</v>
      </c>
      <c r="F60" s="23">
        <v>102832</v>
      </c>
      <c r="G60" s="20" t="s">
        <v>719</v>
      </c>
      <c r="H60" s="20" t="s">
        <v>764</v>
      </c>
      <c r="I60" t="s">
        <v>697</v>
      </c>
      <c r="J60" s="20" t="s">
        <v>8</v>
      </c>
      <c r="K60" t="s">
        <v>107</v>
      </c>
      <c r="L60" t="s">
        <v>108</v>
      </c>
      <c r="M60" s="20" t="s">
        <v>723</v>
      </c>
      <c r="N60" s="20" t="s">
        <v>108</v>
      </c>
      <c r="Q60" s="24" t="s">
        <v>680</v>
      </c>
    </row>
    <row r="61" spans="1:17" x14ac:dyDescent="0.3">
      <c r="A61" s="20">
        <f t="shared" si="0"/>
        <v>60</v>
      </c>
      <c r="B61" s="21" t="s">
        <v>87</v>
      </c>
      <c r="C61" s="21" t="s">
        <v>97</v>
      </c>
      <c r="D61" s="22" t="str">
        <f>IF($C61="","",IFERROR(VLOOKUP($C61,Map_Register!$A$2:$C$5,3,FALSE()),""))</f>
        <v>Toponym Labels</v>
      </c>
      <c r="E61" s="21" t="s">
        <v>15</v>
      </c>
      <c r="F61" s="23">
        <v>102833</v>
      </c>
      <c r="G61" s="20" t="s">
        <v>719</v>
      </c>
      <c r="H61" s="20" t="s">
        <v>765</v>
      </c>
      <c r="I61" t="s">
        <v>697</v>
      </c>
      <c r="J61" s="20" t="s">
        <v>8</v>
      </c>
      <c r="K61" t="s">
        <v>107</v>
      </c>
      <c r="L61" t="s">
        <v>108</v>
      </c>
      <c r="M61" s="20" t="s">
        <v>723</v>
      </c>
      <c r="N61" s="20" t="s">
        <v>108</v>
      </c>
      <c r="Q61" s="24" t="s">
        <v>680</v>
      </c>
    </row>
    <row r="62" spans="1:17" x14ac:dyDescent="0.3">
      <c r="A62" s="20">
        <f t="shared" si="0"/>
        <v>61</v>
      </c>
      <c r="B62" s="21" t="s">
        <v>87</v>
      </c>
      <c r="C62" s="21" t="s">
        <v>97</v>
      </c>
      <c r="D62" s="22" t="str">
        <f>IF($C62="","",IFERROR(VLOOKUP($C62,Map_Register!$A$2:$C$5,3,FALSE()),""))</f>
        <v>Toponym Labels</v>
      </c>
      <c r="E62" s="21" t="s">
        <v>15</v>
      </c>
      <c r="F62" s="23">
        <v>102834</v>
      </c>
      <c r="G62" s="20" t="s">
        <v>719</v>
      </c>
      <c r="H62" s="20" t="s">
        <v>766</v>
      </c>
      <c r="I62" t="s">
        <v>697</v>
      </c>
      <c r="J62" s="20" t="s">
        <v>8</v>
      </c>
      <c r="K62" t="s">
        <v>107</v>
      </c>
      <c r="L62" t="s">
        <v>108</v>
      </c>
      <c r="M62" s="20" t="s">
        <v>723</v>
      </c>
      <c r="N62" s="20" t="s">
        <v>108</v>
      </c>
      <c r="Q62" s="24" t="s">
        <v>680</v>
      </c>
    </row>
    <row r="63" spans="1:17" hidden="1" x14ac:dyDescent="0.3">
      <c r="A63" s="20">
        <f t="shared" si="0"/>
        <v>62</v>
      </c>
      <c r="B63" s="21" t="s">
        <v>87</v>
      </c>
      <c r="C63" s="21" t="s">
        <v>97</v>
      </c>
      <c r="D63" s="22" t="str">
        <f>IF($C63="","",IFERROR(VLOOKUP($C63,Map_Register!$A$2:$C$5,3,FALSE()),""))</f>
        <v>Toponym Labels</v>
      </c>
      <c r="E63" s="21" t="s">
        <v>15</v>
      </c>
      <c r="F63" s="23">
        <v>102835</v>
      </c>
      <c r="G63" s="20" t="s">
        <v>719</v>
      </c>
      <c r="H63" s="20" t="s">
        <v>767</v>
      </c>
      <c r="I63" t="s">
        <v>697</v>
      </c>
      <c r="J63" s="20" t="s">
        <v>6</v>
      </c>
      <c r="K63" s="20" t="s">
        <v>137</v>
      </c>
      <c r="L63" s="20" t="s">
        <v>137</v>
      </c>
      <c r="M63" s="20" t="s">
        <v>721</v>
      </c>
      <c r="Q63" s="24" t="s">
        <v>680</v>
      </c>
    </row>
    <row r="64" spans="1:17" x14ac:dyDescent="0.3">
      <c r="A64" s="20">
        <f t="shared" si="0"/>
        <v>63</v>
      </c>
      <c r="B64" s="21" t="s">
        <v>87</v>
      </c>
      <c r="C64" s="21" t="s">
        <v>97</v>
      </c>
      <c r="D64" s="22" t="str">
        <f>IF($C64="","",IFERROR(VLOOKUP($C64,Map_Register!$A$2:$C$5,3,FALSE()),""))</f>
        <v>Toponym Labels</v>
      </c>
      <c r="E64" s="21" t="s">
        <v>15</v>
      </c>
      <c r="F64" s="23">
        <v>102836</v>
      </c>
      <c r="G64" s="20" t="s">
        <v>719</v>
      </c>
      <c r="H64" s="20" t="s">
        <v>768</v>
      </c>
      <c r="I64" t="s">
        <v>697</v>
      </c>
      <c r="J64" s="20" t="s">
        <v>8</v>
      </c>
      <c r="K64" t="s">
        <v>107</v>
      </c>
      <c r="L64" t="s">
        <v>108</v>
      </c>
      <c r="M64" s="20" t="s">
        <v>723</v>
      </c>
      <c r="N64" s="20" t="s">
        <v>108</v>
      </c>
      <c r="Q64" s="24" t="s">
        <v>680</v>
      </c>
    </row>
    <row r="65" spans="1:17" hidden="1" x14ac:dyDescent="0.3">
      <c r="A65" s="20">
        <f t="shared" si="0"/>
        <v>64</v>
      </c>
      <c r="B65" s="21" t="s">
        <v>87</v>
      </c>
      <c r="C65" s="21" t="s">
        <v>97</v>
      </c>
      <c r="D65" s="22" t="str">
        <f>IF($C65="","",IFERROR(VLOOKUP($C65,Map_Register!$A$2:$C$5,3,FALSE()),""))</f>
        <v>Toponym Labels</v>
      </c>
      <c r="E65" s="21" t="s">
        <v>15</v>
      </c>
      <c r="F65" s="23">
        <v>102837</v>
      </c>
      <c r="G65" s="20" t="s">
        <v>719</v>
      </c>
      <c r="H65" s="20" t="s">
        <v>769</v>
      </c>
      <c r="I65" t="s">
        <v>697</v>
      </c>
      <c r="J65" s="20" t="s">
        <v>6</v>
      </c>
      <c r="K65" s="20" t="s">
        <v>137</v>
      </c>
      <c r="L65" s="20" t="s">
        <v>137</v>
      </c>
      <c r="M65" s="20" t="s">
        <v>721</v>
      </c>
      <c r="Q65" s="24" t="s">
        <v>680</v>
      </c>
    </row>
    <row r="66" spans="1:17" x14ac:dyDescent="0.3">
      <c r="A66" s="20">
        <f t="shared" ref="A66:A129" si="1">IF($B66="","",ROW()-1)</f>
        <v>65</v>
      </c>
      <c r="B66" s="21" t="s">
        <v>87</v>
      </c>
      <c r="C66" s="21" t="s">
        <v>97</v>
      </c>
      <c r="D66" s="22" t="str">
        <f>IF($C66="","",IFERROR(VLOOKUP($C66,Map_Register!$A$2:$C$5,3,FALSE()),""))</f>
        <v>Toponym Labels</v>
      </c>
      <c r="E66" s="21" t="s">
        <v>15</v>
      </c>
      <c r="F66" s="23">
        <v>102838</v>
      </c>
      <c r="G66" s="20" t="s">
        <v>719</v>
      </c>
      <c r="H66" s="20" t="s">
        <v>770</v>
      </c>
      <c r="I66" t="s">
        <v>697</v>
      </c>
      <c r="J66" s="20" t="s">
        <v>8</v>
      </c>
      <c r="K66" t="s">
        <v>107</v>
      </c>
      <c r="L66" t="s">
        <v>108</v>
      </c>
      <c r="M66" s="20" t="s">
        <v>723</v>
      </c>
      <c r="N66" s="20" t="s">
        <v>108</v>
      </c>
      <c r="Q66" s="24" t="s">
        <v>680</v>
      </c>
    </row>
    <row r="67" spans="1:17" hidden="1" x14ac:dyDescent="0.3">
      <c r="A67" s="20">
        <f t="shared" si="1"/>
        <v>66</v>
      </c>
      <c r="B67" s="21" t="s">
        <v>87</v>
      </c>
      <c r="C67" s="21" t="s">
        <v>97</v>
      </c>
      <c r="D67" s="22" t="str">
        <f>IF($C67="","",IFERROR(VLOOKUP($C67,Map_Register!$A$2:$C$5,3,FALSE()),""))</f>
        <v>Toponym Labels</v>
      </c>
      <c r="E67" s="21" t="s">
        <v>15</v>
      </c>
      <c r="F67" s="23">
        <v>102839</v>
      </c>
      <c r="G67" s="20" t="s">
        <v>719</v>
      </c>
      <c r="H67" s="20" t="s">
        <v>771</v>
      </c>
      <c r="I67" t="s">
        <v>697</v>
      </c>
      <c r="J67" s="20" t="s">
        <v>6</v>
      </c>
      <c r="K67" s="20" t="s">
        <v>137</v>
      </c>
      <c r="L67" s="20" t="s">
        <v>137</v>
      </c>
      <c r="M67" s="20" t="s">
        <v>721</v>
      </c>
      <c r="Q67" s="24" t="s">
        <v>680</v>
      </c>
    </row>
    <row r="68" spans="1:17" hidden="1" x14ac:dyDescent="0.3">
      <c r="A68" s="20">
        <f t="shared" si="1"/>
        <v>67</v>
      </c>
      <c r="B68" s="21" t="s">
        <v>87</v>
      </c>
      <c r="C68" s="21" t="s">
        <v>97</v>
      </c>
      <c r="D68" s="22" t="str">
        <f>IF($C68="","",IFERROR(VLOOKUP($C68,Map_Register!$A$2:$C$5,3,FALSE()),""))</f>
        <v>Toponym Labels</v>
      </c>
      <c r="E68" s="21" t="s">
        <v>15</v>
      </c>
      <c r="F68" s="23">
        <v>102840</v>
      </c>
      <c r="G68" s="20" t="s">
        <v>719</v>
      </c>
      <c r="H68" s="20" t="s">
        <v>772</v>
      </c>
      <c r="I68" t="s">
        <v>697</v>
      </c>
      <c r="J68" s="20" t="s">
        <v>6</v>
      </c>
      <c r="K68" s="20" t="s">
        <v>137</v>
      </c>
      <c r="L68" s="20" t="s">
        <v>137</v>
      </c>
      <c r="M68" s="20" t="s">
        <v>721</v>
      </c>
      <c r="Q68" s="24" t="s">
        <v>680</v>
      </c>
    </row>
    <row r="69" spans="1:17" x14ac:dyDescent="0.3">
      <c r="A69" s="20">
        <f t="shared" si="1"/>
        <v>68</v>
      </c>
      <c r="B69" s="21" t="s">
        <v>87</v>
      </c>
      <c r="C69" s="21" t="s">
        <v>97</v>
      </c>
      <c r="D69" s="22" t="str">
        <f>IF($C69="","",IFERROR(VLOOKUP($C69,Map_Register!$A$2:$C$5,3,FALSE()),""))</f>
        <v>Toponym Labels</v>
      </c>
      <c r="E69" s="21" t="s">
        <v>15</v>
      </c>
      <c r="F69" s="23">
        <v>102841</v>
      </c>
      <c r="G69" s="20" t="s">
        <v>719</v>
      </c>
      <c r="H69" s="20" t="s">
        <v>773</v>
      </c>
      <c r="I69" t="s">
        <v>697</v>
      </c>
      <c r="J69" s="20" t="s">
        <v>8</v>
      </c>
      <c r="K69" t="s">
        <v>107</v>
      </c>
      <c r="L69" t="s">
        <v>108</v>
      </c>
      <c r="M69" s="20" t="s">
        <v>723</v>
      </c>
      <c r="N69" s="20" t="s">
        <v>108</v>
      </c>
      <c r="Q69" s="24" t="s">
        <v>680</v>
      </c>
    </row>
    <row r="70" spans="1:17" hidden="1" x14ac:dyDescent="0.3">
      <c r="A70" s="20">
        <f t="shared" si="1"/>
        <v>69</v>
      </c>
      <c r="B70" s="21" t="s">
        <v>87</v>
      </c>
      <c r="C70" s="21" t="s">
        <v>97</v>
      </c>
      <c r="D70" s="22" t="str">
        <f>IF($C70="","",IFERROR(VLOOKUP($C70,Map_Register!$A$2:$C$5,3,FALSE()),""))</f>
        <v>Toponym Labels</v>
      </c>
      <c r="E70" s="21" t="s">
        <v>15</v>
      </c>
      <c r="F70" s="23">
        <v>102842</v>
      </c>
      <c r="G70" s="20" t="s">
        <v>719</v>
      </c>
      <c r="H70" s="20" t="s">
        <v>774</v>
      </c>
      <c r="I70" t="s">
        <v>697</v>
      </c>
      <c r="J70" s="20" t="s">
        <v>6</v>
      </c>
      <c r="K70" s="20" t="s">
        <v>137</v>
      </c>
      <c r="L70" s="20" t="s">
        <v>137</v>
      </c>
      <c r="M70" s="20" t="s">
        <v>721</v>
      </c>
      <c r="Q70" s="24" t="s">
        <v>680</v>
      </c>
    </row>
    <row r="71" spans="1:17" hidden="1" x14ac:dyDescent="0.3">
      <c r="A71" s="20">
        <f t="shared" si="1"/>
        <v>70</v>
      </c>
      <c r="B71" s="21" t="s">
        <v>87</v>
      </c>
      <c r="C71" s="21" t="s">
        <v>97</v>
      </c>
      <c r="D71" s="22" t="str">
        <f>IF($C71="","",IFERROR(VLOOKUP($C71,Map_Register!$A$2:$C$5,3,FALSE()),""))</f>
        <v>Toponym Labels</v>
      </c>
      <c r="E71" s="21" t="s">
        <v>15</v>
      </c>
      <c r="F71" s="23">
        <v>102843</v>
      </c>
      <c r="G71" s="20" t="s">
        <v>719</v>
      </c>
      <c r="H71" s="20" t="s">
        <v>775</v>
      </c>
      <c r="I71" t="s">
        <v>697</v>
      </c>
      <c r="J71" s="20" t="s">
        <v>6</v>
      </c>
      <c r="K71" s="20" t="s">
        <v>137</v>
      </c>
      <c r="L71" s="20" t="s">
        <v>137</v>
      </c>
      <c r="M71" s="20" t="s">
        <v>721</v>
      </c>
      <c r="Q71" s="24" t="s">
        <v>680</v>
      </c>
    </row>
    <row r="72" spans="1:17" hidden="1" x14ac:dyDescent="0.3">
      <c r="A72" s="20">
        <f t="shared" si="1"/>
        <v>71</v>
      </c>
      <c r="B72" s="21" t="s">
        <v>87</v>
      </c>
      <c r="C72" s="21" t="s">
        <v>97</v>
      </c>
      <c r="D72" s="22" t="str">
        <f>IF($C72="","",IFERROR(VLOOKUP($C72,Map_Register!$A$2:$C$5,3,FALSE()),""))</f>
        <v>Toponym Labels</v>
      </c>
      <c r="E72" s="21" t="s">
        <v>15</v>
      </c>
      <c r="F72" s="23">
        <v>102844</v>
      </c>
      <c r="G72" s="20" t="s">
        <v>719</v>
      </c>
      <c r="H72" s="20" t="s">
        <v>776</v>
      </c>
      <c r="I72" t="s">
        <v>697</v>
      </c>
      <c r="J72" s="20" t="s">
        <v>6</v>
      </c>
      <c r="K72" s="20" t="s">
        <v>137</v>
      </c>
      <c r="L72" s="20" t="s">
        <v>137</v>
      </c>
      <c r="M72" s="20" t="s">
        <v>721</v>
      </c>
      <c r="Q72" s="24" t="s">
        <v>680</v>
      </c>
    </row>
    <row r="73" spans="1:17" hidden="1" x14ac:dyDescent="0.3">
      <c r="A73" s="20">
        <f t="shared" si="1"/>
        <v>72</v>
      </c>
      <c r="B73" s="21" t="s">
        <v>87</v>
      </c>
      <c r="C73" s="21" t="s">
        <v>97</v>
      </c>
      <c r="D73" s="22" t="str">
        <f>IF($C73="","",IFERROR(VLOOKUP($C73,Map_Register!$A$2:$C$5,3,FALSE()),""))</f>
        <v>Toponym Labels</v>
      </c>
      <c r="E73" s="21" t="s">
        <v>15</v>
      </c>
      <c r="F73" s="23">
        <v>102845</v>
      </c>
      <c r="G73" s="20" t="s">
        <v>719</v>
      </c>
      <c r="H73" s="20" t="s">
        <v>777</v>
      </c>
      <c r="I73" t="s">
        <v>697</v>
      </c>
      <c r="J73" s="20" t="s">
        <v>6</v>
      </c>
      <c r="K73" s="20" t="s">
        <v>137</v>
      </c>
      <c r="L73" s="20" t="s">
        <v>137</v>
      </c>
      <c r="M73" s="20" t="s">
        <v>721</v>
      </c>
      <c r="Q73" s="24" t="s">
        <v>680</v>
      </c>
    </row>
    <row r="74" spans="1:17" x14ac:dyDescent="0.3">
      <c r="A74" s="20">
        <f t="shared" si="1"/>
        <v>73</v>
      </c>
      <c r="B74" s="21" t="s">
        <v>87</v>
      </c>
      <c r="C74" s="21" t="s">
        <v>97</v>
      </c>
      <c r="D74" s="22" t="str">
        <f>IF($C74="","",IFERROR(VLOOKUP($C74,Map_Register!$A$2:$C$5,3,FALSE()),""))</f>
        <v>Toponym Labels</v>
      </c>
      <c r="E74" s="21" t="s">
        <v>15</v>
      </c>
      <c r="F74" s="23">
        <v>102846</v>
      </c>
      <c r="G74" s="20" t="s">
        <v>719</v>
      </c>
      <c r="H74" s="20" t="s">
        <v>778</v>
      </c>
      <c r="I74" t="s">
        <v>697</v>
      </c>
      <c r="J74" s="20" t="s">
        <v>8</v>
      </c>
      <c r="K74" t="s">
        <v>107</v>
      </c>
      <c r="L74" t="s">
        <v>108</v>
      </c>
      <c r="M74" s="20" t="s">
        <v>723</v>
      </c>
      <c r="N74" s="20" t="s">
        <v>108</v>
      </c>
      <c r="Q74" s="24" t="s">
        <v>680</v>
      </c>
    </row>
    <row r="75" spans="1:17" x14ac:dyDescent="0.3">
      <c r="A75" s="20">
        <f t="shared" si="1"/>
        <v>74</v>
      </c>
      <c r="B75" s="21" t="s">
        <v>87</v>
      </c>
      <c r="C75" s="21" t="s">
        <v>97</v>
      </c>
      <c r="D75" s="22" t="str">
        <f>IF($C75="","",IFERROR(VLOOKUP($C75,Map_Register!$A$2:$C$5,3,FALSE()),""))</f>
        <v>Toponym Labels</v>
      </c>
      <c r="E75" s="21" t="s">
        <v>15</v>
      </c>
      <c r="F75" s="23">
        <v>102847</v>
      </c>
      <c r="G75" s="20" t="s">
        <v>719</v>
      </c>
      <c r="H75" s="20" t="s">
        <v>779</v>
      </c>
      <c r="I75" t="s">
        <v>697</v>
      </c>
      <c r="J75" s="20" t="s">
        <v>8</v>
      </c>
      <c r="K75" t="s">
        <v>107</v>
      </c>
      <c r="L75" t="s">
        <v>108</v>
      </c>
      <c r="M75" s="20" t="s">
        <v>723</v>
      </c>
      <c r="N75" s="20" t="s">
        <v>108</v>
      </c>
      <c r="Q75" s="24" t="s">
        <v>680</v>
      </c>
    </row>
    <row r="76" spans="1:17" x14ac:dyDescent="0.3">
      <c r="A76" s="20">
        <f t="shared" si="1"/>
        <v>75</v>
      </c>
      <c r="B76" s="21" t="s">
        <v>87</v>
      </c>
      <c r="C76" s="21" t="s">
        <v>97</v>
      </c>
      <c r="D76" s="22" t="str">
        <f>IF($C76="","",IFERROR(VLOOKUP($C76,Map_Register!$A$2:$C$5,3,FALSE()),""))</f>
        <v>Toponym Labels</v>
      </c>
      <c r="E76" s="21" t="s">
        <v>15</v>
      </c>
      <c r="F76" s="23">
        <v>102848</v>
      </c>
      <c r="G76" s="20" t="s">
        <v>719</v>
      </c>
      <c r="H76" s="20" t="s">
        <v>780</v>
      </c>
      <c r="I76" t="s">
        <v>697</v>
      </c>
      <c r="J76" s="20" t="s">
        <v>8</v>
      </c>
      <c r="K76" t="s">
        <v>107</v>
      </c>
      <c r="L76" t="s">
        <v>108</v>
      </c>
      <c r="M76" s="20" t="s">
        <v>723</v>
      </c>
      <c r="N76" s="20" t="s">
        <v>108</v>
      </c>
      <c r="Q76" s="24" t="s">
        <v>680</v>
      </c>
    </row>
    <row r="77" spans="1:17" hidden="1" x14ac:dyDescent="0.3">
      <c r="A77" s="20">
        <f t="shared" si="1"/>
        <v>76</v>
      </c>
      <c r="B77" s="21" t="s">
        <v>87</v>
      </c>
      <c r="C77" s="21" t="s">
        <v>97</v>
      </c>
      <c r="D77" s="22" t="str">
        <f>IF($C77="","",IFERROR(VLOOKUP($C77,Map_Register!$A$2:$C$5,3,FALSE()),""))</f>
        <v>Toponym Labels</v>
      </c>
      <c r="E77" s="21" t="s">
        <v>15</v>
      </c>
      <c r="F77" s="23">
        <v>102849</v>
      </c>
      <c r="G77" s="20" t="s">
        <v>719</v>
      </c>
      <c r="H77" s="20" t="s">
        <v>781</v>
      </c>
      <c r="I77" t="s">
        <v>697</v>
      </c>
      <c r="J77" s="20" t="s">
        <v>6</v>
      </c>
      <c r="K77" s="20" t="s">
        <v>137</v>
      </c>
      <c r="L77" s="20" t="s">
        <v>137</v>
      </c>
      <c r="M77" s="20" t="s">
        <v>721</v>
      </c>
      <c r="Q77" s="24" t="s">
        <v>680</v>
      </c>
    </row>
    <row r="78" spans="1:17" hidden="1" x14ac:dyDescent="0.3">
      <c r="A78" s="20">
        <f t="shared" si="1"/>
        <v>77</v>
      </c>
      <c r="B78" s="21" t="s">
        <v>87</v>
      </c>
      <c r="C78" s="21" t="s">
        <v>97</v>
      </c>
      <c r="D78" s="22" t="str">
        <f>IF($C78="","",IFERROR(VLOOKUP($C78,Map_Register!$A$2:$C$5,3,FALSE()),""))</f>
        <v>Toponym Labels</v>
      </c>
      <c r="E78" s="21" t="s">
        <v>15</v>
      </c>
      <c r="F78" s="23">
        <v>102850</v>
      </c>
      <c r="G78" s="20" t="s">
        <v>719</v>
      </c>
      <c r="H78" s="20" t="s">
        <v>782</v>
      </c>
      <c r="I78" t="s">
        <v>697</v>
      </c>
      <c r="J78" s="20" t="s">
        <v>6</v>
      </c>
      <c r="K78" s="20" t="s">
        <v>137</v>
      </c>
      <c r="L78" s="20" t="s">
        <v>137</v>
      </c>
      <c r="M78" s="20" t="s">
        <v>721</v>
      </c>
      <c r="Q78" s="24" t="s">
        <v>680</v>
      </c>
    </row>
    <row r="79" spans="1:17" x14ac:dyDescent="0.3">
      <c r="A79" s="20">
        <f t="shared" si="1"/>
        <v>78</v>
      </c>
      <c r="B79" s="21" t="s">
        <v>87</v>
      </c>
      <c r="C79" s="21" t="s">
        <v>97</v>
      </c>
      <c r="D79" s="22" t="str">
        <f>IF($C79="","",IFERROR(VLOOKUP($C79,Map_Register!$A$2:$C$5,3,FALSE()),""))</f>
        <v>Toponym Labels</v>
      </c>
      <c r="E79" s="21" t="s">
        <v>15</v>
      </c>
      <c r="F79" s="23">
        <v>102851</v>
      </c>
      <c r="G79" s="20" t="s">
        <v>719</v>
      </c>
      <c r="H79" s="20" t="s">
        <v>783</v>
      </c>
      <c r="I79" t="s">
        <v>697</v>
      </c>
      <c r="J79" s="20" t="s">
        <v>8</v>
      </c>
      <c r="K79" t="s">
        <v>107</v>
      </c>
      <c r="L79" t="s">
        <v>108</v>
      </c>
      <c r="M79" s="20" t="s">
        <v>743</v>
      </c>
      <c r="N79" s="20" t="s">
        <v>108</v>
      </c>
      <c r="Q79" s="24" t="s">
        <v>680</v>
      </c>
    </row>
    <row r="80" spans="1:17" x14ac:dyDescent="0.3">
      <c r="A80" s="20">
        <f t="shared" si="1"/>
        <v>79</v>
      </c>
      <c r="B80" s="21" t="s">
        <v>87</v>
      </c>
      <c r="C80" s="21" t="s">
        <v>97</v>
      </c>
      <c r="D80" s="22" t="str">
        <f>IF($C80="","",IFERROR(VLOOKUP($C80,Map_Register!$A$2:$C$5,3,FALSE()),""))</f>
        <v>Toponym Labels</v>
      </c>
      <c r="E80" s="21" t="s">
        <v>15</v>
      </c>
      <c r="F80" s="23">
        <v>102852</v>
      </c>
      <c r="G80" s="20" t="s">
        <v>719</v>
      </c>
      <c r="H80" s="20" t="s">
        <v>784</v>
      </c>
      <c r="I80" t="s">
        <v>697</v>
      </c>
      <c r="J80" s="20" t="s">
        <v>8</v>
      </c>
      <c r="K80" t="s">
        <v>107</v>
      </c>
      <c r="L80" t="s">
        <v>108</v>
      </c>
      <c r="M80" s="20" t="s">
        <v>723</v>
      </c>
      <c r="N80" s="20" t="s">
        <v>108</v>
      </c>
      <c r="Q80" s="24" t="s">
        <v>680</v>
      </c>
    </row>
    <row r="81" spans="1:17" hidden="1" x14ac:dyDescent="0.3">
      <c r="A81" s="20">
        <f t="shared" si="1"/>
        <v>80</v>
      </c>
      <c r="B81" s="21" t="s">
        <v>87</v>
      </c>
      <c r="C81" s="21" t="s">
        <v>97</v>
      </c>
      <c r="D81" s="22" t="str">
        <f>IF($C81="","",IFERROR(VLOOKUP($C81,Map_Register!$A$2:$C$5,3,FALSE()),""))</f>
        <v>Toponym Labels</v>
      </c>
      <c r="E81" s="21" t="s">
        <v>15</v>
      </c>
      <c r="F81" s="23">
        <v>102853</v>
      </c>
      <c r="G81" s="20" t="s">
        <v>719</v>
      </c>
      <c r="H81" s="20" t="s">
        <v>785</v>
      </c>
      <c r="I81" t="s">
        <v>697</v>
      </c>
      <c r="J81" s="20" t="s">
        <v>6</v>
      </c>
      <c r="K81" s="20" t="s">
        <v>137</v>
      </c>
      <c r="L81" s="20" t="s">
        <v>137</v>
      </c>
      <c r="M81" s="20" t="s">
        <v>721</v>
      </c>
      <c r="Q81" s="24" t="s">
        <v>680</v>
      </c>
    </row>
    <row r="82" spans="1:17" hidden="1" x14ac:dyDescent="0.3">
      <c r="A82" s="20">
        <f t="shared" si="1"/>
        <v>81</v>
      </c>
      <c r="B82" s="21" t="s">
        <v>87</v>
      </c>
      <c r="C82" s="21" t="s">
        <v>97</v>
      </c>
      <c r="D82" s="22" t="str">
        <f>IF($C82="","",IFERROR(VLOOKUP($C82,Map_Register!$A$2:$C$5,3,FALSE()),""))</f>
        <v>Toponym Labels</v>
      </c>
      <c r="E82" s="21" t="s">
        <v>15</v>
      </c>
      <c r="F82" s="23">
        <v>102854</v>
      </c>
      <c r="G82" s="20" t="s">
        <v>719</v>
      </c>
      <c r="H82" s="20" t="s">
        <v>786</v>
      </c>
      <c r="I82" t="s">
        <v>697</v>
      </c>
      <c r="J82" s="20" t="s">
        <v>6</v>
      </c>
      <c r="K82" s="20" t="s">
        <v>137</v>
      </c>
      <c r="L82" s="20" t="s">
        <v>137</v>
      </c>
      <c r="M82" s="20" t="s">
        <v>6</v>
      </c>
      <c r="Q82" s="24" t="s">
        <v>680</v>
      </c>
    </row>
    <row r="83" spans="1:17" x14ac:dyDescent="0.3">
      <c r="A83" s="20">
        <f t="shared" si="1"/>
        <v>82</v>
      </c>
      <c r="B83" s="21" t="s">
        <v>87</v>
      </c>
      <c r="C83" s="21" t="s">
        <v>97</v>
      </c>
      <c r="D83" s="22" t="str">
        <f>IF($C83="","",IFERROR(VLOOKUP($C83,Map_Register!$A$2:$C$5,3,FALSE()),""))</f>
        <v>Toponym Labels</v>
      </c>
      <c r="E83" s="21" t="s">
        <v>15</v>
      </c>
      <c r="F83" s="23">
        <v>102855</v>
      </c>
      <c r="G83" s="20" t="s">
        <v>719</v>
      </c>
      <c r="H83" s="20" t="s">
        <v>787</v>
      </c>
      <c r="I83" t="s">
        <v>697</v>
      </c>
      <c r="J83" s="20" t="s">
        <v>8</v>
      </c>
      <c r="K83" t="s">
        <v>107</v>
      </c>
      <c r="L83" t="s">
        <v>108</v>
      </c>
      <c r="M83" s="20" t="s">
        <v>723</v>
      </c>
      <c r="N83" s="20" t="s">
        <v>108</v>
      </c>
      <c r="Q83" s="24" t="s">
        <v>680</v>
      </c>
    </row>
    <row r="84" spans="1:17" x14ac:dyDescent="0.3">
      <c r="A84" s="20">
        <f t="shared" si="1"/>
        <v>83</v>
      </c>
      <c r="B84" s="21" t="s">
        <v>87</v>
      </c>
      <c r="C84" s="21" t="s">
        <v>97</v>
      </c>
      <c r="D84" s="22" t="str">
        <f>IF($C84="","",IFERROR(VLOOKUP($C84,Map_Register!$A$2:$C$5,3,FALSE()),""))</f>
        <v>Toponym Labels</v>
      </c>
      <c r="E84" s="21" t="s">
        <v>15</v>
      </c>
      <c r="F84" s="23">
        <v>102856</v>
      </c>
      <c r="G84" s="20" t="s">
        <v>719</v>
      </c>
      <c r="H84" s="20" t="s">
        <v>788</v>
      </c>
      <c r="I84" t="s">
        <v>697</v>
      </c>
      <c r="J84" s="20" t="s">
        <v>8</v>
      </c>
      <c r="K84" t="s">
        <v>107</v>
      </c>
      <c r="L84" t="s">
        <v>108</v>
      </c>
      <c r="M84" s="20" t="s">
        <v>723</v>
      </c>
      <c r="N84" s="20" t="s">
        <v>108</v>
      </c>
      <c r="Q84" s="24" t="s">
        <v>680</v>
      </c>
    </row>
    <row r="85" spans="1:17" x14ac:dyDescent="0.3">
      <c r="A85" s="20">
        <f t="shared" si="1"/>
        <v>84</v>
      </c>
      <c r="B85" s="21" t="s">
        <v>87</v>
      </c>
      <c r="C85" s="21" t="s">
        <v>97</v>
      </c>
      <c r="D85" s="22" t="str">
        <f>IF($C85="","",IFERROR(VLOOKUP($C85,Map_Register!$A$2:$C$5,3,FALSE()),""))</f>
        <v>Toponym Labels</v>
      </c>
      <c r="E85" s="21" t="s">
        <v>15</v>
      </c>
      <c r="F85" s="23">
        <v>103243</v>
      </c>
      <c r="G85" s="20" t="s">
        <v>719</v>
      </c>
      <c r="H85" s="20" t="s">
        <v>789</v>
      </c>
      <c r="I85" t="s">
        <v>697</v>
      </c>
      <c r="J85" s="20" t="s">
        <v>8</v>
      </c>
      <c r="K85" t="s">
        <v>107</v>
      </c>
      <c r="L85" t="s">
        <v>108</v>
      </c>
      <c r="M85" s="20" t="s">
        <v>723</v>
      </c>
      <c r="N85" s="20" t="s">
        <v>108</v>
      </c>
      <c r="Q85" s="24" t="s">
        <v>680</v>
      </c>
    </row>
    <row r="86" spans="1:17" hidden="1" x14ac:dyDescent="0.3">
      <c r="A86" s="20">
        <f t="shared" si="1"/>
        <v>85</v>
      </c>
      <c r="B86" s="21" t="s">
        <v>87</v>
      </c>
      <c r="C86" s="21" t="s">
        <v>97</v>
      </c>
      <c r="D86" s="22" t="str">
        <f>IF($C86="","",IFERROR(VLOOKUP($C86,Map_Register!$A$2:$C$5,3,FALSE()),""))</f>
        <v>Toponym Labels</v>
      </c>
      <c r="E86" s="21" t="s">
        <v>15</v>
      </c>
      <c r="F86" s="23">
        <v>103245</v>
      </c>
      <c r="G86" s="20" t="s">
        <v>719</v>
      </c>
      <c r="H86" s="20" t="s">
        <v>790</v>
      </c>
      <c r="I86" t="s">
        <v>697</v>
      </c>
      <c r="J86" s="20" t="s">
        <v>6</v>
      </c>
      <c r="K86" s="20" t="s">
        <v>137</v>
      </c>
      <c r="L86" s="20" t="s">
        <v>137</v>
      </c>
      <c r="M86" s="20" t="s">
        <v>721</v>
      </c>
      <c r="Q86" s="24" t="s">
        <v>680</v>
      </c>
    </row>
    <row r="87" spans="1:17" x14ac:dyDescent="0.3">
      <c r="A87" s="20">
        <f t="shared" si="1"/>
        <v>86</v>
      </c>
      <c r="B87" s="21" t="s">
        <v>87</v>
      </c>
      <c r="C87" s="21" t="s">
        <v>97</v>
      </c>
      <c r="D87" s="22" t="str">
        <f>IF($C87="","",IFERROR(VLOOKUP($C87,Map_Register!$A$2:$C$5,3,FALSE()),""))</f>
        <v>Toponym Labels</v>
      </c>
      <c r="E87" s="21" t="s">
        <v>15</v>
      </c>
      <c r="F87" s="23">
        <v>103246</v>
      </c>
      <c r="G87" s="20" t="s">
        <v>719</v>
      </c>
      <c r="H87" s="20" t="s">
        <v>791</v>
      </c>
      <c r="I87" t="s">
        <v>697</v>
      </c>
      <c r="J87" s="20" t="s">
        <v>8</v>
      </c>
      <c r="K87" t="s">
        <v>107</v>
      </c>
      <c r="L87" t="s">
        <v>108</v>
      </c>
      <c r="M87" s="20" t="s">
        <v>723</v>
      </c>
      <c r="N87" s="20" t="s">
        <v>108</v>
      </c>
      <c r="Q87" s="24" t="s">
        <v>680</v>
      </c>
    </row>
    <row r="88" spans="1:17" hidden="1" x14ac:dyDescent="0.3">
      <c r="A88" s="20">
        <f t="shared" si="1"/>
        <v>87</v>
      </c>
      <c r="B88" s="21" t="s">
        <v>87</v>
      </c>
      <c r="C88" s="21" t="s">
        <v>97</v>
      </c>
      <c r="D88" s="22" t="str">
        <f>IF($C88="","",IFERROR(VLOOKUP($C88,Map_Register!$A$2:$C$5,3,FALSE()),""))</f>
        <v>Toponym Labels</v>
      </c>
      <c r="E88" s="21" t="s">
        <v>15</v>
      </c>
      <c r="F88" s="23">
        <v>103247</v>
      </c>
      <c r="G88" s="20" t="s">
        <v>719</v>
      </c>
      <c r="H88" s="20" t="s">
        <v>792</v>
      </c>
      <c r="I88" t="s">
        <v>697</v>
      </c>
      <c r="J88" s="20" t="s">
        <v>6</v>
      </c>
      <c r="K88" s="20" t="s">
        <v>137</v>
      </c>
      <c r="L88" s="20" t="s">
        <v>137</v>
      </c>
      <c r="M88" s="20" t="s">
        <v>721</v>
      </c>
      <c r="Q88" s="24" t="s">
        <v>680</v>
      </c>
    </row>
    <row r="89" spans="1:17" x14ac:dyDescent="0.3">
      <c r="A89" s="20">
        <f t="shared" si="1"/>
        <v>88</v>
      </c>
      <c r="B89" s="21" t="s">
        <v>87</v>
      </c>
      <c r="C89" s="21" t="s">
        <v>97</v>
      </c>
      <c r="D89" s="22" t="str">
        <f>IF($C89="","",IFERROR(VLOOKUP($C89,Map_Register!$A$2:$C$5,3,FALSE()),""))</f>
        <v>Toponym Labels</v>
      </c>
      <c r="E89" s="21" t="s">
        <v>15</v>
      </c>
      <c r="F89" s="23">
        <v>103248</v>
      </c>
      <c r="G89" s="20" t="s">
        <v>719</v>
      </c>
      <c r="H89" s="20" t="s">
        <v>793</v>
      </c>
      <c r="I89" t="s">
        <v>697</v>
      </c>
      <c r="J89" s="20" t="s">
        <v>8</v>
      </c>
      <c r="K89" t="s">
        <v>107</v>
      </c>
      <c r="L89" t="s">
        <v>108</v>
      </c>
      <c r="M89" s="20" t="s">
        <v>723</v>
      </c>
      <c r="N89" s="20" t="s">
        <v>108</v>
      </c>
      <c r="Q89" s="24" t="s">
        <v>680</v>
      </c>
    </row>
    <row r="90" spans="1:17" hidden="1" x14ac:dyDescent="0.3">
      <c r="A90" s="20">
        <f t="shared" si="1"/>
        <v>89</v>
      </c>
      <c r="B90" s="21" t="s">
        <v>87</v>
      </c>
      <c r="C90" s="21" t="s">
        <v>97</v>
      </c>
      <c r="D90" s="22" t="str">
        <f>IF($C90="","",IFERROR(VLOOKUP($C90,Map_Register!$A$2:$C$5,3,FALSE()),""))</f>
        <v>Toponym Labels</v>
      </c>
      <c r="E90" s="21" t="s">
        <v>15</v>
      </c>
      <c r="F90" s="23">
        <v>103249</v>
      </c>
      <c r="G90" s="20" t="s">
        <v>719</v>
      </c>
      <c r="H90" s="20" t="s">
        <v>794</v>
      </c>
      <c r="I90" t="s">
        <v>697</v>
      </c>
      <c r="J90" s="20" t="s">
        <v>6</v>
      </c>
      <c r="K90" s="20" t="s">
        <v>137</v>
      </c>
      <c r="L90" s="20" t="s">
        <v>137</v>
      </c>
      <c r="M90" s="20" t="s">
        <v>721</v>
      </c>
      <c r="Q90" s="24" t="s">
        <v>680</v>
      </c>
    </row>
    <row r="91" spans="1:17" hidden="1" x14ac:dyDescent="0.3">
      <c r="A91" s="20">
        <f t="shared" si="1"/>
        <v>90</v>
      </c>
      <c r="B91" s="21" t="s">
        <v>87</v>
      </c>
      <c r="C91" s="21" t="s">
        <v>97</v>
      </c>
      <c r="D91" s="22" t="str">
        <f>IF($C91="","",IFERROR(VLOOKUP($C91,Map_Register!$A$2:$C$5,3,FALSE()),""))</f>
        <v>Toponym Labels</v>
      </c>
      <c r="E91" s="21" t="s">
        <v>15</v>
      </c>
      <c r="F91" s="23">
        <v>103250</v>
      </c>
      <c r="G91" s="20" t="s">
        <v>719</v>
      </c>
      <c r="H91" s="20" t="s">
        <v>795</v>
      </c>
      <c r="I91" t="s">
        <v>697</v>
      </c>
      <c r="J91" s="20" t="s">
        <v>6</v>
      </c>
      <c r="K91" s="20" t="s">
        <v>137</v>
      </c>
      <c r="L91" s="20" t="s">
        <v>137</v>
      </c>
      <c r="M91" s="20" t="s">
        <v>796</v>
      </c>
      <c r="Q91" s="24" t="s">
        <v>680</v>
      </c>
    </row>
    <row r="92" spans="1:17" hidden="1" x14ac:dyDescent="0.3">
      <c r="A92" s="20">
        <f t="shared" si="1"/>
        <v>91</v>
      </c>
      <c r="B92" s="21" t="s">
        <v>87</v>
      </c>
      <c r="C92" s="21" t="s">
        <v>97</v>
      </c>
      <c r="D92" s="22" t="str">
        <f>IF($C92="","",IFERROR(VLOOKUP($C92,Map_Register!$A$2:$C$5,3,FALSE()),""))</f>
        <v>Toponym Labels</v>
      </c>
      <c r="E92" s="21" t="s">
        <v>15</v>
      </c>
      <c r="F92" s="23">
        <v>103624</v>
      </c>
      <c r="G92" s="20" t="s">
        <v>719</v>
      </c>
      <c r="H92" s="20" t="s">
        <v>797</v>
      </c>
      <c r="I92" t="s">
        <v>697</v>
      </c>
      <c r="J92" s="20" t="s">
        <v>6</v>
      </c>
      <c r="K92" s="20" t="s">
        <v>137</v>
      </c>
      <c r="L92" s="20" t="s">
        <v>137</v>
      </c>
      <c r="M92" s="20" t="s">
        <v>721</v>
      </c>
      <c r="Q92" s="24" t="s">
        <v>680</v>
      </c>
    </row>
    <row r="93" spans="1:17" hidden="1" x14ac:dyDescent="0.3">
      <c r="A93" s="20">
        <f t="shared" si="1"/>
        <v>92</v>
      </c>
      <c r="B93" s="21" t="s">
        <v>87</v>
      </c>
      <c r="C93" s="21" t="s">
        <v>97</v>
      </c>
      <c r="D93" s="22" t="str">
        <f>IF($C93="","",IFERROR(VLOOKUP($C93,Map_Register!$A$2:$C$5,3,FALSE()),""))</f>
        <v>Toponym Labels</v>
      </c>
      <c r="E93" s="21" t="s">
        <v>15</v>
      </c>
      <c r="F93" s="23">
        <v>103633</v>
      </c>
      <c r="G93" s="20" t="s">
        <v>719</v>
      </c>
      <c r="H93" s="20" t="s">
        <v>798</v>
      </c>
      <c r="I93" t="s">
        <v>697</v>
      </c>
      <c r="J93" s="20" t="s">
        <v>6</v>
      </c>
      <c r="K93" s="20" t="s">
        <v>137</v>
      </c>
      <c r="L93" s="20" t="s">
        <v>137</v>
      </c>
      <c r="M93" s="20" t="s">
        <v>721</v>
      </c>
      <c r="Q93" s="24" t="s">
        <v>680</v>
      </c>
    </row>
    <row r="94" spans="1:17" hidden="1" x14ac:dyDescent="0.3">
      <c r="A94" s="20">
        <f t="shared" si="1"/>
        <v>93</v>
      </c>
      <c r="B94" s="21" t="s">
        <v>87</v>
      </c>
      <c r="C94" s="21" t="s">
        <v>97</v>
      </c>
      <c r="D94" s="22" t="str">
        <f>IF($C94="","",IFERROR(VLOOKUP($C94,Map_Register!$A$2:$C$5,3,FALSE()),""))</f>
        <v>Toponym Labels</v>
      </c>
      <c r="E94" s="21" t="s">
        <v>15</v>
      </c>
      <c r="F94" s="23">
        <v>103634</v>
      </c>
      <c r="G94" s="20" t="s">
        <v>719</v>
      </c>
      <c r="H94" s="20" t="s">
        <v>799</v>
      </c>
      <c r="I94" t="s">
        <v>697</v>
      </c>
      <c r="J94" s="20" t="s">
        <v>6</v>
      </c>
      <c r="K94" s="20" t="s">
        <v>137</v>
      </c>
      <c r="L94" s="20" t="s">
        <v>137</v>
      </c>
      <c r="M94" s="20" t="s">
        <v>721</v>
      </c>
      <c r="Q94" s="24" t="s">
        <v>680</v>
      </c>
    </row>
    <row r="95" spans="1:17" x14ac:dyDescent="0.3">
      <c r="A95" s="20">
        <f t="shared" si="1"/>
        <v>94</v>
      </c>
      <c r="B95" s="21" t="s">
        <v>87</v>
      </c>
      <c r="C95" s="21" t="s">
        <v>97</v>
      </c>
      <c r="D95" s="22" t="str">
        <f>IF($C95="","",IFERROR(VLOOKUP($C95,Map_Register!$A$2:$C$5,3,FALSE()),""))</f>
        <v>Toponym Labels</v>
      </c>
      <c r="E95" s="21" t="s">
        <v>15</v>
      </c>
      <c r="F95" s="23">
        <v>103635</v>
      </c>
      <c r="G95" s="20" t="s">
        <v>719</v>
      </c>
      <c r="H95" s="20" t="s">
        <v>800</v>
      </c>
      <c r="I95" t="s">
        <v>697</v>
      </c>
      <c r="J95" s="20" t="s">
        <v>8</v>
      </c>
      <c r="K95" t="s">
        <v>107</v>
      </c>
      <c r="L95" t="s">
        <v>108</v>
      </c>
      <c r="M95" s="20" t="s">
        <v>723</v>
      </c>
      <c r="N95" s="20" t="s">
        <v>108</v>
      </c>
      <c r="Q95" s="24" t="s">
        <v>680</v>
      </c>
    </row>
    <row r="96" spans="1:17" hidden="1" x14ac:dyDescent="0.3">
      <c r="A96" s="20">
        <f t="shared" si="1"/>
        <v>95</v>
      </c>
      <c r="B96" s="21" t="s">
        <v>87</v>
      </c>
      <c r="C96" s="21" t="s">
        <v>97</v>
      </c>
      <c r="D96" s="22" t="str">
        <f>IF($C96="","",IFERROR(VLOOKUP($C96,Map_Register!$A$2:$C$5,3,FALSE()),""))</f>
        <v>Toponym Labels</v>
      </c>
      <c r="E96" s="21" t="s">
        <v>15</v>
      </c>
      <c r="F96" s="23">
        <v>103637</v>
      </c>
      <c r="G96" s="20" t="s">
        <v>719</v>
      </c>
      <c r="H96" s="20" t="s">
        <v>801</v>
      </c>
      <c r="I96" t="s">
        <v>697</v>
      </c>
      <c r="J96" s="20" t="s">
        <v>6</v>
      </c>
      <c r="K96" s="20" t="s">
        <v>137</v>
      </c>
      <c r="L96" s="20" t="s">
        <v>137</v>
      </c>
      <c r="M96" s="20" t="s">
        <v>721</v>
      </c>
      <c r="Q96" s="24" t="s">
        <v>680</v>
      </c>
    </row>
    <row r="97" spans="1:17" hidden="1" x14ac:dyDescent="0.3">
      <c r="A97" s="20">
        <f t="shared" si="1"/>
        <v>96</v>
      </c>
      <c r="B97" s="21" t="s">
        <v>87</v>
      </c>
      <c r="C97" s="21" t="s">
        <v>97</v>
      </c>
      <c r="D97" s="22" t="str">
        <f>IF($C97="","",IFERROR(VLOOKUP($C97,Map_Register!$A$2:$C$5,3,FALSE()),""))</f>
        <v>Toponym Labels</v>
      </c>
      <c r="E97" s="21" t="s">
        <v>15</v>
      </c>
      <c r="F97" s="23">
        <v>103639</v>
      </c>
      <c r="G97" s="20" t="s">
        <v>719</v>
      </c>
      <c r="H97" s="20" t="s">
        <v>802</v>
      </c>
      <c r="I97" t="s">
        <v>697</v>
      </c>
      <c r="J97" s="20" t="s">
        <v>6</v>
      </c>
      <c r="K97" s="20" t="s">
        <v>137</v>
      </c>
      <c r="L97" s="20" t="s">
        <v>137</v>
      </c>
      <c r="M97" s="20" t="s">
        <v>721</v>
      </c>
      <c r="Q97" s="24" t="s">
        <v>680</v>
      </c>
    </row>
    <row r="98" spans="1:17" hidden="1" x14ac:dyDescent="0.3">
      <c r="A98" s="20">
        <f t="shared" si="1"/>
        <v>97</v>
      </c>
      <c r="B98" s="21" t="s">
        <v>87</v>
      </c>
      <c r="C98" s="21" t="s">
        <v>97</v>
      </c>
      <c r="D98" s="22" t="str">
        <f>IF($C98="","",IFERROR(VLOOKUP($C98,Map_Register!$A$2:$C$5,3,FALSE()),""))</f>
        <v>Toponym Labels</v>
      </c>
      <c r="E98" s="21" t="s">
        <v>15</v>
      </c>
      <c r="F98" s="23">
        <v>103640</v>
      </c>
      <c r="G98" s="20" t="s">
        <v>719</v>
      </c>
      <c r="H98" s="20" t="s">
        <v>803</v>
      </c>
      <c r="I98" t="s">
        <v>697</v>
      </c>
      <c r="J98" s="20" t="s">
        <v>6</v>
      </c>
      <c r="K98" s="20" t="s">
        <v>137</v>
      </c>
      <c r="L98" s="20" t="s">
        <v>137</v>
      </c>
      <c r="M98" s="20" t="s">
        <v>721</v>
      </c>
      <c r="Q98" s="24" t="s">
        <v>680</v>
      </c>
    </row>
    <row r="99" spans="1:17" x14ac:dyDescent="0.3">
      <c r="A99" s="20">
        <f t="shared" si="1"/>
        <v>98</v>
      </c>
      <c r="B99" s="21" t="s">
        <v>87</v>
      </c>
      <c r="C99" s="21" t="s">
        <v>97</v>
      </c>
      <c r="D99" s="22" t="str">
        <f>IF($C99="","",IFERROR(VLOOKUP($C99,Map_Register!$A$2:$C$5,3,FALSE()),""))</f>
        <v>Toponym Labels</v>
      </c>
      <c r="E99" s="21" t="s">
        <v>15</v>
      </c>
      <c r="F99" s="23">
        <v>103641</v>
      </c>
      <c r="G99" s="20" t="s">
        <v>719</v>
      </c>
      <c r="H99" s="20" t="s">
        <v>804</v>
      </c>
      <c r="I99" t="s">
        <v>697</v>
      </c>
      <c r="J99" s="20" t="s">
        <v>8</v>
      </c>
      <c r="K99" t="s">
        <v>107</v>
      </c>
      <c r="L99" t="s">
        <v>108</v>
      </c>
      <c r="M99" s="20" t="s">
        <v>723</v>
      </c>
      <c r="N99" s="20" t="s">
        <v>108</v>
      </c>
      <c r="Q99" s="24" t="s">
        <v>680</v>
      </c>
    </row>
    <row r="100" spans="1:17" hidden="1" x14ac:dyDescent="0.3">
      <c r="A100" s="20">
        <f t="shared" si="1"/>
        <v>99</v>
      </c>
      <c r="B100" s="21" t="s">
        <v>87</v>
      </c>
      <c r="C100" s="21" t="s">
        <v>97</v>
      </c>
      <c r="D100" s="22" t="str">
        <f>IF($C100="","",IFERROR(VLOOKUP($C100,Map_Register!$A$2:$C$5,3,FALSE()),""))</f>
        <v>Toponym Labels</v>
      </c>
      <c r="E100" s="21" t="s">
        <v>15</v>
      </c>
      <c r="F100" s="23">
        <v>112568</v>
      </c>
      <c r="G100" s="20" t="s">
        <v>719</v>
      </c>
      <c r="H100" s="20" t="s">
        <v>805</v>
      </c>
      <c r="I100" t="s">
        <v>697</v>
      </c>
      <c r="J100" s="20" t="s">
        <v>6</v>
      </c>
      <c r="K100" s="20" t="s">
        <v>137</v>
      </c>
      <c r="L100" s="20" t="s">
        <v>137</v>
      </c>
      <c r="M100" s="20" t="s">
        <v>721</v>
      </c>
      <c r="Q100" s="24" t="s">
        <v>680</v>
      </c>
    </row>
    <row r="101" spans="1:17" x14ac:dyDescent="0.3">
      <c r="A101" s="20">
        <f t="shared" si="1"/>
        <v>100</v>
      </c>
      <c r="B101" s="21" t="s">
        <v>87</v>
      </c>
      <c r="C101" s="21" t="s">
        <v>97</v>
      </c>
      <c r="D101" s="22" t="str">
        <f>IF($C101="","",IFERROR(VLOOKUP($C101,Map_Register!$A$2:$C$5,3,FALSE()),""))</f>
        <v>Toponym Labels</v>
      </c>
      <c r="E101" s="21" t="s">
        <v>15</v>
      </c>
      <c r="F101" s="23">
        <v>112571</v>
      </c>
      <c r="G101" s="20" t="s">
        <v>719</v>
      </c>
      <c r="H101" s="20" t="s">
        <v>806</v>
      </c>
      <c r="I101" t="s">
        <v>697</v>
      </c>
      <c r="J101" s="20" t="s">
        <v>8</v>
      </c>
      <c r="K101" t="s">
        <v>107</v>
      </c>
      <c r="L101" t="s">
        <v>108</v>
      </c>
      <c r="M101" s="20" t="s">
        <v>723</v>
      </c>
      <c r="N101" s="20" t="s">
        <v>108</v>
      </c>
      <c r="Q101" s="24" t="s">
        <v>680</v>
      </c>
    </row>
    <row r="102" spans="1:17" x14ac:dyDescent="0.3">
      <c r="A102" s="20">
        <f t="shared" si="1"/>
        <v>101</v>
      </c>
      <c r="B102" s="21" t="s">
        <v>87</v>
      </c>
      <c r="C102" s="21" t="s">
        <v>97</v>
      </c>
      <c r="D102" s="22" t="str">
        <f>IF($C102="","",IFERROR(VLOOKUP($C102,Map_Register!$A$2:$C$5,3,FALSE()),""))</f>
        <v>Toponym Labels</v>
      </c>
      <c r="E102" s="21" t="s">
        <v>15</v>
      </c>
      <c r="F102" s="23">
        <v>112572</v>
      </c>
      <c r="G102" s="20" t="s">
        <v>719</v>
      </c>
      <c r="H102" s="20" t="s">
        <v>807</v>
      </c>
      <c r="I102" t="s">
        <v>697</v>
      </c>
      <c r="J102" s="20" t="s">
        <v>8</v>
      </c>
      <c r="K102" t="s">
        <v>107</v>
      </c>
      <c r="L102" t="s">
        <v>108</v>
      </c>
      <c r="M102" s="20" t="s">
        <v>723</v>
      </c>
      <c r="N102" s="20" t="s">
        <v>108</v>
      </c>
      <c r="Q102" s="24" t="s">
        <v>680</v>
      </c>
    </row>
    <row r="103" spans="1:17" x14ac:dyDescent="0.3">
      <c r="A103" s="20">
        <f t="shared" si="1"/>
        <v>102</v>
      </c>
      <c r="B103" s="21" t="s">
        <v>87</v>
      </c>
      <c r="C103" s="21" t="s">
        <v>97</v>
      </c>
      <c r="D103" s="22" t="str">
        <f>IF($C103="","",IFERROR(VLOOKUP($C103,Map_Register!$A$2:$C$5,3,FALSE()),""))</f>
        <v>Toponym Labels</v>
      </c>
      <c r="E103" s="21" t="s">
        <v>15</v>
      </c>
      <c r="F103" s="23">
        <v>112573</v>
      </c>
      <c r="G103" s="20" t="s">
        <v>719</v>
      </c>
      <c r="H103" s="20" t="s">
        <v>808</v>
      </c>
      <c r="I103" t="s">
        <v>697</v>
      </c>
      <c r="J103" s="20" t="s">
        <v>8</v>
      </c>
      <c r="K103" t="s">
        <v>107</v>
      </c>
      <c r="L103" t="s">
        <v>108</v>
      </c>
      <c r="M103" s="20" t="s">
        <v>723</v>
      </c>
      <c r="N103" s="20" t="s">
        <v>108</v>
      </c>
      <c r="Q103" s="24" t="s">
        <v>680</v>
      </c>
    </row>
    <row r="104" spans="1:17" x14ac:dyDescent="0.3">
      <c r="A104" s="20">
        <f t="shared" si="1"/>
        <v>103</v>
      </c>
      <c r="B104" s="21" t="s">
        <v>87</v>
      </c>
      <c r="C104" s="21" t="s">
        <v>97</v>
      </c>
      <c r="D104" s="22" t="str">
        <f>IF($C104="","",IFERROR(VLOOKUP($C104,Map_Register!$A$2:$C$5,3,FALSE()),""))</f>
        <v>Toponym Labels</v>
      </c>
      <c r="E104" s="21" t="s">
        <v>15</v>
      </c>
      <c r="F104" s="23">
        <v>112574</v>
      </c>
      <c r="G104" s="20" t="s">
        <v>719</v>
      </c>
      <c r="H104" s="20" t="s">
        <v>809</v>
      </c>
      <c r="I104" t="s">
        <v>697</v>
      </c>
      <c r="J104" s="20" t="s">
        <v>8</v>
      </c>
      <c r="K104" t="s">
        <v>107</v>
      </c>
      <c r="L104" t="s">
        <v>108</v>
      </c>
      <c r="M104" s="20" t="s">
        <v>723</v>
      </c>
      <c r="N104" s="20" t="s">
        <v>108</v>
      </c>
      <c r="Q104" s="24" t="s">
        <v>680</v>
      </c>
    </row>
    <row r="105" spans="1:17" hidden="1" x14ac:dyDescent="0.3">
      <c r="A105" s="20">
        <f t="shared" si="1"/>
        <v>104</v>
      </c>
      <c r="B105" s="21" t="s">
        <v>87</v>
      </c>
      <c r="C105" s="21" t="s">
        <v>97</v>
      </c>
      <c r="D105" s="22" t="str">
        <f>IF($C105="","",IFERROR(VLOOKUP($C105,Map_Register!$A$2:$C$5,3,FALSE()),""))</f>
        <v>Toponym Labels</v>
      </c>
      <c r="E105" s="21" t="s">
        <v>15</v>
      </c>
      <c r="F105" s="23">
        <v>112575</v>
      </c>
      <c r="G105" s="20" t="s">
        <v>719</v>
      </c>
      <c r="H105" s="20" t="s">
        <v>810</v>
      </c>
      <c r="I105" t="s">
        <v>697</v>
      </c>
      <c r="J105" s="20" t="s">
        <v>6</v>
      </c>
      <c r="K105" s="20" t="s">
        <v>137</v>
      </c>
      <c r="L105" s="20" t="s">
        <v>137</v>
      </c>
      <c r="M105" s="20" t="s">
        <v>721</v>
      </c>
      <c r="Q105" s="24" t="s">
        <v>680</v>
      </c>
    </row>
    <row r="106" spans="1:17" x14ac:dyDescent="0.3">
      <c r="A106" s="20">
        <f t="shared" si="1"/>
        <v>105</v>
      </c>
      <c r="B106" s="21" t="s">
        <v>87</v>
      </c>
      <c r="C106" s="21" t="s">
        <v>97</v>
      </c>
      <c r="D106" s="22" t="str">
        <f>IF($C106="","",IFERROR(VLOOKUP($C106,Map_Register!$A$2:$C$5,3,FALSE()),""))</f>
        <v>Toponym Labels</v>
      </c>
      <c r="E106" s="21" t="s">
        <v>15</v>
      </c>
      <c r="F106" s="23">
        <v>112576</v>
      </c>
      <c r="G106" s="20" t="s">
        <v>719</v>
      </c>
      <c r="H106" s="20" t="s">
        <v>811</v>
      </c>
      <c r="I106" t="s">
        <v>697</v>
      </c>
      <c r="J106" s="20" t="s">
        <v>8</v>
      </c>
      <c r="K106" t="s">
        <v>107</v>
      </c>
      <c r="L106" t="s">
        <v>108</v>
      </c>
      <c r="M106" s="20" t="s">
        <v>723</v>
      </c>
      <c r="N106" s="20" t="s">
        <v>108</v>
      </c>
      <c r="Q106" s="24" t="s">
        <v>680</v>
      </c>
    </row>
    <row r="107" spans="1:17" x14ac:dyDescent="0.3">
      <c r="A107" s="20">
        <f t="shared" si="1"/>
        <v>106</v>
      </c>
      <c r="B107" s="21" t="s">
        <v>87</v>
      </c>
      <c r="C107" s="21" t="s">
        <v>97</v>
      </c>
      <c r="D107" s="22" t="str">
        <f>IF($C107="","",IFERROR(VLOOKUP($C107,Map_Register!$A$2:$C$5,3,FALSE()),""))</f>
        <v>Toponym Labels</v>
      </c>
      <c r="E107" s="21" t="s">
        <v>15</v>
      </c>
      <c r="F107" s="23">
        <v>112577</v>
      </c>
      <c r="G107" s="20" t="s">
        <v>719</v>
      </c>
      <c r="H107" s="20" t="s">
        <v>812</v>
      </c>
      <c r="I107" t="s">
        <v>697</v>
      </c>
      <c r="J107" s="20" t="s">
        <v>8</v>
      </c>
      <c r="K107" t="s">
        <v>107</v>
      </c>
      <c r="L107" t="s">
        <v>108</v>
      </c>
      <c r="M107" s="20" t="s">
        <v>723</v>
      </c>
      <c r="N107" s="20" t="s">
        <v>108</v>
      </c>
      <c r="Q107" s="24" t="s">
        <v>680</v>
      </c>
    </row>
    <row r="108" spans="1:17" hidden="1" x14ac:dyDescent="0.3">
      <c r="A108" s="20">
        <f t="shared" si="1"/>
        <v>107</v>
      </c>
      <c r="B108" s="21" t="s">
        <v>87</v>
      </c>
      <c r="C108" s="21" t="s">
        <v>97</v>
      </c>
      <c r="D108" s="22" t="str">
        <f>IF($C108="","",IFERROR(VLOOKUP($C108,Map_Register!$A$2:$C$5,3,FALSE()),""))</f>
        <v>Toponym Labels</v>
      </c>
      <c r="E108" s="21" t="s">
        <v>15</v>
      </c>
      <c r="F108" s="23">
        <v>112579</v>
      </c>
      <c r="G108" s="20" t="s">
        <v>719</v>
      </c>
      <c r="H108" s="20" t="s">
        <v>813</v>
      </c>
      <c r="I108" t="s">
        <v>697</v>
      </c>
      <c r="J108" s="20" t="s">
        <v>8</v>
      </c>
      <c r="K108" t="s">
        <v>107</v>
      </c>
      <c r="L108" t="s">
        <v>107</v>
      </c>
      <c r="M108" s="20" t="s">
        <v>683</v>
      </c>
      <c r="N108" s="20" t="s">
        <v>108</v>
      </c>
      <c r="Q108" s="24" t="s">
        <v>680</v>
      </c>
    </row>
    <row r="109" spans="1:17" x14ac:dyDescent="0.3">
      <c r="A109" s="20">
        <f t="shared" si="1"/>
        <v>108</v>
      </c>
      <c r="B109" s="21" t="s">
        <v>87</v>
      </c>
      <c r="C109" s="21" t="s">
        <v>97</v>
      </c>
      <c r="D109" s="22" t="str">
        <f>IF($C109="","",IFERROR(VLOOKUP($C109,Map_Register!$A$2:$C$5,3,FALSE()),""))</f>
        <v>Toponym Labels</v>
      </c>
      <c r="E109" s="21" t="s">
        <v>15</v>
      </c>
      <c r="F109" s="23">
        <v>112580</v>
      </c>
      <c r="G109" s="20" t="s">
        <v>719</v>
      </c>
      <c r="H109" s="20" t="s">
        <v>814</v>
      </c>
      <c r="I109" t="s">
        <v>697</v>
      </c>
      <c r="J109" s="20" t="s">
        <v>8</v>
      </c>
      <c r="K109" t="s">
        <v>107</v>
      </c>
      <c r="L109" t="s">
        <v>108</v>
      </c>
      <c r="M109" s="20" t="s">
        <v>723</v>
      </c>
      <c r="N109" s="20" t="s">
        <v>108</v>
      </c>
      <c r="Q109" s="24" t="s">
        <v>680</v>
      </c>
    </row>
    <row r="110" spans="1:17" x14ac:dyDescent="0.3">
      <c r="A110" s="20">
        <f t="shared" si="1"/>
        <v>109</v>
      </c>
      <c r="B110" s="21" t="s">
        <v>87</v>
      </c>
      <c r="C110" s="21" t="s">
        <v>97</v>
      </c>
      <c r="D110" s="22" t="str">
        <f>IF($C110="","",IFERROR(VLOOKUP($C110,Map_Register!$A$2:$C$5,3,FALSE()),""))</f>
        <v>Toponym Labels</v>
      </c>
      <c r="E110" s="21" t="s">
        <v>15</v>
      </c>
      <c r="F110" s="23">
        <v>112586</v>
      </c>
      <c r="G110" s="20" t="s">
        <v>719</v>
      </c>
      <c r="H110" s="20" t="s">
        <v>815</v>
      </c>
      <c r="I110" t="s">
        <v>697</v>
      </c>
      <c r="J110" s="20" t="s">
        <v>8</v>
      </c>
      <c r="K110" t="s">
        <v>107</v>
      </c>
      <c r="L110" t="s">
        <v>108</v>
      </c>
      <c r="M110" s="20" t="s">
        <v>723</v>
      </c>
      <c r="N110" s="20" t="s">
        <v>108</v>
      </c>
      <c r="Q110" s="24" t="s">
        <v>680</v>
      </c>
    </row>
    <row r="111" spans="1:17" x14ac:dyDescent="0.3">
      <c r="A111" s="20">
        <f t="shared" si="1"/>
        <v>110</v>
      </c>
      <c r="B111" s="21" t="s">
        <v>87</v>
      </c>
      <c r="C111" s="21" t="s">
        <v>97</v>
      </c>
      <c r="D111" s="22" t="str">
        <f>IF($C111="","",IFERROR(VLOOKUP($C111,Map_Register!$A$2:$C$5,3,FALSE()),""))</f>
        <v>Toponym Labels</v>
      </c>
      <c r="E111" s="21" t="s">
        <v>15</v>
      </c>
      <c r="F111" s="23">
        <v>112587</v>
      </c>
      <c r="G111" s="20" t="s">
        <v>719</v>
      </c>
      <c r="H111" s="20" t="s">
        <v>816</v>
      </c>
      <c r="I111" t="s">
        <v>697</v>
      </c>
      <c r="J111" s="20" t="s">
        <v>8</v>
      </c>
      <c r="K111" t="s">
        <v>107</v>
      </c>
      <c r="L111" t="s">
        <v>108</v>
      </c>
      <c r="M111" s="20" t="s">
        <v>723</v>
      </c>
      <c r="N111" s="20" t="s">
        <v>108</v>
      </c>
      <c r="Q111" s="24" t="s">
        <v>680</v>
      </c>
    </row>
    <row r="112" spans="1:17" hidden="1" x14ac:dyDescent="0.3">
      <c r="A112" s="20">
        <f t="shared" si="1"/>
        <v>111</v>
      </c>
      <c r="B112" s="21" t="s">
        <v>87</v>
      </c>
      <c r="C112" s="21" t="s">
        <v>97</v>
      </c>
      <c r="D112" s="22" t="str">
        <f>IF($C112="","",IFERROR(VLOOKUP($C112,Map_Register!$A$2:$C$5,3,FALSE()),""))</f>
        <v>Toponym Labels</v>
      </c>
      <c r="E112" s="21" t="s">
        <v>15</v>
      </c>
      <c r="F112" s="23">
        <v>112588</v>
      </c>
      <c r="G112" s="20" t="s">
        <v>719</v>
      </c>
      <c r="H112" s="20" t="s">
        <v>817</v>
      </c>
      <c r="I112" t="s">
        <v>697</v>
      </c>
      <c r="J112" s="20" t="s">
        <v>6</v>
      </c>
      <c r="K112" s="20" t="s">
        <v>137</v>
      </c>
      <c r="L112" s="20" t="s">
        <v>137</v>
      </c>
      <c r="M112" s="20" t="s">
        <v>721</v>
      </c>
      <c r="Q112" s="24" t="s">
        <v>680</v>
      </c>
    </row>
    <row r="113" spans="1:17" hidden="1" x14ac:dyDescent="0.3">
      <c r="A113" s="20">
        <f t="shared" si="1"/>
        <v>112</v>
      </c>
      <c r="B113" s="21" t="s">
        <v>87</v>
      </c>
      <c r="C113" s="21" t="s">
        <v>97</v>
      </c>
      <c r="D113" s="22" t="str">
        <f>IF($C113="","",IFERROR(VLOOKUP($C113,Map_Register!$A$2:$C$5,3,FALSE()),""))</f>
        <v>Toponym Labels</v>
      </c>
      <c r="E113" s="21" t="s">
        <v>15</v>
      </c>
      <c r="F113" s="23">
        <v>112589</v>
      </c>
      <c r="G113" s="20" t="s">
        <v>719</v>
      </c>
      <c r="H113" s="20" t="s">
        <v>818</v>
      </c>
      <c r="I113" t="s">
        <v>697</v>
      </c>
      <c r="J113" s="20" t="s">
        <v>6</v>
      </c>
      <c r="K113" s="20" t="s">
        <v>137</v>
      </c>
      <c r="L113" s="20" t="s">
        <v>137</v>
      </c>
      <c r="M113" s="20" t="s">
        <v>721</v>
      </c>
      <c r="Q113" s="24" t="s">
        <v>680</v>
      </c>
    </row>
    <row r="114" spans="1:17" hidden="1" x14ac:dyDescent="0.3">
      <c r="A114" s="20">
        <f t="shared" si="1"/>
        <v>113</v>
      </c>
      <c r="B114" s="21" t="s">
        <v>87</v>
      </c>
      <c r="C114" s="21" t="s">
        <v>97</v>
      </c>
      <c r="D114" s="22" t="str">
        <f>IF($C114="","",IFERROR(VLOOKUP($C114,Map_Register!$A$2:$C$5,3,FALSE()),""))</f>
        <v>Toponym Labels</v>
      </c>
      <c r="E114" s="21" t="s">
        <v>15</v>
      </c>
      <c r="F114" s="23">
        <v>112590</v>
      </c>
      <c r="G114" s="20" t="s">
        <v>719</v>
      </c>
      <c r="H114" s="20" t="s">
        <v>819</v>
      </c>
      <c r="I114" t="s">
        <v>697</v>
      </c>
      <c r="J114" s="20" t="s">
        <v>6</v>
      </c>
      <c r="K114" s="20" t="s">
        <v>137</v>
      </c>
      <c r="L114" s="20" t="s">
        <v>137</v>
      </c>
      <c r="M114" s="20" t="s">
        <v>721</v>
      </c>
      <c r="Q114" s="24" t="s">
        <v>680</v>
      </c>
    </row>
    <row r="115" spans="1:17" hidden="1" x14ac:dyDescent="0.3">
      <c r="A115" s="20">
        <f t="shared" si="1"/>
        <v>114</v>
      </c>
      <c r="B115" s="21" t="s">
        <v>87</v>
      </c>
      <c r="C115" s="21" t="s">
        <v>97</v>
      </c>
      <c r="D115" s="22" t="str">
        <f>IF($C115="","",IFERROR(VLOOKUP($C115,Map_Register!$A$2:$C$5,3,FALSE()),""))</f>
        <v>Toponym Labels</v>
      </c>
      <c r="E115" s="21" t="s">
        <v>15</v>
      </c>
      <c r="F115" s="23">
        <v>112592</v>
      </c>
      <c r="G115" s="20" t="s">
        <v>719</v>
      </c>
      <c r="H115" s="20" t="s">
        <v>820</v>
      </c>
      <c r="I115" t="s">
        <v>697</v>
      </c>
      <c r="J115" s="20" t="s">
        <v>6</v>
      </c>
      <c r="K115" s="20" t="s">
        <v>137</v>
      </c>
      <c r="L115" s="20" t="s">
        <v>137</v>
      </c>
      <c r="M115" s="20" t="s">
        <v>821</v>
      </c>
      <c r="Q115" s="24" t="s">
        <v>680</v>
      </c>
    </row>
    <row r="116" spans="1:17" hidden="1" x14ac:dyDescent="0.3">
      <c r="A116" s="20">
        <f t="shared" si="1"/>
        <v>115</v>
      </c>
      <c r="B116" s="21" t="s">
        <v>87</v>
      </c>
      <c r="C116" s="21" t="s">
        <v>97</v>
      </c>
      <c r="D116" s="22" t="str">
        <f>IF($C116="","",IFERROR(VLOOKUP($C116,Map_Register!$A$2:$C$5,3,FALSE()),""))</f>
        <v>Toponym Labels</v>
      </c>
      <c r="E116" s="21" t="s">
        <v>15</v>
      </c>
      <c r="F116" s="23">
        <v>112962</v>
      </c>
      <c r="G116" s="20" t="s">
        <v>719</v>
      </c>
      <c r="H116" s="20" t="s">
        <v>822</v>
      </c>
      <c r="I116" t="s">
        <v>697</v>
      </c>
      <c r="J116" s="20" t="s">
        <v>6</v>
      </c>
      <c r="K116" s="20" t="s">
        <v>137</v>
      </c>
      <c r="L116" s="20" t="s">
        <v>137</v>
      </c>
      <c r="M116" s="20" t="s">
        <v>721</v>
      </c>
      <c r="Q116" s="24" t="s">
        <v>680</v>
      </c>
    </row>
    <row r="117" spans="1:17" x14ac:dyDescent="0.3">
      <c r="A117" s="20">
        <f t="shared" si="1"/>
        <v>116</v>
      </c>
      <c r="B117" s="21" t="s">
        <v>87</v>
      </c>
      <c r="C117" s="21" t="s">
        <v>97</v>
      </c>
      <c r="D117" s="22" t="str">
        <f>IF($C117="","",IFERROR(VLOOKUP($C117,Map_Register!$A$2:$C$5,3,FALSE()),""))</f>
        <v>Toponym Labels</v>
      </c>
      <c r="E117" s="21" t="s">
        <v>15</v>
      </c>
      <c r="F117" s="23">
        <v>112963</v>
      </c>
      <c r="G117" s="20" t="s">
        <v>719</v>
      </c>
      <c r="H117" s="20" t="s">
        <v>823</v>
      </c>
      <c r="I117" t="s">
        <v>697</v>
      </c>
      <c r="J117" s="20" t="s">
        <v>8</v>
      </c>
      <c r="K117" t="s">
        <v>107</v>
      </c>
      <c r="L117" t="s">
        <v>108</v>
      </c>
      <c r="M117" s="20" t="s">
        <v>723</v>
      </c>
      <c r="N117" s="20" t="s">
        <v>108</v>
      </c>
      <c r="Q117" s="24" t="s">
        <v>680</v>
      </c>
    </row>
    <row r="118" spans="1:17" hidden="1" x14ac:dyDescent="0.3">
      <c r="A118" s="20">
        <f t="shared" si="1"/>
        <v>117</v>
      </c>
      <c r="B118" s="21" t="s">
        <v>87</v>
      </c>
      <c r="C118" s="21" t="s">
        <v>97</v>
      </c>
      <c r="D118" s="22" t="str">
        <f>IF($C118="","",IFERROR(VLOOKUP($C118,Map_Register!$A$2:$C$5,3,FALSE()),""))</f>
        <v>Toponym Labels</v>
      </c>
      <c r="E118" s="21" t="s">
        <v>15</v>
      </c>
      <c r="F118" s="23">
        <v>112980</v>
      </c>
      <c r="G118" s="20" t="s">
        <v>719</v>
      </c>
      <c r="H118" s="20" t="s">
        <v>824</v>
      </c>
      <c r="I118" t="s">
        <v>697</v>
      </c>
      <c r="J118" s="20" t="s">
        <v>8</v>
      </c>
      <c r="K118" t="s">
        <v>107</v>
      </c>
      <c r="L118" t="s">
        <v>107</v>
      </c>
      <c r="M118" s="20" t="s">
        <v>683</v>
      </c>
      <c r="N118" s="20" t="s">
        <v>108</v>
      </c>
      <c r="Q118" s="24" t="s">
        <v>680</v>
      </c>
    </row>
    <row r="119" spans="1:17" x14ac:dyDescent="0.3">
      <c r="A119" s="20">
        <f t="shared" si="1"/>
        <v>118</v>
      </c>
      <c r="B119" s="21" t="s">
        <v>87</v>
      </c>
      <c r="C119" s="21" t="s">
        <v>97</v>
      </c>
      <c r="D119" s="22" t="str">
        <f>IF($C119="","",IFERROR(VLOOKUP($C119,Map_Register!$A$2:$C$5,3,FALSE()),""))</f>
        <v>Toponym Labels</v>
      </c>
      <c r="E119" s="21" t="s">
        <v>15</v>
      </c>
      <c r="F119" s="23">
        <v>112981</v>
      </c>
      <c r="G119" s="20" t="s">
        <v>719</v>
      </c>
      <c r="H119" s="20" t="s">
        <v>825</v>
      </c>
      <c r="I119" t="s">
        <v>697</v>
      </c>
      <c r="J119" s="20" t="s">
        <v>8</v>
      </c>
      <c r="K119" t="s">
        <v>107</v>
      </c>
      <c r="L119" t="s">
        <v>108</v>
      </c>
      <c r="M119" s="20" t="s">
        <v>723</v>
      </c>
      <c r="N119" s="20" t="s">
        <v>108</v>
      </c>
      <c r="Q119" s="24" t="s">
        <v>680</v>
      </c>
    </row>
    <row r="120" spans="1:17" hidden="1" x14ac:dyDescent="0.3">
      <c r="A120" s="20">
        <f t="shared" si="1"/>
        <v>119</v>
      </c>
      <c r="B120" s="21" t="s">
        <v>87</v>
      </c>
      <c r="C120" s="21" t="s">
        <v>97</v>
      </c>
      <c r="D120" s="22" t="str">
        <f>IF($C120="","",IFERROR(VLOOKUP($C120,Map_Register!$A$2:$C$5,3,FALSE()),""))</f>
        <v>Toponym Labels</v>
      </c>
      <c r="E120" s="21" t="s">
        <v>15</v>
      </c>
      <c r="F120" s="23">
        <v>112982</v>
      </c>
      <c r="G120" s="20" t="s">
        <v>719</v>
      </c>
      <c r="H120" s="20" t="s">
        <v>826</v>
      </c>
      <c r="I120" t="s">
        <v>697</v>
      </c>
      <c r="J120" s="20" t="s">
        <v>6</v>
      </c>
      <c r="K120" s="20" t="s">
        <v>137</v>
      </c>
      <c r="L120" s="20" t="s">
        <v>137</v>
      </c>
      <c r="M120" s="20" t="s">
        <v>721</v>
      </c>
      <c r="Q120" s="24" t="s">
        <v>680</v>
      </c>
    </row>
    <row r="121" spans="1:17" hidden="1" x14ac:dyDescent="0.3">
      <c r="A121" s="20">
        <f t="shared" si="1"/>
        <v>120</v>
      </c>
      <c r="B121" s="21" t="s">
        <v>87</v>
      </c>
      <c r="C121" s="21" t="s">
        <v>97</v>
      </c>
      <c r="D121" s="22" t="str">
        <f>IF($C121="","",IFERROR(VLOOKUP($C121,Map_Register!$A$2:$C$5,3,FALSE()),""))</f>
        <v>Toponym Labels</v>
      </c>
      <c r="E121" s="21" t="s">
        <v>15</v>
      </c>
      <c r="F121" s="23">
        <v>112983</v>
      </c>
      <c r="G121" s="20" t="s">
        <v>719</v>
      </c>
      <c r="H121" s="20" t="s">
        <v>827</v>
      </c>
      <c r="I121" t="s">
        <v>697</v>
      </c>
      <c r="J121" s="20" t="s">
        <v>6</v>
      </c>
      <c r="K121" s="20" t="s">
        <v>137</v>
      </c>
      <c r="L121" s="20" t="s">
        <v>137</v>
      </c>
      <c r="M121" s="20" t="s">
        <v>721</v>
      </c>
      <c r="Q121" s="24" t="s">
        <v>680</v>
      </c>
    </row>
    <row r="122" spans="1:17" hidden="1" x14ac:dyDescent="0.3">
      <c r="A122" s="20">
        <f t="shared" si="1"/>
        <v>121</v>
      </c>
      <c r="B122" s="21" t="s">
        <v>87</v>
      </c>
      <c r="C122" s="21" t="s">
        <v>97</v>
      </c>
      <c r="D122" s="22" t="str">
        <f>IF($C122="","",IFERROR(VLOOKUP($C122,Map_Register!$A$2:$C$5,3,FALSE()),""))</f>
        <v>Toponym Labels</v>
      </c>
      <c r="E122" s="21" t="s">
        <v>15</v>
      </c>
      <c r="F122" s="23">
        <v>113407</v>
      </c>
      <c r="G122" s="20" t="s">
        <v>719</v>
      </c>
      <c r="H122" s="20" t="s">
        <v>828</v>
      </c>
      <c r="I122" t="s">
        <v>697</v>
      </c>
      <c r="J122" s="20" t="s">
        <v>6</v>
      </c>
      <c r="K122" s="20" t="s">
        <v>137</v>
      </c>
      <c r="L122" s="20" t="s">
        <v>137</v>
      </c>
      <c r="M122" s="20" t="s">
        <v>721</v>
      </c>
      <c r="Q122" s="24" t="s">
        <v>680</v>
      </c>
    </row>
    <row r="123" spans="1:17" x14ac:dyDescent="0.3">
      <c r="A123" s="20">
        <f t="shared" si="1"/>
        <v>122</v>
      </c>
      <c r="B123" s="21" t="s">
        <v>87</v>
      </c>
      <c r="C123" s="21" t="s">
        <v>97</v>
      </c>
      <c r="D123" s="22" t="str">
        <f>IF($C123="","",IFERROR(VLOOKUP($C123,Map_Register!$A$2:$C$5,3,FALSE()),""))</f>
        <v>Toponym Labels</v>
      </c>
      <c r="E123" s="21" t="s">
        <v>15</v>
      </c>
      <c r="F123" s="23">
        <v>113408</v>
      </c>
      <c r="G123" s="20" t="s">
        <v>719</v>
      </c>
      <c r="H123" s="20" t="s">
        <v>829</v>
      </c>
      <c r="I123" t="s">
        <v>697</v>
      </c>
      <c r="J123" s="20" t="s">
        <v>8</v>
      </c>
      <c r="K123" t="s">
        <v>107</v>
      </c>
      <c r="L123" t="s">
        <v>108</v>
      </c>
      <c r="M123" s="20" t="s">
        <v>723</v>
      </c>
      <c r="N123" s="20" t="s">
        <v>108</v>
      </c>
      <c r="Q123" s="24" t="s">
        <v>680</v>
      </c>
    </row>
    <row r="124" spans="1:17" hidden="1" x14ac:dyDescent="0.3">
      <c r="A124" s="20">
        <f t="shared" si="1"/>
        <v>123</v>
      </c>
      <c r="B124" s="21" t="s">
        <v>87</v>
      </c>
      <c r="C124" s="21" t="s">
        <v>97</v>
      </c>
      <c r="D124" s="22" t="str">
        <f>IF($C124="","",IFERROR(VLOOKUP($C124,Map_Register!$A$2:$C$5,3,FALSE()),""))</f>
        <v>Toponym Labels</v>
      </c>
      <c r="E124" s="21" t="s">
        <v>15</v>
      </c>
      <c r="F124" s="23">
        <v>113409</v>
      </c>
      <c r="G124" s="20" t="s">
        <v>719</v>
      </c>
      <c r="H124" s="20" t="s">
        <v>830</v>
      </c>
      <c r="I124" t="s">
        <v>697</v>
      </c>
      <c r="J124" s="20" t="s">
        <v>6</v>
      </c>
      <c r="K124" s="20" t="s">
        <v>137</v>
      </c>
      <c r="L124" s="20" t="s">
        <v>137</v>
      </c>
      <c r="M124" s="20" t="s">
        <v>721</v>
      </c>
      <c r="Q124" s="24" t="s">
        <v>680</v>
      </c>
    </row>
    <row r="125" spans="1:17" hidden="1" x14ac:dyDescent="0.3">
      <c r="A125" s="20">
        <f t="shared" si="1"/>
        <v>124</v>
      </c>
      <c r="B125" s="21" t="s">
        <v>87</v>
      </c>
      <c r="C125" s="21" t="s">
        <v>97</v>
      </c>
      <c r="D125" s="22" t="str">
        <f>IF($C125="","",IFERROR(VLOOKUP($C125,Map_Register!$A$2:$C$5,3,FALSE()),""))</f>
        <v>Toponym Labels</v>
      </c>
      <c r="E125" s="21" t="s">
        <v>15</v>
      </c>
      <c r="F125" s="23">
        <v>113410</v>
      </c>
      <c r="G125" s="20" t="s">
        <v>719</v>
      </c>
      <c r="H125" s="20" t="s">
        <v>831</v>
      </c>
      <c r="I125" t="s">
        <v>697</v>
      </c>
      <c r="J125" s="20" t="s">
        <v>6</v>
      </c>
      <c r="K125" s="20" t="s">
        <v>137</v>
      </c>
      <c r="L125" s="20" t="s">
        <v>137</v>
      </c>
      <c r="M125" s="20" t="s">
        <v>721</v>
      </c>
      <c r="Q125" s="24" t="s">
        <v>680</v>
      </c>
    </row>
    <row r="126" spans="1:17" hidden="1" x14ac:dyDescent="0.3">
      <c r="A126" s="20">
        <f t="shared" si="1"/>
        <v>125</v>
      </c>
      <c r="B126" s="21" t="s">
        <v>87</v>
      </c>
      <c r="C126" s="21" t="s">
        <v>97</v>
      </c>
      <c r="D126" s="22" t="str">
        <f>IF($C126="","",IFERROR(VLOOKUP($C126,Map_Register!$A$2:$C$5,3,FALSE()),""))</f>
        <v>Toponym Labels</v>
      </c>
      <c r="E126" s="21" t="s">
        <v>15</v>
      </c>
      <c r="F126" s="23">
        <v>113411</v>
      </c>
      <c r="G126" s="20" t="s">
        <v>719</v>
      </c>
      <c r="H126" s="20" t="s">
        <v>832</v>
      </c>
      <c r="I126" t="s">
        <v>697</v>
      </c>
      <c r="J126" s="20" t="s">
        <v>8</v>
      </c>
      <c r="K126" t="s">
        <v>107</v>
      </c>
      <c r="L126" t="s">
        <v>107</v>
      </c>
      <c r="M126" s="20" t="s">
        <v>833</v>
      </c>
      <c r="N126" s="20" t="s">
        <v>108</v>
      </c>
      <c r="Q126" s="24" t="s">
        <v>680</v>
      </c>
    </row>
    <row r="127" spans="1:17" hidden="1" x14ac:dyDescent="0.3">
      <c r="A127" s="20">
        <f t="shared" si="1"/>
        <v>126</v>
      </c>
      <c r="B127" s="21" t="s">
        <v>87</v>
      </c>
      <c r="C127" s="21" t="s">
        <v>97</v>
      </c>
      <c r="D127" s="22" t="str">
        <f>IF($C127="","",IFERROR(VLOOKUP($C127,Map_Register!$A$2:$C$5,3,FALSE()),""))</f>
        <v>Toponym Labels</v>
      </c>
      <c r="E127" s="21" t="s">
        <v>15</v>
      </c>
      <c r="F127" s="23">
        <v>113412</v>
      </c>
      <c r="G127" s="20" t="s">
        <v>719</v>
      </c>
      <c r="H127" s="20" t="s">
        <v>834</v>
      </c>
      <c r="I127" t="s">
        <v>697</v>
      </c>
      <c r="J127" s="20" t="s">
        <v>6</v>
      </c>
      <c r="K127" s="20" t="s">
        <v>137</v>
      </c>
      <c r="L127" s="20" t="s">
        <v>137</v>
      </c>
      <c r="M127" s="20" t="s">
        <v>721</v>
      </c>
      <c r="Q127" s="24" t="s">
        <v>680</v>
      </c>
    </row>
    <row r="128" spans="1:17" hidden="1" x14ac:dyDescent="0.3">
      <c r="A128" s="20">
        <f t="shared" si="1"/>
        <v>127</v>
      </c>
      <c r="B128" s="21" t="s">
        <v>87</v>
      </c>
      <c r="C128" s="21" t="s">
        <v>97</v>
      </c>
      <c r="D128" s="22" t="str">
        <f>IF($C128="","",IFERROR(VLOOKUP($C128,Map_Register!$A$2:$C$5,3,FALSE()),""))</f>
        <v>Toponym Labels</v>
      </c>
      <c r="E128" s="21" t="s">
        <v>15</v>
      </c>
      <c r="F128" s="23">
        <v>113431</v>
      </c>
      <c r="G128" s="20" t="s">
        <v>719</v>
      </c>
      <c r="H128" s="20" t="s">
        <v>835</v>
      </c>
      <c r="I128" t="s">
        <v>697</v>
      </c>
      <c r="J128" s="20" t="s">
        <v>6</v>
      </c>
      <c r="K128" s="20" t="s">
        <v>137</v>
      </c>
      <c r="L128" s="20" t="s">
        <v>137</v>
      </c>
      <c r="M128" s="20" t="s">
        <v>721</v>
      </c>
      <c r="Q128" s="24" t="s">
        <v>680</v>
      </c>
    </row>
    <row r="129" spans="1:17" hidden="1" x14ac:dyDescent="0.3">
      <c r="A129" s="20">
        <f t="shared" si="1"/>
        <v>128</v>
      </c>
      <c r="B129" s="21" t="s">
        <v>87</v>
      </c>
      <c r="C129" s="21" t="s">
        <v>97</v>
      </c>
      <c r="D129" s="22" t="str">
        <f>IF($C129="","",IFERROR(VLOOKUP($C129,Map_Register!$A$2:$C$5,3,FALSE()),""))</f>
        <v>Toponym Labels</v>
      </c>
      <c r="E129" s="21" t="s">
        <v>15</v>
      </c>
      <c r="F129" s="23">
        <v>113434</v>
      </c>
      <c r="G129" s="20" t="s">
        <v>719</v>
      </c>
      <c r="H129" s="20" t="s">
        <v>836</v>
      </c>
      <c r="I129" t="s">
        <v>697</v>
      </c>
      <c r="J129" s="20" t="s">
        <v>6</v>
      </c>
      <c r="K129" s="20" t="s">
        <v>137</v>
      </c>
      <c r="L129" s="20" t="s">
        <v>137</v>
      </c>
      <c r="M129" s="20" t="s">
        <v>721</v>
      </c>
      <c r="Q129" s="24" t="s">
        <v>680</v>
      </c>
    </row>
    <row r="130" spans="1:17" x14ac:dyDescent="0.3">
      <c r="A130" s="20">
        <f t="shared" ref="A130:A193" si="2">IF($B130="","",ROW()-1)</f>
        <v>129</v>
      </c>
      <c r="B130" s="21" t="s">
        <v>87</v>
      </c>
      <c r="C130" s="21" t="s">
        <v>97</v>
      </c>
      <c r="D130" s="22" t="str">
        <f>IF($C130="","",IFERROR(VLOOKUP($C130,Map_Register!$A$2:$C$5,3,FALSE()),""))</f>
        <v>Toponym Labels</v>
      </c>
      <c r="E130" s="21" t="s">
        <v>15</v>
      </c>
      <c r="F130" s="23">
        <v>113435</v>
      </c>
      <c r="G130" s="20" t="s">
        <v>719</v>
      </c>
      <c r="H130" s="20" t="s">
        <v>837</v>
      </c>
      <c r="I130" t="s">
        <v>697</v>
      </c>
      <c r="J130" s="20" t="s">
        <v>8</v>
      </c>
      <c r="K130" t="s">
        <v>107</v>
      </c>
      <c r="L130" t="s">
        <v>108</v>
      </c>
      <c r="M130" s="20" t="s">
        <v>723</v>
      </c>
      <c r="N130" s="20" t="s">
        <v>108</v>
      </c>
      <c r="Q130" s="24" t="s">
        <v>680</v>
      </c>
    </row>
    <row r="131" spans="1:17" hidden="1" x14ac:dyDescent="0.3">
      <c r="A131" s="20">
        <f t="shared" si="2"/>
        <v>130</v>
      </c>
      <c r="B131" s="21" t="s">
        <v>87</v>
      </c>
      <c r="C131" s="21" t="s">
        <v>97</v>
      </c>
      <c r="D131" s="22" t="str">
        <f>IF($C131="","",IFERROR(VLOOKUP($C131,Map_Register!$A$2:$C$5,3,FALSE()),""))</f>
        <v>Toponym Labels</v>
      </c>
      <c r="E131" s="21" t="s">
        <v>15</v>
      </c>
      <c r="F131" s="23">
        <v>113436</v>
      </c>
      <c r="G131" s="20" t="s">
        <v>719</v>
      </c>
      <c r="H131" s="20" t="s">
        <v>838</v>
      </c>
      <c r="I131" t="s">
        <v>697</v>
      </c>
      <c r="J131" s="20" t="s">
        <v>6</v>
      </c>
      <c r="K131" s="20" t="s">
        <v>137</v>
      </c>
      <c r="L131" s="20" t="s">
        <v>137</v>
      </c>
      <c r="M131" s="20" t="s">
        <v>721</v>
      </c>
      <c r="Q131" s="24" t="s">
        <v>680</v>
      </c>
    </row>
    <row r="132" spans="1:17" hidden="1" x14ac:dyDescent="0.3">
      <c r="A132" s="20">
        <f t="shared" si="2"/>
        <v>131</v>
      </c>
      <c r="B132" s="21" t="s">
        <v>87</v>
      </c>
      <c r="C132" s="21" t="s">
        <v>97</v>
      </c>
      <c r="D132" s="22" t="str">
        <f>IF($C132="","",IFERROR(VLOOKUP($C132,Map_Register!$A$2:$C$5,3,FALSE()),""))</f>
        <v>Toponym Labels</v>
      </c>
      <c r="E132" s="21" t="s">
        <v>15</v>
      </c>
      <c r="F132" s="23">
        <v>113437</v>
      </c>
      <c r="G132" s="20" t="s">
        <v>719</v>
      </c>
      <c r="H132" s="20" t="s">
        <v>839</v>
      </c>
      <c r="I132" t="s">
        <v>697</v>
      </c>
      <c r="J132" s="20" t="s">
        <v>6</v>
      </c>
      <c r="K132" s="20" t="s">
        <v>137</v>
      </c>
      <c r="L132" s="20" t="s">
        <v>137</v>
      </c>
      <c r="M132" s="20" t="s">
        <v>721</v>
      </c>
      <c r="Q132" s="24" t="s">
        <v>680</v>
      </c>
    </row>
    <row r="133" spans="1:17" hidden="1" x14ac:dyDescent="0.3">
      <c r="A133" s="20">
        <f t="shared" si="2"/>
        <v>132</v>
      </c>
      <c r="B133" s="21" t="s">
        <v>87</v>
      </c>
      <c r="C133" s="21" t="s">
        <v>97</v>
      </c>
      <c r="D133" s="22" t="str">
        <f>IF($C133="","",IFERROR(VLOOKUP($C133,Map_Register!$A$2:$C$5,3,FALSE()),""))</f>
        <v>Toponym Labels</v>
      </c>
      <c r="E133" s="21" t="s">
        <v>15</v>
      </c>
      <c r="F133" s="23">
        <v>113438</v>
      </c>
      <c r="G133" s="20" t="s">
        <v>719</v>
      </c>
      <c r="H133" s="20" t="s">
        <v>840</v>
      </c>
      <c r="I133" t="s">
        <v>697</v>
      </c>
      <c r="J133" s="20" t="s">
        <v>6</v>
      </c>
      <c r="K133" s="20" t="s">
        <v>137</v>
      </c>
      <c r="L133" s="20" t="s">
        <v>137</v>
      </c>
      <c r="M133" s="20" t="s">
        <v>721</v>
      </c>
      <c r="Q133" s="24" t="s">
        <v>680</v>
      </c>
    </row>
    <row r="134" spans="1:17" hidden="1" x14ac:dyDescent="0.3">
      <c r="A134" s="20">
        <f t="shared" si="2"/>
        <v>133</v>
      </c>
      <c r="B134" s="21" t="s">
        <v>87</v>
      </c>
      <c r="C134" s="21" t="s">
        <v>97</v>
      </c>
      <c r="D134" s="22" t="str">
        <f>IF($C134="","",IFERROR(VLOOKUP($C134,Map_Register!$A$2:$C$5,3,FALSE()),""))</f>
        <v>Toponym Labels</v>
      </c>
      <c r="E134" s="21" t="s">
        <v>15</v>
      </c>
      <c r="F134" s="23">
        <v>113822</v>
      </c>
      <c r="G134" s="20" t="s">
        <v>719</v>
      </c>
      <c r="H134" s="20" t="s">
        <v>841</v>
      </c>
      <c r="I134" t="s">
        <v>697</v>
      </c>
      <c r="J134" s="20" t="s">
        <v>6</v>
      </c>
      <c r="K134" s="20" t="s">
        <v>137</v>
      </c>
      <c r="L134" s="20" t="s">
        <v>137</v>
      </c>
      <c r="M134" s="20" t="s">
        <v>721</v>
      </c>
      <c r="Q134" s="24" t="s">
        <v>680</v>
      </c>
    </row>
    <row r="135" spans="1:17" hidden="1" x14ac:dyDescent="0.3">
      <c r="A135" s="20">
        <f t="shared" si="2"/>
        <v>134</v>
      </c>
      <c r="B135" s="21" t="s">
        <v>87</v>
      </c>
      <c r="C135" s="21" t="s">
        <v>97</v>
      </c>
      <c r="D135" s="22" t="str">
        <f>IF($C135="","",IFERROR(VLOOKUP($C135,Map_Register!$A$2:$C$5,3,FALSE()),""))</f>
        <v>Toponym Labels</v>
      </c>
      <c r="E135" s="21" t="s">
        <v>15</v>
      </c>
      <c r="F135" s="23">
        <v>113848</v>
      </c>
      <c r="G135" s="20" t="s">
        <v>719</v>
      </c>
      <c r="H135" s="20" t="s">
        <v>842</v>
      </c>
      <c r="I135" t="s">
        <v>697</v>
      </c>
      <c r="J135" s="20" t="s">
        <v>6</v>
      </c>
      <c r="K135" s="20" t="s">
        <v>137</v>
      </c>
      <c r="L135" s="20" t="s">
        <v>137</v>
      </c>
      <c r="M135" s="20" t="s">
        <v>721</v>
      </c>
      <c r="Q135" s="24" t="s">
        <v>680</v>
      </c>
    </row>
    <row r="136" spans="1:17" hidden="1" x14ac:dyDescent="0.3">
      <c r="A136" s="20">
        <f t="shared" si="2"/>
        <v>135</v>
      </c>
      <c r="B136" s="21" t="s">
        <v>87</v>
      </c>
      <c r="C136" s="21" t="s">
        <v>97</v>
      </c>
      <c r="D136" s="22" t="str">
        <f>IF($C136="","",IFERROR(VLOOKUP($C136,Map_Register!$A$2:$C$5,3,FALSE()),""))</f>
        <v>Toponym Labels</v>
      </c>
      <c r="E136" s="21" t="s">
        <v>15</v>
      </c>
      <c r="F136" s="23">
        <v>113849</v>
      </c>
      <c r="G136" s="20" t="s">
        <v>719</v>
      </c>
      <c r="H136" s="20" t="s">
        <v>843</v>
      </c>
      <c r="I136" t="s">
        <v>697</v>
      </c>
      <c r="J136" s="20" t="s">
        <v>6</v>
      </c>
      <c r="K136" s="20" t="s">
        <v>137</v>
      </c>
      <c r="L136" s="20" t="s">
        <v>137</v>
      </c>
      <c r="M136" s="20" t="s">
        <v>721</v>
      </c>
      <c r="Q136" s="24" t="s">
        <v>680</v>
      </c>
    </row>
    <row r="137" spans="1:17" hidden="1" x14ac:dyDescent="0.3">
      <c r="A137" s="20">
        <f t="shared" si="2"/>
        <v>136</v>
      </c>
      <c r="B137" s="21" t="s">
        <v>87</v>
      </c>
      <c r="C137" s="21" t="s">
        <v>97</v>
      </c>
      <c r="D137" s="22" t="str">
        <f>IF($C137="","",IFERROR(VLOOKUP($C137,Map_Register!$A$2:$C$5,3,FALSE()),""))</f>
        <v>Toponym Labels</v>
      </c>
      <c r="E137" s="21" t="s">
        <v>15</v>
      </c>
      <c r="F137" s="23">
        <v>113850</v>
      </c>
      <c r="G137" s="20" t="s">
        <v>719</v>
      </c>
      <c r="H137" s="20" t="s">
        <v>844</v>
      </c>
      <c r="I137" t="s">
        <v>697</v>
      </c>
      <c r="J137" s="20" t="s">
        <v>6</v>
      </c>
      <c r="K137" s="20" t="s">
        <v>137</v>
      </c>
      <c r="L137" s="20" t="s">
        <v>137</v>
      </c>
      <c r="M137" s="20" t="s">
        <v>721</v>
      </c>
      <c r="Q137" s="24" t="s">
        <v>680</v>
      </c>
    </row>
    <row r="138" spans="1:17" hidden="1" x14ac:dyDescent="0.3">
      <c r="A138" s="20">
        <f t="shared" si="2"/>
        <v>137</v>
      </c>
      <c r="B138" s="21" t="s">
        <v>87</v>
      </c>
      <c r="C138" s="21" t="s">
        <v>97</v>
      </c>
      <c r="D138" s="22" t="str">
        <f>IF($C138="","",IFERROR(VLOOKUP($C138,Map_Register!$A$2:$C$5,3,FALSE()),""))</f>
        <v>Toponym Labels</v>
      </c>
      <c r="E138" s="21" t="s">
        <v>15</v>
      </c>
      <c r="F138" s="23">
        <v>113851</v>
      </c>
      <c r="G138" s="20" t="s">
        <v>719</v>
      </c>
      <c r="H138" s="20" t="s">
        <v>845</v>
      </c>
      <c r="I138" t="s">
        <v>697</v>
      </c>
      <c r="J138" s="20" t="s">
        <v>6</v>
      </c>
      <c r="K138" s="20" t="s">
        <v>137</v>
      </c>
      <c r="L138" s="20" t="s">
        <v>137</v>
      </c>
      <c r="M138" s="20" t="s">
        <v>721</v>
      </c>
      <c r="Q138" s="24" t="s">
        <v>680</v>
      </c>
    </row>
    <row r="139" spans="1:17" hidden="1" x14ac:dyDescent="0.3">
      <c r="A139" s="20">
        <f t="shared" si="2"/>
        <v>138</v>
      </c>
      <c r="B139" s="21" t="s">
        <v>87</v>
      </c>
      <c r="C139" s="21" t="s">
        <v>97</v>
      </c>
      <c r="D139" s="22" t="str">
        <f>IF($C139="","",IFERROR(VLOOKUP($C139,Map_Register!$A$2:$C$5,3,FALSE()),""))</f>
        <v>Toponym Labels</v>
      </c>
      <c r="E139" s="21" t="s">
        <v>15</v>
      </c>
      <c r="F139" s="23">
        <v>113855</v>
      </c>
      <c r="G139" s="20" t="s">
        <v>719</v>
      </c>
      <c r="H139" s="20" t="s">
        <v>846</v>
      </c>
      <c r="I139" t="s">
        <v>697</v>
      </c>
      <c r="J139" s="20" t="s">
        <v>6</v>
      </c>
      <c r="K139" s="20" t="s">
        <v>137</v>
      </c>
      <c r="L139" s="20" t="s">
        <v>137</v>
      </c>
      <c r="M139" s="20" t="s">
        <v>721</v>
      </c>
      <c r="Q139" s="24" t="s">
        <v>680</v>
      </c>
    </row>
    <row r="140" spans="1:17" x14ac:dyDescent="0.3">
      <c r="A140" s="20">
        <f t="shared" si="2"/>
        <v>139</v>
      </c>
      <c r="B140" s="21" t="s">
        <v>87</v>
      </c>
      <c r="C140" s="21" t="s">
        <v>97</v>
      </c>
      <c r="D140" s="22" t="str">
        <f>IF($C140="","",IFERROR(VLOOKUP($C140,Map_Register!$A$2:$C$5,3,FALSE()),""))</f>
        <v>Toponym Labels</v>
      </c>
      <c r="E140" s="21" t="s">
        <v>15</v>
      </c>
      <c r="F140" s="23">
        <v>114896</v>
      </c>
      <c r="G140" s="20" t="s">
        <v>719</v>
      </c>
      <c r="H140" s="20" t="s">
        <v>847</v>
      </c>
      <c r="I140" t="s">
        <v>697</v>
      </c>
      <c r="J140" s="20" t="s">
        <v>8</v>
      </c>
      <c r="K140" t="s">
        <v>107</v>
      </c>
      <c r="L140" t="s">
        <v>108</v>
      </c>
      <c r="M140" s="20" t="s">
        <v>723</v>
      </c>
      <c r="N140" s="20" t="s">
        <v>108</v>
      </c>
      <c r="Q140" s="24" t="s">
        <v>680</v>
      </c>
    </row>
    <row r="141" spans="1:17" hidden="1" x14ac:dyDescent="0.3">
      <c r="A141" s="20">
        <f t="shared" si="2"/>
        <v>140</v>
      </c>
      <c r="B141" s="21" t="s">
        <v>87</v>
      </c>
      <c r="C141" s="21" t="s">
        <v>97</v>
      </c>
      <c r="D141" s="22" t="str">
        <f>IF($C141="","",IFERROR(VLOOKUP($C141,Map_Register!$A$2:$C$5,3,FALSE()),""))</f>
        <v>Toponym Labels</v>
      </c>
      <c r="E141" s="21" t="s">
        <v>15</v>
      </c>
      <c r="F141" s="23">
        <v>114897</v>
      </c>
      <c r="G141" s="20" t="s">
        <v>719</v>
      </c>
      <c r="H141" s="20" t="s">
        <v>848</v>
      </c>
      <c r="I141" t="s">
        <v>697</v>
      </c>
      <c r="J141" s="20" t="s">
        <v>6</v>
      </c>
      <c r="K141" s="20" t="s">
        <v>137</v>
      </c>
      <c r="L141" s="20" t="s">
        <v>137</v>
      </c>
      <c r="M141" s="20" t="s">
        <v>721</v>
      </c>
      <c r="Q141" s="24" t="s">
        <v>680</v>
      </c>
    </row>
    <row r="142" spans="1:17" hidden="1" x14ac:dyDescent="0.3">
      <c r="A142" s="20">
        <f t="shared" si="2"/>
        <v>141</v>
      </c>
      <c r="B142" s="21" t="s">
        <v>87</v>
      </c>
      <c r="C142" s="21" t="s">
        <v>97</v>
      </c>
      <c r="D142" s="22" t="str">
        <f>IF($C142="","",IFERROR(VLOOKUP($C142,Map_Register!$A$2:$C$5,3,FALSE()),""))</f>
        <v>Toponym Labels</v>
      </c>
      <c r="E142" s="21" t="s">
        <v>15</v>
      </c>
      <c r="F142" s="23">
        <v>114898</v>
      </c>
      <c r="G142" s="20" t="s">
        <v>719</v>
      </c>
      <c r="H142" s="20" t="s">
        <v>849</v>
      </c>
      <c r="I142" t="s">
        <v>697</v>
      </c>
      <c r="J142" s="20" t="s">
        <v>6</v>
      </c>
      <c r="K142" s="20" t="s">
        <v>137</v>
      </c>
      <c r="L142" s="20" t="s">
        <v>137</v>
      </c>
      <c r="M142" s="20" t="s">
        <v>721</v>
      </c>
      <c r="Q142" s="24" t="s">
        <v>680</v>
      </c>
    </row>
    <row r="143" spans="1:17" hidden="1" x14ac:dyDescent="0.3">
      <c r="A143" s="20">
        <f t="shared" si="2"/>
        <v>142</v>
      </c>
      <c r="B143" s="21" t="s">
        <v>87</v>
      </c>
      <c r="C143" s="21" t="s">
        <v>97</v>
      </c>
      <c r="D143" s="22" t="str">
        <f>IF($C143="","",IFERROR(VLOOKUP($C143,Map_Register!$A$2:$C$5,3,FALSE()),""))</f>
        <v>Toponym Labels</v>
      </c>
      <c r="E143" s="21" t="s">
        <v>15</v>
      </c>
      <c r="F143" s="23">
        <v>114899</v>
      </c>
      <c r="G143" s="20" t="s">
        <v>719</v>
      </c>
      <c r="H143" s="20" t="s">
        <v>850</v>
      </c>
      <c r="I143" t="s">
        <v>697</v>
      </c>
      <c r="J143" s="20" t="s">
        <v>6</v>
      </c>
      <c r="K143" s="20" t="s">
        <v>137</v>
      </c>
      <c r="L143" s="20" t="s">
        <v>137</v>
      </c>
      <c r="M143" s="20" t="s">
        <v>721</v>
      </c>
      <c r="Q143" s="24" t="s">
        <v>680</v>
      </c>
    </row>
    <row r="144" spans="1:17" hidden="1" x14ac:dyDescent="0.3">
      <c r="A144" s="20">
        <f t="shared" si="2"/>
        <v>143</v>
      </c>
      <c r="B144" s="21" t="s">
        <v>87</v>
      </c>
      <c r="C144" s="21" t="s">
        <v>97</v>
      </c>
      <c r="D144" s="22" t="str">
        <f>IF($C144="","",IFERROR(VLOOKUP($C144,Map_Register!$A$2:$C$5,3,FALSE()),""))</f>
        <v>Toponym Labels</v>
      </c>
      <c r="E144" s="21" t="s">
        <v>15</v>
      </c>
      <c r="F144" s="23">
        <v>114900</v>
      </c>
      <c r="G144" s="20" t="s">
        <v>719</v>
      </c>
      <c r="H144" s="20" t="s">
        <v>851</v>
      </c>
      <c r="I144" t="s">
        <v>697</v>
      </c>
      <c r="J144" s="20" t="s">
        <v>6</v>
      </c>
      <c r="K144" s="20" t="s">
        <v>137</v>
      </c>
      <c r="L144" s="20" t="s">
        <v>137</v>
      </c>
      <c r="M144" s="20" t="s">
        <v>721</v>
      </c>
      <c r="Q144" s="24" t="s">
        <v>680</v>
      </c>
    </row>
    <row r="145" spans="1:17" x14ac:dyDescent="0.3">
      <c r="A145" s="20">
        <f t="shared" si="2"/>
        <v>144</v>
      </c>
      <c r="B145" s="21" t="s">
        <v>87</v>
      </c>
      <c r="C145" s="21" t="s">
        <v>97</v>
      </c>
      <c r="D145" s="22" t="str">
        <f>IF($C145="","",IFERROR(VLOOKUP($C145,Map_Register!$A$2:$C$5,3,FALSE()),""))</f>
        <v>Toponym Labels</v>
      </c>
      <c r="E145" s="21" t="s">
        <v>15</v>
      </c>
      <c r="F145" s="23">
        <v>114901</v>
      </c>
      <c r="G145" s="20" t="s">
        <v>719</v>
      </c>
      <c r="H145" s="20" t="s">
        <v>852</v>
      </c>
      <c r="I145" t="s">
        <v>697</v>
      </c>
      <c r="J145" s="20" t="s">
        <v>8</v>
      </c>
      <c r="K145" t="s">
        <v>107</v>
      </c>
      <c r="L145" t="s">
        <v>108</v>
      </c>
      <c r="M145" s="20" t="s">
        <v>723</v>
      </c>
      <c r="N145" s="20" t="s">
        <v>108</v>
      </c>
      <c r="Q145" s="24" t="s">
        <v>680</v>
      </c>
    </row>
    <row r="146" spans="1:17" hidden="1" x14ac:dyDescent="0.3">
      <c r="A146" s="20">
        <f t="shared" si="2"/>
        <v>145</v>
      </c>
      <c r="B146" s="21" t="s">
        <v>87</v>
      </c>
      <c r="C146" s="21" t="s">
        <v>97</v>
      </c>
      <c r="D146" s="22" t="str">
        <f>IF($C146="","",IFERROR(VLOOKUP($C146,Map_Register!$A$2:$C$5,3,FALSE()),""))</f>
        <v>Toponym Labels</v>
      </c>
      <c r="E146" s="21" t="s">
        <v>15</v>
      </c>
      <c r="F146" s="23">
        <v>114902</v>
      </c>
      <c r="G146" s="20" t="s">
        <v>719</v>
      </c>
      <c r="H146" s="20" t="s">
        <v>770</v>
      </c>
      <c r="I146" t="s">
        <v>697</v>
      </c>
      <c r="J146" s="20" t="s">
        <v>6</v>
      </c>
      <c r="K146" s="20" t="s">
        <v>137</v>
      </c>
      <c r="L146" s="20" t="s">
        <v>137</v>
      </c>
      <c r="M146" s="20" t="s">
        <v>721</v>
      </c>
      <c r="Q146" s="24" t="s">
        <v>680</v>
      </c>
    </row>
    <row r="147" spans="1:17" hidden="1" x14ac:dyDescent="0.3">
      <c r="A147" s="20">
        <f t="shared" si="2"/>
        <v>146</v>
      </c>
      <c r="B147" s="21" t="s">
        <v>87</v>
      </c>
      <c r="C147" s="21" t="s">
        <v>97</v>
      </c>
      <c r="D147" s="22" t="str">
        <f>IF($C147="","",IFERROR(VLOOKUP($C147,Map_Register!$A$2:$C$5,3,FALSE()),""))</f>
        <v>Toponym Labels</v>
      </c>
      <c r="E147" s="21" t="s">
        <v>15</v>
      </c>
      <c r="F147" s="23">
        <v>115006</v>
      </c>
      <c r="G147" s="20" t="s">
        <v>719</v>
      </c>
      <c r="H147" s="20" t="s">
        <v>853</v>
      </c>
      <c r="I147" t="s">
        <v>697</v>
      </c>
      <c r="J147" s="20" t="s">
        <v>6</v>
      </c>
      <c r="K147" s="20" t="s">
        <v>137</v>
      </c>
      <c r="L147" s="20" t="s">
        <v>137</v>
      </c>
      <c r="M147" s="20" t="s">
        <v>721</v>
      </c>
      <c r="Q147" s="24" t="s">
        <v>680</v>
      </c>
    </row>
    <row r="148" spans="1:17" hidden="1" x14ac:dyDescent="0.3">
      <c r="A148" s="20">
        <f t="shared" si="2"/>
        <v>147</v>
      </c>
      <c r="B148" s="21" t="s">
        <v>87</v>
      </c>
      <c r="C148" s="21" t="s">
        <v>97</v>
      </c>
      <c r="D148" s="22" t="str">
        <f>IF($C148="","",IFERROR(VLOOKUP($C148,Map_Register!$A$2:$C$5,3,FALSE()),""))</f>
        <v>Toponym Labels</v>
      </c>
      <c r="E148" s="21" t="s">
        <v>15</v>
      </c>
      <c r="F148" s="23">
        <v>115007</v>
      </c>
      <c r="G148" s="20" t="s">
        <v>719</v>
      </c>
      <c r="H148" s="20" t="s">
        <v>854</v>
      </c>
      <c r="I148" t="s">
        <v>697</v>
      </c>
      <c r="J148" s="20" t="s">
        <v>6</v>
      </c>
      <c r="K148" s="20" t="s">
        <v>137</v>
      </c>
      <c r="L148" s="20" t="s">
        <v>137</v>
      </c>
      <c r="M148" s="20" t="s">
        <v>721</v>
      </c>
      <c r="Q148" s="24" t="s">
        <v>680</v>
      </c>
    </row>
    <row r="149" spans="1:17" x14ac:dyDescent="0.3">
      <c r="A149" s="20">
        <f t="shared" si="2"/>
        <v>148</v>
      </c>
      <c r="B149" s="21" t="s">
        <v>87</v>
      </c>
      <c r="C149" s="21" t="s">
        <v>97</v>
      </c>
      <c r="D149" s="22" t="str">
        <f>IF($C149="","",IFERROR(VLOOKUP($C149,Map_Register!$A$2:$C$5,3,FALSE()),""))</f>
        <v>Toponym Labels</v>
      </c>
      <c r="E149" s="21" t="s">
        <v>15</v>
      </c>
      <c r="F149" s="23">
        <v>115008</v>
      </c>
      <c r="G149" s="20" t="s">
        <v>719</v>
      </c>
      <c r="H149" s="20" t="s">
        <v>855</v>
      </c>
      <c r="I149" t="s">
        <v>697</v>
      </c>
      <c r="J149" s="20" t="s">
        <v>8</v>
      </c>
      <c r="K149" t="s">
        <v>107</v>
      </c>
      <c r="L149" t="s">
        <v>108</v>
      </c>
      <c r="M149" s="20" t="s">
        <v>723</v>
      </c>
      <c r="N149" s="20" t="s">
        <v>108</v>
      </c>
      <c r="Q149" s="24" t="s">
        <v>680</v>
      </c>
    </row>
    <row r="150" spans="1:17" hidden="1" x14ac:dyDescent="0.3">
      <c r="A150" s="20">
        <f t="shared" si="2"/>
        <v>149</v>
      </c>
      <c r="B150" s="21" t="s">
        <v>87</v>
      </c>
      <c r="C150" s="21" t="s">
        <v>97</v>
      </c>
      <c r="D150" s="22" t="str">
        <f>IF($C150="","",IFERROR(VLOOKUP($C150,Map_Register!$A$2:$C$5,3,FALSE()),""))</f>
        <v>Toponym Labels</v>
      </c>
      <c r="E150" s="21" t="s">
        <v>15</v>
      </c>
      <c r="F150" s="23">
        <v>115009</v>
      </c>
      <c r="G150" s="20" t="s">
        <v>719</v>
      </c>
      <c r="H150" s="20" t="s">
        <v>856</v>
      </c>
      <c r="I150" t="s">
        <v>697</v>
      </c>
      <c r="J150" s="20" t="s">
        <v>6</v>
      </c>
      <c r="K150" s="20" t="s">
        <v>137</v>
      </c>
      <c r="L150" s="20" t="s">
        <v>137</v>
      </c>
      <c r="M150" s="20" t="s">
        <v>721</v>
      </c>
      <c r="Q150" s="24" t="s">
        <v>680</v>
      </c>
    </row>
    <row r="151" spans="1:17" hidden="1" x14ac:dyDescent="0.3">
      <c r="A151" s="20">
        <f t="shared" si="2"/>
        <v>150</v>
      </c>
      <c r="B151" s="21" t="s">
        <v>87</v>
      </c>
      <c r="C151" s="21" t="s">
        <v>97</v>
      </c>
      <c r="D151" s="22" t="str">
        <f>IF($C151="","",IFERROR(VLOOKUP($C151,Map_Register!$A$2:$C$5,3,FALSE()),""))</f>
        <v>Toponym Labels</v>
      </c>
      <c r="E151" s="21" t="s">
        <v>15</v>
      </c>
      <c r="F151" s="23">
        <v>115010</v>
      </c>
      <c r="G151" s="20" t="s">
        <v>719</v>
      </c>
      <c r="H151" s="20" t="s">
        <v>857</v>
      </c>
      <c r="I151" t="s">
        <v>697</v>
      </c>
      <c r="J151" s="20" t="s">
        <v>8</v>
      </c>
      <c r="K151" t="s">
        <v>107</v>
      </c>
      <c r="L151" t="s">
        <v>107</v>
      </c>
      <c r="M151" s="20" t="s">
        <v>683</v>
      </c>
      <c r="N151" s="20" t="s">
        <v>108</v>
      </c>
      <c r="Q151" s="24" t="s">
        <v>680</v>
      </c>
    </row>
    <row r="152" spans="1:17" hidden="1" x14ac:dyDescent="0.3">
      <c r="A152" s="20">
        <f t="shared" si="2"/>
        <v>151</v>
      </c>
      <c r="B152" s="21" t="s">
        <v>87</v>
      </c>
      <c r="C152" s="21" t="s">
        <v>97</v>
      </c>
      <c r="D152" s="22" t="str">
        <f>IF($C152="","",IFERROR(VLOOKUP($C152,Map_Register!$A$2:$C$5,3,FALSE()),""))</f>
        <v>Toponym Labels</v>
      </c>
      <c r="E152" s="21" t="s">
        <v>15</v>
      </c>
      <c r="F152" s="23">
        <v>115238</v>
      </c>
      <c r="G152" s="20" t="s">
        <v>719</v>
      </c>
      <c r="H152" s="20" t="s">
        <v>858</v>
      </c>
      <c r="I152" t="s">
        <v>697</v>
      </c>
      <c r="J152" s="20" t="s">
        <v>8</v>
      </c>
      <c r="K152" t="s">
        <v>107</v>
      </c>
      <c r="L152" t="s">
        <v>107</v>
      </c>
      <c r="M152" s="20" t="s">
        <v>683</v>
      </c>
      <c r="N152" s="20" t="s">
        <v>108</v>
      </c>
      <c r="Q152" s="24" t="s">
        <v>680</v>
      </c>
    </row>
    <row r="153" spans="1:17" hidden="1" x14ac:dyDescent="0.3">
      <c r="A153" s="20">
        <f t="shared" si="2"/>
        <v>152</v>
      </c>
      <c r="B153" s="21" t="s">
        <v>87</v>
      </c>
      <c r="C153" s="21" t="s">
        <v>97</v>
      </c>
      <c r="D153" s="22" t="str">
        <f>IF($C153="","",IFERROR(VLOOKUP($C153,Map_Register!$A$2:$C$5,3,FALSE()),""))</f>
        <v>Toponym Labels</v>
      </c>
      <c r="E153" s="21" t="s">
        <v>15</v>
      </c>
      <c r="F153" s="23">
        <v>115239</v>
      </c>
      <c r="G153" s="20" t="s">
        <v>719</v>
      </c>
      <c r="H153" s="20" t="s">
        <v>859</v>
      </c>
      <c r="I153" s="20" t="s">
        <v>678</v>
      </c>
      <c r="J153" s="20" t="s">
        <v>6</v>
      </c>
      <c r="K153" s="20" t="s">
        <v>137</v>
      </c>
      <c r="L153" s="20" t="s">
        <v>137</v>
      </c>
      <c r="M153" s="20" t="s">
        <v>721</v>
      </c>
      <c r="Q153" s="24" t="s">
        <v>680</v>
      </c>
    </row>
    <row r="154" spans="1:17" x14ac:dyDescent="0.3">
      <c r="A154" s="20">
        <f t="shared" si="2"/>
        <v>153</v>
      </c>
      <c r="B154" s="21" t="s">
        <v>87</v>
      </c>
      <c r="C154" s="21" t="s">
        <v>97</v>
      </c>
      <c r="D154" s="22" t="str">
        <f>IF($C154="","",IFERROR(VLOOKUP($C154,Map_Register!$A$2:$C$5,3,FALSE()),""))</f>
        <v>Toponym Labels</v>
      </c>
      <c r="E154" s="21" t="s">
        <v>15</v>
      </c>
      <c r="F154" s="23">
        <v>115240</v>
      </c>
      <c r="G154" s="20" t="s">
        <v>719</v>
      </c>
      <c r="H154" s="20" t="s">
        <v>860</v>
      </c>
      <c r="I154" t="s">
        <v>697</v>
      </c>
      <c r="J154" s="20" t="s">
        <v>8</v>
      </c>
      <c r="K154" t="s">
        <v>107</v>
      </c>
      <c r="L154" t="s">
        <v>108</v>
      </c>
      <c r="M154" s="20" t="s">
        <v>723</v>
      </c>
      <c r="N154" s="20" t="s">
        <v>108</v>
      </c>
      <c r="Q154" s="24" t="s">
        <v>680</v>
      </c>
    </row>
    <row r="155" spans="1:17" hidden="1" x14ac:dyDescent="0.3">
      <c r="A155" s="20">
        <f t="shared" si="2"/>
        <v>154</v>
      </c>
      <c r="B155" s="21" t="s">
        <v>87</v>
      </c>
      <c r="C155" s="21" t="s">
        <v>97</v>
      </c>
      <c r="D155" s="22" t="str">
        <f>IF($C155="","",IFERROR(VLOOKUP($C155,Map_Register!$A$2:$C$5,3,FALSE()),""))</f>
        <v>Toponym Labels</v>
      </c>
      <c r="E155" s="21" t="s">
        <v>15</v>
      </c>
      <c r="F155" s="23">
        <v>115241</v>
      </c>
      <c r="G155" s="20" t="s">
        <v>719</v>
      </c>
      <c r="H155" s="20" t="s">
        <v>861</v>
      </c>
      <c r="I155" t="s">
        <v>697</v>
      </c>
      <c r="J155" s="20" t="s">
        <v>6</v>
      </c>
      <c r="K155" s="20" t="s">
        <v>137</v>
      </c>
      <c r="L155" s="20" t="s">
        <v>137</v>
      </c>
      <c r="M155" s="20" t="s">
        <v>721</v>
      </c>
      <c r="Q155" s="24" t="s">
        <v>680</v>
      </c>
    </row>
    <row r="156" spans="1:17" hidden="1" x14ac:dyDescent="0.3">
      <c r="A156" s="20">
        <f t="shared" si="2"/>
        <v>155</v>
      </c>
      <c r="B156" s="21" t="s">
        <v>87</v>
      </c>
      <c r="C156" s="21" t="s">
        <v>97</v>
      </c>
      <c r="D156" s="22" t="str">
        <f>IF($C156="","",IFERROR(VLOOKUP($C156,Map_Register!$A$2:$C$5,3,FALSE()),""))</f>
        <v>Toponym Labels</v>
      </c>
      <c r="E156" s="21" t="s">
        <v>15</v>
      </c>
      <c r="F156" s="23">
        <v>115242</v>
      </c>
      <c r="G156" s="20" t="s">
        <v>719</v>
      </c>
      <c r="H156" s="20" t="s">
        <v>862</v>
      </c>
      <c r="I156" t="s">
        <v>697</v>
      </c>
      <c r="J156" s="20" t="s">
        <v>6</v>
      </c>
      <c r="K156" s="20" t="s">
        <v>137</v>
      </c>
      <c r="L156" s="20" t="s">
        <v>137</v>
      </c>
      <c r="M156" s="20" t="s">
        <v>721</v>
      </c>
      <c r="Q156" s="24" t="s">
        <v>680</v>
      </c>
    </row>
    <row r="157" spans="1:17" hidden="1" x14ac:dyDescent="0.3">
      <c r="A157" s="20">
        <f t="shared" si="2"/>
        <v>156</v>
      </c>
      <c r="B157" s="21" t="s">
        <v>87</v>
      </c>
      <c r="C157" s="21" t="s">
        <v>97</v>
      </c>
      <c r="D157" s="22" t="str">
        <f>IF($C157="","",IFERROR(VLOOKUP($C157,Map_Register!$A$2:$C$5,3,FALSE()),""))</f>
        <v>Toponym Labels</v>
      </c>
      <c r="E157" s="21" t="s">
        <v>15</v>
      </c>
      <c r="F157" s="23">
        <v>115243</v>
      </c>
      <c r="G157" s="20" t="s">
        <v>719</v>
      </c>
      <c r="H157" s="20" t="s">
        <v>863</v>
      </c>
      <c r="I157" t="s">
        <v>697</v>
      </c>
      <c r="J157" s="20" t="s">
        <v>6</v>
      </c>
      <c r="K157" s="20" t="s">
        <v>137</v>
      </c>
      <c r="L157" s="20" t="s">
        <v>137</v>
      </c>
      <c r="M157" s="20" t="s">
        <v>721</v>
      </c>
      <c r="Q157" s="24" t="s">
        <v>680</v>
      </c>
    </row>
    <row r="158" spans="1:17" x14ac:dyDescent="0.3">
      <c r="A158" s="20">
        <f t="shared" si="2"/>
        <v>157</v>
      </c>
      <c r="B158" s="21" t="s">
        <v>87</v>
      </c>
      <c r="C158" s="21" t="s">
        <v>97</v>
      </c>
      <c r="D158" s="22" t="str">
        <f>IF($C158="","",IFERROR(VLOOKUP($C158,Map_Register!$A$2:$C$5,3,FALSE()),""))</f>
        <v>Toponym Labels</v>
      </c>
      <c r="E158" s="21" t="s">
        <v>15</v>
      </c>
      <c r="F158" s="23">
        <v>115244</v>
      </c>
      <c r="G158" s="20" t="s">
        <v>719</v>
      </c>
      <c r="H158" s="20" t="s">
        <v>864</v>
      </c>
      <c r="I158" t="s">
        <v>697</v>
      </c>
      <c r="J158" s="20" t="s">
        <v>8</v>
      </c>
      <c r="K158" t="s">
        <v>107</v>
      </c>
      <c r="L158" t="s">
        <v>108</v>
      </c>
      <c r="M158" s="20" t="s">
        <v>723</v>
      </c>
      <c r="N158" s="20" t="s">
        <v>108</v>
      </c>
      <c r="Q158" s="24" t="s">
        <v>680</v>
      </c>
    </row>
    <row r="159" spans="1:17" hidden="1" x14ac:dyDescent="0.3">
      <c r="A159" s="20">
        <f t="shared" si="2"/>
        <v>158</v>
      </c>
      <c r="B159" s="21" t="s">
        <v>87</v>
      </c>
      <c r="C159" s="21" t="s">
        <v>97</v>
      </c>
      <c r="D159" s="22" t="str">
        <f>IF($C159="","",IFERROR(VLOOKUP($C159,Map_Register!$A$2:$C$5,3,FALSE()),""))</f>
        <v>Toponym Labels</v>
      </c>
      <c r="E159" s="21" t="s">
        <v>15</v>
      </c>
      <c r="F159" s="23">
        <v>115253</v>
      </c>
      <c r="G159" s="20" t="s">
        <v>719</v>
      </c>
      <c r="H159" s="20" t="s">
        <v>865</v>
      </c>
      <c r="I159" t="s">
        <v>697</v>
      </c>
      <c r="J159" s="20" t="s">
        <v>6</v>
      </c>
      <c r="K159" s="20" t="s">
        <v>137</v>
      </c>
      <c r="L159" s="20" t="s">
        <v>137</v>
      </c>
      <c r="M159" s="20" t="s">
        <v>721</v>
      </c>
      <c r="Q159" s="24" t="s">
        <v>680</v>
      </c>
    </row>
    <row r="160" spans="1:17" x14ac:dyDescent="0.3">
      <c r="A160" s="20">
        <f t="shared" si="2"/>
        <v>159</v>
      </c>
      <c r="B160" s="21" t="s">
        <v>87</v>
      </c>
      <c r="C160" s="21" t="s">
        <v>97</v>
      </c>
      <c r="D160" s="22" t="str">
        <f>IF($C160="","",IFERROR(VLOOKUP($C160,Map_Register!$A$2:$C$5,3,FALSE()),""))</f>
        <v>Toponym Labels</v>
      </c>
      <c r="E160" s="21" t="s">
        <v>15</v>
      </c>
      <c r="F160" s="23">
        <v>115254</v>
      </c>
      <c r="G160" s="20" t="s">
        <v>719</v>
      </c>
      <c r="H160" s="20" t="s">
        <v>866</v>
      </c>
      <c r="I160" t="s">
        <v>697</v>
      </c>
      <c r="J160" s="20" t="s">
        <v>8</v>
      </c>
      <c r="K160" t="s">
        <v>107</v>
      </c>
      <c r="L160" t="s">
        <v>108</v>
      </c>
      <c r="M160" s="20" t="s">
        <v>723</v>
      </c>
      <c r="N160" s="20" t="s">
        <v>108</v>
      </c>
      <c r="Q160" s="24" t="s">
        <v>680</v>
      </c>
    </row>
    <row r="161" spans="1:17" x14ac:dyDescent="0.3">
      <c r="A161" s="20">
        <f t="shared" si="2"/>
        <v>160</v>
      </c>
      <c r="B161" s="21" t="s">
        <v>87</v>
      </c>
      <c r="C161" s="21" t="s">
        <v>97</v>
      </c>
      <c r="D161" s="22" t="str">
        <f>IF($C161="","",IFERROR(VLOOKUP($C161,Map_Register!$A$2:$C$5,3,FALSE()),""))</f>
        <v>Toponym Labels</v>
      </c>
      <c r="E161" s="21" t="s">
        <v>15</v>
      </c>
      <c r="F161" s="23">
        <v>115255</v>
      </c>
      <c r="G161" s="20" t="s">
        <v>719</v>
      </c>
      <c r="H161" s="20" t="s">
        <v>782</v>
      </c>
      <c r="I161" t="s">
        <v>697</v>
      </c>
      <c r="J161" s="20" t="s">
        <v>8</v>
      </c>
      <c r="K161" t="s">
        <v>107</v>
      </c>
      <c r="L161" t="s">
        <v>108</v>
      </c>
      <c r="M161" s="20" t="s">
        <v>723</v>
      </c>
      <c r="N161" s="20" t="s">
        <v>108</v>
      </c>
      <c r="Q161" s="24" t="s">
        <v>680</v>
      </c>
    </row>
    <row r="162" spans="1:17" x14ac:dyDescent="0.3">
      <c r="A162" s="20">
        <f t="shared" si="2"/>
        <v>161</v>
      </c>
      <c r="B162" s="21" t="s">
        <v>87</v>
      </c>
      <c r="C162" s="21" t="s">
        <v>97</v>
      </c>
      <c r="D162" s="22" t="str">
        <f>IF($C162="","",IFERROR(VLOOKUP($C162,Map_Register!$A$2:$C$5,3,FALSE()),""))</f>
        <v>Toponym Labels</v>
      </c>
      <c r="E162" s="21" t="s">
        <v>15</v>
      </c>
      <c r="F162" s="23">
        <v>115256</v>
      </c>
      <c r="G162" s="20" t="s">
        <v>719</v>
      </c>
      <c r="H162" s="20" t="s">
        <v>867</v>
      </c>
      <c r="I162" t="s">
        <v>697</v>
      </c>
      <c r="J162" s="20" t="s">
        <v>8</v>
      </c>
      <c r="K162" t="s">
        <v>107</v>
      </c>
      <c r="L162" t="s">
        <v>108</v>
      </c>
      <c r="M162" s="20" t="s">
        <v>723</v>
      </c>
      <c r="N162" s="20" t="s">
        <v>108</v>
      </c>
      <c r="Q162" s="24" t="s">
        <v>680</v>
      </c>
    </row>
    <row r="163" spans="1:17" hidden="1" x14ac:dyDescent="0.3">
      <c r="A163" s="20">
        <f t="shared" si="2"/>
        <v>162</v>
      </c>
      <c r="B163" s="21" t="s">
        <v>87</v>
      </c>
      <c r="C163" s="21" t="s">
        <v>97</v>
      </c>
      <c r="D163" s="22" t="str">
        <f>IF($C163="","",IFERROR(VLOOKUP($C163,Map_Register!$A$2:$C$5,3,FALSE()),""))</f>
        <v>Toponym Labels</v>
      </c>
      <c r="E163" s="21" t="s">
        <v>15</v>
      </c>
      <c r="F163" s="23">
        <v>115280</v>
      </c>
      <c r="G163" s="20" t="s">
        <v>719</v>
      </c>
      <c r="H163" s="20" t="s">
        <v>868</v>
      </c>
      <c r="I163" t="s">
        <v>697</v>
      </c>
      <c r="J163" s="20" t="s">
        <v>6</v>
      </c>
      <c r="K163" s="20" t="s">
        <v>137</v>
      </c>
      <c r="L163" s="20" t="s">
        <v>137</v>
      </c>
      <c r="M163" s="20" t="s">
        <v>721</v>
      </c>
      <c r="Q163" s="24" t="s">
        <v>680</v>
      </c>
    </row>
    <row r="164" spans="1:17" hidden="1" x14ac:dyDescent="0.3">
      <c r="A164" s="20">
        <f t="shared" si="2"/>
        <v>163</v>
      </c>
      <c r="B164" s="21" t="s">
        <v>87</v>
      </c>
      <c r="C164" s="21" t="s">
        <v>97</v>
      </c>
      <c r="D164" s="22" t="str">
        <f>IF($C164="","",IFERROR(VLOOKUP($C164,Map_Register!$A$2:$C$5,3,FALSE()),""))</f>
        <v>Toponym Labels</v>
      </c>
      <c r="E164" s="21" t="s">
        <v>15</v>
      </c>
      <c r="F164" s="23">
        <v>115281</v>
      </c>
      <c r="G164" s="20" t="s">
        <v>719</v>
      </c>
      <c r="H164" s="20" t="s">
        <v>869</v>
      </c>
      <c r="I164" t="s">
        <v>697</v>
      </c>
      <c r="J164" s="20" t="s">
        <v>6</v>
      </c>
      <c r="K164" s="20" t="s">
        <v>137</v>
      </c>
      <c r="L164" s="20" t="s">
        <v>137</v>
      </c>
      <c r="M164" s="20" t="s">
        <v>721</v>
      </c>
      <c r="Q164" s="24" t="s">
        <v>680</v>
      </c>
    </row>
    <row r="165" spans="1:17" hidden="1" x14ac:dyDescent="0.3">
      <c r="A165" s="20">
        <f t="shared" si="2"/>
        <v>164</v>
      </c>
      <c r="B165" s="21" t="s">
        <v>87</v>
      </c>
      <c r="C165" s="21" t="s">
        <v>97</v>
      </c>
      <c r="D165" s="22" t="str">
        <f>IF($C165="","",IFERROR(VLOOKUP($C165,Map_Register!$A$2:$C$5,3,FALSE()),""))</f>
        <v>Toponym Labels</v>
      </c>
      <c r="E165" s="21" t="s">
        <v>15</v>
      </c>
      <c r="F165" s="23">
        <v>115365</v>
      </c>
      <c r="G165" s="20" t="s">
        <v>719</v>
      </c>
      <c r="H165" s="20" t="s">
        <v>870</v>
      </c>
      <c r="I165" t="s">
        <v>697</v>
      </c>
      <c r="J165" s="20" t="s">
        <v>6</v>
      </c>
      <c r="K165" s="20" t="s">
        <v>137</v>
      </c>
      <c r="L165" s="20" t="s">
        <v>137</v>
      </c>
      <c r="M165" s="20" t="s">
        <v>721</v>
      </c>
      <c r="Q165" s="24" t="s">
        <v>680</v>
      </c>
    </row>
    <row r="166" spans="1:17" hidden="1" x14ac:dyDescent="0.3">
      <c r="A166" s="20">
        <f t="shared" si="2"/>
        <v>165</v>
      </c>
      <c r="B166" s="21" t="s">
        <v>87</v>
      </c>
      <c r="C166" s="21" t="s">
        <v>97</v>
      </c>
      <c r="D166" s="22" t="str">
        <f>IF($C166="","",IFERROR(VLOOKUP($C166,Map_Register!$A$2:$C$5,3,FALSE()),""))</f>
        <v>Toponym Labels</v>
      </c>
      <c r="E166" s="21" t="s">
        <v>15</v>
      </c>
      <c r="F166" s="23">
        <v>115614</v>
      </c>
      <c r="G166" s="20" t="s">
        <v>719</v>
      </c>
      <c r="H166" s="20" t="s">
        <v>871</v>
      </c>
      <c r="I166" t="s">
        <v>697</v>
      </c>
      <c r="J166" s="20" t="s">
        <v>6</v>
      </c>
      <c r="K166" s="20" t="s">
        <v>137</v>
      </c>
      <c r="L166" s="20" t="s">
        <v>137</v>
      </c>
      <c r="M166" s="20" t="s">
        <v>721</v>
      </c>
      <c r="Q166" s="24" t="s">
        <v>680</v>
      </c>
    </row>
    <row r="167" spans="1:17" hidden="1" x14ac:dyDescent="0.3">
      <c r="A167" s="20">
        <f t="shared" si="2"/>
        <v>166</v>
      </c>
      <c r="B167" s="21" t="s">
        <v>87</v>
      </c>
      <c r="C167" s="21" t="s">
        <v>97</v>
      </c>
      <c r="D167" s="22" t="str">
        <f>IF($C167="","",IFERROR(VLOOKUP($C167,Map_Register!$A$2:$C$5,3,FALSE()),""))</f>
        <v>Toponym Labels</v>
      </c>
      <c r="E167" s="21" t="s">
        <v>15</v>
      </c>
      <c r="F167" s="23">
        <v>115624</v>
      </c>
      <c r="G167" s="20" t="s">
        <v>719</v>
      </c>
      <c r="H167" s="20" t="s">
        <v>872</v>
      </c>
      <c r="I167" t="s">
        <v>697</v>
      </c>
      <c r="J167" s="20" t="s">
        <v>6</v>
      </c>
      <c r="K167" s="20" t="s">
        <v>137</v>
      </c>
      <c r="L167" s="20" t="s">
        <v>137</v>
      </c>
      <c r="M167" s="20" t="s">
        <v>721</v>
      </c>
      <c r="Q167" s="24" t="s">
        <v>680</v>
      </c>
    </row>
    <row r="168" spans="1:17" hidden="1" x14ac:dyDescent="0.3">
      <c r="A168" s="20">
        <f t="shared" si="2"/>
        <v>167</v>
      </c>
      <c r="B168" s="21" t="s">
        <v>87</v>
      </c>
      <c r="C168" s="21" t="s">
        <v>97</v>
      </c>
      <c r="D168" s="22" t="str">
        <f>IF($C168="","",IFERROR(VLOOKUP($C168,Map_Register!$A$2:$C$5,3,FALSE()),""))</f>
        <v>Toponym Labels</v>
      </c>
      <c r="E168" s="21" t="s">
        <v>15</v>
      </c>
      <c r="F168" s="23">
        <v>115625</v>
      </c>
      <c r="G168" s="20" t="s">
        <v>719</v>
      </c>
      <c r="H168" s="20" t="s">
        <v>873</v>
      </c>
      <c r="I168" t="s">
        <v>697</v>
      </c>
      <c r="J168" s="20" t="s">
        <v>8</v>
      </c>
      <c r="K168" t="s">
        <v>107</v>
      </c>
      <c r="L168" t="s">
        <v>107</v>
      </c>
      <c r="M168" s="20" t="s">
        <v>683</v>
      </c>
      <c r="N168" s="20" t="s">
        <v>108</v>
      </c>
      <c r="Q168" s="24" t="s">
        <v>680</v>
      </c>
    </row>
    <row r="169" spans="1:17" hidden="1" x14ac:dyDescent="0.3">
      <c r="A169" s="20">
        <f t="shared" si="2"/>
        <v>168</v>
      </c>
      <c r="B169" s="21" t="s">
        <v>87</v>
      </c>
      <c r="C169" s="21" t="s">
        <v>97</v>
      </c>
      <c r="D169" s="22" t="str">
        <f>IF($C169="","",IFERROR(VLOOKUP($C169,Map_Register!$A$2:$C$5,3,FALSE()),""))</f>
        <v>Toponym Labels</v>
      </c>
      <c r="E169" s="21" t="s">
        <v>15</v>
      </c>
      <c r="F169" s="23">
        <v>115626</v>
      </c>
      <c r="G169" s="20" t="s">
        <v>719</v>
      </c>
      <c r="H169" s="20" t="s">
        <v>874</v>
      </c>
      <c r="I169" t="s">
        <v>697</v>
      </c>
      <c r="J169" s="20" t="s">
        <v>6</v>
      </c>
      <c r="K169" s="20" t="s">
        <v>137</v>
      </c>
      <c r="L169" s="20" t="s">
        <v>137</v>
      </c>
      <c r="M169" s="20" t="s">
        <v>721</v>
      </c>
      <c r="Q169" s="24" t="s">
        <v>680</v>
      </c>
    </row>
    <row r="170" spans="1:17" hidden="1" x14ac:dyDescent="0.3">
      <c r="A170" s="20">
        <f t="shared" si="2"/>
        <v>169</v>
      </c>
      <c r="B170" s="21" t="s">
        <v>87</v>
      </c>
      <c r="C170" s="21" t="s">
        <v>97</v>
      </c>
      <c r="D170" s="22" t="str">
        <f>IF($C170="","",IFERROR(VLOOKUP($C170,Map_Register!$A$2:$C$5,3,FALSE()),""))</f>
        <v>Toponym Labels</v>
      </c>
      <c r="E170" s="21" t="s">
        <v>15</v>
      </c>
      <c r="F170" s="23">
        <v>115627</v>
      </c>
      <c r="G170" s="20" t="s">
        <v>719</v>
      </c>
      <c r="H170" s="20" t="s">
        <v>875</v>
      </c>
      <c r="I170" t="s">
        <v>697</v>
      </c>
      <c r="J170" s="20" t="s">
        <v>6</v>
      </c>
      <c r="K170" s="20" t="s">
        <v>137</v>
      </c>
      <c r="L170" s="20" t="s">
        <v>137</v>
      </c>
      <c r="M170" s="20" t="s">
        <v>721</v>
      </c>
      <c r="Q170" s="24" t="s">
        <v>680</v>
      </c>
    </row>
    <row r="171" spans="1:17" hidden="1" x14ac:dyDescent="0.3">
      <c r="A171" s="20">
        <f t="shared" si="2"/>
        <v>170</v>
      </c>
      <c r="B171" s="21" t="s">
        <v>87</v>
      </c>
      <c r="C171" s="21" t="s">
        <v>97</v>
      </c>
      <c r="D171" s="22" t="str">
        <f>IF($C171="","",IFERROR(VLOOKUP($C171,Map_Register!$A$2:$C$5,3,FALSE()),""))</f>
        <v>Toponym Labels</v>
      </c>
      <c r="E171" s="21" t="s">
        <v>15</v>
      </c>
      <c r="F171" s="23">
        <v>115628</v>
      </c>
      <c r="G171" s="20" t="s">
        <v>719</v>
      </c>
      <c r="H171" s="20" t="s">
        <v>876</v>
      </c>
      <c r="I171" t="s">
        <v>697</v>
      </c>
      <c r="J171" s="20" t="s">
        <v>6</v>
      </c>
      <c r="K171" s="20" t="s">
        <v>137</v>
      </c>
      <c r="L171" s="20" t="s">
        <v>137</v>
      </c>
      <c r="M171" s="20" t="s">
        <v>721</v>
      </c>
      <c r="Q171" s="24" t="s">
        <v>680</v>
      </c>
    </row>
    <row r="172" spans="1:17" x14ac:dyDescent="0.3">
      <c r="A172" s="20">
        <f t="shared" si="2"/>
        <v>171</v>
      </c>
      <c r="B172" s="21" t="s">
        <v>87</v>
      </c>
      <c r="C172" s="21" t="s">
        <v>97</v>
      </c>
      <c r="D172" s="22" t="str">
        <f>IF($C172="","",IFERROR(VLOOKUP($C172,Map_Register!$A$2:$C$5,3,FALSE()),""))</f>
        <v>Toponym Labels</v>
      </c>
      <c r="E172" s="21" t="s">
        <v>15</v>
      </c>
      <c r="F172" s="23">
        <v>115629</v>
      </c>
      <c r="G172" s="20" t="s">
        <v>719</v>
      </c>
      <c r="H172" s="20" t="s">
        <v>877</v>
      </c>
      <c r="I172" t="s">
        <v>697</v>
      </c>
      <c r="J172" s="20" t="s">
        <v>8</v>
      </c>
      <c r="K172" t="s">
        <v>107</v>
      </c>
      <c r="L172" t="s">
        <v>108</v>
      </c>
      <c r="M172" s="20" t="s">
        <v>723</v>
      </c>
      <c r="N172" s="20" t="s">
        <v>108</v>
      </c>
      <c r="Q172" s="24" t="s">
        <v>680</v>
      </c>
    </row>
    <row r="173" spans="1:17" x14ac:dyDescent="0.3">
      <c r="A173" s="20">
        <f t="shared" si="2"/>
        <v>172</v>
      </c>
      <c r="B173" s="21" t="s">
        <v>87</v>
      </c>
      <c r="C173" s="21" t="s">
        <v>97</v>
      </c>
      <c r="D173" s="22" t="str">
        <f>IF($C173="","",IFERROR(VLOOKUP($C173,Map_Register!$A$2:$C$5,3,FALSE()),""))</f>
        <v>Toponym Labels</v>
      </c>
      <c r="E173" s="21" t="s">
        <v>15</v>
      </c>
      <c r="F173" s="23">
        <v>115630</v>
      </c>
      <c r="G173" s="20" t="s">
        <v>719</v>
      </c>
      <c r="H173" s="20" t="s">
        <v>878</v>
      </c>
      <c r="I173" t="s">
        <v>697</v>
      </c>
      <c r="J173" s="20" t="s">
        <v>8</v>
      </c>
      <c r="K173" t="s">
        <v>107</v>
      </c>
      <c r="L173" t="s">
        <v>108</v>
      </c>
      <c r="M173" s="20" t="s">
        <v>723</v>
      </c>
      <c r="N173" s="20" t="s">
        <v>108</v>
      </c>
      <c r="Q173" s="24" t="s">
        <v>680</v>
      </c>
    </row>
    <row r="174" spans="1:17" x14ac:dyDescent="0.3">
      <c r="A174" s="20">
        <f t="shared" si="2"/>
        <v>173</v>
      </c>
      <c r="B174" s="21" t="s">
        <v>87</v>
      </c>
      <c r="C174" s="21" t="s">
        <v>97</v>
      </c>
      <c r="D174" s="22" t="str">
        <f>IF($C174="","",IFERROR(VLOOKUP($C174,Map_Register!$A$2:$C$5,3,FALSE()),""))</f>
        <v>Toponym Labels</v>
      </c>
      <c r="E174" s="21" t="s">
        <v>15</v>
      </c>
      <c r="F174" s="23">
        <v>115631</v>
      </c>
      <c r="G174" s="20" t="s">
        <v>719</v>
      </c>
      <c r="H174" s="20" t="s">
        <v>879</v>
      </c>
      <c r="I174" t="s">
        <v>697</v>
      </c>
      <c r="J174" s="20" t="s">
        <v>8</v>
      </c>
      <c r="K174" t="s">
        <v>107</v>
      </c>
      <c r="L174" t="s">
        <v>108</v>
      </c>
      <c r="M174" s="20" t="s">
        <v>723</v>
      </c>
      <c r="N174" s="20" t="s">
        <v>108</v>
      </c>
      <c r="Q174" s="24" t="s">
        <v>680</v>
      </c>
    </row>
    <row r="175" spans="1:17" hidden="1" x14ac:dyDescent="0.3">
      <c r="A175" s="20">
        <f t="shared" si="2"/>
        <v>174</v>
      </c>
      <c r="B175" s="21" t="s">
        <v>87</v>
      </c>
      <c r="C175" s="21" t="s">
        <v>97</v>
      </c>
      <c r="D175" s="22" t="str">
        <f>IF($C175="","",IFERROR(VLOOKUP($C175,Map_Register!$A$2:$C$5,3,FALSE()),""))</f>
        <v>Toponym Labels</v>
      </c>
      <c r="E175" s="21" t="s">
        <v>15</v>
      </c>
      <c r="F175" s="23">
        <v>115632</v>
      </c>
      <c r="G175" s="20" t="s">
        <v>719</v>
      </c>
      <c r="H175" s="20" t="s">
        <v>880</v>
      </c>
      <c r="I175" t="s">
        <v>697</v>
      </c>
      <c r="J175" s="20" t="s">
        <v>6</v>
      </c>
      <c r="K175" s="20" t="s">
        <v>137</v>
      </c>
      <c r="L175" s="20" t="s">
        <v>137</v>
      </c>
      <c r="M175" s="20" t="s">
        <v>721</v>
      </c>
      <c r="Q175" s="24" t="s">
        <v>680</v>
      </c>
    </row>
    <row r="176" spans="1:17" x14ac:dyDescent="0.3">
      <c r="A176" s="20">
        <f t="shared" si="2"/>
        <v>175</v>
      </c>
      <c r="B176" s="21" t="s">
        <v>87</v>
      </c>
      <c r="C176" s="21" t="s">
        <v>97</v>
      </c>
      <c r="D176" s="22" t="str">
        <f>IF($C176="","",IFERROR(VLOOKUP($C176,Map_Register!$A$2:$C$5,3,FALSE()),""))</f>
        <v>Toponym Labels</v>
      </c>
      <c r="E176" s="21" t="s">
        <v>15</v>
      </c>
      <c r="F176" s="23">
        <v>115646</v>
      </c>
      <c r="G176" s="20" t="s">
        <v>719</v>
      </c>
      <c r="H176" s="20" t="s">
        <v>881</v>
      </c>
      <c r="I176" t="s">
        <v>697</v>
      </c>
      <c r="J176" s="20" t="s">
        <v>8</v>
      </c>
      <c r="K176" t="s">
        <v>107</v>
      </c>
      <c r="L176" t="s">
        <v>108</v>
      </c>
      <c r="M176" s="20" t="s">
        <v>723</v>
      </c>
      <c r="N176" s="20" t="s">
        <v>108</v>
      </c>
      <c r="Q176" s="24" t="s">
        <v>680</v>
      </c>
    </row>
    <row r="177" spans="1:17" hidden="1" x14ac:dyDescent="0.3">
      <c r="A177" s="20">
        <f t="shared" si="2"/>
        <v>176</v>
      </c>
      <c r="B177" s="21" t="s">
        <v>87</v>
      </c>
      <c r="C177" s="21" t="s">
        <v>97</v>
      </c>
      <c r="D177" s="22" t="str">
        <f>IF($C177="","",IFERROR(VLOOKUP($C177,Map_Register!$A$2:$C$5,3,FALSE()),""))</f>
        <v>Toponym Labels</v>
      </c>
      <c r="E177" s="21" t="s">
        <v>15</v>
      </c>
      <c r="F177" s="23">
        <v>115656</v>
      </c>
      <c r="G177" s="20" t="s">
        <v>719</v>
      </c>
      <c r="H177" s="20" t="s">
        <v>882</v>
      </c>
      <c r="I177" t="s">
        <v>697</v>
      </c>
      <c r="J177" s="20" t="s">
        <v>8</v>
      </c>
      <c r="K177" t="s">
        <v>107</v>
      </c>
      <c r="L177" t="s">
        <v>107</v>
      </c>
      <c r="M177" s="20" t="s">
        <v>683</v>
      </c>
      <c r="N177" s="20" t="s">
        <v>108</v>
      </c>
      <c r="Q177" s="24" t="s">
        <v>680</v>
      </c>
    </row>
    <row r="178" spans="1:17" hidden="1" x14ac:dyDescent="0.3">
      <c r="A178" s="20">
        <f t="shared" si="2"/>
        <v>177</v>
      </c>
      <c r="B178" s="21" t="s">
        <v>87</v>
      </c>
      <c r="C178" s="21" t="s">
        <v>97</v>
      </c>
      <c r="D178" s="22" t="str">
        <f>IF($C178="","",IFERROR(VLOOKUP($C178,Map_Register!$A$2:$C$5,3,FALSE()),""))</f>
        <v>Toponym Labels</v>
      </c>
      <c r="E178" s="21" t="s">
        <v>15</v>
      </c>
      <c r="F178" s="23">
        <v>115657</v>
      </c>
      <c r="G178" s="20" t="s">
        <v>719</v>
      </c>
      <c r="H178" s="20" t="s">
        <v>883</v>
      </c>
      <c r="I178" t="s">
        <v>697</v>
      </c>
      <c r="J178" s="20" t="s">
        <v>8</v>
      </c>
      <c r="K178" t="s">
        <v>107</v>
      </c>
      <c r="L178" t="s">
        <v>107</v>
      </c>
      <c r="M178" s="20" t="s">
        <v>683</v>
      </c>
      <c r="N178" s="20" t="s">
        <v>108</v>
      </c>
      <c r="Q178" s="24" t="s">
        <v>680</v>
      </c>
    </row>
    <row r="179" spans="1:17" hidden="1" x14ac:dyDescent="0.3">
      <c r="A179" s="20">
        <f t="shared" si="2"/>
        <v>178</v>
      </c>
      <c r="B179" s="21" t="s">
        <v>87</v>
      </c>
      <c r="C179" s="21" t="s">
        <v>97</v>
      </c>
      <c r="D179" s="22" t="str">
        <f>IF($C179="","",IFERROR(VLOOKUP($C179,Map_Register!$A$2:$C$5,3,FALSE()),""))</f>
        <v>Toponym Labels</v>
      </c>
      <c r="E179" s="21" t="s">
        <v>15</v>
      </c>
      <c r="F179" s="23">
        <v>115658</v>
      </c>
      <c r="G179" s="20" t="s">
        <v>719</v>
      </c>
      <c r="H179" s="20" t="s">
        <v>884</v>
      </c>
      <c r="I179" t="s">
        <v>697</v>
      </c>
      <c r="J179" s="20" t="s">
        <v>8</v>
      </c>
      <c r="K179" t="s">
        <v>107</v>
      </c>
      <c r="L179" t="s">
        <v>107</v>
      </c>
      <c r="M179" s="20" t="s">
        <v>683</v>
      </c>
      <c r="N179" s="20" t="s">
        <v>108</v>
      </c>
      <c r="Q179" s="24" t="s">
        <v>680</v>
      </c>
    </row>
    <row r="180" spans="1:17" hidden="1" x14ac:dyDescent="0.3">
      <c r="A180" s="20">
        <f t="shared" si="2"/>
        <v>179</v>
      </c>
      <c r="B180" s="21" t="s">
        <v>87</v>
      </c>
      <c r="C180" s="21" t="s">
        <v>97</v>
      </c>
      <c r="D180" s="22" t="str">
        <f>IF($C180="","",IFERROR(VLOOKUP($C180,Map_Register!$A$2:$C$5,3,FALSE()),""))</f>
        <v>Toponym Labels</v>
      </c>
      <c r="E180" s="21" t="s">
        <v>15</v>
      </c>
      <c r="F180" s="23">
        <v>115659</v>
      </c>
      <c r="G180" s="20" t="s">
        <v>719</v>
      </c>
      <c r="H180" s="20" t="s">
        <v>885</v>
      </c>
      <c r="I180" t="s">
        <v>697</v>
      </c>
      <c r="J180" s="20" t="s">
        <v>6</v>
      </c>
      <c r="K180" s="20" t="s">
        <v>137</v>
      </c>
      <c r="L180" s="20" t="s">
        <v>137</v>
      </c>
      <c r="M180" s="20" t="s">
        <v>721</v>
      </c>
      <c r="Q180" s="24" t="s">
        <v>680</v>
      </c>
    </row>
    <row r="181" spans="1:17" hidden="1" x14ac:dyDescent="0.3">
      <c r="A181" s="20">
        <f t="shared" si="2"/>
        <v>180</v>
      </c>
      <c r="B181" s="21" t="s">
        <v>87</v>
      </c>
      <c r="C181" s="21" t="s">
        <v>97</v>
      </c>
      <c r="D181" s="22" t="str">
        <f>IF($C181="","",IFERROR(VLOOKUP($C181,Map_Register!$A$2:$C$5,3,FALSE()),""))</f>
        <v>Toponym Labels</v>
      </c>
      <c r="E181" s="21" t="s">
        <v>15</v>
      </c>
      <c r="F181" s="23">
        <v>115660</v>
      </c>
      <c r="G181" s="20" t="s">
        <v>719</v>
      </c>
      <c r="H181" s="20" t="s">
        <v>886</v>
      </c>
      <c r="I181" t="s">
        <v>697</v>
      </c>
      <c r="J181" s="20" t="s">
        <v>6</v>
      </c>
      <c r="K181" s="20" t="s">
        <v>137</v>
      </c>
      <c r="L181" s="20" t="s">
        <v>137</v>
      </c>
      <c r="M181" s="20" t="s">
        <v>721</v>
      </c>
      <c r="Q181" s="24" t="s">
        <v>680</v>
      </c>
    </row>
    <row r="182" spans="1:17" x14ac:dyDescent="0.3">
      <c r="A182" s="20">
        <f t="shared" si="2"/>
        <v>181</v>
      </c>
      <c r="B182" s="21" t="s">
        <v>87</v>
      </c>
      <c r="C182" s="21" t="s">
        <v>97</v>
      </c>
      <c r="D182" s="22" t="str">
        <f>IF($C182="","",IFERROR(VLOOKUP($C182,Map_Register!$A$2:$C$5,3,FALSE()),""))</f>
        <v>Toponym Labels</v>
      </c>
      <c r="E182" s="21" t="s">
        <v>15</v>
      </c>
      <c r="F182" s="23">
        <v>115661</v>
      </c>
      <c r="G182" s="20" t="s">
        <v>719</v>
      </c>
      <c r="H182" s="20" t="s">
        <v>776</v>
      </c>
      <c r="I182" t="s">
        <v>697</v>
      </c>
      <c r="J182" s="20" t="s">
        <v>8</v>
      </c>
      <c r="K182" t="s">
        <v>107</v>
      </c>
      <c r="L182" t="s">
        <v>108</v>
      </c>
      <c r="M182" s="20" t="s">
        <v>723</v>
      </c>
      <c r="N182" s="20" t="s">
        <v>108</v>
      </c>
      <c r="Q182" s="24" t="s">
        <v>680</v>
      </c>
    </row>
    <row r="183" spans="1:17" x14ac:dyDescent="0.3">
      <c r="A183" s="20">
        <f t="shared" si="2"/>
        <v>182</v>
      </c>
      <c r="B183" s="21" t="s">
        <v>87</v>
      </c>
      <c r="C183" s="21" t="s">
        <v>97</v>
      </c>
      <c r="D183" s="22" t="str">
        <f>IF($C183="","",IFERROR(VLOOKUP($C183,Map_Register!$A$2:$C$5,3,FALSE()),""))</f>
        <v>Toponym Labels</v>
      </c>
      <c r="E183" s="21" t="s">
        <v>15</v>
      </c>
      <c r="F183" s="23">
        <v>115662</v>
      </c>
      <c r="G183" s="20" t="s">
        <v>719</v>
      </c>
      <c r="H183" s="20" t="s">
        <v>887</v>
      </c>
      <c r="I183" t="s">
        <v>697</v>
      </c>
      <c r="J183" s="20" t="s">
        <v>8</v>
      </c>
      <c r="K183" t="s">
        <v>107</v>
      </c>
      <c r="L183" t="s">
        <v>108</v>
      </c>
      <c r="M183" s="20" t="s">
        <v>888</v>
      </c>
      <c r="N183" s="20" t="s">
        <v>108</v>
      </c>
      <c r="Q183" s="24" t="s">
        <v>680</v>
      </c>
    </row>
    <row r="184" spans="1:17" hidden="1" x14ac:dyDescent="0.3">
      <c r="A184" s="20">
        <f t="shared" si="2"/>
        <v>183</v>
      </c>
      <c r="B184" s="21" t="s">
        <v>87</v>
      </c>
      <c r="C184" s="21" t="s">
        <v>97</v>
      </c>
      <c r="D184" s="22" t="str">
        <f>IF($C184="","",IFERROR(VLOOKUP($C184,Map_Register!$A$2:$C$5,3,FALSE()),""))</f>
        <v>Toponym Labels</v>
      </c>
      <c r="E184" s="21" t="s">
        <v>15</v>
      </c>
      <c r="F184" s="23">
        <v>115679</v>
      </c>
      <c r="G184" s="20" t="s">
        <v>719</v>
      </c>
      <c r="H184" s="20" t="s">
        <v>889</v>
      </c>
      <c r="I184" t="s">
        <v>697</v>
      </c>
      <c r="J184" s="20" t="s">
        <v>6</v>
      </c>
      <c r="K184" s="20" t="s">
        <v>137</v>
      </c>
      <c r="L184" s="20" t="s">
        <v>137</v>
      </c>
      <c r="M184" s="20" t="s">
        <v>721</v>
      </c>
      <c r="Q184" s="24" t="s">
        <v>680</v>
      </c>
    </row>
    <row r="185" spans="1:17" x14ac:dyDescent="0.3">
      <c r="A185" s="20">
        <f t="shared" si="2"/>
        <v>184</v>
      </c>
      <c r="B185" s="21" t="s">
        <v>87</v>
      </c>
      <c r="C185" s="21" t="s">
        <v>97</v>
      </c>
      <c r="D185" s="22" t="str">
        <f>IF($C185="","",IFERROR(VLOOKUP($C185,Map_Register!$A$2:$C$5,3,FALSE()),""))</f>
        <v>Toponym Labels</v>
      </c>
      <c r="E185" s="21" t="s">
        <v>15</v>
      </c>
      <c r="F185" s="23">
        <v>115684</v>
      </c>
      <c r="G185" s="20" t="s">
        <v>719</v>
      </c>
      <c r="H185" s="20" t="s">
        <v>890</v>
      </c>
      <c r="I185" t="s">
        <v>697</v>
      </c>
      <c r="J185" s="20" t="s">
        <v>8</v>
      </c>
      <c r="K185" t="s">
        <v>107</v>
      </c>
      <c r="L185" t="s">
        <v>108</v>
      </c>
      <c r="M185" s="20" t="s">
        <v>723</v>
      </c>
      <c r="N185" s="20" t="s">
        <v>108</v>
      </c>
      <c r="Q185" s="24" t="s">
        <v>680</v>
      </c>
    </row>
    <row r="186" spans="1:17" hidden="1" x14ac:dyDescent="0.3">
      <c r="A186" s="20">
        <f t="shared" si="2"/>
        <v>185</v>
      </c>
      <c r="B186" s="21" t="s">
        <v>87</v>
      </c>
      <c r="C186" s="21" t="s">
        <v>97</v>
      </c>
      <c r="D186" s="22" t="str">
        <f>IF($C186="","",IFERROR(VLOOKUP($C186,Map_Register!$A$2:$C$5,3,FALSE()),""))</f>
        <v>Toponym Labels</v>
      </c>
      <c r="E186" s="21" t="s">
        <v>15</v>
      </c>
      <c r="F186" s="23">
        <v>115685</v>
      </c>
      <c r="G186" s="20" t="s">
        <v>719</v>
      </c>
      <c r="H186" s="20" t="s">
        <v>891</v>
      </c>
      <c r="I186" t="s">
        <v>697</v>
      </c>
      <c r="J186" s="20" t="s">
        <v>6</v>
      </c>
      <c r="K186" s="20" t="s">
        <v>137</v>
      </c>
      <c r="L186" s="20" t="s">
        <v>137</v>
      </c>
      <c r="M186" s="20" t="s">
        <v>721</v>
      </c>
      <c r="Q186" s="24" t="s">
        <v>680</v>
      </c>
    </row>
    <row r="187" spans="1:17" hidden="1" x14ac:dyDescent="0.3">
      <c r="A187" s="20">
        <f t="shared" si="2"/>
        <v>186</v>
      </c>
      <c r="B187" s="21" t="s">
        <v>87</v>
      </c>
      <c r="C187" s="21" t="s">
        <v>97</v>
      </c>
      <c r="D187" s="22" t="str">
        <f>IF($C187="","",IFERROR(VLOOKUP($C187,Map_Register!$A$2:$C$5,3,FALSE()),""))</f>
        <v>Toponym Labels</v>
      </c>
      <c r="E187" s="21" t="s">
        <v>15</v>
      </c>
      <c r="F187" s="23">
        <v>115686</v>
      </c>
      <c r="G187" s="20" t="s">
        <v>719</v>
      </c>
      <c r="H187" s="20" t="s">
        <v>892</v>
      </c>
      <c r="I187" t="s">
        <v>697</v>
      </c>
      <c r="J187" s="20" t="s">
        <v>6</v>
      </c>
      <c r="K187" s="20" t="s">
        <v>137</v>
      </c>
      <c r="L187" s="20" t="s">
        <v>137</v>
      </c>
      <c r="M187" s="20" t="s">
        <v>721</v>
      </c>
      <c r="Q187" s="24" t="s">
        <v>680</v>
      </c>
    </row>
    <row r="188" spans="1:17" hidden="1" x14ac:dyDescent="0.3">
      <c r="A188" s="20">
        <f t="shared" si="2"/>
        <v>187</v>
      </c>
      <c r="B188" s="21" t="s">
        <v>87</v>
      </c>
      <c r="C188" s="21" t="s">
        <v>97</v>
      </c>
      <c r="D188" s="22" t="str">
        <f>IF($C188="","",IFERROR(VLOOKUP($C188,Map_Register!$A$2:$C$5,3,FALSE()),""))</f>
        <v>Toponym Labels</v>
      </c>
      <c r="E188" s="21" t="s">
        <v>15</v>
      </c>
      <c r="F188" s="23">
        <v>115687</v>
      </c>
      <c r="G188" s="20" t="s">
        <v>719</v>
      </c>
      <c r="H188" s="20" t="s">
        <v>893</v>
      </c>
      <c r="I188" t="s">
        <v>697</v>
      </c>
      <c r="J188" s="20" t="s">
        <v>6</v>
      </c>
      <c r="K188" s="20" t="s">
        <v>137</v>
      </c>
      <c r="L188" s="20" t="s">
        <v>137</v>
      </c>
      <c r="M188" s="20" t="s">
        <v>721</v>
      </c>
      <c r="Q188" s="24" t="s">
        <v>680</v>
      </c>
    </row>
    <row r="189" spans="1:17" hidden="1" x14ac:dyDescent="0.3">
      <c r="A189" s="20">
        <f t="shared" si="2"/>
        <v>188</v>
      </c>
      <c r="B189" s="21" t="s">
        <v>87</v>
      </c>
      <c r="C189" s="21" t="s">
        <v>97</v>
      </c>
      <c r="D189" s="22" t="str">
        <f>IF($C189="","",IFERROR(VLOOKUP($C189,Map_Register!$A$2:$C$5,3,FALSE()),""))</f>
        <v>Toponym Labels</v>
      </c>
      <c r="E189" s="21" t="s">
        <v>15</v>
      </c>
      <c r="F189" s="23">
        <v>115688</v>
      </c>
      <c r="G189" s="20" t="s">
        <v>719</v>
      </c>
      <c r="H189" s="20" t="s">
        <v>894</v>
      </c>
      <c r="I189" t="s">
        <v>697</v>
      </c>
      <c r="J189" s="20" t="s">
        <v>6</v>
      </c>
      <c r="K189" s="20" t="s">
        <v>137</v>
      </c>
      <c r="L189" s="20" t="s">
        <v>137</v>
      </c>
      <c r="M189" s="20" t="s">
        <v>721</v>
      </c>
      <c r="Q189" s="24" t="s">
        <v>680</v>
      </c>
    </row>
    <row r="190" spans="1:17" hidden="1" x14ac:dyDescent="0.3">
      <c r="A190" s="20">
        <f t="shared" si="2"/>
        <v>189</v>
      </c>
      <c r="B190" s="21" t="s">
        <v>87</v>
      </c>
      <c r="C190" s="21" t="s">
        <v>97</v>
      </c>
      <c r="D190" s="22" t="str">
        <f>IF($C190="","",IFERROR(VLOOKUP($C190,Map_Register!$A$2:$C$5,3,FALSE()),""))</f>
        <v>Toponym Labels</v>
      </c>
      <c r="E190" s="21" t="s">
        <v>15</v>
      </c>
      <c r="F190" s="23">
        <v>115689</v>
      </c>
      <c r="G190" s="20" t="s">
        <v>719</v>
      </c>
      <c r="H190" s="20" t="s">
        <v>895</v>
      </c>
      <c r="I190" t="s">
        <v>697</v>
      </c>
      <c r="J190" s="20" t="s">
        <v>6</v>
      </c>
      <c r="K190" s="20" t="s">
        <v>137</v>
      </c>
      <c r="L190" s="20" t="s">
        <v>137</v>
      </c>
      <c r="M190" s="20" t="s">
        <v>721</v>
      </c>
      <c r="Q190" s="24" t="s">
        <v>680</v>
      </c>
    </row>
    <row r="191" spans="1:17" x14ac:dyDescent="0.3">
      <c r="A191" s="20">
        <f t="shared" si="2"/>
        <v>190</v>
      </c>
      <c r="B191" s="21" t="s">
        <v>87</v>
      </c>
      <c r="C191" s="21" t="s">
        <v>97</v>
      </c>
      <c r="D191" s="22" t="str">
        <f>IF($C191="","",IFERROR(VLOOKUP($C191,Map_Register!$A$2:$C$5,3,FALSE()),""))</f>
        <v>Toponym Labels</v>
      </c>
      <c r="E191" s="21" t="s">
        <v>15</v>
      </c>
      <c r="F191" s="23">
        <v>115690</v>
      </c>
      <c r="G191" s="20" t="s">
        <v>719</v>
      </c>
      <c r="H191" s="20" t="s">
        <v>896</v>
      </c>
      <c r="I191" t="s">
        <v>697</v>
      </c>
      <c r="J191" s="20" t="s">
        <v>8</v>
      </c>
      <c r="K191" t="s">
        <v>107</v>
      </c>
      <c r="L191" t="s">
        <v>108</v>
      </c>
      <c r="M191" s="20" t="s">
        <v>723</v>
      </c>
      <c r="N191" s="20" t="s">
        <v>108</v>
      </c>
      <c r="Q191" s="24" t="s">
        <v>680</v>
      </c>
    </row>
    <row r="192" spans="1:17" hidden="1" x14ac:dyDescent="0.3">
      <c r="A192" s="20">
        <f t="shared" si="2"/>
        <v>191</v>
      </c>
      <c r="B192" s="21" t="s">
        <v>87</v>
      </c>
      <c r="C192" s="21" t="s">
        <v>97</v>
      </c>
      <c r="D192" s="22" t="str">
        <f>IF($C192="","",IFERROR(VLOOKUP($C192,Map_Register!$A$2:$C$5,3,FALSE()),""))</f>
        <v>Toponym Labels</v>
      </c>
      <c r="E192" s="21" t="s">
        <v>15</v>
      </c>
      <c r="F192" s="23">
        <v>115691</v>
      </c>
      <c r="G192" s="20" t="s">
        <v>719</v>
      </c>
      <c r="H192" s="20" t="s">
        <v>897</v>
      </c>
      <c r="I192" t="s">
        <v>697</v>
      </c>
      <c r="J192" s="20" t="s">
        <v>6</v>
      </c>
      <c r="K192" s="20" t="s">
        <v>137</v>
      </c>
      <c r="L192" s="20" t="s">
        <v>137</v>
      </c>
      <c r="M192" s="20" t="s">
        <v>721</v>
      </c>
      <c r="Q192" s="24" t="s">
        <v>680</v>
      </c>
    </row>
    <row r="193" spans="1:17" x14ac:dyDescent="0.3">
      <c r="A193" s="20">
        <f t="shared" si="2"/>
        <v>192</v>
      </c>
      <c r="B193" s="21" t="s">
        <v>87</v>
      </c>
      <c r="C193" s="21" t="s">
        <v>97</v>
      </c>
      <c r="D193" s="22" t="str">
        <f>IF($C193="","",IFERROR(VLOOKUP($C193,Map_Register!$A$2:$C$5,3,FALSE()),""))</f>
        <v>Toponym Labels</v>
      </c>
      <c r="E193" s="21" t="s">
        <v>15</v>
      </c>
      <c r="F193" s="23">
        <v>115692</v>
      </c>
      <c r="G193" s="20" t="s">
        <v>719</v>
      </c>
      <c r="H193" s="20" t="s">
        <v>898</v>
      </c>
      <c r="I193" t="s">
        <v>697</v>
      </c>
      <c r="J193" s="20" t="s">
        <v>8</v>
      </c>
      <c r="K193" t="s">
        <v>107</v>
      </c>
      <c r="L193" t="s">
        <v>108</v>
      </c>
      <c r="M193" s="20" t="s">
        <v>723</v>
      </c>
      <c r="N193" s="20" t="s">
        <v>108</v>
      </c>
      <c r="Q193" s="24" t="s">
        <v>680</v>
      </c>
    </row>
    <row r="194" spans="1:17" x14ac:dyDescent="0.3">
      <c r="A194" s="20">
        <f t="shared" ref="A194:A257" si="3">IF($B194="","",ROW()-1)</f>
        <v>193</v>
      </c>
      <c r="B194" s="21" t="s">
        <v>87</v>
      </c>
      <c r="C194" s="21" t="s">
        <v>97</v>
      </c>
      <c r="D194" s="22" t="str">
        <f>IF($C194="","",IFERROR(VLOOKUP($C194,Map_Register!$A$2:$C$5,3,FALSE()),""))</f>
        <v>Toponym Labels</v>
      </c>
      <c r="E194" s="21" t="s">
        <v>15</v>
      </c>
      <c r="F194" s="23">
        <v>116046</v>
      </c>
      <c r="G194" s="20" t="s">
        <v>719</v>
      </c>
      <c r="H194" s="20" t="s">
        <v>899</v>
      </c>
      <c r="I194" t="s">
        <v>697</v>
      </c>
      <c r="J194" s="20" t="s">
        <v>8</v>
      </c>
      <c r="K194" t="s">
        <v>107</v>
      </c>
      <c r="L194" t="s">
        <v>108</v>
      </c>
      <c r="M194" s="20" t="s">
        <v>723</v>
      </c>
      <c r="N194" s="20" t="s">
        <v>108</v>
      </c>
      <c r="Q194" s="24" t="s">
        <v>680</v>
      </c>
    </row>
    <row r="195" spans="1:17" x14ac:dyDescent="0.3">
      <c r="A195" s="20">
        <f t="shared" si="3"/>
        <v>194</v>
      </c>
      <c r="B195" s="21" t="s">
        <v>87</v>
      </c>
      <c r="C195" s="21" t="s">
        <v>97</v>
      </c>
      <c r="D195" s="22" t="str">
        <f>IF($C195="","",IFERROR(VLOOKUP($C195,Map_Register!$A$2:$C$5,3,FALSE()),""))</f>
        <v>Toponym Labels</v>
      </c>
      <c r="E195" s="21" t="s">
        <v>15</v>
      </c>
      <c r="F195" s="23">
        <v>116047</v>
      </c>
      <c r="G195" s="20" t="s">
        <v>719</v>
      </c>
      <c r="H195" s="20" t="s">
        <v>900</v>
      </c>
      <c r="I195" t="s">
        <v>697</v>
      </c>
      <c r="J195" s="20" t="s">
        <v>8</v>
      </c>
      <c r="K195" t="s">
        <v>107</v>
      </c>
      <c r="L195" t="s">
        <v>108</v>
      </c>
      <c r="M195" s="20" t="s">
        <v>723</v>
      </c>
      <c r="N195" s="20" t="s">
        <v>108</v>
      </c>
      <c r="Q195" s="24" t="s">
        <v>680</v>
      </c>
    </row>
    <row r="196" spans="1:17" hidden="1" x14ac:dyDescent="0.3">
      <c r="A196" s="20">
        <f t="shared" si="3"/>
        <v>195</v>
      </c>
      <c r="B196" s="21" t="s">
        <v>87</v>
      </c>
      <c r="C196" s="21" t="s">
        <v>97</v>
      </c>
      <c r="D196" s="22" t="str">
        <f>IF($C196="","",IFERROR(VLOOKUP($C196,Map_Register!$A$2:$C$5,3,FALSE()),""))</f>
        <v>Toponym Labels</v>
      </c>
      <c r="E196" s="21" t="s">
        <v>15</v>
      </c>
      <c r="F196" s="23">
        <v>116048</v>
      </c>
      <c r="G196" s="20" t="s">
        <v>719</v>
      </c>
      <c r="H196" s="20" t="s">
        <v>901</v>
      </c>
      <c r="I196" t="s">
        <v>697</v>
      </c>
      <c r="J196" s="20" t="s">
        <v>6</v>
      </c>
      <c r="K196" s="20" t="s">
        <v>137</v>
      </c>
      <c r="L196" s="20" t="s">
        <v>137</v>
      </c>
      <c r="M196" s="20" t="s">
        <v>721</v>
      </c>
      <c r="Q196" s="24" t="s">
        <v>680</v>
      </c>
    </row>
    <row r="197" spans="1:17" x14ac:dyDescent="0.3">
      <c r="A197" s="20">
        <f t="shared" si="3"/>
        <v>196</v>
      </c>
      <c r="B197" s="21" t="s">
        <v>87</v>
      </c>
      <c r="C197" s="21" t="s">
        <v>97</v>
      </c>
      <c r="D197" s="22" t="str">
        <f>IF($C197="","",IFERROR(VLOOKUP($C197,Map_Register!$A$2:$C$5,3,FALSE()),""))</f>
        <v>Toponym Labels</v>
      </c>
      <c r="E197" s="21" t="s">
        <v>15</v>
      </c>
      <c r="F197" s="23">
        <v>116049</v>
      </c>
      <c r="G197" s="20" t="s">
        <v>719</v>
      </c>
      <c r="H197" s="20" t="s">
        <v>902</v>
      </c>
      <c r="I197" t="s">
        <v>697</v>
      </c>
      <c r="J197" s="20" t="s">
        <v>8</v>
      </c>
      <c r="K197" t="s">
        <v>107</v>
      </c>
      <c r="L197" t="s">
        <v>108</v>
      </c>
      <c r="M197" s="20" t="s">
        <v>723</v>
      </c>
      <c r="N197" s="20" t="s">
        <v>108</v>
      </c>
      <c r="Q197" s="24" t="s">
        <v>680</v>
      </c>
    </row>
    <row r="198" spans="1:17" hidden="1" x14ac:dyDescent="0.3">
      <c r="A198" s="20">
        <f t="shared" si="3"/>
        <v>197</v>
      </c>
      <c r="B198" s="21" t="s">
        <v>87</v>
      </c>
      <c r="C198" s="21" t="s">
        <v>97</v>
      </c>
      <c r="D198" s="22" t="str">
        <f>IF($C198="","",IFERROR(VLOOKUP($C198,Map_Register!$A$2:$C$5,3,FALSE()),""))</f>
        <v>Toponym Labels</v>
      </c>
      <c r="E198" s="21" t="s">
        <v>15</v>
      </c>
      <c r="F198" s="23">
        <v>116050</v>
      </c>
      <c r="G198" s="20" t="s">
        <v>719</v>
      </c>
      <c r="H198" s="20" t="s">
        <v>903</v>
      </c>
      <c r="I198" t="s">
        <v>697</v>
      </c>
      <c r="J198" s="20" t="s">
        <v>6</v>
      </c>
      <c r="K198" s="20" t="s">
        <v>137</v>
      </c>
      <c r="L198" s="20" t="s">
        <v>137</v>
      </c>
      <c r="M198" s="20" t="s">
        <v>721</v>
      </c>
      <c r="Q198" s="24" t="s">
        <v>680</v>
      </c>
    </row>
    <row r="199" spans="1:17" hidden="1" x14ac:dyDescent="0.3">
      <c r="A199" s="20">
        <f t="shared" si="3"/>
        <v>198</v>
      </c>
      <c r="B199" s="21" t="s">
        <v>87</v>
      </c>
      <c r="C199" s="21" t="s">
        <v>97</v>
      </c>
      <c r="D199" s="22" t="str">
        <f>IF($C199="","",IFERROR(VLOOKUP($C199,Map_Register!$A$2:$C$5,3,FALSE()),""))</f>
        <v>Toponym Labels</v>
      </c>
      <c r="E199" s="21" t="s">
        <v>15</v>
      </c>
      <c r="F199" s="23">
        <v>116051</v>
      </c>
      <c r="G199" s="20" t="s">
        <v>719</v>
      </c>
      <c r="H199" s="20" t="s">
        <v>904</v>
      </c>
      <c r="I199" t="s">
        <v>697</v>
      </c>
      <c r="J199" s="20" t="s">
        <v>6</v>
      </c>
      <c r="K199" s="20" t="s">
        <v>137</v>
      </c>
      <c r="L199" s="20" t="s">
        <v>137</v>
      </c>
      <c r="M199" s="20" t="s">
        <v>721</v>
      </c>
      <c r="Q199" s="24" t="s">
        <v>680</v>
      </c>
    </row>
    <row r="200" spans="1:17" hidden="1" x14ac:dyDescent="0.3">
      <c r="A200" s="20">
        <f t="shared" si="3"/>
        <v>199</v>
      </c>
      <c r="B200" s="21" t="s">
        <v>87</v>
      </c>
      <c r="C200" s="21" t="s">
        <v>97</v>
      </c>
      <c r="D200" s="22" t="str">
        <f>IF($C200="","",IFERROR(VLOOKUP($C200,Map_Register!$A$2:$C$5,3,FALSE()),""))</f>
        <v>Toponym Labels</v>
      </c>
      <c r="E200" s="21" t="s">
        <v>15</v>
      </c>
      <c r="F200" s="23">
        <v>116052</v>
      </c>
      <c r="G200" s="20" t="s">
        <v>719</v>
      </c>
      <c r="H200" s="20" t="s">
        <v>905</v>
      </c>
      <c r="I200" t="s">
        <v>697</v>
      </c>
      <c r="J200" s="20" t="s">
        <v>6</v>
      </c>
      <c r="K200" s="20" t="s">
        <v>137</v>
      </c>
      <c r="L200" s="20" t="s">
        <v>137</v>
      </c>
      <c r="M200" s="20" t="s">
        <v>721</v>
      </c>
      <c r="Q200" s="24" t="s">
        <v>680</v>
      </c>
    </row>
    <row r="201" spans="1:17" x14ac:dyDescent="0.3">
      <c r="A201" s="20">
        <f t="shared" si="3"/>
        <v>200</v>
      </c>
      <c r="B201" s="21" t="s">
        <v>87</v>
      </c>
      <c r="C201" s="21" t="s">
        <v>97</v>
      </c>
      <c r="D201" s="22" t="str">
        <f>IF($C201="","",IFERROR(VLOOKUP($C201,Map_Register!$A$2:$C$5,3,FALSE()),""))</f>
        <v>Toponym Labels</v>
      </c>
      <c r="E201" s="21" t="s">
        <v>15</v>
      </c>
      <c r="F201" s="23">
        <v>116053</v>
      </c>
      <c r="G201" s="20" t="s">
        <v>719</v>
      </c>
      <c r="H201" s="20" t="s">
        <v>906</v>
      </c>
      <c r="I201" t="s">
        <v>697</v>
      </c>
      <c r="J201" s="20" t="s">
        <v>8</v>
      </c>
      <c r="K201" t="s">
        <v>107</v>
      </c>
      <c r="L201" t="s">
        <v>108</v>
      </c>
      <c r="M201" s="20" t="s">
        <v>723</v>
      </c>
      <c r="N201" s="20" t="s">
        <v>108</v>
      </c>
      <c r="Q201" s="24" t="s">
        <v>680</v>
      </c>
    </row>
    <row r="202" spans="1:17" hidden="1" x14ac:dyDescent="0.3">
      <c r="A202" s="20">
        <f t="shared" si="3"/>
        <v>201</v>
      </c>
      <c r="B202" s="21" t="s">
        <v>87</v>
      </c>
      <c r="C202" s="21" t="s">
        <v>97</v>
      </c>
      <c r="D202" s="22" t="str">
        <f>IF($C202="","",IFERROR(VLOOKUP($C202,Map_Register!$A$2:$C$5,3,FALSE()),""))</f>
        <v>Toponym Labels</v>
      </c>
      <c r="E202" s="21" t="s">
        <v>15</v>
      </c>
      <c r="F202" s="23">
        <v>116054</v>
      </c>
      <c r="G202" s="20" t="s">
        <v>719</v>
      </c>
      <c r="H202" s="20" t="s">
        <v>907</v>
      </c>
      <c r="I202" t="s">
        <v>697</v>
      </c>
      <c r="J202" s="20" t="s">
        <v>6</v>
      </c>
      <c r="K202" s="20" t="s">
        <v>137</v>
      </c>
      <c r="L202" s="20" t="s">
        <v>137</v>
      </c>
      <c r="M202" s="20" t="s">
        <v>721</v>
      </c>
      <c r="Q202" s="24" t="s">
        <v>680</v>
      </c>
    </row>
    <row r="203" spans="1:17" hidden="1" x14ac:dyDescent="0.3">
      <c r="A203" s="20">
        <f t="shared" si="3"/>
        <v>202</v>
      </c>
      <c r="B203" s="21" t="s">
        <v>87</v>
      </c>
      <c r="C203" s="21" t="s">
        <v>97</v>
      </c>
      <c r="D203" s="22" t="str">
        <f>IF($C203="","",IFERROR(VLOOKUP($C203,Map_Register!$A$2:$C$5,3,FALSE()),""))</f>
        <v>Toponym Labels</v>
      </c>
      <c r="E203" s="21" t="s">
        <v>15</v>
      </c>
      <c r="F203" s="23">
        <v>116055</v>
      </c>
      <c r="G203" s="20" t="s">
        <v>719</v>
      </c>
      <c r="H203" s="20" t="s">
        <v>908</v>
      </c>
      <c r="I203" t="s">
        <v>697</v>
      </c>
      <c r="J203" s="20" t="s">
        <v>8</v>
      </c>
      <c r="K203" t="s">
        <v>107</v>
      </c>
      <c r="L203" t="s">
        <v>107</v>
      </c>
      <c r="M203" s="20" t="s">
        <v>683</v>
      </c>
      <c r="N203" s="20" t="s">
        <v>108</v>
      </c>
      <c r="Q203" s="24" t="s">
        <v>680</v>
      </c>
    </row>
    <row r="204" spans="1:17" hidden="1" x14ac:dyDescent="0.3">
      <c r="A204" s="20">
        <f t="shared" si="3"/>
        <v>203</v>
      </c>
      <c r="B204" s="21" t="s">
        <v>87</v>
      </c>
      <c r="C204" s="21" t="s">
        <v>97</v>
      </c>
      <c r="D204" s="22" t="str">
        <f>IF($C204="","",IFERROR(VLOOKUP($C204,Map_Register!$A$2:$C$5,3,FALSE()),""))</f>
        <v>Toponym Labels</v>
      </c>
      <c r="E204" s="21" t="s">
        <v>15</v>
      </c>
      <c r="F204" s="23">
        <v>116056</v>
      </c>
      <c r="G204" s="20" t="s">
        <v>719</v>
      </c>
      <c r="H204" s="20" t="s">
        <v>909</v>
      </c>
      <c r="I204" t="s">
        <v>697</v>
      </c>
      <c r="J204" s="20" t="s">
        <v>6</v>
      </c>
      <c r="K204" s="20" t="s">
        <v>137</v>
      </c>
      <c r="L204" s="20" t="s">
        <v>137</v>
      </c>
      <c r="M204" s="20" t="s">
        <v>721</v>
      </c>
      <c r="Q204" s="24" t="s">
        <v>680</v>
      </c>
    </row>
    <row r="205" spans="1:17" hidden="1" x14ac:dyDescent="0.3">
      <c r="A205" s="20">
        <f t="shared" si="3"/>
        <v>204</v>
      </c>
      <c r="B205" s="21" t="s">
        <v>87</v>
      </c>
      <c r="C205" s="21" t="s">
        <v>97</v>
      </c>
      <c r="D205" s="22" t="str">
        <f>IF($C205="","",IFERROR(VLOOKUP($C205,Map_Register!$A$2:$C$5,3,FALSE()),""))</f>
        <v>Toponym Labels</v>
      </c>
      <c r="E205" s="21" t="s">
        <v>15</v>
      </c>
      <c r="F205" s="23">
        <v>116057</v>
      </c>
      <c r="G205" s="20" t="s">
        <v>719</v>
      </c>
      <c r="H205" s="20" t="s">
        <v>910</v>
      </c>
      <c r="I205" t="s">
        <v>697</v>
      </c>
      <c r="J205" s="20" t="s">
        <v>6</v>
      </c>
      <c r="K205" s="20" t="s">
        <v>137</v>
      </c>
      <c r="L205" s="20" t="s">
        <v>137</v>
      </c>
      <c r="M205" s="20" t="s">
        <v>721</v>
      </c>
      <c r="Q205" s="24" t="s">
        <v>680</v>
      </c>
    </row>
    <row r="206" spans="1:17" hidden="1" x14ac:dyDescent="0.3">
      <c r="A206" s="20">
        <f t="shared" si="3"/>
        <v>205</v>
      </c>
      <c r="B206" s="21" t="s">
        <v>87</v>
      </c>
      <c r="C206" s="21" t="s">
        <v>97</v>
      </c>
      <c r="D206" s="22" t="str">
        <f>IF($C206="","",IFERROR(VLOOKUP($C206,Map_Register!$A$2:$C$5,3,FALSE()),""))</f>
        <v>Toponym Labels</v>
      </c>
      <c r="E206" s="21" t="s">
        <v>15</v>
      </c>
      <c r="F206" s="23">
        <v>116058</v>
      </c>
      <c r="G206" s="20" t="s">
        <v>719</v>
      </c>
      <c r="H206" s="20" t="s">
        <v>911</v>
      </c>
      <c r="I206" t="s">
        <v>697</v>
      </c>
      <c r="J206" s="20" t="s">
        <v>6</v>
      </c>
      <c r="K206" s="20" t="s">
        <v>137</v>
      </c>
      <c r="L206" s="20" t="s">
        <v>137</v>
      </c>
      <c r="M206" s="20" t="s">
        <v>721</v>
      </c>
      <c r="Q206" s="24" t="s">
        <v>680</v>
      </c>
    </row>
    <row r="207" spans="1:17" hidden="1" x14ac:dyDescent="0.3">
      <c r="A207" s="20">
        <f t="shared" si="3"/>
        <v>206</v>
      </c>
      <c r="B207" s="21" t="s">
        <v>87</v>
      </c>
      <c r="C207" s="21" t="s">
        <v>97</v>
      </c>
      <c r="D207" s="22" t="str">
        <f>IF($C207="","",IFERROR(VLOOKUP($C207,Map_Register!$A$2:$C$5,3,FALSE()),""))</f>
        <v>Toponym Labels</v>
      </c>
      <c r="E207" s="21" t="s">
        <v>15</v>
      </c>
      <c r="F207" s="23">
        <v>116059</v>
      </c>
      <c r="G207" s="20" t="s">
        <v>719</v>
      </c>
      <c r="H207" s="20" t="s">
        <v>912</v>
      </c>
      <c r="I207" t="s">
        <v>697</v>
      </c>
      <c r="J207" s="20" t="s">
        <v>6</v>
      </c>
      <c r="K207" s="20" t="s">
        <v>137</v>
      </c>
      <c r="L207" s="20" t="s">
        <v>137</v>
      </c>
      <c r="M207" s="20" t="s">
        <v>721</v>
      </c>
      <c r="Q207" s="24" t="s">
        <v>680</v>
      </c>
    </row>
    <row r="208" spans="1:17" x14ac:dyDescent="0.3">
      <c r="A208" s="20">
        <f t="shared" si="3"/>
        <v>207</v>
      </c>
      <c r="B208" s="21" t="s">
        <v>87</v>
      </c>
      <c r="C208" s="21" t="s">
        <v>97</v>
      </c>
      <c r="D208" s="22" t="str">
        <f>IF($C208="","",IFERROR(VLOOKUP($C208,Map_Register!$A$2:$C$5,3,FALSE()),""))</f>
        <v>Toponym Labels</v>
      </c>
      <c r="E208" s="21" t="s">
        <v>15</v>
      </c>
      <c r="F208" s="23">
        <v>116060</v>
      </c>
      <c r="G208" s="20" t="s">
        <v>719</v>
      </c>
      <c r="H208" s="20" t="s">
        <v>913</v>
      </c>
      <c r="I208" t="s">
        <v>697</v>
      </c>
      <c r="J208" s="20" t="s">
        <v>8</v>
      </c>
      <c r="K208" t="s">
        <v>107</v>
      </c>
      <c r="L208" t="s">
        <v>108</v>
      </c>
      <c r="M208" s="20" t="s">
        <v>723</v>
      </c>
      <c r="N208" s="20" t="s">
        <v>108</v>
      </c>
      <c r="Q208" s="24" t="s">
        <v>680</v>
      </c>
    </row>
    <row r="209" spans="1:17" hidden="1" x14ac:dyDescent="0.3">
      <c r="A209" s="20">
        <f t="shared" si="3"/>
        <v>208</v>
      </c>
      <c r="B209" s="21" t="s">
        <v>87</v>
      </c>
      <c r="C209" s="21" t="s">
        <v>97</v>
      </c>
      <c r="D209" s="22" t="str">
        <f>IF($C209="","",IFERROR(VLOOKUP($C209,Map_Register!$A$2:$C$5,3,FALSE()),""))</f>
        <v>Toponym Labels</v>
      </c>
      <c r="E209" s="21" t="s">
        <v>15</v>
      </c>
      <c r="F209" s="23">
        <v>116061</v>
      </c>
      <c r="G209" s="20" t="s">
        <v>719</v>
      </c>
      <c r="H209" s="20" t="s">
        <v>914</v>
      </c>
      <c r="I209" t="s">
        <v>697</v>
      </c>
      <c r="J209" s="20" t="s">
        <v>6</v>
      </c>
      <c r="K209" s="20" t="s">
        <v>137</v>
      </c>
      <c r="L209" s="20" t="s">
        <v>137</v>
      </c>
      <c r="M209" s="20" t="s">
        <v>721</v>
      </c>
      <c r="Q209" s="24" t="s">
        <v>680</v>
      </c>
    </row>
    <row r="210" spans="1:17" x14ac:dyDescent="0.3">
      <c r="A210" s="20">
        <f t="shared" si="3"/>
        <v>209</v>
      </c>
      <c r="B210" s="21" t="s">
        <v>87</v>
      </c>
      <c r="C210" s="21" t="s">
        <v>97</v>
      </c>
      <c r="D210" s="22" t="str">
        <f>IF($C210="","",IFERROR(VLOOKUP($C210,Map_Register!$A$2:$C$5,3,FALSE()),""))</f>
        <v>Toponym Labels</v>
      </c>
      <c r="E210" s="21" t="s">
        <v>15</v>
      </c>
      <c r="F210" s="23">
        <v>116062</v>
      </c>
      <c r="G210" s="20" t="s">
        <v>719</v>
      </c>
      <c r="H210" s="20" t="s">
        <v>915</v>
      </c>
      <c r="I210" t="s">
        <v>697</v>
      </c>
      <c r="J210" s="20" t="s">
        <v>8</v>
      </c>
      <c r="K210" t="s">
        <v>107</v>
      </c>
      <c r="L210" t="s">
        <v>108</v>
      </c>
      <c r="M210" s="20" t="s">
        <v>723</v>
      </c>
      <c r="N210" s="20" t="s">
        <v>108</v>
      </c>
      <c r="Q210" s="24" t="s">
        <v>680</v>
      </c>
    </row>
    <row r="211" spans="1:17" x14ac:dyDescent="0.3">
      <c r="A211" s="20">
        <f t="shared" si="3"/>
        <v>210</v>
      </c>
      <c r="B211" s="21" t="s">
        <v>87</v>
      </c>
      <c r="C211" s="21" t="s">
        <v>97</v>
      </c>
      <c r="D211" s="22" t="str">
        <f>IF($C211="","",IFERROR(VLOOKUP($C211,Map_Register!$A$2:$C$5,3,FALSE()),""))</f>
        <v>Toponym Labels</v>
      </c>
      <c r="E211" s="21" t="s">
        <v>15</v>
      </c>
      <c r="F211" s="23">
        <v>116063</v>
      </c>
      <c r="G211" s="20" t="s">
        <v>719</v>
      </c>
      <c r="H211" s="20" t="s">
        <v>916</v>
      </c>
      <c r="I211" t="s">
        <v>697</v>
      </c>
      <c r="J211" s="20" t="s">
        <v>8</v>
      </c>
      <c r="K211" t="s">
        <v>107</v>
      </c>
      <c r="L211" t="s">
        <v>108</v>
      </c>
      <c r="M211" s="20" t="s">
        <v>723</v>
      </c>
      <c r="N211" s="20" t="s">
        <v>108</v>
      </c>
      <c r="Q211" s="24" t="s">
        <v>680</v>
      </c>
    </row>
    <row r="212" spans="1:17" x14ac:dyDescent="0.3">
      <c r="A212" s="20">
        <f t="shared" si="3"/>
        <v>211</v>
      </c>
      <c r="B212" s="21" t="s">
        <v>87</v>
      </c>
      <c r="C212" s="21" t="s">
        <v>97</v>
      </c>
      <c r="D212" s="22" t="str">
        <f>IF($C212="","",IFERROR(VLOOKUP($C212,Map_Register!$A$2:$C$5,3,FALSE()),""))</f>
        <v>Toponym Labels</v>
      </c>
      <c r="E212" s="21" t="s">
        <v>15</v>
      </c>
      <c r="F212" s="23">
        <v>116064</v>
      </c>
      <c r="G212" s="20" t="s">
        <v>719</v>
      </c>
      <c r="H212" s="20" t="s">
        <v>917</v>
      </c>
      <c r="I212" t="s">
        <v>697</v>
      </c>
      <c r="J212" s="20" t="s">
        <v>8</v>
      </c>
      <c r="K212" t="s">
        <v>107</v>
      </c>
      <c r="L212" t="s">
        <v>108</v>
      </c>
      <c r="M212" s="20" t="s">
        <v>723</v>
      </c>
      <c r="N212" s="20" t="s">
        <v>108</v>
      </c>
      <c r="Q212" s="24" t="s">
        <v>680</v>
      </c>
    </row>
    <row r="213" spans="1:17" hidden="1" x14ac:dyDescent="0.3">
      <c r="A213" s="20">
        <f t="shared" si="3"/>
        <v>212</v>
      </c>
      <c r="B213" s="21" t="s">
        <v>87</v>
      </c>
      <c r="C213" s="21" t="s">
        <v>97</v>
      </c>
      <c r="D213" s="22" t="str">
        <f>IF($C213="","",IFERROR(VLOOKUP($C213,Map_Register!$A$2:$C$5,3,FALSE()),""))</f>
        <v>Toponym Labels</v>
      </c>
      <c r="E213" s="21" t="s">
        <v>15</v>
      </c>
      <c r="F213" s="23">
        <v>116065</v>
      </c>
      <c r="G213" s="20" t="s">
        <v>719</v>
      </c>
      <c r="H213" s="20" t="s">
        <v>799</v>
      </c>
      <c r="I213" t="s">
        <v>697</v>
      </c>
      <c r="J213" s="20" t="s">
        <v>8</v>
      </c>
      <c r="K213" t="s">
        <v>107</v>
      </c>
      <c r="L213" t="s">
        <v>107</v>
      </c>
      <c r="M213" s="20" t="s">
        <v>918</v>
      </c>
      <c r="N213" s="20" t="s">
        <v>108</v>
      </c>
      <c r="Q213" s="24" t="s">
        <v>680</v>
      </c>
    </row>
    <row r="214" spans="1:17" x14ac:dyDescent="0.3">
      <c r="A214" s="20">
        <f t="shared" si="3"/>
        <v>213</v>
      </c>
      <c r="B214" s="21" t="s">
        <v>87</v>
      </c>
      <c r="C214" s="21" t="s">
        <v>97</v>
      </c>
      <c r="D214" s="22" t="str">
        <f>IF($C214="","",IFERROR(VLOOKUP($C214,Map_Register!$A$2:$C$5,3,FALSE()),""))</f>
        <v>Toponym Labels</v>
      </c>
      <c r="E214" s="21" t="s">
        <v>15</v>
      </c>
      <c r="F214" s="23">
        <v>116066</v>
      </c>
      <c r="G214" s="20" t="s">
        <v>719</v>
      </c>
      <c r="H214" s="20" t="s">
        <v>919</v>
      </c>
      <c r="I214" t="s">
        <v>697</v>
      </c>
      <c r="J214" s="20" t="s">
        <v>8</v>
      </c>
      <c r="K214" t="s">
        <v>107</v>
      </c>
      <c r="L214" t="s">
        <v>108</v>
      </c>
      <c r="M214" s="20" t="s">
        <v>723</v>
      </c>
      <c r="N214" s="20" t="s">
        <v>108</v>
      </c>
      <c r="Q214" s="24" t="s">
        <v>680</v>
      </c>
    </row>
    <row r="215" spans="1:17" hidden="1" x14ac:dyDescent="0.3">
      <c r="A215" s="20">
        <f t="shared" si="3"/>
        <v>214</v>
      </c>
      <c r="B215" s="21" t="s">
        <v>87</v>
      </c>
      <c r="C215" s="21" t="s">
        <v>97</v>
      </c>
      <c r="D215" s="22" t="str">
        <f>IF($C215="","",IFERROR(VLOOKUP($C215,Map_Register!$A$2:$C$5,3,FALSE()),""))</f>
        <v>Toponym Labels</v>
      </c>
      <c r="E215" s="21" t="s">
        <v>15</v>
      </c>
      <c r="F215" s="23">
        <v>116087</v>
      </c>
      <c r="G215" s="20" t="s">
        <v>719</v>
      </c>
      <c r="H215" s="20" t="s">
        <v>920</v>
      </c>
      <c r="I215" t="s">
        <v>697</v>
      </c>
      <c r="J215" s="20" t="s">
        <v>6</v>
      </c>
      <c r="K215" s="20" t="s">
        <v>137</v>
      </c>
      <c r="L215" s="20" t="s">
        <v>137</v>
      </c>
      <c r="M215" s="20" t="s">
        <v>721</v>
      </c>
      <c r="Q215" s="24" t="s">
        <v>680</v>
      </c>
    </row>
    <row r="216" spans="1:17" hidden="1" x14ac:dyDescent="0.3">
      <c r="A216" s="20">
        <f t="shared" si="3"/>
        <v>215</v>
      </c>
      <c r="B216" s="21" t="s">
        <v>87</v>
      </c>
      <c r="C216" s="21" t="s">
        <v>97</v>
      </c>
      <c r="D216" s="22" t="str">
        <f>IF($C216="","",IFERROR(VLOOKUP($C216,Map_Register!$A$2:$C$5,3,FALSE()),""))</f>
        <v>Toponym Labels</v>
      </c>
      <c r="E216" s="21" t="s">
        <v>15</v>
      </c>
      <c r="F216" s="23">
        <v>116105</v>
      </c>
      <c r="G216" s="20" t="s">
        <v>719</v>
      </c>
      <c r="H216" s="20" t="s">
        <v>921</v>
      </c>
      <c r="I216" t="s">
        <v>697</v>
      </c>
      <c r="J216" s="20" t="s">
        <v>6</v>
      </c>
      <c r="K216" s="20" t="s">
        <v>137</v>
      </c>
      <c r="L216" s="20" t="s">
        <v>137</v>
      </c>
      <c r="M216" s="20" t="s">
        <v>721</v>
      </c>
      <c r="Q216" s="24" t="s">
        <v>680</v>
      </c>
    </row>
    <row r="217" spans="1:17" hidden="1" x14ac:dyDescent="0.3">
      <c r="A217" s="20">
        <f t="shared" si="3"/>
        <v>216</v>
      </c>
      <c r="B217" s="21" t="s">
        <v>87</v>
      </c>
      <c r="C217" s="21" t="s">
        <v>97</v>
      </c>
      <c r="D217" s="22" t="str">
        <f>IF($C217="","",IFERROR(VLOOKUP($C217,Map_Register!$A$2:$C$5,3,FALSE()),""))</f>
        <v>Toponym Labels</v>
      </c>
      <c r="E217" s="21" t="s">
        <v>15</v>
      </c>
      <c r="F217" s="23">
        <v>116106</v>
      </c>
      <c r="G217" s="20" t="s">
        <v>719</v>
      </c>
      <c r="H217" s="20" t="s">
        <v>922</v>
      </c>
      <c r="I217" t="s">
        <v>697</v>
      </c>
      <c r="J217" s="20" t="s">
        <v>8</v>
      </c>
      <c r="K217" t="s">
        <v>107</v>
      </c>
      <c r="L217" t="s">
        <v>107</v>
      </c>
      <c r="M217" s="20" t="s">
        <v>683</v>
      </c>
      <c r="N217" s="20" t="s">
        <v>108</v>
      </c>
      <c r="Q217" s="24" t="s">
        <v>680</v>
      </c>
    </row>
    <row r="218" spans="1:17" x14ac:dyDescent="0.3">
      <c r="A218" s="20">
        <f t="shared" si="3"/>
        <v>217</v>
      </c>
      <c r="B218" s="21" t="s">
        <v>87</v>
      </c>
      <c r="C218" s="21" t="s">
        <v>97</v>
      </c>
      <c r="D218" s="22" t="str">
        <f>IF($C218="","",IFERROR(VLOOKUP($C218,Map_Register!$A$2:$C$5,3,FALSE()),""))</f>
        <v>Toponym Labels</v>
      </c>
      <c r="E218" s="21" t="s">
        <v>15</v>
      </c>
      <c r="F218" s="23">
        <v>116112</v>
      </c>
      <c r="G218" s="20" t="s">
        <v>719</v>
      </c>
      <c r="H218" s="20" t="s">
        <v>923</v>
      </c>
      <c r="I218" t="s">
        <v>697</v>
      </c>
      <c r="J218" s="20" t="s">
        <v>8</v>
      </c>
      <c r="K218" t="s">
        <v>107</v>
      </c>
      <c r="L218" t="s">
        <v>108</v>
      </c>
      <c r="M218" s="20" t="s">
        <v>723</v>
      </c>
      <c r="N218" s="20" t="s">
        <v>108</v>
      </c>
      <c r="Q218" s="24" t="s">
        <v>680</v>
      </c>
    </row>
    <row r="219" spans="1:17" hidden="1" x14ac:dyDescent="0.3">
      <c r="A219" s="20">
        <f t="shared" si="3"/>
        <v>218</v>
      </c>
      <c r="B219" s="21" t="s">
        <v>87</v>
      </c>
      <c r="C219" s="21" t="s">
        <v>97</v>
      </c>
      <c r="D219" s="22" t="str">
        <f>IF($C219="","",IFERROR(VLOOKUP($C219,Map_Register!$A$2:$C$5,3,FALSE()),""))</f>
        <v>Toponym Labels</v>
      </c>
      <c r="E219" s="21" t="s">
        <v>15</v>
      </c>
      <c r="F219" s="23">
        <v>116113</v>
      </c>
      <c r="G219" s="20" t="s">
        <v>719</v>
      </c>
      <c r="H219" s="20" t="s">
        <v>924</v>
      </c>
      <c r="I219" t="s">
        <v>697</v>
      </c>
      <c r="J219" s="20" t="s">
        <v>6</v>
      </c>
      <c r="K219" s="20" t="s">
        <v>137</v>
      </c>
      <c r="L219" s="20" t="s">
        <v>137</v>
      </c>
      <c r="M219" s="20" t="s">
        <v>721</v>
      </c>
      <c r="Q219" s="24" t="s">
        <v>680</v>
      </c>
    </row>
    <row r="220" spans="1:17" x14ac:dyDescent="0.3">
      <c r="A220" s="20">
        <f t="shared" si="3"/>
        <v>219</v>
      </c>
      <c r="B220" s="21" t="s">
        <v>87</v>
      </c>
      <c r="C220" s="21" t="s">
        <v>97</v>
      </c>
      <c r="D220" s="22" t="str">
        <f>IF($C220="","",IFERROR(VLOOKUP($C220,Map_Register!$A$2:$C$5,3,FALSE()),""))</f>
        <v>Toponym Labels</v>
      </c>
      <c r="E220" s="21" t="s">
        <v>15</v>
      </c>
      <c r="F220" s="23">
        <v>116114</v>
      </c>
      <c r="G220" s="20" t="s">
        <v>719</v>
      </c>
      <c r="H220" s="20" t="s">
        <v>925</v>
      </c>
      <c r="I220" t="s">
        <v>697</v>
      </c>
      <c r="J220" s="20" t="s">
        <v>8</v>
      </c>
      <c r="K220" t="s">
        <v>107</v>
      </c>
      <c r="L220" t="s">
        <v>108</v>
      </c>
      <c r="M220" s="20" t="s">
        <v>723</v>
      </c>
      <c r="N220" s="20" t="s">
        <v>108</v>
      </c>
      <c r="Q220" s="24" t="s">
        <v>680</v>
      </c>
    </row>
    <row r="221" spans="1:17" hidden="1" x14ac:dyDescent="0.3">
      <c r="A221" s="20">
        <f t="shared" si="3"/>
        <v>220</v>
      </c>
      <c r="B221" s="21" t="s">
        <v>87</v>
      </c>
      <c r="C221" s="21" t="s">
        <v>97</v>
      </c>
      <c r="D221" s="22" t="str">
        <f>IF($C221="","",IFERROR(VLOOKUP($C221,Map_Register!$A$2:$C$5,3,FALSE()),""))</f>
        <v>Toponym Labels</v>
      </c>
      <c r="E221" s="21" t="s">
        <v>15</v>
      </c>
      <c r="F221" s="23">
        <v>116115</v>
      </c>
      <c r="G221" s="20" t="s">
        <v>719</v>
      </c>
      <c r="H221" s="20" t="s">
        <v>926</v>
      </c>
      <c r="I221" t="s">
        <v>697</v>
      </c>
      <c r="J221" s="20" t="s">
        <v>6</v>
      </c>
      <c r="K221" s="20" t="s">
        <v>137</v>
      </c>
      <c r="L221" s="20" t="s">
        <v>137</v>
      </c>
      <c r="M221" s="20" t="s">
        <v>927</v>
      </c>
      <c r="Q221" s="24" t="s">
        <v>680</v>
      </c>
    </row>
    <row r="222" spans="1:17" x14ac:dyDescent="0.3">
      <c r="A222" s="20">
        <f t="shared" si="3"/>
        <v>221</v>
      </c>
      <c r="B222" s="21" t="s">
        <v>87</v>
      </c>
      <c r="C222" s="21" t="s">
        <v>97</v>
      </c>
      <c r="D222" s="22" t="str">
        <f>IF($C222="","",IFERROR(VLOOKUP($C222,Map_Register!$A$2:$C$5,3,FALSE()),""))</f>
        <v>Toponym Labels</v>
      </c>
      <c r="E222" s="21" t="s">
        <v>15</v>
      </c>
      <c r="F222" s="23">
        <v>116116</v>
      </c>
      <c r="G222" s="20" t="s">
        <v>719</v>
      </c>
      <c r="H222" s="20" t="s">
        <v>928</v>
      </c>
      <c r="I222" t="s">
        <v>697</v>
      </c>
      <c r="J222" s="20" t="s">
        <v>8</v>
      </c>
      <c r="K222" t="s">
        <v>107</v>
      </c>
      <c r="L222" t="s">
        <v>108</v>
      </c>
      <c r="M222" s="20" t="s">
        <v>723</v>
      </c>
      <c r="N222" s="20" t="s">
        <v>108</v>
      </c>
      <c r="Q222" s="24" t="s">
        <v>680</v>
      </c>
    </row>
    <row r="223" spans="1:17" hidden="1" x14ac:dyDescent="0.3">
      <c r="A223" s="20">
        <f t="shared" si="3"/>
        <v>222</v>
      </c>
      <c r="B223" s="21" t="s">
        <v>87</v>
      </c>
      <c r="C223" s="21" t="s">
        <v>97</v>
      </c>
      <c r="D223" s="22" t="str">
        <f>IF($C223="","",IFERROR(VLOOKUP($C223,Map_Register!$A$2:$C$5,3,FALSE()),""))</f>
        <v>Toponym Labels</v>
      </c>
      <c r="E223" s="21" t="s">
        <v>15</v>
      </c>
      <c r="F223" s="23">
        <v>116117</v>
      </c>
      <c r="G223" s="20" t="s">
        <v>719</v>
      </c>
      <c r="H223" s="20" t="s">
        <v>929</v>
      </c>
      <c r="I223" t="s">
        <v>697</v>
      </c>
      <c r="J223" s="20" t="s">
        <v>8</v>
      </c>
      <c r="K223" t="s">
        <v>107</v>
      </c>
      <c r="L223" t="s">
        <v>107</v>
      </c>
      <c r="M223" s="20" t="s">
        <v>683</v>
      </c>
      <c r="N223" s="20" t="s">
        <v>108</v>
      </c>
      <c r="Q223" s="24" t="s">
        <v>680</v>
      </c>
    </row>
    <row r="224" spans="1:17" hidden="1" x14ac:dyDescent="0.3">
      <c r="A224" s="20">
        <f t="shared" si="3"/>
        <v>223</v>
      </c>
      <c r="B224" s="21" t="s">
        <v>87</v>
      </c>
      <c r="C224" s="21" t="s">
        <v>97</v>
      </c>
      <c r="D224" s="22" t="str">
        <f>IF($C224="","",IFERROR(VLOOKUP($C224,Map_Register!$A$2:$C$5,3,FALSE()),""))</f>
        <v>Toponym Labels</v>
      </c>
      <c r="E224" s="21" t="s">
        <v>15</v>
      </c>
      <c r="F224" s="23">
        <v>116118</v>
      </c>
      <c r="G224" s="20" t="s">
        <v>719</v>
      </c>
      <c r="H224" s="20" t="s">
        <v>930</v>
      </c>
      <c r="I224" t="s">
        <v>697</v>
      </c>
      <c r="J224" s="20" t="s">
        <v>6</v>
      </c>
      <c r="K224" s="20" t="s">
        <v>137</v>
      </c>
      <c r="L224" s="20" t="s">
        <v>137</v>
      </c>
      <c r="M224" s="20" t="s">
        <v>721</v>
      </c>
      <c r="Q224" s="24" t="s">
        <v>680</v>
      </c>
    </row>
    <row r="225" spans="1:17" hidden="1" x14ac:dyDescent="0.3">
      <c r="A225" s="20">
        <f t="shared" si="3"/>
        <v>224</v>
      </c>
      <c r="B225" s="21" t="s">
        <v>87</v>
      </c>
      <c r="C225" s="21" t="s">
        <v>97</v>
      </c>
      <c r="D225" s="22" t="str">
        <f>IF($C225="","",IFERROR(VLOOKUP($C225,Map_Register!$A$2:$C$5,3,FALSE()),""))</f>
        <v>Toponym Labels</v>
      </c>
      <c r="E225" s="21" t="s">
        <v>15</v>
      </c>
      <c r="F225" s="23">
        <v>116119</v>
      </c>
      <c r="G225" s="20" t="s">
        <v>719</v>
      </c>
      <c r="H225" s="20" t="s">
        <v>931</v>
      </c>
      <c r="I225" t="s">
        <v>697</v>
      </c>
      <c r="J225" s="20" t="s">
        <v>6</v>
      </c>
      <c r="K225" s="20" t="s">
        <v>137</v>
      </c>
      <c r="L225" s="20" t="s">
        <v>137</v>
      </c>
      <c r="M225" s="20" t="s">
        <v>721</v>
      </c>
      <c r="Q225" s="24" t="s">
        <v>680</v>
      </c>
    </row>
    <row r="226" spans="1:17" x14ac:dyDescent="0.3">
      <c r="A226" s="20">
        <f t="shared" si="3"/>
        <v>225</v>
      </c>
      <c r="B226" s="21" t="s">
        <v>87</v>
      </c>
      <c r="C226" s="21" t="s">
        <v>97</v>
      </c>
      <c r="D226" s="22" t="str">
        <f>IF($C226="","",IFERROR(VLOOKUP($C226,Map_Register!$A$2:$C$5,3,FALSE()),""))</f>
        <v>Toponym Labels</v>
      </c>
      <c r="E226" s="21" t="s">
        <v>15</v>
      </c>
      <c r="F226" s="23">
        <v>116120</v>
      </c>
      <c r="G226" s="20" t="s">
        <v>719</v>
      </c>
      <c r="H226" s="20" t="s">
        <v>795</v>
      </c>
      <c r="I226" t="s">
        <v>697</v>
      </c>
      <c r="J226" s="20" t="s">
        <v>8</v>
      </c>
      <c r="K226" t="s">
        <v>107</v>
      </c>
      <c r="L226" t="s">
        <v>108</v>
      </c>
      <c r="M226" s="20" t="s">
        <v>723</v>
      </c>
      <c r="N226" s="20" t="s">
        <v>108</v>
      </c>
      <c r="Q226" s="24" t="s">
        <v>680</v>
      </c>
    </row>
    <row r="227" spans="1:17" x14ac:dyDescent="0.3">
      <c r="A227" s="20">
        <f t="shared" si="3"/>
        <v>226</v>
      </c>
      <c r="B227" s="21" t="s">
        <v>87</v>
      </c>
      <c r="C227" s="21" t="s">
        <v>97</v>
      </c>
      <c r="D227" s="22" t="str">
        <f>IF($C227="","",IFERROR(VLOOKUP($C227,Map_Register!$A$2:$C$5,3,FALSE()),""))</f>
        <v>Toponym Labels</v>
      </c>
      <c r="E227" s="21" t="s">
        <v>15</v>
      </c>
      <c r="F227" s="23">
        <v>116121</v>
      </c>
      <c r="G227" s="20" t="s">
        <v>719</v>
      </c>
      <c r="H227" s="20" t="s">
        <v>932</v>
      </c>
      <c r="I227" t="s">
        <v>697</v>
      </c>
      <c r="J227" s="20" t="s">
        <v>8</v>
      </c>
      <c r="K227" t="s">
        <v>107</v>
      </c>
      <c r="L227" t="s">
        <v>108</v>
      </c>
      <c r="M227" s="20" t="s">
        <v>723</v>
      </c>
      <c r="N227" s="20" t="s">
        <v>108</v>
      </c>
      <c r="Q227" s="24" t="s">
        <v>680</v>
      </c>
    </row>
    <row r="228" spans="1:17" hidden="1" x14ac:dyDescent="0.3">
      <c r="A228" s="20">
        <f t="shared" si="3"/>
        <v>227</v>
      </c>
      <c r="B228" s="21" t="s">
        <v>87</v>
      </c>
      <c r="C228" s="21" t="s">
        <v>97</v>
      </c>
      <c r="D228" s="22" t="str">
        <f>IF($C228="","",IFERROR(VLOOKUP($C228,Map_Register!$A$2:$C$5,3,FALSE()),""))</f>
        <v>Toponym Labels</v>
      </c>
      <c r="E228" s="21" t="s">
        <v>15</v>
      </c>
      <c r="F228" s="23">
        <v>116122</v>
      </c>
      <c r="G228" s="20" t="s">
        <v>719</v>
      </c>
      <c r="H228" s="20" t="s">
        <v>933</v>
      </c>
      <c r="I228" t="s">
        <v>697</v>
      </c>
      <c r="J228" s="20" t="s">
        <v>8</v>
      </c>
      <c r="K228" t="s">
        <v>107</v>
      </c>
      <c r="L228" t="s">
        <v>107</v>
      </c>
      <c r="M228" s="20" t="s">
        <v>683</v>
      </c>
      <c r="N228" s="20" t="s">
        <v>108</v>
      </c>
      <c r="Q228" s="24" t="s">
        <v>680</v>
      </c>
    </row>
    <row r="229" spans="1:17" hidden="1" x14ac:dyDescent="0.3">
      <c r="A229" s="20">
        <f t="shared" si="3"/>
        <v>228</v>
      </c>
      <c r="B229" s="21" t="s">
        <v>87</v>
      </c>
      <c r="C229" s="21" t="s">
        <v>97</v>
      </c>
      <c r="D229" s="22" t="str">
        <f>IF($C229="","",IFERROR(VLOOKUP($C229,Map_Register!$A$2:$C$5,3,FALSE()),""))</f>
        <v>Toponym Labels</v>
      </c>
      <c r="E229" s="21" t="s">
        <v>15</v>
      </c>
      <c r="F229" s="23">
        <v>116124</v>
      </c>
      <c r="G229" s="20" t="s">
        <v>719</v>
      </c>
      <c r="H229" s="20" t="s">
        <v>934</v>
      </c>
      <c r="I229" t="s">
        <v>697</v>
      </c>
      <c r="J229" s="20" t="s">
        <v>6</v>
      </c>
      <c r="K229" s="20" t="s">
        <v>137</v>
      </c>
      <c r="L229" s="20" t="s">
        <v>137</v>
      </c>
      <c r="M229" s="20" t="s">
        <v>721</v>
      </c>
      <c r="Q229" s="24" t="s">
        <v>680</v>
      </c>
    </row>
    <row r="230" spans="1:17" hidden="1" x14ac:dyDescent="0.3">
      <c r="A230" s="20">
        <f t="shared" si="3"/>
        <v>229</v>
      </c>
      <c r="B230" s="21" t="s">
        <v>87</v>
      </c>
      <c r="C230" s="21" t="s">
        <v>97</v>
      </c>
      <c r="D230" s="22" t="str">
        <f>IF($C230="","",IFERROR(VLOOKUP($C230,Map_Register!$A$2:$C$5,3,FALSE()),""))</f>
        <v>Toponym Labels</v>
      </c>
      <c r="E230" s="21" t="s">
        <v>15</v>
      </c>
      <c r="F230" s="23">
        <v>116125</v>
      </c>
      <c r="G230" s="20" t="s">
        <v>719</v>
      </c>
      <c r="H230" s="20" t="s">
        <v>935</v>
      </c>
      <c r="I230" t="s">
        <v>697</v>
      </c>
      <c r="J230" s="20" t="s">
        <v>6</v>
      </c>
      <c r="K230" s="20" t="s">
        <v>137</v>
      </c>
      <c r="L230" s="20" t="s">
        <v>137</v>
      </c>
      <c r="M230" s="20" t="s">
        <v>721</v>
      </c>
      <c r="Q230" s="24" t="s">
        <v>680</v>
      </c>
    </row>
    <row r="231" spans="1:17" hidden="1" x14ac:dyDescent="0.3">
      <c r="A231" s="20">
        <f t="shared" si="3"/>
        <v>230</v>
      </c>
      <c r="B231" s="21" t="s">
        <v>87</v>
      </c>
      <c r="C231" s="21" t="s">
        <v>97</v>
      </c>
      <c r="D231" s="22" t="str">
        <f>IF($C231="","",IFERROR(VLOOKUP($C231,Map_Register!$A$2:$C$5,3,FALSE()),""))</f>
        <v>Toponym Labels</v>
      </c>
      <c r="E231" s="21" t="s">
        <v>15</v>
      </c>
      <c r="F231" s="23">
        <v>119395</v>
      </c>
      <c r="G231" s="20" t="s">
        <v>719</v>
      </c>
      <c r="H231" s="20" t="s">
        <v>936</v>
      </c>
      <c r="I231" t="s">
        <v>697</v>
      </c>
      <c r="J231" s="20" t="s">
        <v>6</v>
      </c>
      <c r="K231" s="20" t="s">
        <v>137</v>
      </c>
      <c r="L231" s="20" t="s">
        <v>137</v>
      </c>
      <c r="M231" s="20" t="s">
        <v>721</v>
      </c>
      <c r="Q231" s="24" t="s">
        <v>680</v>
      </c>
    </row>
    <row r="232" spans="1:17" hidden="1" x14ac:dyDescent="0.3">
      <c r="A232" s="20">
        <f t="shared" si="3"/>
        <v>231</v>
      </c>
      <c r="B232" s="21" t="s">
        <v>87</v>
      </c>
      <c r="C232" s="21" t="s">
        <v>97</v>
      </c>
      <c r="D232" s="22" t="str">
        <f>IF($C232="","",IFERROR(VLOOKUP($C232,Map_Register!$A$2:$C$5,3,FALSE()),""))</f>
        <v>Toponym Labels</v>
      </c>
      <c r="E232" s="21" t="s">
        <v>15</v>
      </c>
      <c r="F232" s="23">
        <v>119396</v>
      </c>
      <c r="G232" s="20" t="s">
        <v>719</v>
      </c>
      <c r="H232" s="20" t="s">
        <v>937</v>
      </c>
      <c r="I232" t="s">
        <v>697</v>
      </c>
      <c r="J232" s="20" t="s">
        <v>8</v>
      </c>
      <c r="K232" t="s">
        <v>107</v>
      </c>
      <c r="L232" t="s">
        <v>107</v>
      </c>
      <c r="M232" s="20" t="s">
        <v>683</v>
      </c>
      <c r="N232" s="20" t="s">
        <v>108</v>
      </c>
      <c r="Q232" s="24" t="s">
        <v>680</v>
      </c>
    </row>
    <row r="233" spans="1:17" hidden="1" x14ac:dyDescent="0.3">
      <c r="A233" s="20">
        <f t="shared" si="3"/>
        <v>232</v>
      </c>
      <c r="B233" s="21" t="s">
        <v>87</v>
      </c>
      <c r="C233" s="21" t="s">
        <v>97</v>
      </c>
      <c r="D233" s="22" t="str">
        <f>IF($C233="","",IFERROR(VLOOKUP($C233,Map_Register!$A$2:$C$5,3,FALSE()),""))</f>
        <v>Toponym Labels</v>
      </c>
      <c r="E233" s="21" t="s">
        <v>15</v>
      </c>
      <c r="F233" s="23">
        <v>119397</v>
      </c>
      <c r="G233" s="20" t="s">
        <v>719</v>
      </c>
      <c r="H233" s="20" t="s">
        <v>938</v>
      </c>
      <c r="I233" t="s">
        <v>697</v>
      </c>
      <c r="J233" s="20" t="s">
        <v>8</v>
      </c>
      <c r="K233" t="s">
        <v>107</v>
      </c>
      <c r="L233" t="s">
        <v>107</v>
      </c>
      <c r="M233" s="20" t="s">
        <v>683</v>
      </c>
      <c r="N233" s="20" t="s">
        <v>108</v>
      </c>
      <c r="Q233" s="24" t="s">
        <v>680</v>
      </c>
    </row>
    <row r="234" spans="1:17" x14ac:dyDescent="0.3">
      <c r="A234" s="20">
        <f t="shared" si="3"/>
        <v>233</v>
      </c>
      <c r="B234" s="21" t="s">
        <v>87</v>
      </c>
      <c r="C234" s="21" t="s">
        <v>97</v>
      </c>
      <c r="D234" s="22" t="str">
        <f>IF($C234="","",IFERROR(VLOOKUP($C234,Map_Register!$A$2:$C$5,3,FALSE()),""))</f>
        <v>Toponym Labels</v>
      </c>
      <c r="E234" s="21" t="s">
        <v>15</v>
      </c>
      <c r="F234" s="23">
        <v>119398</v>
      </c>
      <c r="G234" s="20" t="s">
        <v>719</v>
      </c>
      <c r="H234" s="20" t="s">
        <v>939</v>
      </c>
      <c r="I234" t="s">
        <v>697</v>
      </c>
      <c r="J234" s="20" t="s">
        <v>8</v>
      </c>
      <c r="K234" t="s">
        <v>107</v>
      </c>
      <c r="L234" t="s">
        <v>108</v>
      </c>
      <c r="M234" s="20" t="s">
        <v>723</v>
      </c>
      <c r="N234" s="20" t="s">
        <v>108</v>
      </c>
      <c r="Q234" s="24" t="s">
        <v>680</v>
      </c>
    </row>
    <row r="235" spans="1:17" hidden="1" x14ac:dyDescent="0.3">
      <c r="A235" s="20">
        <f t="shared" si="3"/>
        <v>234</v>
      </c>
      <c r="B235" s="21" t="s">
        <v>87</v>
      </c>
      <c r="C235" s="21" t="s">
        <v>97</v>
      </c>
      <c r="D235" s="22" t="str">
        <f>IF($C235="","",IFERROR(VLOOKUP($C235,Map_Register!$A$2:$C$5,3,FALSE()),""))</f>
        <v>Toponym Labels</v>
      </c>
      <c r="E235" s="21" t="s">
        <v>15</v>
      </c>
      <c r="F235" s="23">
        <v>119399</v>
      </c>
      <c r="G235" s="20" t="s">
        <v>719</v>
      </c>
      <c r="H235" s="20" t="s">
        <v>940</v>
      </c>
      <c r="I235" t="s">
        <v>697</v>
      </c>
      <c r="J235" s="20" t="s">
        <v>6</v>
      </c>
      <c r="K235" s="20" t="s">
        <v>137</v>
      </c>
      <c r="L235" s="20" t="s">
        <v>137</v>
      </c>
      <c r="M235" s="20" t="s">
        <v>721</v>
      </c>
      <c r="Q235" s="24" t="s">
        <v>680</v>
      </c>
    </row>
    <row r="236" spans="1:17" x14ac:dyDescent="0.3">
      <c r="A236" s="20">
        <f t="shared" si="3"/>
        <v>235</v>
      </c>
      <c r="B236" s="21" t="s">
        <v>87</v>
      </c>
      <c r="C236" s="21" t="s">
        <v>97</v>
      </c>
      <c r="D236" s="22" t="str">
        <f>IF($C236="","",IFERROR(VLOOKUP($C236,Map_Register!$A$2:$C$5,3,FALSE()),""))</f>
        <v>Toponym Labels</v>
      </c>
      <c r="E236" s="21" t="s">
        <v>15</v>
      </c>
      <c r="F236" s="23">
        <v>119400</v>
      </c>
      <c r="G236" s="20" t="s">
        <v>719</v>
      </c>
      <c r="H236" s="20" t="s">
        <v>941</v>
      </c>
      <c r="I236" t="s">
        <v>697</v>
      </c>
      <c r="J236" s="20" t="s">
        <v>8</v>
      </c>
      <c r="K236" t="s">
        <v>107</v>
      </c>
      <c r="L236" t="s">
        <v>108</v>
      </c>
      <c r="M236" s="20" t="s">
        <v>723</v>
      </c>
      <c r="N236" s="20" t="s">
        <v>108</v>
      </c>
      <c r="Q236" s="24" t="s">
        <v>680</v>
      </c>
    </row>
    <row r="237" spans="1:17" hidden="1" x14ac:dyDescent="0.3">
      <c r="A237" s="20">
        <f t="shared" si="3"/>
        <v>236</v>
      </c>
      <c r="B237" s="21" t="s">
        <v>87</v>
      </c>
      <c r="C237" s="21" t="s">
        <v>97</v>
      </c>
      <c r="D237" s="22" t="str">
        <f>IF($C237="","",IFERROR(VLOOKUP($C237,Map_Register!$A$2:$C$5,3,FALSE()),""))</f>
        <v>Toponym Labels</v>
      </c>
      <c r="E237" s="21" t="s">
        <v>15</v>
      </c>
      <c r="F237" s="23">
        <v>119401</v>
      </c>
      <c r="G237" s="20" t="s">
        <v>719</v>
      </c>
      <c r="H237" s="20" t="s">
        <v>942</v>
      </c>
      <c r="I237" t="s">
        <v>697</v>
      </c>
      <c r="J237" s="20" t="s">
        <v>8</v>
      </c>
      <c r="K237" t="s">
        <v>107</v>
      </c>
      <c r="L237" t="s">
        <v>107</v>
      </c>
      <c r="M237" s="20" t="s">
        <v>683</v>
      </c>
      <c r="N237" s="20" t="s">
        <v>108</v>
      </c>
      <c r="Q237" s="24" t="s">
        <v>680</v>
      </c>
    </row>
    <row r="238" spans="1:17" x14ac:dyDescent="0.3">
      <c r="A238" s="20">
        <f t="shared" si="3"/>
        <v>237</v>
      </c>
      <c r="B238" s="21" t="s">
        <v>87</v>
      </c>
      <c r="C238" s="21" t="s">
        <v>97</v>
      </c>
      <c r="D238" s="22" t="str">
        <f>IF($C238="","",IFERROR(VLOOKUP($C238,Map_Register!$A$2:$C$5,3,FALSE()),""))</f>
        <v>Toponym Labels</v>
      </c>
      <c r="E238" s="21" t="s">
        <v>15</v>
      </c>
      <c r="F238" s="23">
        <v>119402</v>
      </c>
      <c r="G238" s="20" t="s">
        <v>719</v>
      </c>
      <c r="H238" s="20" t="s">
        <v>943</v>
      </c>
      <c r="I238" t="s">
        <v>697</v>
      </c>
      <c r="J238" s="20" t="s">
        <v>8</v>
      </c>
      <c r="K238" t="s">
        <v>107</v>
      </c>
      <c r="L238" t="s">
        <v>108</v>
      </c>
      <c r="M238" s="20" t="s">
        <v>723</v>
      </c>
      <c r="N238" s="20" t="s">
        <v>108</v>
      </c>
      <c r="Q238" s="24" t="s">
        <v>680</v>
      </c>
    </row>
    <row r="239" spans="1:17" hidden="1" x14ac:dyDescent="0.3">
      <c r="A239" s="20">
        <f t="shared" si="3"/>
        <v>238</v>
      </c>
      <c r="B239" s="21" t="s">
        <v>87</v>
      </c>
      <c r="C239" s="21" t="s">
        <v>97</v>
      </c>
      <c r="D239" s="22" t="str">
        <f>IF($C239="","",IFERROR(VLOOKUP($C239,Map_Register!$A$2:$C$5,3,FALSE()),""))</f>
        <v>Toponym Labels</v>
      </c>
      <c r="E239" s="21" t="s">
        <v>15</v>
      </c>
      <c r="F239" s="23">
        <v>119403</v>
      </c>
      <c r="G239" s="20" t="s">
        <v>719</v>
      </c>
      <c r="H239" s="20" t="s">
        <v>944</v>
      </c>
      <c r="I239" t="s">
        <v>697</v>
      </c>
      <c r="J239" s="20" t="s">
        <v>6</v>
      </c>
      <c r="K239" s="20" t="s">
        <v>137</v>
      </c>
      <c r="L239" s="20" t="s">
        <v>137</v>
      </c>
      <c r="M239" s="20" t="s">
        <v>721</v>
      </c>
      <c r="Q239" s="24" t="s">
        <v>680</v>
      </c>
    </row>
    <row r="240" spans="1:17" hidden="1" x14ac:dyDescent="0.3">
      <c r="A240" s="20">
        <f t="shared" si="3"/>
        <v>239</v>
      </c>
      <c r="B240" s="21" t="s">
        <v>87</v>
      </c>
      <c r="C240" s="21" t="s">
        <v>97</v>
      </c>
      <c r="D240" s="22" t="str">
        <f>IF($C240="","",IFERROR(VLOOKUP($C240,Map_Register!$A$2:$C$5,3,FALSE()),""))</f>
        <v>Toponym Labels</v>
      </c>
      <c r="E240" s="21" t="s">
        <v>15</v>
      </c>
      <c r="F240" s="23">
        <v>119404</v>
      </c>
      <c r="G240" s="20" t="s">
        <v>719</v>
      </c>
      <c r="H240" s="20" t="s">
        <v>945</v>
      </c>
      <c r="I240" t="s">
        <v>697</v>
      </c>
      <c r="J240" s="20" t="s">
        <v>6</v>
      </c>
      <c r="K240" s="20" t="s">
        <v>137</v>
      </c>
      <c r="L240" s="20" t="s">
        <v>137</v>
      </c>
      <c r="M240" s="20" t="s">
        <v>721</v>
      </c>
      <c r="Q240" s="24" t="s">
        <v>680</v>
      </c>
    </row>
    <row r="241" spans="1:17" hidden="1" x14ac:dyDescent="0.3">
      <c r="A241" s="20">
        <f t="shared" si="3"/>
        <v>240</v>
      </c>
      <c r="B241" s="21" t="s">
        <v>87</v>
      </c>
      <c r="C241" s="21" t="s">
        <v>97</v>
      </c>
      <c r="D241" s="22" t="str">
        <f>IF($C241="","",IFERROR(VLOOKUP($C241,Map_Register!$A$2:$C$5,3,FALSE()),""))</f>
        <v>Toponym Labels</v>
      </c>
      <c r="E241" s="21" t="s">
        <v>15</v>
      </c>
      <c r="F241" s="23">
        <v>119405</v>
      </c>
      <c r="G241" s="20" t="s">
        <v>719</v>
      </c>
      <c r="H241" s="20" t="s">
        <v>946</v>
      </c>
      <c r="I241" t="s">
        <v>697</v>
      </c>
      <c r="J241" s="20" t="s">
        <v>6</v>
      </c>
      <c r="K241" s="20" t="s">
        <v>137</v>
      </c>
      <c r="L241" s="20" t="s">
        <v>137</v>
      </c>
      <c r="M241" s="20" t="s">
        <v>721</v>
      </c>
      <c r="Q241" s="24" t="s">
        <v>680</v>
      </c>
    </row>
    <row r="242" spans="1:17" hidden="1" x14ac:dyDescent="0.3">
      <c r="A242" s="20">
        <f t="shared" si="3"/>
        <v>241</v>
      </c>
      <c r="B242" s="21" t="s">
        <v>87</v>
      </c>
      <c r="C242" s="21" t="s">
        <v>97</v>
      </c>
      <c r="D242" s="22" t="str">
        <f>IF($C242="","",IFERROR(VLOOKUP($C242,Map_Register!$A$2:$C$5,3,FALSE()),""))</f>
        <v>Toponym Labels</v>
      </c>
      <c r="E242" s="21" t="s">
        <v>15</v>
      </c>
      <c r="F242" s="23">
        <v>119406</v>
      </c>
      <c r="G242" s="20" t="s">
        <v>719</v>
      </c>
      <c r="H242" s="20" t="s">
        <v>947</v>
      </c>
      <c r="I242" t="s">
        <v>697</v>
      </c>
      <c r="J242" s="20" t="s">
        <v>6</v>
      </c>
      <c r="K242" s="20" t="s">
        <v>137</v>
      </c>
      <c r="L242" s="20" t="s">
        <v>137</v>
      </c>
      <c r="M242" s="20" t="s">
        <v>721</v>
      </c>
      <c r="Q242" s="24" t="s">
        <v>680</v>
      </c>
    </row>
    <row r="243" spans="1:17" hidden="1" x14ac:dyDescent="0.3">
      <c r="A243" s="20">
        <f t="shared" si="3"/>
        <v>242</v>
      </c>
      <c r="B243" s="21" t="s">
        <v>87</v>
      </c>
      <c r="C243" s="21" t="s">
        <v>97</v>
      </c>
      <c r="D243" s="22" t="str">
        <f>IF($C243="","",IFERROR(VLOOKUP($C243,Map_Register!$A$2:$C$5,3,FALSE()),""))</f>
        <v>Toponym Labels</v>
      </c>
      <c r="E243" s="21" t="s">
        <v>15</v>
      </c>
      <c r="F243" s="23">
        <v>119407</v>
      </c>
      <c r="G243" s="20" t="s">
        <v>719</v>
      </c>
      <c r="H243" s="20" t="s">
        <v>948</v>
      </c>
      <c r="I243" t="s">
        <v>697</v>
      </c>
      <c r="J243" s="20" t="s">
        <v>6</v>
      </c>
      <c r="K243" s="20" t="s">
        <v>137</v>
      </c>
      <c r="L243" s="20" t="s">
        <v>137</v>
      </c>
      <c r="M243" s="20" t="s">
        <v>721</v>
      </c>
      <c r="Q243" s="24" t="s">
        <v>680</v>
      </c>
    </row>
    <row r="244" spans="1:17" x14ac:dyDescent="0.3">
      <c r="A244" s="20">
        <f t="shared" si="3"/>
        <v>243</v>
      </c>
      <c r="B244" s="21" t="s">
        <v>87</v>
      </c>
      <c r="C244" s="21" t="s">
        <v>97</v>
      </c>
      <c r="D244" s="22" t="str">
        <f>IF($C244="","",IFERROR(VLOOKUP($C244,Map_Register!$A$2:$C$5,3,FALSE()),""))</f>
        <v>Toponym Labels</v>
      </c>
      <c r="E244" s="21" t="s">
        <v>15</v>
      </c>
      <c r="F244" s="23">
        <v>119425</v>
      </c>
      <c r="G244" s="20" t="s">
        <v>719</v>
      </c>
      <c r="H244" s="20" t="s">
        <v>949</v>
      </c>
      <c r="I244" t="s">
        <v>697</v>
      </c>
      <c r="J244" s="20" t="s">
        <v>8</v>
      </c>
      <c r="K244" t="s">
        <v>107</v>
      </c>
      <c r="L244" t="s">
        <v>108</v>
      </c>
      <c r="M244" s="20" t="s">
        <v>723</v>
      </c>
      <c r="N244" s="20" t="s">
        <v>108</v>
      </c>
      <c r="Q244" s="24" t="s">
        <v>680</v>
      </c>
    </row>
    <row r="245" spans="1:17" hidden="1" x14ac:dyDescent="0.3">
      <c r="A245" s="20">
        <f t="shared" si="3"/>
        <v>244</v>
      </c>
      <c r="B245" s="21" t="s">
        <v>87</v>
      </c>
      <c r="C245" s="21" t="s">
        <v>97</v>
      </c>
      <c r="D245" s="22" t="str">
        <f>IF($C245="","",IFERROR(VLOOKUP($C245,Map_Register!$A$2:$C$5,3,FALSE()),""))</f>
        <v>Toponym Labels</v>
      </c>
      <c r="E245" s="21" t="s">
        <v>15</v>
      </c>
      <c r="F245" s="23">
        <v>119426</v>
      </c>
      <c r="G245" s="20" t="s">
        <v>719</v>
      </c>
      <c r="H245" s="20" t="s">
        <v>774</v>
      </c>
      <c r="I245" t="s">
        <v>697</v>
      </c>
      <c r="J245" s="20" t="s">
        <v>6</v>
      </c>
      <c r="K245" s="20" t="s">
        <v>137</v>
      </c>
      <c r="L245" s="20" t="s">
        <v>137</v>
      </c>
      <c r="M245" s="20" t="s">
        <v>721</v>
      </c>
      <c r="Q245" s="24" t="s">
        <v>680</v>
      </c>
    </row>
    <row r="246" spans="1:17" hidden="1" x14ac:dyDescent="0.3">
      <c r="A246" s="20">
        <f t="shared" si="3"/>
        <v>245</v>
      </c>
      <c r="B246" s="21" t="s">
        <v>87</v>
      </c>
      <c r="C246" s="21" t="s">
        <v>97</v>
      </c>
      <c r="D246" s="22" t="str">
        <f>IF($C246="","",IFERROR(VLOOKUP($C246,Map_Register!$A$2:$C$5,3,FALSE()),""))</f>
        <v>Toponym Labels</v>
      </c>
      <c r="E246" s="21" t="s">
        <v>15</v>
      </c>
      <c r="F246" s="23">
        <v>119427</v>
      </c>
      <c r="G246" s="20" t="s">
        <v>719</v>
      </c>
      <c r="H246" s="20" t="s">
        <v>950</v>
      </c>
      <c r="I246" t="s">
        <v>697</v>
      </c>
      <c r="J246" s="20" t="s">
        <v>6</v>
      </c>
      <c r="K246" s="20" t="s">
        <v>137</v>
      </c>
      <c r="L246" s="20" t="s">
        <v>137</v>
      </c>
      <c r="M246" s="20" t="s">
        <v>721</v>
      </c>
      <c r="Q246" s="24" t="s">
        <v>680</v>
      </c>
    </row>
    <row r="247" spans="1:17" hidden="1" x14ac:dyDescent="0.3">
      <c r="A247" s="20">
        <f t="shared" si="3"/>
        <v>246</v>
      </c>
      <c r="B247" s="21" t="s">
        <v>87</v>
      </c>
      <c r="C247" s="21" t="s">
        <v>97</v>
      </c>
      <c r="D247" s="22" t="str">
        <f>IF($C247="","",IFERROR(VLOOKUP($C247,Map_Register!$A$2:$C$5,3,FALSE()),""))</f>
        <v>Toponym Labels</v>
      </c>
      <c r="E247" s="21" t="s">
        <v>15</v>
      </c>
      <c r="F247" s="23">
        <v>119428</v>
      </c>
      <c r="G247" s="20" t="s">
        <v>719</v>
      </c>
      <c r="H247" s="20" t="s">
        <v>951</v>
      </c>
      <c r="I247" t="s">
        <v>697</v>
      </c>
      <c r="J247" s="20" t="s">
        <v>8</v>
      </c>
      <c r="K247" t="s">
        <v>107</v>
      </c>
      <c r="L247" t="s">
        <v>107</v>
      </c>
      <c r="M247" s="20" t="s">
        <v>683</v>
      </c>
      <c r="N247" s="20" t="s">
        <v>108</v>
      </c>
      <c r="Q247" s="24" t="s">
        <v>680</v>
      </c>
    </row>
    <row r="248" spans="1:17" hidden="1" x14ac:dyDescent="0.3">
      <c r="A248" s="20">
        <f t="shared" si="3"/>
        <v>247</v>
      </c>
      <c r="B248" s="21" t="s">
        <v>87</v>
      </c>
      <c r="C248" s="21" t="s">
        <v>97</v>
      </c>
      <c r="D248" s="22" t="str">
        <f>IF($C248="","",IFERROR(VLOOKUP($C248,Map_Register!$A$2:$C$5,3,FALSE()),""))</f>
        <v>Toponym Labels</v>
      </c>
      <c r="E248" s="21" t="s">
        <v>15</v>
      </c>
      <c r="F248" s="23">
        <v>119429</v>
      </c>
      <c r="G248" s="20" t="s">
        <v>719</v>
      </c>
      <c r="H248" s="20" t="s">
        <v>952</v>
      </c>
      <c r="I248" t="s">
        <v>697</v>
      </c>
      <c r="J248" s="20" t="s">
        <v>6</v>
      </c>
      <c r="K248" s="20" t="s">
        <v>137</v>
      </c>
      <c r="L248" s="20" t="s">
        <v>137</v>
      </c>
      <c r="M248" s="20" t="s">
        <v>721</v>
      </c>
      <c r="Q248" s="24" t="s">
        <v>680</v>
      </c>
    </row>
    <row r="249" spans="1:17" hidden="1" x14ac:dyDescent="0.3">
      <c r="A249" s="20">
        <f t="shared" si="3"/>
        <v>248</v>
      </c>
      <c r="B249" s="21" t="s">
        <v>87</v>
      </c>
      <c r="C249" s="21" t="s">
        <v>97</v>
      </c>
      <c r="D249" s="22" t="str">
        <f>IF($C249="","",IFERROR(VLOOKUP($C249,Map_Register!$A$2:$C$5,3,FALSE()),""))</f>
        <v>Toponym Labels</v>
      </c>
      <c r="E249" s="21" t="s">
        <v>15</v>
      </c>
      <c r="F249" s="23">
        <v>119430</v>
      </c>
      <c r="G249" s="20" t="s">
        <v>719</v>
      </c>
      <c r="H249" s="20" t="s">
        <v>953</v>
      </c>
      <c r="I249" t="s">
        <v>697</v>
      </c>
      <c r="J249" s="20" t="s">
        <v>8</v>
      </c>
      <c r="K249" t="s">
        <v>107</v>
      </c>
      <c r="L249" t="s">
        <v>107</v>
      </c>
      <c r="M249" s="20" t="s">
        <v>683</v>
      </c>
      <c r="N249" s="20" t="s">
        <v>108</v>
      </c>
      <c r="Q249" s="24" t="s">
        <v>680</v>
      </c>
    </row>
    <row r="250" spans="1:17" hidden="1" x14ac:dyDescent="0.3">
      <c r="A250" s="20">
        <f t="shared" si="3"/>
        <v>249</v>
      </c>
      <c r="B250" s="21" t="s">
        <v>87</v>
      </c>
      <c r="C250" s="21" t="s">
        <v>97</v>
      </c>
      <c r="D250" s="22" t="str">
        <f>IF($C250="","",IFERROR(VLOOKUP($C250,Map_Register!$A$2:$C$5,3,FALSE()),""))</f>
        <v>Toponym Labels</v>
      </c>
      <c r="E250" s="21" t="s">
        <v>15</v>
      </c>
      <c r="F250" s="23">
        <v>119431</v>
      </c>
      <c r="G250" s="20" t="s">
        <v>719</v>
      </c>
      <c r="H250" s="20" t="s">
        <v>954</v>
      </c>
      <c r="I250" t="s">
        <v>697</v>
      </c>
      <c r="J250" s="20" t="s">
        <v>8</v>
      </c>
      <c r="K250" t="s">
        <v>107</v>
      </c>
      <c r="L250" t="s">
        <v>107</v>
      </c>
      <c r="M250" s="20" t="s">
        <v>683</v>
      </c>
      <c r="N250" s="20" t="s">
        <v>108</v>
      </c>
      <c r="Q250" s="24" t="s">
        <v>680</v>
      </c>
    </row>
    <row r="251" spans="1:17" hidden="1" x14ac:dyDescent="0.3">
      <c r="A251" s="20">
        <f t="shared" si="3"/>
        <v>250</v>
      </c>
      <c r="B251" s="21" t="s">
        <v>87</v>
      </c>
      <c r="C251" s="21" t="s">
        <v>97</v>
      </c>
      <c r="D251" s="22" t="str">
        <f>IF($C251="","",IFERROR(VLOOKUP($C251,Map_Register!$A$2:$C$5,3,FALSE()),""))</f>
        <v>Toponym Labels</v>
      </c>
      <c r="E251" s="21" t="s">
        <v>15</v>
      </c>
      <c r="F251" s="23">
        <v>119432</v>
      </c>
      <c r="G251" s="20" t="s">
        <v>719</v>
      </c>
      <c r="H251" s="20" t="s">
        <v>955</v>
      </c>
      <c r="I251" t="s">
        <v>697</v>
      </c>
      <c r="J251" s="20" t="s">
        <v>8</v>
      </c>
      <c r="K251" t="s">
        <v>107</v>
      </c>
      <c r="L251" t="s">
        <v>107</v>
      </c>
      <c r="M251" s="20" t="s">
        <v>683</v>
      </c>
      <c r="N251" s="20" t="s">
        <v>108</v>
      </c>
      <c r="Q251" s="24" t="s">
        <v>680</v>
      </c>
    </row>
    <row r="252" spans="1:17" hidden="1" x14ac:dyDescent="0.3">
      <c r="A252" s="20">
        <f t="shared" si="3"/>
        <v>251</v>
      </c>
      <c r="B252" s="21" t="s">
        <v>87</v>
      </c>
      <c r="C252" s="21" t="s">
        <v>97</v>
      </c>
      <c r="D252" s="22" t="str">
        <f>IF($C252="","",IFERROR(VLOOKUP($C252,Map_Register!$A$2:$C$5,3,FALSE()),""))</f>
        <v>Toponym Labels</v>
      </c>
      <c r="E252" s="21" t="s">
        <v>15</v>
      </c>
      <c r="F252" s="23">
        <v>119433</v>
      </c>
      <c r="G252" s="20" t="s">
        <v>719</v>
      </c>
      <c r="H252" s="20" t="s">
        <v>956</v>
      </c>
      <c r="I252" t="s">
        <v>697</v>
      </c>
      <c r="J252" s="20" t="s">
        <v>6</v>
      </c>
      <c r="K252" s="20" t="s">
        <v>137</v>
      </c>
      <c r="L252" s="20" t="s">
        <v>137</v>
      </c>
      <c r="M252" s="20" t="s">
        <v>721</v>
      </c>
      <c r="Q252" s="24" t="s">
        <v>680</v>
      </c>
    </row>
    <row r="253" spans="1:17" x14ac:dyDescent="0.3">
      <c r="A253" s="20">
        <f t="shared" si="3"/>
        <v>252</v>
      </c>
      <c r="B253" s="21" t="s">
        <v>87</v>
      </c>
      <c r="C253" s="21" t="s">
        <v>97</v>
      </c>
      <c r="D253" s="22" t="str">
        <f>IF($C253="","",IFERROR(VLOOKUP($C253,Map_Register!$A$2:$C$5,3,FALSE()),""))</f>
        <v>Toponym Labels</v>
      </c>
      <c r="E253" s="21" t="s">
        <v>15</v>
      </c>
      <c r="F253" s="23">
        <v>119434</v>
      </c>
      <c r="G253" s="20" t="s">
        <v>719</v>
      </c>
      <c r="H253" s="20" t="s">
        <v>957</v>
      </c>
      <c r="I253" t="s">
        <v>697</v>
      </c>
      <c r="J253" s="20" t="s">
        <v>8</v>
      </c>
      <c r="K253" t="s">
        <v>107</v>
      </c>
      <c r="L253" t="s">
        <v>108</v>
      </c>
      <c r="M253" s="20" t="s">
        <v>723</v>
      </c>
      <c r="N253" s="20" t="s">
        <v>108</v>
      </c>
      <c r="Q253" s="24" t="s">
        <v>680</v>
      </c>
    </row>
    <row r="254" spans="1:17" hidden="1" x14ac:dyDescent="0.3">
      <c r="A254" s="20">
        <f t="shared" si="3"/>
        <v>253</v>
      </c>
      <c r="B254" s="21" t="s">
        <v>87</v>
      </c>
      <c r="C254" s="21" t="s">
        <v>97</v>
      </c>
      <c r="D254" s="22" t="str">
        <f>IF($C254="","",IFERROR(VLOOKUP($C254,Map_Register!$A$2:$C$5,3,FALSE()),""))</f>
        <v>Toponym Labels</v>
      </c>
      <c r="E254" s="21" t="s">
        <v>15</v>
      </c>
      <c r="F254" s="23">
        <v>119435</v>
      </c>
      <c r="G254" s="20" t="s">
        <v>719</v>
      </c>
      <c r="H254" s="20" t="s">
        <v>958</v>
      </c>
      <c r="I254" t="s">
        <v>697</v>
      </c>
      <c r="J254" s="20" t="s">
        <v>6</v>
      </c>
      <c r="K254" s="20" t="s">
        <v>137</v>
      </c>
      <c r="L254" s="20" t="s">
        <v>137</v>
      </c>
      <c r="M254" s="20" t="s">
        <v>721</v>
      </c>
      <c r="Q254" s="24" t="s">
        <v>680</v>
      </c>
    </row>
    <row r="255" spans="1:17" hidden="1" x14ac:dyDescent="0.3">
      <c r="A255" s="20">
        <f t="shared" si="3"/>
        <v>254</v>
      </c>
      <c r="B255" s="21" t="s">
        <v>87</v>
      </c>
      <c r="C255" s="21" t="s">
        <v>97</v>
      </c>
      <c r="D255" s="22" t="str">
        <f>IF($C255="","",IFERROR(VLOOKUP($C255,Map_Register!$A$2:$C$5,3,FALSE()),""))</f>
        <v>Toponym Labels</v>
      </c>
      <c r="E255" s="21" t="s">
        <v>15</v>
      </c>
      <c r="F255" s="23">
        <v>119436</v>
      </c>
      <c r="G255" s="20" t="s">
        <v>719</v>
      </c>
      <c r="H255" s="20" t="s">
        <v>959</v>
      </c>
      <c r="I255" t="s">
        <v>697</v>
      </c>
      <c r="J255" s="20" t="s">
        <v>6</v>
      </c>
      <c r="K255" s="20" t="s">
        <v>137</v>
      </c>
      <c r="L255" s="20" t="s">
        <v>137</v>
      </c>
      <c r="M255" s="20" t="s">
        <v>721</v>
      </c>
      <c r="Q255" s="24" t="s">
        <v>680</v>
      </c>
    </row>
    <row r="256" spans="1:17" hidden="1" x14ac:dyDescent="0.3">
      <c r="A256" s="20">
        <f t="shared" si="3"/>
        <v>255</v>
      </c>
      <c r="B256" s="21" t="s">
        <v>87</v>
      </c>
      <c r="C256" s="21" t="s">
        <v>97</v>
      </c>
      <c r="D256" s="22" t="str">
        <f>IF($C256="","",IFERROR(VLOOKUP($C256,Map_Register!$A$2:$C$5,3,FALSE()),""))</f>
        <v>Toponym Labels</v>
      </c>
      <c r="E256" s="21" t="s">
        <v>15</v>
      </c>
      <c r="F256" s="23">
        <v>119733</v>
      </c>
      <c r="G256" s="20" t="s">
        <v>719</v>
      </c>
      <c r="H256" s="20" t="s">
        <v>960</v>
      </c>
      <c r="I256" t="s">
        <v>697</v>
      </c>
      <c r="J256" s="20" t="s">
        <v>6</v>
      </c>
      <c r="K256" s="20" t="s">
        <v>137</v>
      </c>
      <c r="L256" s="20" t="s">
        <v>137</v>
      </c>
      <c r="M256" s="20" t="s">
        <v>721</v>
      </c>
      <c r="Q256" s="24" t="s">
        <v>680</v>
      </c>
    </row>
    <row r="257" spans="1:17" hidden="1" x14ac:dyDescent="0.3">
      <c r="A257" s="20">
        <f t="shared" si="3"/>
        <v>256</v>
      </c>
      <c r="B257" s="21" t="s">
        <v>87</v>
      </c>
      <c r="C257" s="21" t="s">
        <v>97</v>
      </c>
      <c r="D257" s="22" t="str">
        <f>IF($C257="","",IFERROR(VLOOKUP($C257,Map_Register!$A$2:$C$5,3,FALSE()),""))</f>
        <v>Toponym Labels</v>
      </c>
      <c r="E257" s="21" t="s">
        <v>15</v>
      </c>
      <c r="F257" s="23">
        <v>119734</v>
      </c>
      <c r="G257" s="20" t="s">
        <v>719</v>
      </c>
      <c r="H257" s="20" t="s">
        <v>961</v>
      </c>
      <c r="I257" t="s">
        <v>697</v>
      </c>
      <c r="J257" s="20" t="s">
        <v>6</v>
      </c>
      <c r="K257" s="20" t="s">
        <v>137</v>
      </c>
      <c r="L257" s="20" t="s">
        <v>137</v>
      </c>
      <c r="M257" s="20" t="s">
        <v>721</v>
      </c>
      <c r="Q257" s="24" t="s">
        <v>680</v>
      </c>
    </row>
    <row r="258" spans="1:17" hidden="1" x14ac:dyDescent="0.3">
      <c r="A258" s="20">
        <f t="shared" ref="A258:A321" si="4">IF($B258="","",ROW()-1)</f>
        <v>257</v>
      </c>
      <c r="B258" s="21" t="s">
        <v>87</v>
      </c>
      <c r="C258" s="21" t="s">
        <v>97</v>
      </c>
      <c r="D258" s="22" t="str">
        <f>IF($C258="","",IFERROR(VLOOKUP($C258,Map_Register!$A$2:$C$5,3,FALSE()),""))</f>
        <v>Toponym Labels</v>
      </c>
      <c r="E258" s="21" t="s">
        <v>15</v>
      </c>
      <c r="F258" s="23">
        <v>120027</v>
      </c>
      <c r="G258" s="20" t="s">
        <v>719</v>
      </c>
      <c r="H258" s="20" t="s">
        <v>962</v>
      </c>
      <c r="I258" t="s">
        <v>697</v>
      </c>
      <c r="J258" s="20" t="s">
        <v>6</v>
      </c>
      <c r="K258" s="20" t="s">
        <v>137</v>
      </c>
      <c r="L258" s="20" t="s">
        <v>137</v>
      </c>
      <c r="M258" s="20" t="s">
        <v>721</v>
      </c>
      <c r="Q258" s="24" t="s">
        <v>680</v>
      </c>
    </row>
    <row r="259" spans="1:17" x14ac:dyDescent="0.3">
      <c r="A259" s="20">
        <f t="shared" si="4"/>
        <v>258</v>
      </c>
      <c r="B259" s="21" t="s">
        <v>87</v>
      </c>
      <c r="C259" s="21" t="s">
        <v>97</v>
      </c>
      <c r="D259" s="22" t="str">
        <f>IF($C259="","",IFERROR(VLOOKUP($C259,Map_Register!$A$2:$C$5,3,FALSE()),""))</f>
        <v>Toponym Labels</v>
      </c>
      <c r="E259" s="21" t="s">
        <v>15</v>
      </c>
      <c r="F259" s="23">
        <v>120028</v>
      </c>
      <c r="G259" s="20" t="s">
        <v>719</v>
      </c>
      <c r="H259" s="20" t="s">
        <v>963</v>
      </c>
      <c r="I259" t="s">
        <v>697</v>
      </c>
      <c r="J259" s="20" t="s">
        <v>8</v>
      </c>
      <c r="K259" t="s">
        <v>107</v>
      </c>
      <c r="L259" t="s">
        <v>108</v>
      </c>
      <c r="M259" s="20" t="s">
        <v>723</v>
      </c>
      <c r="N259" s="20" t="s">
        <v>108</v>
      </c>
      <c r="Q259" s="24" t="s">
        <v>680</v>
      </c>
    </row>
    <row r="260" spans="1:17" hidden="1" x14ac:dyDescent="0.3">
      <c r="A260" s="20">
        <f t="shared" si="4"/>
        <v>259</v>
      </c>
      <c r="B260" s="21" t="s">
        <v>87</v>
      </c>
      <c r="C260" s="21" t="s">
        <v>97</v>
      </c>
      <c r="D260" s="22" t="str">
        <f>IF($C260="","",IFERROR(VLOOKUP($C260,Map_Register!$A$2:$C$5,3,FALSE()),""))</f>
        <v>Toponym Labels</v>
      </c>
      <c r="E260" s="21" t="s">
        <v>15</v>
      </c>
      <c r="F260" s="23">
        <v>120029</v>
      </c>
      <c r="G260" s="20" t="s">
        <v>719</v>
      </c>
      <c r="H260" s="20" t="s">
        <v>964</v>
      </c>
      <c r="I260" t="s">
        <v>697</v>
      </c>
      <c r="J260" s="20" t="s">
        <v>6</v>
      </c>
      <c r="K260" s="20" t="s">
        <v>137</v>
      </c>
      <c r="L260" s="20" t="s">
        <v>137</v>
      </c>
      <c r="M260" s="20" t="s">
        <v>721</v>
      </c>
      <c r="Q260" s="24" t="s">
        <v>680</v>
      </c>
    </row>
    <row r="261" spans="1:17" hidden="1" x14ac:dyDescent="0.3">
      <c r="A261" s="20">
        <f t="shared" si="4"/>
        <v>260</v>
      </c>
      <c r="B261" s="21" t="s">
        <v>87</v>
      </c>
      <c r="C261" s="21" t="s">
        <v>97</v>
      </c>
      <c r="D261" s="22" t="str">
        <f>IF($C261="","",IFERROR(VLOOKUP($C261,Map_Register!$A$2:$C$5,3,FALSE()),""))</f>
        <v>Toponym Labels</v>
      </c>
      <c r="E261" s="21" t="s">
        <v>15</v>
      </c>
      <c r="F261" s="23">
        <v>120030</v>
      </c>
      <c r="G261" s="20" t="s">
        <v>719</v>
      </c>
      <c r="H261" s="20" t="s">
        <v>965</v>
      </c>
      <c r="I261" t="s">
        <v>697</v>
      </c>
      <c r="J261" s="20" t="s">
        <v>6</v>
      </c>
      <c r="K261" s="20" t="s">
        <v>137</v>
      </c>
      <c r="L261" s="20" t="s">
        <v>137</v>
      </c>
      <c r="M261" s="20" t="s">
        <v>966</v>
      </c>
      <c r="Q261" s="24" t="s">
        <v>680</v>
      </c>
    </row>
    <row r="262" spans="1:17" hidden="1" x14ac:dyDescent="0.3">
      <c r="A262" s="20">
        <f t="shared" si="4"/>
        <v>261</v>
      </c>
      <c r="B262" s="21" t="s">
        <v>87</v>
      </c>
      <c r="C262" s="21" t="s">
        <v>97</v>
      </c>
      <c r="D262" s="22" t="str">
        <f>IF($C262="","",IFERROR(VLOOKUP($C262,Map_Register!$A$2:$C$5,3,FALSE()),""))</f>
        <v>Toponym Labels</v>
      </c>
      <c r="E262" s="21" t="s">
        <v>15</v>
      </c>
      <c r="F262" s="23">
        <v>120031</v>
      </c>
      <c r="G262" s="20" t="s">
        <v>719</v>
      </c>
      <c r="H262" s="20" t="s">
        <v>967</v>
      </c>
      <c r="I262" t="s">
        <v>697</v>
      </c>
      <c r="J262" s="20" t="s">
        <v>6</v>
      </c>
      <c r="K262" s="20" t="s">
        <v>137</v>
      </c>
      <c r="L262" s="20" t="s">
        <v>137</v>
      </c>
      <c r="M262" s="20" t="s">
        <v>721</v>
      </c>
      <c r="Q262" s="24" t="s">
        <v>680</v>
      </c>
    </row>
    <row r="263" spans="1:17" x14ac:dyDescent="0.3">
      <c r="A263" s="20">
        <f t="shared" si="4"/>
        <v>262</v>
      </c>
      <c r="B263" s="21" t="s">
        <v>87</v>
      </c>
      <c r="C263" s="21" t="s">
        <v>97</v>
      </c>
      <c r="D263" s="22" t="str">
        <f>IF($C263="","",IFERROR(VLOOKUP($C263,Map_Register!$A$2:$C$5,3,FALSE()),""))</f>
        <v>Toponym Labels</v>
      </c>
      <c r="E263" s="21" t="s">
        <v>15</v>
      </c>
      <c r="F263" s="23">
        <v>120036</v>
      </c>
      <c r="G263" s="20" t="s">
        <v>719</v>
      </c>
      <c r="H263" s="20" t="s">
        <v>968</v>
      </c>
      <c r="I263" t="s">
        <v>697</v>
      </c>
      <c r="J263" s="20" t="s">
        <v>8</v>
      </c>
      <c r="K263" t="s">
        <v>107</v>
      </c>
      <c r="L263" t="s">
        <v>108</v>
      </c>
      <c r="M263" s="20" t="s">
        <v>723</v>
      </c>
      <c r="N263" s="20" t="s">
        <v>108</v>
      </c>
      <c r="Q263" s="24" t="s">
        <v>680</v>
      </c>
    </row>
    <row r="264" spans="1:17" hidden="1" x14ac:dyDescent="0.3">
      <c r="A264" s="20">
        <f t="shared" si="4"/>
        <v>263</v>
      </c>
      <c r="B264" s="21" t="s">
        <v>87</v>
      </c>
      <c r="C264" s="21" t="s">
        <v>97</v>
      </c>
      <c r="D264" s="22" t="str">
        <f>IF($C264="","",IFERROR(VLOOKUP($C264,Map_Register!$A$2:$C$5,3,FALSE()),""))</f>
        <v>Toponym Labels</v>
      </c>
      <c r="E264" s="21" t="s">
        <v>15</v>
      </c>
      <c r="F264" s="23">
        <v>121561</v>
      </c>
      <c r="G264" s="20" t="s">
        <v>719</v>
      </c>
      <c r="H264" s="20" t="s">
        <v>969</v>
      </c>
      <c r="I264" t="s">
        <v>697</v>
      </c>
      <c r="J264" s="20" t="s">
        <v>8</v>
      </c>
      <c r="K264" t="s">
        <v>107</v>
      </c>
      <c r="L264" t="s">
        <v>107</v>
      </c>
      <c r="M264" s="20" t="s">
        <v>683</v>
      </c>
      <c r="N264" s="20" t="s">
        <v>108</v>
      </c>
      <c r="Q264" s="24" t="s">
        <v>680</v>
      </c>
    </row>
    <row r="265" spans="1:17" x14ac:dyDescent="0.3">
      <c r="A265" s="20">
        <f t="shared" si="4"/>
        <v>264</v>
      </c>
      <c r="B265" s="21" t="s">
        <v>87</v>
      </c>
      <c r="C265" s="21" t="s">
        <v>97</v>
      </c>
      <c r="D265" s="22" t="str">
        <f>IF($C265="","",IFERROR(VLOOKUP($C265,Map_Register!$A$2:$C$5,3,FALSE()),""))</f>
        <v>Toponym Labels</v>
      </c>
      <c r="E265" s="21" t="s">
        <v>15</v>
      </c>
      <c r="F265" s="23">
        <v>121562</v>
      </c>
      <c r="G265" s="20" t="s">
        <v>719</v>
      </c>
      <c r="H265" s="20" t="s">
        <v>970</v>
      </c>
      <c r="I265" t="s">
        <v>697</v>
      </c>
      <c r="J265" s="20" t="s">
        <v>8</v>
      </c>
      <c r="K265" t="s">
        <v>107</v>
      </c>
      <c r="L265" t="s">
        <v>108</v>
      </c>
      <c r="M265" s="20" t="s">
        <v>723</v>
      </c>
      <c r="N265" s="20" t="s">
        <v>108</v>
      </c>
      <c r="Q265" s="24" t="s">
        <v>680</v>
      </c>
    </row>
    <row r="266" spans="1:17" hidden="1" x14ac:dyDescent="0.3">
      <c r="A266" s="20">
        <f t="shared" si="4"/>
        <v>265</v>
      </c>
      <c r="B266" s="21" t="s">
        <v>87</v>
      </c>
      <c r="C266" s="21" t="s">
        <v>97</v>
      </c>
      <c r="D266" s="22" t="str">
        <f>IF($C266="","",IFERROR(VLOOKUP($C266,Map_Register!$A$2:$C$5,3,FALSE()),""))</f>
        <v>Toponym Labels</v>
      </c>
      <c r="E266" s="21" t="s">
        <v>15</v>
      </c>
      <c r="F266" s="23">
        <v>121570</v>
      </c>
      <c r="G266" s="20" t="s">
        <v>719</v>
      </c>
      <c r="H266" s="20" t="s">
        <v>971</v>
      </c>
      <c r="I266" t="s">
        <v>697</v>
      </c>
      <c r="J266" s="20" t="s">
        <v>8</v>
      </c>
      <c r="K266" t="s">
        <v>107</v>
      </c>
      <c r="L266" t="s">
        <v>107</v>
      </c>
      <c r="M266" s="20" t="s">
        <v>683</v>
      </c>
      <c r="N266" s="20" t="s">
        <v>108</v>
      </c>
      <c r="Q266" s="24" t="s">
        <v>680</v>
      </c>
    </row>
    <row r="267" spans="1:17" hidden="1" x14ac:dyDescent="0.3">
      <c r="A267" s="20">
        <f t="shared" si="4"/>
        <v>266</v>
      </c>
      <c r="B267" s="21" t="s">
        <v>87</v>
      </c>
      <c r="C267" s="21" t="s">
        <v>97</v>
      </c>
      <c r="D267" s="22" t="str">
        <f>IF($C267="","",IFERROR(VLOOKUP($C267,Map_Register!$A$2:$C$5,3,FALSE()),""))</f>
        <v>Toponym Labels</v>
      </c>
      <c r="E267" s="21" t="s">
        <v>15</v>
      </c>
      <c r="F267" s="23">
        <v>121571</v>
      </c>
      <c r="G267" s="20" t="s">
        <v>719</v>
      </c>
      <c r="H267" s="20" t="s">
        <v>972</v>
      </c>
      <c r="I267" t="s">
        <v>697</v>
      </c>
      <c r="J267" s="20" t="s">
        <v>8</v>
      </c>
      <c r="K267" t="s">
        <v>107</v>
      </c>
      <c r="L267" t="s">
        <v>107</v>
      </c>
      <c r="M267" s="20" t="s">
        <v>683</v>
      </c>
      <c r="N267" s="20" t="s">
        <v>108</v>
      </c>
      <c r="Q267" s="24" t="s">
        <v>680</v>
      </c>
    </row>
    <row r="268" spans="1:17" hidden="1" x14ac:dyDescent="0.3">
      <c r="A268" s="20">
        <f t="shared" si="4"/>
        <v>267</v>
      </c>
      <c r="B268" s="21" t="s">
        <v>87</v>
      </c>
      <c r="C268" s="21" t="s">
        <v>97</v>
      </c>
      <c r="D268" s="22" t="str">
        <f>IF($C268="","",IFERROR(VLOOKUP($C268,Map_Register!$A$2:$C$5,3,FALSE()),""))</f>
        <v>Toponym Labels</v>
      </c>
      <c r="E268" s="21" t="s">
        <v>15</v>
      </c>
      <c r="F268" s="23">
        <v>121572</v>
      </c>
      <c r="G268" s="20" t="s">
        <v>719</v>
      </c>
      <c r="H268" s="20" t="s">
        <v>973</v>
      </c>
      <c r="I268" t="s">
        <v>697</v>
      </c>
      <c r="J268" s="20" t="s">
        <v>6</v>
      </c>
      <c r="K268" s="20" t="s">
        <v>137</v>
      </c>
      <c r="L268" s="20" t="s">
        <v>137</v>
      </c>
      <c r="M268" s="20" t="s">
        <v>721</v>
      </c>
      <c r="Q268" s="24" t="s">
        <v>680</v>
      </c>
    </row>
    <row r="269" spans="1:17" x14ac:dyDescent="0.3">
      <c r="A269" s="20">
        <f t="shared" si="4"/>
        <v>268</v>
      </c>
      <c r="B269" s="21" t="s">
        <v>87</v>
      </c>
      <c r="C269" s="21" t="s">
        <v>97</v>
      </c>
      <c r="D269" s="22" t="str">
        <f>IF($C269="","",IFERROR(VLOOKUP($C269,Map_Register!$A$2:$C$5,3,FALSE()),""))</f>
        <v>Toponym Labels</v>
      </c>
      <c r="E269" s="21" t="s">
        <v>15</v>
      </c>
      <c r="F269" s="23">
        <v>121573</v>
      </c>
      <c r="G269" s="20" t="s">
        <v>719</v>
      </c>
      <c r="H269" s="20" t="s">
        <v>974</v>
      </c>
      <c r="I269" t="s">
        <v>697</v>
      </c>
      <c r="J269" s="20" t="s">
        <v>8</v>
      </c>
      <c r="K269" t="s">
        <v>107</v>
      </c>
      <c r="L269" t="s">
        <v>108</v>
      </c>
      <c r="M269" s="20" t="s">
        <v>723</v>
      </c>
      <c r="N269" s="20" t="s">
        <v>108</v>
      </c>
      <c r="Q269" s="24" t="s">
        <v>680</v>
      </c>
    </row>
    <row r="270" spans="1:17" hidden="1" x14ac:dyDescent="0.3">
      <c r="A270" s="20">
        <f t="shared" si="4"/>
        <v>269</v>
      </c>
      <c r="B270" s="21" t="s">
        <v>87</v>
      </c>
      <c r="C270" s="21" t="s">
        <v>97</v>
      </c>
      <c r="D270" s="22" t="str">
        <f>IF($C270="","",IFERROR(VLOOKUP($C270,Map_Register!$A$2:$C$5,3,FALSE()),""))</f>
        <v>Toponym Labels</v>
      </c>
      <c r="E270" s="21" t="s">
        <v>15</v>
      </c>
      <c r="F270" s="23">
        <v>121574</v>
      </c>
      <c r="G270" s="20" t="s">
        <v>719</v>
      </c>
      <c r="H270" s="20" t="s">
        <v>936</v>
      </c>
      <c r="I270" t="s">
        <v>697</v>
      </c>
      <c r="J270" s="20" t="s">
        <v>8</v>
      </c>
      <c r="K270" t="s">
        <v>107</v>
      </c>
      <c r="L270" t="s">
        <v>107</v>
      </c>
      <c r="M270" s="20" t="s">
        <v>975</v>
      </c>
      <c r="N270" s="20" t="s">
        <v>108</v>
      </c>
      <c r="Q270" s="24" t="s">
        <v>680</v>
      </c>
    </row>
    <row r="271" spans="1:17" hidden="1" x14ac:dyDescent="0.3">
      <c r="A271" s="20">
        <f t="shared" si="4"/>
        <v>270</v>
      </c>
      <c r="B271" s="21" t="s">
        <v>87</v>
      </c>
      <c r="C271" s="21" t="s">
        <v>97</v>
      </c>
      <c r="D271" s="22" t="str">
        <f>IF($C271="","",IFERROR(VLOOKUP($C271,Map_Register!$A$2:$C$5,3,FALSE()),""))</f>
        <v>Toponym Labels</v>
      </c>
      <c r="E271" s="21" t="s">
        <v>15</v>
      </c>
      <c r="F271" s="23">
        <v>121575</v>
      </c>
      <c r="G271" s="20" t="s">
        <v>719</v>
      </c>
      <c r="H271" s="20" t="s">
        <v>976</v>
      </c>
      <c r="I271" t="s">
        <v>697</v>
      </c>
      <c r="J271" s="20" t="s">
        <v>8</v>
      </c>
      <c r="K271" t="s">
        <v>107</v>
      </c>
      <c r="L271" t="s">
        <v>107</v>
      </c>
      <c r="M271" s="20" t="s">
        <v>683</v>
      </c>
      <c r="N271" s="20" t="s">
        <v>108</v>
      </c>
      <c r="Q271" s="24" t="s">
        <v>680</v>
      </c>
    </row>
    <row r="272" spans="1:17" hidden="1" x14ac:dyDescent="0.3">
      <c r="A272" s="20">
        <f t="shared" si="4"/>
        <v>271</v>
      </c>
      <c r="B272" s="21" t="s">
        <v>87</v>
      </c>
      <c r="C272" s="21" t="s">
        <v>97</v>
      </c>
      <c r="D272" s="22" t="str">
        <f>IF($C272="","",IFERROR(VLOOKUP($C272,Map_Register!$A$2:$C$5,3,FALSE()),""))</f>
        <v>Toponym Labels</v>
      </c>
      <c r="E272" s="21" t="s">
        <v>15</v>
      </c>
      <c r="F272" s="23">
        <v>121576</v>
      </c>
      <c r="G272" s="20" t="s">
        <v>719</v>
      </c>
      <c r="H272" s="20" t="s">
        <v>977</v>
      </c>
      <c r="I272" t="s">
        <v>697</v>
      </c>
      <c r="J272" s="20" t="s">
        <v>8</v>
      </c>
      <c r="K272" t="s">
        <v>107</v>
      </c>
      <c r="L272" t="s">
        <v>107</v>
      </c>
      <c r="M272" s="20" t="s">
        <v>978</v>
      </c>
      <c r="N272" s="20" t="s">
        <v>108</v>
      </c>
      <c r="Q272" s="24" t="s">
        <v>680</v>
      </c>
    </row>
    <row r="273" spans="1:17" hidden="1" x14ac:dyDescent="0.3">
      <c r="A273" s="20">
        <f t="shared" si="4"/>
        <v>272</v>
      </c>
      <c r="B273" s="21" t="s">
        <v>87</v>
      </c>
      <c r="C273" s="21" t="s">
        <v>97</v>
      </c>
      <c r="D273" s="22" t="str">
        <f>IF($C273="","",IFERROR(VLOOKUP($C273,Map_Register!$A$2:$C$5,3,FALSE()),""))</f>
        <v>Toponym Labels</v>
      </c>
      <c r="E273" s="21" t="s">
        <v>15</v>
      </c>
      <c r="F273" s="23">
        <v>121577</v>
      </c>
      <c r="G273" s="20" t="s">
        <v>719</v>
      </c>
      <c r="H273" s="20" t="s">
        <v>979</v>
      </c>
      <c r="I273" t="s">
        <v>697</v>
      </c>
      <c r="J273" s="20" t="s">
        <v>6</v>
      </c>
      <c r="K273" s="20" t="s">
        <v>137</v>
      </c>
      <c r="L273" s="20" t="s">
        <v>137</v>
      </c>
      <c r="M273" s="20" t="s">
        <v>980</v>
      </c>
      <c r="Q273" s="24" t="s">
        <v>680</v>
      </c>
    </row>
    <row r="274" spans="1:17" hidden="1" x14ac:dyDescent="0.3">
      <c r="A274" s="20">
        <f t="shared" si="4"/>
        <v>273</v>
      </c>
      <c r="B274" s="21" t="s">
        <v>87</v>
      </c>
      <c r="C274" s="21" t="s">
        <v>97</v>
      </c>
      <c r="D274" s="22" t="str">
        <f>IF($C274="","",IFERROR(VLOOKUP($C274,Map_Register!$A$2:$C$5,3,FALSE()),""))</f>
        <v>Toponym Labels</v>
      </c>
      <c r="E274" s="21" t="s">
        <v>15</v>
      </c>
      <c r="F274" s="23">
        <v>121578</v>
      </c>
      <c r="G274" s="20" t="s">
        <v>719</v>
      </c>
      <c r="H274" s="20" t="s">
        <v>981</v>
      </c>
      <c r="I274" t="s">
        <v>697</v>
      </c>
      <c r="J274" s="20" t="s">
        <v>8</v>
      </c>
      <c r="K274" t="s">
        <v>107</v>
      </c>
      <c r="L274" t="s">
        <v>107</v>
      </c>
      <c r="M274" s="20" t="s">
        <v>683</v>
      </c>
      <c r="N274" s="20" t="s">
        <v>108</v>
      </c>
      <c r="Q274" s="24" t="s">
        <v>680</v>
      </c>
    </row>
    <row r="275" spans="1:17" hidden="1" x14ac:dyDescent="0.3">
      <c r="A275" s="20">
        <f t="shared" si="4"/>
        <v>274</v>
      </c>
      <c r="B275" s="21" t="s">
        <v>87</v>
      </c>
      <c r="C275" s="21" t="s">
        <v>97</v>
      </c>
      <c r="D275" s="22" t="str">
        <f>IF($C275="","",IFERROR(VLOOKUP($C275,Map_Register!$A$2:$C$5,3,FALSE()),""))</f>
        <v>Toponym Labels</v>
      </c>
      <c r="E275" s="21" t="s">
        <v>15</v>
      </c>
      <c r="F275" s="23">
        <v>121579</v>
      </c>
      <c r="G275" s="20" t="s">
        <v>719</v>
      </c>
      <c r="H275" s="20" t="s">
        <v>982</v>
      </c>
      <c r="I275" t="s">
        <v>697</v>
      </c>
      <c r="J275" s="20" t="s">
        <v>6</v>
      </c>
      <c r="K275" s="20" t="s">
        <v>137</v>
      </c>
      <c r="L275" s="20" t="s">
        <v>137</v>
      </c>
      <c r="M275" s="20" t="s">
        <v>721</v>
      </c>
      <c r="Q275" s="24" t="s">
        <v>680</v>
      </c>
    </row>
    <row r="276" spans="1:17" hidden="1" x14ac:dyDescent="0.3">
      <c r="A276" s="20">
        <f t="shared" si="4"/>
        <v>275</v>
      </c>
      <c r="B276" s="21" t="s">
        <v>87</v>
      </c>
      <c r="C276" s="21" t="s">
        <v>97</v>
      </c>
      <c r="D276" s="22" t="str">
        <f>IF($C276="","",IFERROR(VLOOKUP($C276,Map_Register!$A$2:$C$5,3,FALSE()),""))</f>
        <v>Toponym Labels</v>
      </c>
      <c r="E276" s="21" t="s">
        <v>15</v>
      </c>
      <c r="F276" s="23">
        <v>121580</v>
      </c>
      <c r="G276" s="20" t="s">
        <v>719</v>
      </c>
      <c r="H276" s="20" t="s">
        <v>983</v>
      </c>
      <c r="I276" t="s">
        <v>697</v>
      </c>
      <c r="J276" s="20" t="s">
        <v>6</v>
      </c>
      <c r="K276" s="20" t="s">
        <v>137</v>
      </c>
      <c r="L276" s="20" t="s">
        <v>137</v>
      </c>
      <c r="M276" s="20" t="s">
        <v>721</v>
      </c>
      <c r="Q276" s="24" t="s">
        <v>680</v>
      </c>
    </row>
    <row r="277" spans="1:17" hidden="1" x14ac:dyDescent="0.3">
      <c r="A277" s="20">
        <f t="shared" si="4"/>
        <v>276</v>
      </c>
      <c r="B277" s="21" t="s">
        <v>87</v>
      </c>
      <c r="C277" s="21" t="s">
        <v>97</v>
      </c>
      <c r="D277" s="22" t="str">
        <f>IF($C277="","",IFERROR(VLOOKUP($C277,Map_Register!$A$2:$C$5,3,FALSE()),""))</f>
        <v>Toponym Labels</v>
      </c>
      <c r="E277" s="21" t="s">
        <v>15</v>
      </c>
      <c r="F277" s="23">
        <v>121581</v>
      </c>
      <c r="G277" s="20" t="s">
        <v>719</v>
      </c>
      <c r="H277" s="20" t="s">
        <v>984</v>
      </c>
      <c r="I277" t="s">
        <v>697</v>
      </c>
      <c r="J277" s="20" t="s">
        <v>8</v>
      </c>
      <c r="K277" t="s">
        <v>107</v>
      </c>
      <c r="L277" t="s">
        <v>107</v>
      </c>
      <c r="M277" s="20" t="s">
        <v>683</v>
      </c>
      <c r="N277" s="20" t="s">
        <v>108</v>
      </c>
      <c r="Q277" s="24" t="s">
        <v>680</v>
      </c>
    </row>
    <row r="278" spans="1:17" hidden="1" x14ac:dyDescent="0.3">
      <c r="A278" s="20">
        <f t="shared" si="4"/>
        <v>277</v>
      </c>
      <c r="B278" s="21" t="s">
        <v>87</v>
      </c>
      <c r="C278" s="21" t="s">
        <v>97</v>
      </c>
      <c r="D278" s="22" t="str">
        <f>IF($C278="","",IFERROR(VLOOKUP($C278,Map_Register!$A$2:$C$5,3,FALSE()),""))</f>
        <v>Toponym Labels</v>
      </c>
      <c r="E278" s="21" t="s">
        <v>15</v>
      </c>
      <c r="F278" s="23">
        <v>121582</v>
      </c>
      <c r="G278" s="20" t="s">
        <v>719</v>
      </c>
      <c r="H278" s="20" t="s">
        <v>985</v>
      </c>
      <c r="I278" t="s">
        <v>697</v>
      </c>
      <c r="J278" s="20" t="s">
        <v>8</v>
      </c>
      <c r="K278" t="s">
        <v>107</v>
      </c>
      <c r="L278" t="s">
        <v>107</v>
      </c>
      <c r="M278" s="20" t="s">
        <v>683</v>
      </c>
      <c r="N278" s="20" t="s">
        <v>108</v>
      </c>
      <c r="Q278" s="24" t="s">
        <v>680</v>
      </c>
    </row>
    <row r="279" spans="1:17" hidden="1" x14ac:dyDescent="0.3">
      <c r="A279" s="20">
        <f t="shared" si="4"/>
        <v>278</v>
      </c>
      <c r="B279" s="21" t="s">
        <v>87</v>
      </c>
      <c r="C279" s="21" t="s">
        <v>97</v>
      </c>
      <c r="D279" s="22" t="str">
        <f>IF($C279="","",IFERROR(VLOOKUP($C279,Map_Register!$A$2:$C$5,3,FALSE()),""))</f>
        <v>Toponym Labels</v>
      </c>
      <c r="E279" s="21" t="s">
        <v>15</v>
      </c>
      <c r="F279" s="23">
        <v>121584</v>
      </c>
      <c r="G279" s="20" t="s">
        <v>719</v>
      </c>
      <c r="H279" s="20" t="s">
        <v>986</v>
      </c>
      <c r="I279" t="s">
        <v>697</v>
      </c>
      <c r="J279" s="20" t="s">
        <v>6</v>
      </c>
      <c r="K279" s="20" t="s">
        <v>137</v>
      </c>
      <c r="L279" s="20" t="s">
        <v>137</v>
      </c>
      <c r="M279" s="20" t="s">
        <v>721</v>
      </c>
      <c r="Q279" s="24" t="s">
        <v>680</v>
      </c>
    </row>
    <row r="280" spans="1:17" x14ac:dyDescent="0.3">
      <c r="A280" s="20">
        <f t="shared" si="4"/>
        <v>279</v>
      </c>
      <c r="B280" s="21" t="s">
        <v>87</v>
      </c>
      <c r="C280" s="21" t="s">
        <v>97</v>
      </c>
      <c r="D280" s="22" t="str">
        <f>IF($C280="","",IFERROR(VLOOKUP($C280,Map_Register!$A$2:$C$5,3,FALSE()),""))</f>
        <v>Toponym Labels</v>
      </c>
      <c r="E280" s="21" t="s">
        <v>15</v>
      </c>
      <c r="F280" s="23">
        <v>121841</v>
      </c>
      <c r="G280" s="20" t="s">
        <v>719</v>
      </c>
      <c r="H280" s="20" t="s">
        <v>987</v>
      </c>
      <c r="I280" t="s">
        <v>697</v>
      </c>
      <c r="J280" s="20" t="s">
        <v>8</v>
      </c>
      <c r="K280" t="s">
        <v>107</v>
      </c>
      <c r="L280" t="s">
        <v>108</v>
      </c>
      <c r="M280" s="20" t="s">
        <v>723</v>
      </c>
      <c r="N280" s="20" t="s">
        <v>108</v>
      </c>
      <c r="Q280" s="24" t="s">
        <v>680</v>
      </c>
    </row>
    <row r="281" spans="1:17" hidden="1" x14ac:dyDescent="0.3">
      <c r="A281" s="20">
        <f t="shared" si="4"/>
        <v>280</v>
      </c>
      <c r="B281" s="21" t="s">
        <v>87</v>
      </c>
      <c r="C281" s="21" t="s">
        <v>97</v>
      </c>
      <c r="D281" s="22" t="str">
        <f>IF($C281="","",IFERROR(VLOOKUP($C281,Map_Register!$A$2:$C$5,3,FALSE()),""))</f>
        <v>Toponym Labels</v>
      </c>
      <c r="E281" s="21" t="s">
        <v>15</v>
      </c>
      <c r="F281" s="23">
        <v>122015</v>
      </c>
      <c r="G281" s="20" t="s">
        <v>719</v>
      </c>
      <c r="H281" s="20" t="s">
        <v>988</v>
      </c>
      <c r="I281" t="s">
        <v>697</v>
      </c>
      <c r="J281" s="20" t="s">
        <v>8</v>
      </c>
      <c r="K281" t="s">
        <v>107</v>
      </c>
      <c r="L281" t="s">
        <v>107</v>
      </c>
      <c r="M281" s="20" t="s">
        <v>683</v>
      </c>
      <c r="N281" s="20" t="s">
        <v>108</v>
      </c>
      <c r="Q281" s="24" t="s">
        <v>680</v>
      </c>
    </row>
    <row r="282" spans="1:17" hidden="1" x14ac:dyDescent="0.3">
      <c r="A282" s="20">
        <f t="shared" si="4"/>
        <v>281</v>
      </c>
      <c r="B282" s="21" t="s">
        <v>87</v>
      </c>
      <c r="C282" s="21" t="s">
        <v>97</v>
      </c>
      <c r="D282" s="22" t="str">
        <f>IF($C282="","",IFERROR(VLOOKUP($C282,Map_Register!$A$2:$C$5,3,FALSE()),""))</f>
        <v>Toponym Labels</v>
      </c>
      <c r="E282" s="21" t="s">
        <v>15</v>
      </c>
      <c r="F282" s="23">
        <v>122016</v>
      </c>
      <c r="G282" s="20" t="s">
        <v>719</v>
      </c>
      <c r="H282" s="20" t="s">
        <v>989</v>
      </c>
      <c r="I282" t="s">
        <v>697</v>
      </c>
      <c r="J282" s="20" t="s">
        <v>8</v>
      </c>
      <c r="K282" t="s">
        <v>107</v>
      </c>
      <c r="L282" t="s">
        <v>107</v>
      </c>
      <c r="M282" s="20" t="s">
        <v>683</v>
      </c>
      <c r="N282" s="20" t="s">
        <v>108</v>
      </c>
      <c r="Q282" s="24" t="s">
        <v>680</v>
      </c>
    </row>
    <row r="283" spans="1:17" hidden="1" x14ac:dyDescent="0.3">
      <c r="A283" s="20">
        <f t="shared" si="4"/>
        <v>282</v>
      </c>
      <c r="B283" s="21" t="s">
        <v>87</v>
      </c>
      <c r="C283" s="21" t="s">
        <v>97</v>
      </c>
      <c r="D283" s="22" t="str">
        <f>IF($C283="","",IFERROR(VLOOKUP($C283,Map_Register!$A$2:$C$5,3,FALSE()),""))</f>
        <v>Toponym Labels</v>
      </c>
      <c r="E283" s="21" t="s">
        <v>15</v>
      </c>
      <c r="F283" s="23">
        <v>122017</v>
      </c>
      <c r="G283" s="20" t="s">
        <v>719</v>
      </c>
      <c r="H283" s="20" t="s">
        <v>990</v>
      </c>
      <c r="I283" t="s">
        <v>697</v>
      </c>
      <c r="J283" s="20" t="s">
        <v>6</v>
      </c>
      <c r="K283" s="20" t="s">
        <v>137</v>
      </c>
      <c r="L283" s="20" t="s">
        <v>137</v>
      </c>
      <c r="M283" s="20" t="s">
        <v>721</v>
      </c>
      <c r="Q283" s="24" t="s">
        <v>680</v>
      </c>
    </row>
    <row r="284" spans="1:17" hidden="1" x14ac:dyDescent="0.3">
      <c r="A284" s="20">
        <f t="shared" si="4"/>
        <v>283</v>
      </c>
      <c r="B284" s="21" t="s">
        <v>87</v>
      </c>
      <c r="C284" s="21" t="s">
        <v>97</v>
      </c>
      <c r="D284" s="22" t="str">
        <f>IF($C284="","",IFERROR(VLOOKUP($C284,Map_Register!$A$2:$C$5,3,FALSE()),""))</f>
        <v>Toponym Labels</v>
      </c>
      <c r="E284" s="21" t="s">
        <v>15</v>
      </c>
      <c r="F284" s="23">
        <v>122018</v>
      </c>
      <c r="G284" s="20" t="s">
        <v>719</v>
      </c>
      <c r="H284" s="20" t="s">
        <v>991</v>
      </c>
      <c r="I284" t="s">
        <v>697</v>
      </c>
      <c r="J284" s="20" t="s">
        <v>992</v>
      </c>
      <c r="K284" s="20" t="s">
        <v>137</v>
      </c>
      <c r="L284" s="20" t="s">
        <v>137</v>
      </c>
      <c r="M284" s="20" t="s">
        <v>721</v>
      </c>
      <c r="Q284" s="24" t="s">
        <v>680</v>
      </c>
    </row>
    <row r="285" spans="1:17" hidden="1" x14ac:dyDescent="0.3">
      <c r="A285" s="20">
        <f t="shared" si="4"/>
        <v>284</v>
      </c>
      <c r="B285" s="21" t="s">
        <v>87</v>
      </c>
      <c r="C285" s="21" t="s">
        <v>97</v>
      </c>
      <c r="D285" s="22" t="str">
        <f>IF($C285="","",IFERROR(VLOOKUP($C285,Map_Register!$A$2:$C$5,3,FALSE()),""))</f>
        <v>Toponym Labels</v>
      </c>
      <c r="E285" s="21" t="s">
        <v>15</v>
      </c>
      <c r="F285" s="23">
        <v>122019</v>
      </c>
      <c r="G285" s="20" t="s">
        <v>719</v>
      </c>
      <c r="H285" s="20" t="s">
        <v>993</v>
      </c>
      <c r="I285" t="s">
        <v>697</v>
      </c>
      <c r="J285" s="20" t="s">
        <v>6</v>
      </c>
      <c r="K285" s="20" t="s">
        <v>137</v>
      </c>
      <c r="L285" s="20" t="s">
        <v>137</v>
      </c>
      <c r="M285" s="20" t="s">
        <v>721</v>
      </c>
      <c r="Q285" s="24" t="s">
        <v>680</v>
      </c>
    </row>
    <row r="286" spans="1:17" hidden="1" x14ac:dyDescent="0.3">
      <c r="A286" s="20">
        <f t="shared" si="4"/>
        <v>285</v>
      </c>
      <c r="B286" s="21" t="s">
        <v>87</v>
      </c>
      <c r="C286" s="21" t="s">
        <v>97</v>
      </c>
      <c r="D286" s="22" t="str">
        <f>IF($C286="","",IFERROR(VLOOKUP($C286,Map_Register!$A$2:$C$5,3,FALSE()),""))</f>
        <v>Toponym Labels</v>
      </c>
      <c r="E286" s="21" t="s">
        <v>15</v>
      </c>
      <c r="F286" s="23">
        <v>122020</v>
      </c>
      <c r="G286" s="20" t="s">
        <v>719</v>
      </c>
      <c r="H286" s="20" t="s">
        <v>803</v>
      </c>
      <c r="I286" t="s">
        <v>697</v>
      </c>
      <c r="J286" s="20" t="s">
        <v>8</v>
      </c>
      <c r="K286" t="s">
        <v>107</v>
      </c>
      <c r="L286" t="s">
        <v>107</v>
      </c>
      <c r="M286" s="20" t="s">
        <v>683</v>
      </c>
      <c r="N286" s="20" t="s">
        <v>108</v>
      </c>
      <c r="Q286" s="24" t="s">
        <v>680</v>
      </c>
    </row>
    <row r="287" spans="1:17" hidden="1" x14ac:dyDescent="0.3">
      <c r="A287" s="20">
        <f t="shared" si="4"/>
        <v>286</v>
      </c>
      <c r="B287" s="21" t="s">
        <v>87</v>
      </c>
      <c r="C287" s="21" t="s">
        <v>97</v>
      </c>
      <c r="D287" s="22" t="str">
        <f>IF($C287="","",IFERROR(VLOOKUP($C287,Map_Register!$A$2:$C$5,3,FALSE()),""))</f>
        <v>Toponym Labels</v>
      </c>
      <c r="E287" s="21" t="s">
        <v>15</v>
      </c>
      <c r="F287" s="23">
        <v>122021</v>
      </c>
      <c r="G287" s="20" t="s">
        <v>719</v>
      </c>
      <c r="H287" s="20" t="s">
        <v>994</v>
      </c>
      <c r="I287" t="s">
        <v>697</v>
      </c>
      <c r="J287" s="20" t="s">
        <v>8</v>
      </c>
      <c r="K287" t="s">
        <v>107</v>
      </c>
      <c r="L287" t="s">
        <v>107</v>
      </c>
      <c r="M287" s="20" t="s">
        <v>683</v>
      </c>
      <c r="N287" s="20" t="s">
        <v>108</v>
      </c>
      <c r="Q287" s="24" t="s">
        <v>680</v>
      </c>
    </row>
    <row r="288" spans="1:17" x14ac:dyDescent="0.3">
      <c r="A288" s="20">
        <f t="shared" si="4"/>
        <v>287</v>
      </c>
      <c r="B288" s="21" t="s">
        <v>87</v>
      </c>
      <c r="C288" s="21" t="s">
        <v>97</v>
      </c>
      <c r="D288" s="22" t="str">
        <f>IF($C288="","",IFERROR(VLOOKUP($C288,Map_Register!$A$2:$C$5,3,FALSE()),""))</f>
        <v>Toponym Labels</v>
      </c>
      <c r="E288" s="21" t="s">
        <v>15</v>
      </c>
      <c r="F288" s="23">
        <v>122022</v>
      </c>
      <c r="G288" s="20" t="s">
        <v>719</v>
      </c>
      <c r="H288" s="20" t="s">
        <v>995</v>
      </c>
      <c r="I288" t="s">
        <v>697</v>
      </c>
      <c r="J288" s="20" t="s">
        <v>8</v>
      </c>
      <c r="K288" t="s">
        <v>107</v>
      </c>
      <c r="L288" t="s">
        <v>108</v>
      </c>
      <c r="M288" s="20" t="s">
        <v>723</v>
      </c>
      <c r="N288" s="20" t="s">
        <v>108</v>
      </c>
      <c r="Q288" s="24" t="s">
        <v>680</v>
      </c>
    </row>
    <row r="289" spans="1:17" hidden="1" x14ac:dyDescent="0.3">
      <c r="A289" s="20">
        <f t="shared" si="4"/>
        <v>288</v>
      </c>
      <c r="B289" s="21" t="s">
        <v>87</v>
      </c>
      <c r="C289" s="21" t="s">
        <v>97</v>
      </c>
      <c r="D289" s="22" t="str">
        <f>IF($C289="","",IFERROR(VLOOKUP($C289,Map_Register!$A$2:$C$5,3,FALSE()),""))</f>
        <v>Toponym Labels</v>
      </c>
      <c r="E289" s="21" t="s">
        <v>15</v>
      </c>
      <c r="F289" s="23">
        <v>122023</v>
      </c>
      <c r="G289" s="20" t="s">
        <v>719</v>
      </c>
      <c r="H289" s="20" t="s">
        <v>996</v>
      </c>
      <c r="I289" t="s">
        <v>697</v>
      </c>
      <c r="J289" s="20" t="s">
        <v>6</v>
      </c>
      <c r="K289" s="20" t="s">
        <v>137</v>
      </c>
      <c r="L289" s="20" t="s">
        <v>137</v>
      </c>
      <c r="M289" s="20" t="s">
        <v>721</v>
      </c>
      <c r="Q289" s="24" t="s">
        <v>680</v>
      </c>
    </row>
    <row r="290" spans="1:17" x14ac:dyDescent="0.3">
      <c r="A290" s="20">
        <f t="shared" si="4"/>
        <v>289</v>
      </c>
      <c r="B290" s="21" t="s">
        <v>87</v>
      </c>
      <c r="C290" s="21" t="s">
        <v>97</v>
      </c>
      <c r="D290" s="22" t="str">
        <f>IF($C290="","",IFERROR(VLOOKUP($C290,Map_Register!$A$2:$C$5,3,FALSE()),""))</f>
        <v>Toponym Labels</v>
      </c>
      <c r="E290" s="21" t="s">
        <v>15</v>
      </c>
      <c r="F290" s="23">
        <v>122024</v>
      </c>
      <c r="G290" s="20" t="s">
        <v>719</v>
      </c>
      <c r="H290" s="20" t="s">
        <v>997</v>
      </c>
      <c r="I290" t="s">
        <v>697</v>
      </c>
      <c r="J290" s="20" t="s">
        <v>8</v>
      </c>
      <c r="K290" t="s">
        <v>107</v>
      </c>
      <c r="L290" t="s">
        <v>108</v>
      </c>
      <c r="M290" s="20" t="s">
        <v>723</v>
      </c>
      <c r="N290" s="20" t="s">
        <v>108</v>
      </c>
      <c r="Q290" s="24" t="s">
        <v>680</v>
      </c>
    </row>
    <row r="291" spans="1:17" x14ac:dyDescent="0.3">
      <c r="A291" s="20">
        <f t="shared" si="4"/>
        <v>290</v>
      </c>
      <c r="B291" s="21" t="s">
        <v>87</v>
      </c>
      <c r="C291" s="21" t="s">
        <v>97</v>
      </c>
      <c r="D291" s="22" t="str">
        <f>IF($C291="","",IFERROR(VLOOKUP($C291,Map_Register!$A$2:$C$5,3,FALSE()),""))</f>
        <v>Toponym Labels</v>
      </c>
      <c r="E291" s="21" t="s">
        <v>15</v>
      </c>
      <c r="F291" s="23">
        <v>122307</v>
      </c>
      <c r="G291" s="20" t="s">
        <v>719</v>
      </c>
      <c r="H291" s="20" t="s">
        <v>998</v>
      </c>
      <c r="I291" t="s">
        <v>697</v>
      </c>
      <c r="J291" s="20" t="s">
        <v>8</v>
      </c>
      <c r="K291" t="s">
        <v>107</v>
      </c>
      <c r="L291" t="s">
        <v>108</v>
      </c>
      <c r="M291" s="20" t="s">
        <v>723</v>
      </c>
      <c r="N291" s="20" t="s">
        <v>108</v>
      </c>
      <c r="Q291" s="24" t="s">
        <v>680</v>
      </c>
    </row>
    <row r="292" spans="1:17" hidden="1" x14ac:dyDescent="0.3">
      <c r="A292" s="20">
        <f t="shared" si="4"/>
        <v>291</v>
      </c>
      <c r="B292" s="21" t="s">
        <v>87</v>
      </c>
      <c r="C292" s="21" t="s">
        <v>97</v>
      </c>
      <c r="D292" s="22" t="str">
        <f>IF($C292="","",IFERROR(VLOOKUP($C292,Map_Register!$A$2:$C$5,3,FALSE()),""))</f>
        <v>Toponym Labels</v>
      </c>
      <c r="E292" s="21" t="s">
        <v>15</v>
      </c>
      <c r="F292" s="23">
        <v>122308</v>
      </c>
      <c r="G292" s="20" t="s">
        <v>719</v>
      </c>
      <c r="H292" s="20" t="s">
        <v>999</v>
      </c>
      <c r="I292" t="s">
        <v>697</v>
      </c>
      <c r="J292" s="20" t="s">
        <v>8</v>
      </c>
      <c r="K292" t="s">
        <v>107</v>
      </c>
      <c r="L292" t="s">
        <v>107</v>
      </c>
      <c r="M292" s="20" t="s">
        <v>683</v>
      </c>
      <c r="N292" s="20" t="s">
        <v>108</v>
      </c>
      <c r="Q292" s="24" t="s">
        <v>680</v>
      </c>
    </row>
    <row r="293" spans="1:17" hidden="1" x14ac:dyDescent="0.3">
      <c r="A293" s="20">
        <f t="shared" si="4"/>
        <v>292</v>
      </c>
      <c r="B293" s="21" t="s">
        <v>87</v>
      </c>
      <c r="C293" s="21" t="s">
        <v>97</v>
      </c>
      <c r="D293" s="22" t="str">
        <f>IF($C293="","",IFERROR(VLOOKUP($C293,Map_Register!$A$2:$C$5,3,FALSE()),""))</f>
        <v>Toponym Labels</v>
      </c>
      <c r="E293" s="21" t="s">
        <v>15</v>
      </c>
      <c r="F293" s="23">
        <v>122309</v>
      </c>
      <c r="G293" s="20" t="s">
        <v>719</v>
      </c>
      <c r="H293" s="20" t="s">
        <v>1000</v>
      </c>
      <c r="I293" t="s">
        <v>697</v>
      </c>
      <c r="J293" s="20" t="s">
        <v>8</v>
      </c>
      <c r="K293" t="s">
        <v>107</v>
      </c>
      <c r="L293" t="s">
        <v>107</v>
      </c>
      <c r="M293" s="20" t="s">
        <v>683</v>
      </c>
      <c r="N293" s="20" t="s">
        <v>108</v>
      </c>
      <c r="Q293" s="24" t="s">
        <v>680</v>
      </c>
    </row>
    <row r="294" spans="1:17" hidden="1" x14ac:dyDescent="0.3">
      <c r="A294" s="20">
        <f t="shared" si="4"/>
        <v>293</v>
      </c>
      <c r="B294" s="21" t="s">
        <v>87</v>
      </c>
      <c r="C294" s="21" t="s">
        <v>97</v>
      </c>
      <c r="D294" s="22" t="str">
        <f>IF($C294="","",IFERROR(VLOOKUP($C294,Map_Register!$A$2:$C$5,3,FALSE()),""))</f>
        <v>Toponym Labels</v>
      </c>
      <c r="E294" s="21" t="s">
        <v>15</v>
      </c>
      <c r="F294" s="23">
        <v>122311</v>
      </c>
      <c r="G294" s="20" t="s">
        <v>719</v>
      </c>
      <c r="H294" s="20" t="s">
        <v>1001</v>
      </c>
      <c r="I294" t="s">
        <v>697</v>
      </c>
      <c r="J294" s="20" t="s">
        <v>6</v>
      </c>
      <c r="K294" s="20" t="s">
        <v>137</v>
      </c>
      <c r="L294" s="20" t="s">
        <v>137</v>
      </c>
      <c r="M294" s="20" t="s">
        <v>721</v>
      </c>
      <c r="Q294" s="24" t="s">
        <v>680</v>
      </c>
    </row>
    <row r="295" spans="1:17" hidden="1" x14ac:dyDescent="0.3">
      <c r="A295" s="20">
        <f t="shared" si="4"/>
        <v>294</v>
      </c>
      <c r="B295" s="21" t="s">
        <v>87</v>
      </c>
      <c r="C295" s="21" t="s">
        <v>97</v>
      </c>
      <c r="D295" s="22" t="str">
        <f>IF($C295="","",IFERROR(VLOOKUP($C295,Map_Register!$A$2:$C$5,3,FALSE()),""))</f>
        <v>Toponym Labels</v>
      </c>
      <c r="E295" s="21" t="s">
        <v>15</v>
      </c>
      <c r="F295" s="23">
        <v>122312</v>
      </c>
      <c r="G295" s="20" t="s">
        <v>719</v>
      </c>
      <c r="H295" s="20" t="s">
        <v>1002</v>
      </c>
      <c r="I295" t="s">
        <v>697</v>
      </c>
      <c r="J295" s="20" t="s">
        <v>8</v>
      </c>
      <c r="K295" t="s">
        <v>107</v>
      </c>
      <c r="L295" t="s">
        <v>107</v>
      </c>
      <c r="M295" s="20" t="s">
        <v>683</v>
      </c>
      <c r="N295" s="20" t="s">
        <v>108</v>
      </c>
      <c r="Q295" s="24" t="s">
        <v>680</v>
      </c>
    </row>
    <row r="296" spans="1:17" x14ac:dyDescent="0.3">
      <c r="A296" s="20">
        <f t="shared" si="4"/>
        <v>295</v>
      </c>
      <c r="B296" s="21" t="s">
        <v>87</v>
      </c>
      <c r="C296" s="21" t="s">
        <v>97</v>
      </c>
      <c r="D296" s="22" t="str">
        <f>IF($C296="","",IFERROR(VLOOKUP($C296,Map_Register!$A$2:$C$5,3,FALSE()),""))</f>
        <v>Toponym Labels</v>
      </c>
      <c r="E296" s="21" t="s">
        <v>15</v>
      </c>
      <c r="F296" s="23">
        <v>122330</v>
      </c>
      <c r="G296" s="20" t="s">
        <v>719</v>
      </c>
      <c r="H296" s="20" t="s">
        <v>1003</v>
      </c>
      <c r="I296" t="s">
        <v>697</v>
      </c>
      <c r="J296" s="20" t="s">
        <v>8</v>
      </c>
      <c r="K296" t="s">
        <v>107</v>
      </c>
      <c r="L296" t="s">
        <v>108</v>
      </c>
      <c r="M296" s="20" t="s">
        <v>723</v>
      </c>
      <c r="N296" s="20" t="s">
        <v>108</v>
      </c>
      <c r="Q296" s="24" t="s">
        <v>680</v>
      </c>
    </row>
    <row r="297" spans="1:17" x14ac:dyDescent="0.3">
      <c r="A297" s="20">
        <f t="shared" si="4"/>
        <v>296</v>
      </c>
      <c r="B297" s="21" t="s">
        <v>87</v>
      </c>
      <c r="C297" s="21" t="s">
        <v>97</v>
      </c>
      <c r="D297" s="22" t="str">
        <f>IF($C297="","",IFERROR(VLOOKUP($C297,Map_Register!$A$2:$C$5,3,FALSE()),""))</f>
        <v>Toponym Labels</v>
      </c>
      <c r="E297" s="21" t="s">
        <v>15</v>
      </c>
      <c r="F297" s="23">
        <v>122361</v>
      </c>
      <c r="G297" s="20" t="s">
        <v>719</v>
      </c>
      <c r="H297" s="20" t="s">
        <v>1004</v>
      </c>
      <c r="I297" t="s">
        <v>697</v>
      </c>
      <c r="J297" s="20" t="s">
        <v>8</v>
      </c>
      <c r="K297" t="s">
        <v>107</v>
      </c>
      <c r="L297" t="s">
        <v>108</v>
      </c>
      <c r="M297" s="20" t="s">
        <v>723</v>
      </c>
      <c r="N297" s="20" t="s">
        <v>108</v>
      </c>
      <c r="Q297" s="24" t="s">
        <v>680</v>
      </c>
    </row>
    <row r="298" spans="1:17" x14ac:dyDescent="0.3">
      <c r="A298" s="20">
        <f t="shared" si="4"/>
        <v>297</v>
      </c>
      <c r="B298" s="21" t="s">
        <v>87</v>
      </c>
      <c r="C298" s="21" t="s">
        <v>97</v>
      </c>
      <c r="D298" s="22" t="str">
        <f>IF($C298="","",IFERROR(VLOOKUP($C298,Map_Register!$A$2:$C$5,3,FALSE()),""))</f>
        <v>Toponym Labels</v>
      </c>
      <c r="E298" s="21" t="s">
        <v>15</v>
      </c>
      <c r="F298" s="23">
        <v>122362</v>
      </c>
      <c r="G298" s="20" t="s">
        <v>719</v>
      </c>
      <c r="H298" s="20" t="s">
        <v>1005</v>
      </c>
      <c r="I298" t="s">
        <v>697</v>
      </c>
      <c r="J298" s="20" t="s">
        <v>8</v>
      </c>
      <c r="K298" t="s">
        <v>107</v>
      </c>
      <c r="L298" t="s">
        <v>108</v>
      </c>
      <c r="M298" s="20" t="s">
        <v>723</v>
      </c>
      <c r="N298" s="20" t="s">
        <v>108</v>
      </c>
      <c r="Q298" s="24" t="s">
        <v>680</v>
      </c>
    </row>
    <row r="299" spans="1:17" hidden="1" x14ac:dyDescent="0.3">
      <c r="A299" s="20">
        <f t="shared" si="4"/>
        <v>298</v>
      </c>
      <c r="B299" s="21" t="s">
        <v>87</v>
      </c>
      <c r="C299" s="21" t="s">
        <v>97</v>
      </c>
      <c r="D299" s="22" t="str">
        <f>IF($C299="","",IFERROR(VLOOKUP($C299,Map_Register!$A$2:$C$5,3,FALSE()),""))</f>
        <v>Toponym Labels</v>
      </c>
      <c r="E299" s="21" t="s">
        <v>15</v>
      </c>
      <c r="F299" s="23">
        <v>122363</v>
      </c>
      <c r="G299" s="20" t="s">
        <v>719</v>
      </c>
      <c r="H299" s="20" t="s">
        <v>1006</v>
      </c>
      <c r="I299" t="s">
        <v>697</v>
      </c>
      <c r="J299" s="20" t="s">
        <v>8</v>
      </c>
      <c r="K299" t="s">
        <v>107</v>
      </c>
      <c r="L299" t="s">
        <v>107</v>
      </c>
      <c r="M299" s="20" t="s">
        <v>683</v>
      </c>
      <c r="N299" s="20" t="s">
        <v>108</v>
      </c>
      <c r="Q299" s="24" t="s">
        <v>680</v>
      </c>
    </row>
    <row r="300" spans="1:17" hidden="1" x14ac:dyDescent="0.3">
      <c r="A300" s="20">
        <f t="shared" si="4"/>
        <v>299</v>
      </c>
      <c r="B300" s="21" t="s">
        <v>87</v>
      </c>
      <c r="C300" s="21" t="s">
        <v>97</v>
      </c>
      <c r="D300" s="22" t="str">
        <f>IF($C300="","",IFERROR(VLOOKUP($C300,Map_Register!$A$2:$C$5,3,FALSE()),""))</f>
        <v>Toponym Labels</v>
      </c>
      <c r="E300" s="21" t="s">
        <v>15</v>
      </c>
      <c r="F300" s="23">
        <v>122364</v>
      </c>
      <c r="G300" s="20" t="s">
        <v>719</v>
      </c>
      <c r="H300" s="20" t="s">
        <v>1007</v>
      </c>
      <c r="I300" t="s">
        <v>697</v>
      </c>
      <c r="J300" s="20" t="s">
        <v>8</v>
      </c>
      <c r="K300" t="s">
        <v>107</v>
      </c>
      <c r="L300" t="s">
        <v>107</v>
      </c>
      <c r="M300" s="20" t="s">
        <v>683</v>
      </c>
      <c r="N300" s="20" t="s">
        <v>108</v>
      </c>
      <c r="Q300" s="24" t="s">
        <v>680</v>
      </c>
    </row>
    <row r="301" spans="1:17" hidden="1" x14ac:dyDescent="0.3">
      <c r="A301" s="20">
        <f t="shared" si="4"/>
        <v>300</v>
      </c>
      <c r="B301" s="21" t="s">
        <v>87</v>
      </c>
      <c r="C301" s="21" t="s">
        <v>97</v>
      </c>
      <c r="D301" s="22" t="str">
        <f>IF($C301="","",IFERROR(VLOOKUP($C301,Map_Register!$A$2:$C$5,3,FALSE()),""))</f>
        <v>Toponym Labels</v>
      </c>
      <c r="E301" s="21" t="s">
        <v>15</v>
      </c>
      <c r="F301" s="23">
        <v>122365</v>
      </c>
      <c r="G301" s="20" t="s">
        <v>719</v>
      </c>
      <c r="H301" s="20" t="s">
        <v>1008</v>
      </c>
      <c r="I301" t="s">
        <v>697</v>
      </c>
      <c r="J301" s="20" t="s">
        <v>8</v>
      </c>
      <c r="K301" t="s">
        <v>107</v>
      </c>
      <c r="L301" t="s">
        <v>107</v>
      </c>
      <c r="M301" s="20" t="s">
        <v>683</v>
      </c>
      <c r="N301" s="20" t="s">
        <v>108</v>
      </c>
      <c r="Q301" s="24" t="s">
        <v>680</v>
      </c>
    </row>
    <row r="302" spans="1:17" hidden="1" x14ac:dyDescent="0.3">
      <c r="A302" s="20">
        <f t="shared" si="4"/>
        <v>301</v>
      </c>
      <c r="B302" s="21" t="s">
        <v>87</v>
      </c>
      <c r="C302" s="21" t="s">
        <v>97</v>
      </c>
      <c r="D302" s="22" t="str">
        <f>IF($C302="","",IFERROR(VLOOKUP($C302,Map_Register!$A$2:$C$5,3,FALSE()),""))</f>
        <v>Toponym Labels</v>
      </c>
      <c r="E302" s="21" t="s">
        <v>15</v>
      </c>
      <c r="F302" s="23">
        <v>122367</v>
      </c>
      <c r="G302" s="20" t="s">
        <v>719</v>
      </c>
      <c r="H302" s="20" t="s">
        <v>1009</v>
      </c>
      <c r="I302" t="s">
        <v>697</v>
      </c>
      <c r="J302" s="20" t="s">
        <v>6</v>
      </c>
      <c r="K302" s="20" t="s">
        <v>137</v>
      </c>
      <c r="L302" s="20" t="s">
        <v>137</v>
      </c>
      <c r="M302" s="20" t="s">
        <v>721</v>
      </c>
      <c r="Q302" s="24" t="s">
        <v>680</v>
      </c>
    </row>
    <row r="303" spans="1:17" hidden="1" x14ac:dyDescent="0.3">
      <c r="A303" s="20">
        <f t="shared" si="4"/>
        <v>302</v>
      </c>
      <c r="B303" s="21" t="s">
        <v>87</v>
      </c>
      <c r="C303" s="21" t="s">
        <v>97</v>
      </c>
      <c r="D303" s="22" t="str">
        <f>IF($C303="","",IFERROR(VLOOKUP($C303,Map_Register!$A$2:$C$5,3,FALSE()),""))</f>
        <v>Toponym Labels</v>
      </c>
      <c r="E303" s="21" t="s">
        <v>15</v>
      </c>
      <c r="F303" s="23">
        <v>122610</v>
      </c>
      <c r="G303" s="20" t="s">
        <v>719</v>
      </c>
      <c r="H303" s="20" t="s">
        <v>1010</v>
      </c>
      <c r="I303" t="s">
        <v>697</v>
      </c>
      <c r="J303" s="20" t="s">
        <v>6</v>
      </c>
      <c r="K303" s="20" t="s">
        <v>137</v>
      </c>
      <c r="L303" s="20" t="s">
        <v>137</v>
      </c>
      <c r="M303" s="20" t="s">
        <v>721</v>
      </c>
      <c r="Q303" s="24" t="s">
        <v>680</v>
      </c>
    </row>
    <row r="304" spans="1:17" hidden="1" x14ac:dyDescent="0.3">
      <c r="A304" s="20">
        <f t="shared" si="4"/>
        <v>303</v>
      </c>
      <c r="B304" s="21" t="s">
        <v>87</v>
      </c>
      <c r="C304" s="21" t="s">
        <v>97</v>
      </c>
      <c r="D304" s="22" t="str">
        <f>IF($C304="","",IFERROR(VLOOKUP($C304,Map_Register!$A$2:$C$5,3,FALSE()),""))</f>
        <v>Toponym Labels</v>
      </c>
      <c r="E304" s="21" t="s">
        <v>15</v>
      </c>
      <c r="F304" s="23">
        <v>123287</v>
      </c>
      <c r="G304" s="20" t="s">
        <v>719</v>
      </c>
      <c r="H304" s="20" t="s">
        <v>1011</v>
      </c>
      <c r="I304" t="s">
        <v>697</v>
      </c>
      <c r="J304" s="20" t="s">
        <v>8</v>
      </c>
      <c r="K304" t="s">
        <v>107</v>
      </c>
      <c r="L304" t="s">
        <v>107</v>
      </c>
      <c r="M304" s="20" t="s">
        <v>683</v>
      </c>
      <c r="N304" s="20" t="s">
        <v>108</v>
      </c>
      <c r="Q304" s="24" t="s">
        <v>680</v>
      </c>
    </row>
    <row r="305" spans="1:17" hidden="1" x14ac:dyDescent="0.3">
      <c r="A305" s="20">
        <f t="shared" si="4"/>
        <v>304</v>
      </c>
      <c r="B305" s="21" t="s">
        <v>87</v>
      </c>
      <c r="C305" s="21" t="s">
        <v>97</v>
      </c>
      <c r="D305" s="22" t="str">
        <f>IF($C305="","",IFERROR(VLOOKUP($C305,Map_Register!$A$2:$C$5,3,FALSE()),""))</f>
        <v>Toponym Labels</v>
      </c>
      <c r="E305" s="21" t="s">
        <v>15</v>
      </c>
      <c r="F305" s="23">
        <v>123288</v>
      </c>
      <c r="G305" s="20" t="s">
        <v>719</v>
      </c>
      <c r="H305" s="20" t="s">
        <v>1012</v>
      </c>
      <c r="I305" t="s">
        <v>697</v>
      </c>
      <c r="J305" s="20" t="s">
        <v>8</v>
      </c>
      <c r="K305" t="s">
        <v>107</v>
      </c>
      <c r="L305" t="s">
        <v>107</v>
      </c>
      <c r="M305" s="20" t="s">
        <v>683</v>
      </c>
      <c r="N305" s="20" t="s">
        <v>108</v>
      </c>
      <c r="Q305" s="24" t="s">
        <v>680</v>
      </c>
    </row>
    <row r="306" spans="1:17" hidden="1" x14ac:dyDescent="0.3">
      <c r="A306" s="20">
        <f t="shared" si="4"/>
        <v>305</v>
      </c>
      <c r="B306" s="21" t="s">
        <v>87</v>
      </c>
      <c r="C306" s="21" t="s">
        <v>97</v>
      </c>
      <c r="D306" s="22" t="str">
        <f>IF($C306="","",IFERROR(VLOOKUP($C306,Map_Register!$A$2:$C$5,3,FALSE()),""))</f>
        <v>Toponym Labels</v>
      </c>
      <c r="E306" s="21" t="s">
        <v>15</v>
      </c>
      <c r="F306" s="23">
        <v>123289</v>
      </c>
      <c r="G306" s="20" t="s">
        <v>719</v>
      </c>
      <c r="H306" s="20" t="s">
        <v>1013</v>
      </c>
      <c r="I306" t="s">
        <v>697</v>
      </c>
      <c r="J306" s="20" t="s">
        <v>6</v>
      </c>
      <c r="K306" s="20" t="s">
        <v>137</v>
      </c>
      <c r="L306" s="20" t="s">
        <v>137</v>
      </c>
      <c r="M306" s="20" t="s">
        <v>721</v>
      </c>
      <c r="Q306" s="24" t="s">
        <v>680</v>
      </c>
    </row>
    <row r="307" spans="1:17" hidden="1" x14ac:dyDescent="0.3">
      <c r="A307" s="20">
        <f t="shared" si="4"/>
        <v>306</v>
      </c>
      <c r="B307" s="21" t="s">
        <v>87</v>
      </c>
      <c r="C307" s="21" t="s">
        <v>97</v>
      </c>
      <c r="D307" s="22" t="str">
        <f>IF($C307="","",IFERROR(VLOOKUP($C307,Map_Register!$A$2:$C$5,3,FALSE()),""))</f>
        <v>Toponym Labels</v>
      </c>
      <c r="E307" s="21" t="s">
        <v>15</v>
      </c>
      <c r="F307" s="23">
        <v>123290</v>
      </c>
      <c r="G307" s="20" t="s">
        <v>719</v>
      </c>
      <c r="H307" s="20" t="s">
        <v>1014</v>
      </c>
      <c r="I307" t="s">
        <v>697</v>
      </c>
      <c r="J307" s="20" t="s">
        <v>6</v>
      </c>
      <c r="K307" s="20" t="s">
        <v>137</v>
      </c>
      <c r="L307" s="20" t="s">
        <v>137</v>
      </c>
      <c r="M307" s="20" t="s">
        <v>721</v>
      </c>
      <c r="Q307" s="24" t="s">
        <v>680</v>
      </c>
    </row>
    <row r="308" spans="1:17" hidden="1" x14ac:dyDescent="0.3">
      <c r="A308" s="20">
        <f t="shared" si="4"/>
        <v>307</v>
      </c>
      <c r="B308" s="21" t="s">
        <v>87</v>
      </c>
      <c r="C308" s="21" t="s">
        <v>97</v>
      </c>
      <c r="D308" s="22" t="str">
        <f>IF($C308="","",IFERROR(VLOOKUP($C308,Map_Register!$A$2:$C$5,3,FALSE()),""))</f>
        <v>Toponym Labels</v>
      </c>
      <c r="E308" s="21" t="s">
        <v>15</v>
      </c>
      <c r="F308" s="23">
        <v>123291</v>
      </c>
      <c r="G308" s="20" t="s">
        <v>719</v>
      </c>
      <c r="H308" s="20" t="s">
        <v>1015</v>
      </c>
      <c r="I308" t="s">
        <v>697</v>
      </c>
      <c r="J308" s="20" t="s">
        <v>6</v>
      </c>
      <c r="K308" s="20" t="s">
        <v>137</v>
      </c>
      <c r="L308" s="20" t="s">
        <v>137</v>
      </c>
      <c r="M308" s="20" t="s">
        <v>721</v>
      </c>
      <c r="Q308" s="24" t="s">
        <v>680</v>
      </c>
    </row>
    <row r="309" spans="1:17" hidden="1" x14ac:dyDescent="0.3">
      <c r="A309" s="20">
        <f t="shared" si="4"/>
        <v>308</v>
      </c>
      <c r="B309" s="21" t="s">
        <v>87</v>
      </c>
      <c r="C309" s="21" t="s">
        <v>97</v>
      </c>
      <c r="D309" s="22" t="str">
        <f>IF($C309="","",IFERROR(VLOOKUP($C309,Map_Register!$A$2:$C$5,3,FALSE()),""))</f>
        <v>Toponym Labels</v>
      </c>
      <c r="E309" s="21" t="s">
        <v>15</v>
      </c>
      <c r="F309" s="23">
        <v>123292</v>
      </c>
      <c r="G309" s="20" t="s">
        <v>719</v>
      </c>
      <c r="H309" s="20" t="s">
        <v>1016</v>
      </c>
      <c r="I309" t="s">
        <v>697</v>
      </c>
      <c r="J309" s="20" t="s">
        <v>6</v>
      </c>
      <c r="K309" s="20" t="s">
        <v>137</v>
      </c>
      <c r="L309" s="20" t="s">
        <v>137</v>
      </c>
      <c r="M309" s="20" t="s">
        <v>721</v>
      </c>
      <c r="Q309" s="24" t="s">
        <v>680</v>
      </c>
    </row>
    <row r="310" spans="1:17" hidden="1" x14ac:dyDescent="0.3">
      <c r="A310" s="20">
        <f t="shared" si="4"/>
        <v>309</v>
      </c>
      <c r="B310" s="21" t="s">
        <v>87</v>
      </c>
      <c r="C310" s="21" t="s">
        <v>97</v>
      </c>
      <c r="D310" s="22" t="str">
        <f>IF($C310="","",IFERROR(VLOOKUP($C310,Map_Register!$A$2:$C$5,3,FALSE()),""))</f>
        <v>Toponym Labels</v>
      </c>
      <c r="E310" s="21" t="s">
        <v>15</v>
      </c>
      <c r="F310" s="23">
        <v>123588</v>
      </c>
      <c r="G310" s="20" t="s">
        <v>719</v>
      </c>
      <c r="H310" s="20" t="s">
        <v>1017</v>
      </c>
      <c r="I310" t="s">
        <v>697</v>
      </c>
      <c r="J310" s="20" t="s">
        <v>8</v>
      </c>
      <c r="K310" t="s">
        <v>107</v>
      </c>
      <c r="L310" t="s">
        <v>107</v>
      </c>
      <c r="M310" s="20" t="s">
        <v>975</v>
      </c>
      <c r="N310" s="20" t="s">
        <v>108</v>
      </c>
      <c r="Q310" s="24" t="s">
        <v>680</v>
      </c>
    </row>
    <row r="311" spans="1:17" hidden="1" x14ac:dyDescent="0.3">
      <c r="A311" s="20">
        <f t="shared" si="4"/>
        <v>310</v>
      </c>
      <c r="B311" s="21" t="s">
        <v>87</v>
      </c>
      <c r="C311" s="21" t="s">
        <v>97</v>
      </c>
      <c r="D311" s="22" t="str">
        <f>IF($C311="","",IFERROR(VLOOKUP($C311,Map_Register!$A$2:$C$5,3,FALSE()),""))</f>
        <v>Toponym Labels</v>
      </c>
      <c r="E311" s="21" t="s">
        <v>15</v>
      </c>
      <c r="F311" s="23">
        <v>123592</v>
      </c>
      <c r="G311" s="20" t="s">
        <v>719</v>
      </c>
      <c r="H311" s="20" t="s">
        <v>1018</v>
      </c>
      <c r="I311" t="s">
        <v>697</v>
      </c>
      <c r="J311" s="20" t="s">
        <v>6</v>
      </c>
      <c r="K311" s="20" t="s">
        <v>137</v>
      </c>
      <c r="L311" s="20" t="s">
        <v>137</v>
      </c>
      <c r="M311" s="20" t="s">
        <v>721</v>
      </c>
      <c r="Q311" s="24" t="s">
        <v>680</v>
      </c>
    </row>
    <row r="312" spans="1:17" hidden="1" x14ac:dyDescent="0.3">
      <c r="A312" s="20">
        <f t="shared" si="4"/>
        <v>311</v>
      </c>
      <c r="B312" s="21" t="s">
        <v>87</v>
      </c>
      <c r="C312" s="21" t="s">
        <v>97</v>
      </c>
      <c r="D312" s="22" t="str">
        <f>IF($C312="","",IFERROR(VLOOKUP($C312,Map_Register!$A$2:$C$5,3,FALSE()),""))</f>
        <v>Toponym Labels</v>
      </c>
      <c r="E312" s="21" t="s">
        <v>15</v>
      </c>
      <c r="F312" s="23">
        <v>123597</v>
      </c>
      <c r="G312" s="20" t="s">
        <v>719</v>
      </c>
      <c r="H312" s="20" t="s">
        <v>1019</v>
      </c>
      <c r="I312" t="s">
        <v>697</v>
      </c>
      <c r="J312" s="20" t="s">
        <v>8</v>
      </c>
      <c r="K312" t="s">
        <v>107</v>
      </c>
      <c r="L312" t="s">
        <v>107</v>
      </c>
      <c r="M312" s="20" t="s">
        <v>683</v>
      </c>
      <c r="N312" s="20" t="s">
        <v>108</v>
      </c>
      <c r="Q312" s="24" t="s">
        <v>680</v>
      </c>
    </row>
    <row r="313" spans="1:17" x14ac:dyDescent="0.3">
      <c r="A313" s="20">
        <f t="shared" si="4"/>
        <v>312</v>
      </c>
      <c r="B313" s="21" t="s">
        <v>87</v>
      </c>
      <c r="C313" s="21" t="s">
        <v>97</v>
      </c>
      <c r="D313" s="22" t="str">
        <f>IF($C313="","",IFERROR(VLOOKUP($C313,Map_Register!$A$2:$C$5,3,FALSE()),""))</f>
        <v>Toponym Labels</v>
      </c>
      <c r="E313" s="21" t="s">
        <v>15</v>
      </c>
      <c r="F313" s="23">
        <v>123598</v>
      </c>
      <c r="G313" s="20" t="s">
        <v>719</v>
      </c>
      <c r="H313" s="20" t="s">
        <v>1020</v>
      </c>
      <c r="I313" t="s">
        <v>697</v>
      </c>
      <c r="J313" s="20" t="s">
        <v>8</v>
      </c>
      <c r="K313" t="s">
        <v>107</v>
      </c>
      <c r="L313" t="s">
        <v>108</v>
      </c>
      <c r="M313" s="20" t="s">
        <v>723</v>
      </c>
      <c r="N313" s="20" t="s">
        <v>108</v>
      </c>
      <c r="Q313" s="24" t="s">
        <v>680</v>
      </c>
    </row>
    <row r="314" spans="1:17" hidden="1" x14ac:dyDescent="0.3">
      <c r="A314" s="20">
        <f t="shared" si="4"/>
        <v>313</v>
      </c>
      <c r="B314" s="21" t="s">
        <v>87</v>
      </c>
      <c r="C314" s="21" t="s">
        <v>97</v>
      </c>
      <c r="D314" s="22" t="str">
        <f>IF($C314="","",IFERROR(VLOOKUP($C314,Map_Register!$A$2:$C$5,3,FALSE()),""))</f>
        <v>Toponym Labels</v>
      </c>
      <c r="E314" s="21" t="s">
        <v>15</v>
      </c>
      <c r="F314" s="23">
        <v>123599</v>
      </c>
      <c r="G314" s="20" t="s">
        <v>719</v>
      </c>
      <c r="H314" s="20" t="s">
        <v>1021</v>
      </c>
      <c r="I314" t="s">
        <v>697</v>
      </c>
      <c r="J314" s="20" t="s">
        <v>8</v>
      </c>
      <c r="K314" t="s">
        <v>107</v>
      </c>
      <c r="L314" t="s">
        <v>107</v>
      </c>
      <c r="M314" s="20" t="s">
        <v>683</v>
      </c>
      <c r="N314" s="20" t="s">
        <v>108</v>
      </c>
      <c r="Q314" s="24" t="s">
        <v>680</v>
      </c>
    </row>
    <row r="315" spans="1:17" hidden="1" x14ac:dyDescent="0.3">
      <c r="A315" s="20">
        <f t="shared" si="4"/>
        <v>314</v>
      </c>
      <c r="B315" s="21" t="s">
        <v>87</v>
      </c>
      <c r="C315" s="21" t="s">
        <v>97</v>
      </c>
      <c r="D315" s="22" t="str">
        <f>IF($C315="","",IFERROR(VLOOKUP($C315,Map_Register!$A$2:$C$5,3,FALSE()),""))</f>
        <v>Toponym Labels</v>
      </c>
      <c r="E315" s="21" t="s">
        <v>15</v>
      </c>
      <c r="F315" s="23">
        <v>123688</v>
      </c>
      <c r="G315" s="20" t="s">
        <v>719</v>
      </c>
      <c r="H315" s="20" t="s">
        <v>1022</v>
      </c>
      <c r="I315" t="s">
        <v>697</v>
      </c>
      <c r="J315" s="20" t="s">
        <v>6</v>
      </c>
      <c r="K315" s="20" t="s">
        <v>137</v>
      </c>
      <c r="L315" s="20" t="s">
        <v>137</v>
      </c>
      <c r="M315" s="20" t="s">
        <v>721</v>
      </c>
      <c r="Q315" s="24" t="s">
        <v>680</v>
      </c>
    </row>
    <row r="316" spans="1:17" hidden="1" x14ac:dyDescent="0.3">
      <c r="A316" s="20">
        <f t="shared" si="4"/>
        <v>315</v>
      </c>
      <c r="B316" s="21" t="s">
        <v>87</v>
      </c>
      <c r="C316" s="21" t="s">
        <v>97</v>
      </c>
      <c r="D316" s="22" t="str">
        <f>IF($C316="","",IFERROR(VLOOKUP($C316,Map_Register!$A$2:$C$5,3,FALSE()),""))</f>
        <v>Toponym Labels</v>
      </c>
      <c r="E316" s="21" t="s">
        <v>15</v>
      </c>
      <c r="F316" s="23">
        <v>123943</v>
      </c>
      <c r="G316" s="20" t="s">
        <v>719</v>
      </c>
      <c r="H316" s="20" t="s">
        <v>1023</v>
      </c>
      <c r="I316" t="s">
        <v>697</v>
      </c>
      <c r="J316" s="20" t="s">
        <v>8</v>
      </c>
      <c r="K316" t="s">
        <v>107</v>
      </c>
      <c r="L316" t="s">
        <v>107</v>
      </c>
      <c r="M316" s="20" t="s">
        <v>683</v>
      </c>
      <c r="N316" s="20" t="s">
        <v>108</v>
      </c>
      <c r="Q316" s="24" t="s">
        <v>680</v>
      </c>
    </row>
    <row r="317" spans="1:17" hidden="1" x14ac:dyDescent="0.3">
      <c r="A317" s="20">
        <f t="shared" si="4"/>
        <v>316</v>
      </c>
      <c r="B317" s="21" t="s">
        <v>87</v>
      </c>
      <c r="C317" s="21" t="s">
        <v>97</v>
      </c>
      <c r="D317" s="22" t="str">
        <f>IF($C317="","",IFERROR(VLOOKUP($C317,Map_Register!$A$2:$C$5,3,FALSE()),""))</f>
        <v>Toponym Labels</v>
      </c>
      <c r="E317" s="21" t="s">
        <v>15</v>
      </c>
      <c r="F317" s="23">
        <v>124357</v>
      </c>
      <c r="G317" s="20" t="s">
        <v>719</v>
      </c>
      <c r="H317" s="20" t="s">
        <v>1024</v>
      </c>
      <c r="I317" t="s">
        <v>697</v>
      </c>
      <c r="J317" s="20" t="s">
        <v>8</v>
      </c>
      <c r="K317" t="s">
        <v>107</v>
      </c>
      <c r="L317" t="s">
        <v>107</v>
      </c>
      <c r="M317" s="20" t="s">
        <v>683</v>
      </c>
      <c r="N317" s="20" t="s">
        <v>108</v>
      </c>
      <c r="Q317" s="24" t="s">
        <v>680</v>
      </c>
    </row>
    <row r="318" spans="1:17" hidden="1" x14ac:dyDescent="0.3">
      <c r="A318" s="20">
        <f t="shared" si="4"/>
        <v>317</v>
      </c>
      <c r="B318" s="21" t="s">
        <v>87</v>
      </c>
      <c r="C318" s="21" t="s">
        <v>97</v>
      </c>
      <c r="D318" s="22" t="str">
        <f>IF($C318="","",IFERROR(VLOOKUP($C318,Map_Register!$A$2:$C$5,3,FALSE()),""))</f>
        <v>Toponym Labels</v>
      </c>
      <c r="E318" s="21" t="s">
        <v>15</v>
      </c>
      <c r="F318" s="23">
        <v>124358</v>
      </c>
      <c r="G318" s="20" t="s">
        <v>719</v>
      </c>
      <c r="H318" s="20" t="s">
        <v>1025</v>
      </c>
      <c r="I318" t="s">
        <v>697</v>
      </c>
      <c r="J318" s="20" t="s">
        <v>6</v>
      </c>
      <c r="K318" s="20" t="s">
        <v>137</v>
      </c>
      <c r="L318" s="20" t="s">
        <v>137</v>
      </c>
      <c r="M318" s="20" t="s">
        <v>721</v>
      </c>
      <c r="Q318" s="24" t="s">
        <v>680</v>
      </c>
    </row>
    <row r="319" spans="1:17" hidden="1" x14ac:dyDescent="0.3">
      <c r="A319" s="20">
        <f t="shared" si="4"/>
        <v>318</v>
      </c>
      <c r="B319" s="21" t="s">
        <v>87</v>
      </c>
      <c r="C319" s="21" t="s">
        <v>97</v>
      </c>
      <c r="D319" s="22" t="str">
        <f>IF($C319="","",IFERROR(VLOOKUP($C319,Map_Register!$A$2:$C$5,3,FALSE()),""))</f>
        <v>Toponym Labels</v>
      </c>
      <c r="E319" s="21" t="s">
        <v>15</v>
      </c>
      <c r="F319" s="23">
        <v>124359</v>
      </c>
      <c r="G319" s="20" t="s">
        <v>719</v>
      </c>
      <c r="H319" s="20" t="s">
        <v>1026</v>
      </c>
      <c r="I319" t="s">
        <v>697</v>
      </c>
      <c r="J319" s="20" t="s">
        <v>6</v>
      </c>
      <c r="K319" s="20" t="s">
        <v>137</v>
      </c>
      <c r="L319" s="20" t="s">
        <v>137</v>
      </c>
      <c r="M319" s="20" t="s">
        <v>721</v>
      </c>
      <c r="Q319" s="24" t="s">
        <v>680</v>
      </c>
    </row>
    <row r="320" spans="1:17" hidden="1" x14ac:dyDescent="0.3">
      <c r="A320" s="20">
        <f t="shared" si="4"/>
        <v>319</v>
      </c>
      <c r="B320" s="21" t="s">
        <v>87</v>
      </c>
      <c r="C320" s="21" t="s">
        <v>97</v>
      </c>
      <c r="D320" s="22" t="str">
        <f>IF($C320="","",IFERROR(VLOOKUP($C320,Map_Register!$A$2:$C$5,3,FALSE()),""))</f>
        <v>Toponym Labels</v>
      </c>
      <c r="E320" s="21" t="s">
        <v>15</v>
      </c>
      <c r="F320" s="23">
        <v>124360</v>
      </c>
      <c r="G320" s="20" t="s">
        <v>719</v>
      </c>
      <c r="H320" s="20" t="s">
        <v>1027</v>
      </c>
      <c r="I320" t="s">
        <v>697</v>
      </c>
      <c r="J320" s="20" t="s">
        <v>6</v>
      </c>
      <c r="K320" s="20" t="s">
        <v>137</v>
      </c>
      <c r="L320" s="20" t="s">
        <v>137</v>
      </c>
      <c r="M320" s="20" t="s">
        <v>721</v>
      </c>
      <c r="Q320" s="24" t="s">
        <v>680</v>
      </c>
    </row>
    <row r="321" spans="1:17" hidden="1" x14ac:dyDescent="0.3">
      <c r="A321" s="20">
        <f t="shared" si="4"/>
        <v>320</v>
      </c>
      <c r="B321" s="21" t="s">
        <v>87</v>
      </c>
      <c r="C321" s="21" t="s">
        <v>97</v>
      </c>
      <c r="D321" s="22" t="str">
        <f>IF($C321="","",IFERROR(VLOOKUP($C321,Map_Register!$A$2:$C$5,3,FALSE()),""))</f>
        <v>Toponym Labels</v>
      </c>
      <c r="E321" s="21" t="s">
        <v>15</v>
      </c>
      <c r="F321" s="23">
        <v>124361</v>
      </c>
      <c r="G321" s="20" t="s">
        <v>719</v>
      </c>
      <c r="H321" s="20" t="s">
        <v>1028</v>
      </c>
      <c r="I321" t="s">
        <v>697</v>
      </c>
      <c r="J321" s="20" t="s">
        <v>6</v>
      </c>
      <c r="K321" s="20" t="s">
        <v>137</v>
      </c>
      <c r="L321" s="20" t="s">
        <v>137</v>
      </c>
      <c r="M321" s="20" t="s">
        <v>721</v>
      </c>
      <c r="Q321" s="24" t="s">
        <v>680</v>
      </c>
    </row>
    <row r="322" spans="1:17" hidden="1" x14ac:dyDescent="0.3">
      <c r="A322" s="20">
        <f t="shared" ref="A322:A385" si="5">IF($B322="","",ROW()-1)</f>
        <v>321</v>
      </c>
      <c r="B322" s="21" t="s">
        <v>87</v>
      </c>
      <c r="C322" s="21" t="s">
        <v>97</v>
      </c>
      <c r="D322" s="22" t="str">
        <f>IF($C322="","",IFERROR(VLOOKUP($C322,Map_Register!$A$2:$C$5,3,FALSE()),""))</f>
        <v>Toponym Labels</v>
      </c>
      <c r="E322" s="21" t="s">
        <v>15</v>
      </c>
      <c r="F322" s="23">
        <v>124362</v>
      </c>
      <c r="G322" s="20" t="s">
        <v>719</v>
      </c>
      <c r="H322" s="20" t="s">
        <v>1029</v>
      </c>
      <c r="I322" t="s">
        <v>697</v>
      </c>
      <c r="J322" s="20" t="s">
        <v>6</v>
      </c>
      <c r="K322" s="20" t="s">
        <v>137</v>
      </c>
      <c r="L322" s="20" t="s">
        <v>137</v>
      </c>
      <c r="M322" s="20" t="s">
        <v>721</v>
      </c>
      <c r="Q322" s="24" t="s">
        <v>680</v>
      </c>
    </row>
    <row r="323" spans="1:17" hidden="1" x14ac:dyDescent="0.3">
      <c r="A323" s="20">
        <f t="shared" si="5"/>
        <v>322</v>
      </c>
      <c r="B323" s="21" t="s">
        <v>87</v>
      </c>
      <c r="C323" s="21" t="s">
        <v>97</v>
      </c>
      <c r="D323" s="22" t="str">
        <f>IF($C323="","",IFERROR(VLOOKUP($C323,Map_Register!$A$2:$C$5,3,FALSE()),""))</f>
        <v>Toponym Labels</v>
      </c>
      <c r="E323" s="21" t="s">
        <v>15</v>
      </c>
      <c r="F323" s="23">
        <v>124381</v>
      </c>
      <c r="G323" s="20" t="s">
        <v>719</v>
      </c>
      <c r="H323" s="20" t="s">
        <v>1030</v>
      </c>
      <c r="I323" t="s">
        <v>697</v>
      </c>
      <c r="J323" s="20" t="s">
        <v>8</v>
      </c>
      <c r="K323" t="s">
        <v>107</v>
      </c>
      <c r="L323" t="s">
        <v>107</v>
      </c>
      <c r="M323" s="20" t="s">
        <v>683</v>
      </c>
      <c r="N323" s="20" t="s">
        <v>108</v>
      </c>
      <c r="Q323" s="24" t="s">
        <v>680</v>
      </c>
    </row>
    <row r="324" spans="1:17" hidden="1" x14ac:dyDescent="0.3">
      <c r="A324" s="20">
        <f t="shared" si="5"/>
        <v>323</v>
      </c>
      <c r="B324" s="21" t="s">
        <v>87</v>
      </c>
      <c r="C324" s="21" t="s">
        <v>97</v>
      </c>
      <c r="D324" s="22" t="str">
        <f>IF($C324="","",IFERROR(VLOOKUP($C324,Map_Register!$A$2:$C$5,3,FALSE()),""))</f>
        <v>Toponym Labels</v>
      </c>
      <c r="E324" s="21" t="s">
        <v>15</v>
      </c>
      <c r="F324" s="23">
        <v>124415</v>
      </c>
      <c r="G324" s="20" t="s">
        <v>719</v>
      </c>
      <c r="H324" s="20" t="s">
        <v>1031</v>
      </c>
      <c r="I324" t="s">
        <v>697</v>
      </c>
      <c r="J324" s="20" t="s">
        <v>6</v>
      </c>
      <c r="K324" s="20" t="s">
        <v>137</v>
      </c>
      <c r="L324" s="20" t="s">
        <v>137</v>
      </c>
      <c r="M324" s="20" t="s">
        <v>721</v>
      </c>
      <c r="Q324" s="24" t="s">
        <v>680</v>
      </c>
    </row>
    <row r="325" spans="1:17" hidden="1" x14ac:dyDescent="0.3">
      <c r="A325" s="20">
        <f t="shared" si="5"/>
        <v>324</v>
      </c>
      <c r="B325" s="21" t="s">
        <v>87</v>
      </c>
      <c r="C325" s="21" t="s">
        <v>97</v>
      </c>
      <c r="D325" s="22" t="str">
        <f>IF($C325="","",IFERROR(VLOOKUP($C325,Map_Register!$A$2:$C$5,3,FALSE()),""))</f>
        <v>Toponym Labels</v>
      </c>
      <c r="E325" s="21" t="s">
        <v>15</v>
      </c>
      <c r="F325" s="23">
        <v>124559</v>
      </c>
      <c r="G325" s="20" t="s">
        <v>719</v>
      </c>
      <c r="H325" s="20" t="s">
        <v>1032</v>
      </c>
      <c r="I325" t="s">
        <v>697</v>
      </c>
      <c r="J325" s="20" t="s">
        <v>6</v>
      </c>
      <c r="K325" s="20" t="s">
        <v>137</v>
      </c>
      <c r="L325" s="20" t="s">
        <v>137</v>
      </c>
      <c r="M325" s="20" t="s">
        <v>721</v>
      </c>
      <c r="Q325" s="24" t="s">
        <v>680</v>
      </c>
    </row>
    <row r="326" spans="1:17" x14ac:dyDescent="0.3">
      <c r="A326" s="20">
        <f t="shared" si="5"/>
        <v>325</v>
      </c>
      <c r="B326" s="21" t="s">
        <v>87</v>
      </c>
      <c r="C326" s="21" t="s">
        <v>97</v>
      </c>
      <c r="D326" s="22" t="str">
        <f>IF($C326="","",IFERROR(VLOOKUP($C326,Map_Register!$A$2:$C$5,3,FALSE()),""))</f>
        <v>Toponym Labels</v>
      </c>
      <c r="E326" s="21" t="s">
        <v>15</v>
      </c>
      <c r="F326" s="23">
        <v>124560</v>
      </c>
      <c r="G326" s="20" t="s">
        <v>719</v>
      </c>
      <c r="H326" s="20" t="s">
        <v>1033</v>
      </c>
      <c r="I326" t="s">
        <v>697</v>
      </c>
      <c r="J326" s="20" t="s">
        <v>8</v>
      </c>
      <c r="K326" t="s">
        <v>107</v>
      </c>
      <c r="L326" t="s">
        <v>108</v>
      </c>
      <c r="M326" s="20" t="s">
        <v>723</v>
      </c>
      <c r="N326" s="20" t="s">
        <v>108</v>
      </c>
      <c r="Q326" s="24" t="s">
        <v>680</v>
      </c>
    </row>
    <row r="327" spans="1:17" x14ac:dyDescent="0.3">
      <c r="A327" s="20">
        <f t="shared" si="5"/>
        <v>326</v>
      </c>
      <c r="B327" s="21" t="s">
        <v>87</v>
      </c>
      <c r="C327" s="21" t="s">
        <v>97</v>
      </c>
      <c r="D327" s="22" t="str">
        <f>IF($C327="","",IFERROR(VLOOKUP($C327,Map_Register!$A$2:$C$5,3,FALSE()),""))</f>
        <v>Toponym Labels</v>
      </c>
      <c r="E327" s="21" t="s">
        <v>15</v>
      </c>
      <c r="F327" s="23">
        <v>124561</v>
      </c>
      <c r="G327" s="20" t="s">
        <v>719</v>
      </c>
      <c r="H327" s="20" t="s">
        <v>1034</v>
      </c>
      <c r="I327" t="s">
        <v>697</v>
      </c>
      <c r="J327" s="20" t="s">
        <v>8</v>
      </c>
      <c r="K327" t="s">
        <v>107</v>
      </c>
      <c r="L327" t="s">
        <v>108</v>
      </c>
      <c r="M327" s="20" t="s">
        <v>723</v>
      </c>
      <c r="N327" s="20" t="s">
        <v>108</v>
      </c>
      <c r="Q327" s="24" t="s">
        <v>680</v>
      </c>
    </row>
    <row r="328" spans="1:17" hidden="1" x14ac:dyDescent="0.3">
      <c r="A328" s="20">
        <f t="shared" si="5"/>
        <v>327</v>
      </c>
      <c r="B328" s="21" t="s">
        <v>87</v>
      </c>
      <c r="C328" s="21" t="s">
        <v>97</v>
      </c>
      <c r="D328" s="22" t="str">
        <f>IF($C328="","",IFERROR(VLOOKUP($C328,Map_Register!$A$2:$C$5,3,FALSE()),""))</f>
        <v>Toponym Labels</v>
      </c>
      <c r="E328" s="21" t="s">
        <v>15</v>
      </c>
      <c r="F328" s="23">
        <v>124562</v>
      </c>
      <c r="G328" s="20" t="s">
        <v>719</v>
      </c>
      <c r="H328" s="20" t="s">
        <v>1035</v>
      </c>
      <c r="I328" t="s">
        <v>697</v>
      </c>
      <c r="J328" s="20" t="s">
        <v>6</v>
      </c>
      <c r="K328" s="20" t="s">
        <v>137</v>
      </c>
      <c r="L328" s="20" t="s">
        <v>137</v>
      </c>
      <c r="M328" s="20" t="s">
        <v>1036</v>
      </c>
      <c r="Q328" s="24" t="s">
        <v>680</v>
      </c>
    </row>
    <row r="329" spans="1:17" hidden="1" x14ac:dyDescent="0.3">
      <c r="A329" s="20">
        <f t="shared" si="5"/>
        <v>328</v>
      </c>
      <c r="B329" s="21" t="s">
        <v>87</v>
      </c>
      <c r="C329" s="21" t="s">
        <v>97</v>
      </c>
      <c r="D329" s="22" t="str">
        <f>IF($C329="","",IFERROR(VLOOKUP($C329,Map_Register!$A$2:$C$5,3,FALSE()),""))</f>
        <v>Toponym Labels</v>
      </c>
      <c r="E329" s="21" t="s">
        <v>15</v>
      </c>
      <c r="F329" s="23">
        <v>124563</v>
      </c>
      <c r="G329" s="20" t="s">
        <v>719</v>
      </c>
      <c r="H329" s="20" t="s">
        <v>876</v>
      </c>
      <c r="I329" t="s">
        <v>697</v>
      </c>
      <c r="J329" s="20" t="s">
        <v>6</v>
      </c>
      <c r="K329" s="20" t="s">
        <v>137</v>
      </c>
      <c r="L329" s="20" t="s">
        <v>137</v>
      </c>
      <c r="M329" s="20" t="s">
        <v>721</v>
      </c>
      <c r="Q329" s="24" t="s">
        <v>680</v>
      </c>
    </row>
    <row r="330" spans="1:17" hidden="1" x14ac:dyDescent="0.3">
      <c r="A330" s="20">
        <f t="shared" si="5"/>
        <v>329</v>
      </c>
      <c r="B330" s="21" t="s">
        <v>87</v>
      </c>
      <c r="C330" s="21" t="s">
        <v>97</v>
      </c>
      <c r="D330" s="22" t="str">
        <f>IF($C330="","",IFERROR(VLOOKUP($C330,Map_Register!$A$2:$C$5,3,FALSE()),""))</f>
        <v>Toponym Labels</v>
      </c>
      <c r="E330" s="21" t="s">
        <v>15</v>
      </c>
      <c r="F330" s="23">
        <v>124564</v>
      </c>
      <c r="G330" s="20" t="s">
        <v>719</v>
      </c>
      <c r="H330" s="20" t="s">
        <v>1037</v>
      </c>
      <c r="I330" t="s">
        <v>697</v>
      </c>
      <c r="J330" s="20" t="s">
        <v>8</v>
      </c>
      <c r="K330" t="s">
        <v>107</v>
      </c>
      <c r="L330" t="s">
        <v>107</v>
      </c>
      <c r="M330" s="20" t="s">
        <v>1038</v>
      </c>
      <c r="N330" s="20" t="s">
        <v>108</v>
      </c>
      <c r="Q330" s="24" t="s">
        <v>680</v>
      </c>
    </row>
    <row r="331" spans="1:17" x14ac:dyDescent="0.3">
      <c r="A331" s="20">
        <f t="shared" si="5"/>
        <v>330</v>
      </c>
      <c r="B331" s="21" t="s">
        <v>87</v>
      </c>
      <c r="C331" s="21" t="s">
        <v>97</v>
      </c>
      <c r="D331" s="22" t="str">
        <f>IF($C331="","",IFERROR(VLOOKUP($C331,Map_Register!$A$2:$C$5,3,FALSE()),""))</f>
        <v>Toponym Labels</v>
      </c>
      <c r="E331" s="21" t="s">
        <v>15</v>
      </c>
      <c r="F331" s="23">
        <v>124569</v>
      </c>
      <c r="G331" s="20" t="s">
        <v>719</v>
      </c>
      <c r="H331" s="20" t="s">
        <v>1039</v>
      </c>
      <c r="I331" t="s">
        <v>697</v>
      </c>
      <c r="J331" s="20" t="s">
        <v>8</v>
      </c>
      <c r="K331" t="s">
        <v>107</v>
      </c>
      <c r="L331" t="s">
        <v>108</v>
      </c>
      <c r="M331" s="20" t="s">
        <v>723</v>
      </c>
      <c r="N331" s="20" t="s">
        <v>108</v>
      </c>
      <c r="Q331" s="24" t="s">
        <v>680</v>
      </c>
    </row>
    <row r="332" spans="1:17" hidden="1" x14ac:dyDescent="0.3">
      <c r="A332" s="20">
        <f t="shared" si="5"/>
        <v>331</v>
      </c>
      <c r="B332" s="21" t="s">
        <v>87</v>
      </c>
      <c r="C332" s="21" t="s">
        <v>97</v>
      </c>
      <c r="D332" s="22" t="str">
        <f>IF($C332="","",IFERROR(VLOOKUP($C332,Map_Register!$A$2:$C$5,3,FALSE()),""))</f>
        <v>Toponym Labels</v>
      </c>
      <c r="E332" s="21" t="s">
        <v>15</v>
      </c>
      <c r="F332" s="23">
        <v>124612</v>
      </c>
      <c r="G332" s="20" t="s">
        <v>719</v>
      </c>
      <c r="H332" s="20" t="s">
        <v>1040</v>
      </c>
      <c r="I332" t="s">
        <v>697</v>
      </c>
      <c r="J332" s="20" t="s">
        <v>6</v>
      </c>
      <c r="K332" s="20" t="s">
        <v>137</v>
      </c>
      <c r="L332" s="20" t="s">
        <v>137</v>
      </c>
      <c r="M332" s="20" t="s">
        <v>1041</v>
      </c>
      <c r="Q332" s="24" t="s">
        <v>680</v>
      </c>
    </row>
    <row r="333" spans="1:17" hidden="1" x14ac:dyDescent="0.3">
      <c r="A333" s="20">
        <f t="shared" si="5"/>
        <v>332</v>
      </c>
      <c r="B333" s="21" t="s">
        <v>87</v>
      </c>
      <c r="C333" s="21" t="s">
        <v>97</v>
      </c>
      <c r="D333" s="22" t="str">
        <f>IF($C333="","",IFERROR(VLOOKUP($C333,Map_Register!$A$2:$C$5,3,FALSE()),""))</f>
        <v>Toponym Labels</v>
      </c>
      <c r="E333" s="21" t="s">
        <v>15</v>
      </c>
      <c r="F333" s="23">
        <v>124613</v>
      </c>
      <c r="G333" s="20" t="s">
        <v>719</v>
      </c>
      <c r="H333" s="20" t="s">
        <v>1042</v>
      </c>
      <c r="I333" t="s">
        <v>697</v>
      </c>
      <c r="J333" s="20" t="s">
        <v>8</v>
      </c>
      <c r="K333" t="s">
        <v>107</v>
      </c>
      <c r="L333" t="s">
        <v>107</v>
      </c>
      <c r="M333" s="20" t="s">
        <v>683</v>
      </c>
      <c r="N333" s="20" t="s">
        <v>108</v>
      </c>
      <c r="Q333" s="24" t="s">
        <v>680</v>
      </c>
    </row>
    <row r="334" spans="1:17" hidden="1" x14ac:dyDescent="0.3">
      <c r="A334" s="20">
        <f t="shared" si="5"/>
        <v>333</v>
      </c>
      <c r="B334" s="21" t="s">
        <v>87</v>
      </c>
      <c r="C334" s="21" t="s">
        <v>97</v>
      </c>
      <c r="D334" s="22" t="str">
        <f>IF($C334="","",IFERROR(VLOOKUP($C334,Map_Register!$A$2:$C$5,3,FALSE()),""))</f>
        <v>Toponym Labels</v>
      </c>
      <c r="E334" s="21" t="s">
        <v>15</v>
      </c>
      <c r="F334" s="23">
        <v>124614</v>
      </c>
      <c r="G334" s="20" t="s">
        <v>719</v>
      </c>
      <c r="H334" s="20" t="s">
        <v>1043</v>
      </c>
      <c r="I334" t="s">
        <v>697</v>
      </c>
      <c r="J334" s="20" t="s">
        <v>8</v>
      </c>
      <c r="K334" t="s">
        <v>107</v>
      </c>
      <c r="L334" t="s">
        <v>107</v>
      </c>
      <c r="M334" s="20" t="s">
        <v>683</v>
      </c>
      <c r="N334" s="20" t="s">
        <v>108</v>
      </c>
      <c r="Q334" s="24" t="s">
        <v>680</v>
      </c>
    </row>
    <row r="335" spans="1:17" hidden="1" x14ac:dyDescent="0.3">
      <c r="A335" s="20">
        <f t="shared" si="5"/>
        <v>334</v>
      </c>
      <c r="B335" s="21" t="s">
        <v>87</v>
      </c>
      <c r="C335" s="21" t="s">
        <v>97</v>
      </c>
      <c r="D335" s="22" t="str">
        <f>IF($C335="","",IFERROR(VLOOKUP($C335,Map_Register!$A$2:$C$5,3,FALSE()),""))</f>
        <v>Toponym Labels</v>
      </c>
      <c r="E335" s="21" t="s">
        <v>15</v>
      </c>
      <c r="F335" s="23">
        <v>124615</v>
      </c>
      <c r="G335" s="20" t="s">
        <v>719</v>
      </c>
      <c r="H335" s="20" t="s">
        <v>1044</v>
      </c>
      <c r="I335" t="s">
        <v>697</v>
      </c>
      <c r="J335" s="20" t="s">
        <v>6</v>
      </c>
      <c r="K335" s="20" t="s">
        <v>137</v>
      </c>
      <c r="L335" s="20" t="s">
        <v>137</v>
      </c>
      <c r="M335" s="20" t="s">
        <v>1045</v>
      </c>
      <c r="Q335" s="24" t="s">
        <v>680</v>
      </c>
    </row>
    <row r="336" spans="1:17" hidden="1" x14ac:dyDescent="0.3">
      <c r="A336" s="20">
        <f t="shared" si="5"/>
        <v>335</v>
      </c>
      <c r="B336" s="21" t="s">
        <v>87</v>
      </c>
      <c r="C336" s="21" t="s">
        <v>97</v>
      </c>
      <c r="D336" s="22" t="str">
        <f>IF($C336="","",IFERROR(VLOOKUP($C336,Map_Register!$A$2:$C$5,3,FALSE()),""))</f>
        <v>Toponym Labels</v>
      </c>
      <c r="E336" s="21" t="s">
        <v>15</v>
      </c>
      <c r="F336" s="23">
        <v>124616</v>
      </c>
      <c r="G336" s="20" t="s">
        <v>719</v>
      </c>
      <c r="H336" s="20" t="s">
        <v>1046</v>
      </c>
      <c r="I336" t="s">
        <v>697</v>
      </c>
      <c r="J336" s="20" t="s">
        <v>6</v>
      </c>
      <c r="K336" s="20" t="s">
        <v>137</v>
      </c>
      <c r="L336" s="20" t="s">
        <v>137</v>
      </c>
      <c r="M336" s="20" t="s">
        <v>721</v>
      </c>
      <c r="Q336" s="24" t="s">
        <v>680</v>
      </c>
    </row>
    <row r="337" spans="1:17" x14ac:dyDescent="0.3">
      <c r="A337" s="20">
        <f t="shared" si="5"/>
        <v>336</v>
      </c>
      <c r="B337" s="21" t="s">
        <v>87</v>
      </c>
      <c r="C337" s="21" t="s">
        <v>97</v>
      </c>
      <c r="D337" s="22" t="str">
        <f>IF($C337="","",IFERROR(VLOOKUP($C337,Map_Register!$A$2:$C$5,3,FALSE()),""))</f>
        <v>Toponym Labels</v>
      </c>
      <c r="E337" s="21" t="s">
        <v>15</v>
      </c>
      <c r="F337" s="23">
        <v>124617</v>
      </c>
      <c r="G337" s="20" t="s">
        <v>719</v>
      </c>
      <c r="H337" s="20" t="s">
        <v>1047</v>
      </c>
      <c r="I337" t="s">
        <v>697</v>
      </c>
      <c r="J337" s="20" t="s">
        <v>8</v>
      </c>
      <c r="K337" t="s">
        <v>107</v>
      </c>
      <c r="L337" t="s">
        <v>108</v>
      </c>
      <c r="M337" s="20" t="s">
        <v>723</v>
      </c>
      <c r="N337" s="20" t="s">
        <v>108</v>
      </c>
      <c r="Q337" s="24" t="s">
        <v>680</v>
      </c>
    </row>
    <row r="338" spans="1:17" hidden="1" x14ac:dyDescent="0.3">
      <c r="A338" s="20">
        <f t="shared" si="5"/>
        <v>337</v>
      </c>
      <c r="B338" s="21" t="s">
        <v>87</v>
      </c>
      <c r="C338" s="21" t="s">
        <v>97</v>
      </c>
      <c r="D338" s="22" t="str">
        <f>IF($C338="","",IFERROR(VLOOKUP($C338,Map_Register!$A$2:$C$5,3,FALSE()),""))</f>
        <v>Toponym Labels</v>
      </c>
      <c r="E338" s="21" t="s">
        <v>15</v>
      </c>
      <c r="F338" s="23">
        <v>124619</v>
      </c>
      <c r="G338" s="20" t="s">
        <v>719</v>
      </c>
      <c r="H338" s="20" t="s">
        <v>1048</v>
      </c>
      <c r="I338" t="s">
        <v>697</v>
      </c>
      <c r="J338" s="20" t="s">
        <v>6</v>
      </c>
      <c r="K338" s="20" t="s">
        <v>137</v>
      </c>
      <c r="L338" s="20" t="s">
        <v>137</v>
      </c>
      <c r="M338" s="20" t="s">
        <v>721</v>
      </c>
      <c r="Q338" s="24" t="s">
        <v>680</v>
      </c>
    </row>
    <row r="339" spans="1:17" hidden="1" x14ac:dyDescent="0.3">
      <c r="A339" s="20">
        <f t="shared" si="5"/>
        <v>338</v>
      </c>
      <c r="B339" s="21" t="s">
        <v>87</v>
      </c>
      <c r="C339" s="21" t="s">
        <v>97</v>
      </c>
      <c r="D339" s="22" t="str">
        <f>IF($C339="","",IFERROR(VLOOKUP($C339,Map_Register!$A$2:$C$5,3,FALSE()),""))</f>
        <v>Toponym Labels</v>
      </c>
      <c r="E339" s="21" t="s">
        <v>15</v>
      </c>
      <c r="F339" s="23">
        <v>124620</v>
      </c>
      <c r="G339" s="20" t="s">
        <v>719</v>
      </c>
      <c r="H339" s="20" t="s">
        <v>1049</v>
      </c>
      <c r="I339" t="s">
        <v>697</v>
      </c>
      <c r="J339" s="20" t="s">
        <v>8</v>
      </c>
      <c r="K339" t="s">
        <v>107</v>
      </c>
      <c r="L339" t="s">
        <v>107</v>
      </c>
      <c r="M339" s="20" t="s">
        <v>683</v>
      </c>
      <c r="N339" s="20" t="s">
        <v>108</v>
      </c>
      <c r="Q339" s="24" t="s">
        <v>680</v>
      </c>
    </row>
    <row r="340" spans="1:17" hidden="1" x14ac:dyDescent="0.3">
      <c r="A340" s="20">
        <f t="shared" si="5"/>
        <v>339</v>
      </c>
      <c r="B340" s="21" t="s">
        <v>87</v>
      </c>
      <c r="C340" s="21" t="s">
        <v>97</v>
      </c>
      <c r="D340" s="22" t="str">
        <f>IF($C340="","",IFERROR(VLOOKUP($C340,Map_Register!$A$2:$C$5,3,FALSE()),""))</f>
        <v>Toponym Labels</v>
      </c>
      <c r="E340" s="21" t="s">
        <v>15</v>
      </c>
      <c r="F340" s="23">
        <v>124719</v>
      </c>
      <c r="G340" s="20" t="s">
        <v>719</v>
      </c>
      <c r="H340" s="20" t="s">
        <v>1050</v>
      </c>
      <c r="I340" t="s">
        <v>697</v>
      </c>
      <c r="J340" s="20" t="s">
        <v>8</v>
      </c>
      <c r="K340" t="s">
        <v>107</v>
      </c>
      <c r="L340" t="s">
        <v>107</v>
      </c>
      <c r="M340" s="20" t="s">
        <v>683</v>
      </c>
      <c r="N340" s="20" t="s">
        <v>108</v>
      </c>
      <c r="Q340" s="24" t="s">
        <v>680</v>
      </c>
    </row>
    <row r="341" spans="1:17" hidden="1" x14ac:dyDescent="0.3">
      <c r="A341" s="20">
        <f t="shared" si="5"/>
        <v>340</v>
      </c>
      <c r="B341" s="21" t="s">
        <v>87</v>
      </c>
      <c r="C341" s="21" t="s">
        <v>97</v>
      </c>
      <c r="D341" s="22" t="str">
        <f>IF($C341="","",IFERROR(VLOOKUP($C341,Map_Register!$A$2:$C$5,3,FALSE()),""))</f>
        <v>Toponym Labels</v>
      </c>
      <c r="E341" s="21" t="s">
        <v>15</v>
      </c>
      <c r="F341" s="23">
        <v>124720</v>
      </c>
      <c r="G341" s="20" t="s">
        <v>719</v>
      </c>
      <c r="H341" s="20" t="s">
        <v>1051</v>
      </c>
      <c r="I341" t="s">
        <v>697</v>
      </c>
      <c r="J341" s="20" t="s">
        <v>8</v>
      </c>
      <c r="K341" t="s">
        <v>107</v>
      </c>
      <c r="L341" t="s">
        <v>107</v>
      </c>
      <c r="M341" s="20" t="s">
        <v>683</v>
      </c>
      <c r="N341" s="20" t="s">
        <v>108</v>
      </c>
      <c r="Q341" s="24" t="s">
        <v>680</v>
      </c>
    </row>
    <row r="342" spans="1:17" x14ac:dyDescent="0.3">
      <c r="A342" s="20">
        <f t="shared" si="5"/>
        <v>341</v>
      </c>
      <c r="B342" s="21" t="s">
        <v>87</v>
      </c>
      <c r="C342" s="21" t="s">
        <v>97</v>
      </c>
      <c r="D342" s="22" t="str">
        <f>IF($C342="","",IFERROR(VLOOKUP($C342,Map_Register!$A$2:$C$5,3,FALSE()),""))</f>
        <v>Toponym Labels</v>
      </c>
      <c r="E342" s="21" t="s">
        <v>15</v>
      </c>
      <c r="F342" s="23">
        <v>124721</v>
      </c>
      <c r="G342" s="20" t="s">
        <v>719</v>
      </c>
      <c r="H342" s="20" t="s">
        <v>1052</v>
      </c>
      <c r="I342" t="s">
        <v>697</v>
      </c>
      <c r="J342" s="20" t="s">
        <v>8</v>
      </c>
      <c r="K342" t="s">
        <v>107</v>
      </c>
      <c r="L342" t="s">
        <v>108</v>
      </c>
      <c r="M342" s="20" t="s">
        <v>723</v>
      </c>
      <c r="N342" s="20" t="s">
        <v>108</v>
      </c>
      <c r="Q342" s="24" t="s">
        <v>680</v>
      </c>
    </row>
    <row r="343" spans="1:17" hidden="1" x14ac:dyDescent="0.3">
      <c r="A343" s="20">
        <f t="shared" si="5"/>
        <v>342</v>
      </c>
      <c r="B343" s="21" t="s">
        <v>87</v>
      </c>
      <c r="C343" s="21" t="s">
        <v>97</v>
      </c>
      <c r="D343" s="22" t="str">
        <f>IF($C343="","",IFERROR(VLOOKUP($C343,Map_Register!$A$2:$C$5,3,FALSE()),""))</f>
        <v>Toponym Labels</v>
      </c>
      <c r="E343" s="21" t="s">
        <v>15</v>
      </c>
      <c r="F343" s="23">
        <v>124722</v>
      </c>
      <c r="G343" s="20" t="s">
        <v>719</v>
      </c>
      <c r="H343" s="20" t="s">
        <v>1053</v>
      </c>
      <c r="I343" t="s">
        <v>697</v>
      </c>
      <c r="J343" s="20" t="s">
        <v>8</v>
      </c>
      <c r="K343" t="s">
        <v>107</v>
      </c>
      <c r="L343" t="s">
        <v>107</v>
      </c>
      <c r="M343" s="20" t="s">
        <v>683</v>
      </c>
      <c r="N343" s="20" t="s">
        <v>108</v>
      </c>
      <c r="Q343" s="24" t="s">
        <v>680</v>
      </c>
    </row>
    <row r="344" spans="1:17" hidden="1" x14ac:dyDescent="0.3">
      <c r="A344" s="20">
        <f t="shared" si="5"/>
        <v>343</v>
      </c>
      <c r="B344" s="21" t="s">
        <v>87</v>
      </c>
      <c r="C344" s="21" t="s">
        <v>97</v>
      </c>
      <c r="D344" s="22" t="str">
        <f>IF($C344="","",IFERROR(VLOOKUP($C344,Map_Register!$A$2:$C$5,3,FALSE()),""))</f>
        <v>Toponym Labels</v>
      </c>
      <c r="E344" s="21" t="s">
        <v>15</v>
      </c>
      <c r="F344" s="23">
        <v>124723</v>
      </c>
      <c r="G344" s="20" t="s">
        <v>719</v>
      </c>
      <c r="H344" s="20" t="s">
        <v>1054</v>
      </c>
      <c r="I344" t="s">
        <v>697</v>
      </c>
      <c r="J344" s="20" t="s">
        <v>6</v>
      </c>
      <c r="K344" s="20" t="s">
        <v>137</v>
      </c>
      <c r="L344" s="20" t="s">
        <v>137</v>
      </c>
      <c r="M344" s="20" t="s">
        <v>721</v>
      </c>
      <c r="Q344" s="24" t="s">
        <v>680</v>
      </c>
    </row>
    <row r="345" spans="1:17" hidden="1" x14ac:dyDescent="0.3">
      <c r="A345" s="20">
        <f t="shared" si="5"/>
        <v>344</v>
      </c>
      <c r="B345" s="21" t="s">
        <v>87</v>
      </c>
      <c r="C345" s="21" t="s">
        <v>97</v>
      </c>
      <c r="D345" s="22" t="str">
        <f>IF($C345="","",IFERROR(VLOOKUP($C345,Map_Register!$A$2:$C$5,3,FALSE()),""))</f>
        <v>Toponym Labels</v>
      </c>
      <c r="E345" s="21" t="s">
        <v>15</v>
      </c>
      <c r="F345" s="23">
        <v>125331</v>
      </c>
      <c r="G345" s="20" t="s">
        <v>719</v>
      </c>
      <c r="H345" s="20" t="s">
        <v>1055</v>
      </c>
      <c r="I345" t="s">
        <v>697</v>
      </c>
      <c r="J345" s="20" t="s">
        <v>6</v>
      </c>
      <c r="K345" s="20" t="s">
        <v>137</v>
      </c>
      <c r="L345" s="20" t="s">
        <v>137</v>
      </c>
      <c r="M345" s="20" t="s">
        <v>721</v>
      </c>
      <c r="Q345" s="24" t="s">
        <v>680</v>
      </c>
    </row>
    <row r="346" spans="1:17" x14ac:dyDescent="0.3">
      <c r="A346" s="20">
        <f t="shared" si="5"/>
        <v>345</v>
      </c>
      <c r="B346" s="21" t="s">
        <v>87</v>
      </c>
      <c r="C346" s="21" t="s">
        <v>97</v>
      </c>
      <c r="D346" s="22" t="str">
        <f>IF($C346="","",IFERROR(VLOOKUP($C346,Map_Register!$A$2:$C$5,3,FALSE()),""))</f>
        <v>Toponym Labels</v>
      </c>
      <c r="E346" s="21" t="s">
        <v>15</v>
      </c>
      <c r="F346" s="23">
        <v>125333</v>
      </c>
      <c r="G346" s="20" t="s">
        <v>719</v>
      </c>
      <c r="H346" s="20" t="s">
        <v>1056</v>
      </c>
      <c r="I346" t="s">
        <v>697</v>
      </c>
      <c r="J346" s="20" t="s">
        <v>8</v>
      </c>
      <c r="K346" t="s">
        <v>107</v>
      </c>
      <c r="L346" t="s">
        <v>108</v>
      </c>
      <c r="M346" s="20" t="s">
        <v>723</v>
      </c>
      <c r="N346" s="20" t="s">
        <v>108</v>
      </c>
      <c r="Q346" s="24" t="s">
        <v>680</v>
      </c>
    </row>
    <row r="347" spans="1:17" hidden="1" x14ac:dyDescent="0.3">
      <c r="A347" s="20">
        <f t="shared" si="5"/>
        <v>346</v>
      </c>
      <c r="B347" s="21" t="s">
        <v>87</v>
      </c>
      <c r="C347" s="21" t="s">
        <v>97</v>
      </c>
      <c r="D347" s="22" t="str">
        <f>IF($C347="","",IFERROR(VLOOKUP($C347,Map_Register!$A$2:$C$5,3,FALSE()),""))</f>
        <v>Toponym Labels</v>
      </c>
      <c r="E347" s="21" t="s">
        <v>15</v>
      </c>
      <c r="F347" s="23">
        <v>125334</v>
      </c>
      <c r="G347" s="20" t="s">
        <v>719</v>
      </c>
      <c r="H347" s="20" t="s">
        <v>1000</v>
      </c>
      <c r="I347" t="s">
        <v>697</v>
      </c>
      <c r="J347" s="20" t="s">
        <v>6</v>
      </c>
      <c r="K347" s="20" t="s">
        <v>137</v>
      </c>
      <c r="L347" s="20" t="s">
        <v>137</v>
      </c>
      <c r="M347" s="20" t="s">
        <v>721</v>
      </c>
      <c r="Q347" s="24" t="s">
        <v>680</v>
      </c>
    </row>
    <row r="348" spans="1:17" hidden="1" x14ac:dyDescent="0.3">
      <c r="A348" s="20">
        <f t="shared" si="5"/>
        <v>347</v>
      </c>
      <c r="B348" s="21" t="s">
        <v>87</v>
      </c>
      <c r="C348" s="21" t="s">
        <v>97</v>
      </c>
      <c r="D348" s="22" t="str">
        <f>IF($C348="","",IFERROR(VLOOKUP($C348,Map_Register!$A$2:$C$5,3,FALSE()),""))</f>
        <v>Toponym Labels</v>
      </c>
      <c r="E348" s="21" t="s">
        <v>15</v>
      </c>
      <c r="F348" s="23">
        <v>125419</v>
      </c>
      <c r="G348" s="20" t="s">
        <v>719</v>
      </c>
      <c r="H348" s="20" t="s">
        <v>1057</v>
      </c>
      <c r="I348" t="s">
        <v>697</v>
      </c>
      <c r="J348" s="20" t="s">
        <v>6</v>
      </c>
      <c r="K348" s="20" t="s">
        <v>137</v>
      </c>
      <c r="L348" s="20" t="s">
        <v>137</v>
      </c>
      <c r="M348" s="20" t="s">
        <v>721</v>
      </c>
      <c r="Q348" s="24" t="s">
        <v>680</v>
      </c>
    </row>
    <row r="349" spans="1:17" hidden="1" x14ac:dyDescent="0.3">
      <c r="A349" s="20">
        <f t="shared" si="5"/>
        <v>348</v>
      </c>
      <c r="B349" s="21" t="s">
        <v>87</v>
      </c>
      <c r="C349" s="21" t="s">
        <v>97</v>
      </c>
      <c r="D349" s="22" t="str">
        <f>IF($C349="","",IFERROR(VLOOKUP($C349,Map_Register!$A$2:$C$5,3,FALSE()),""))</f>
        <v>Toponym Labels</v>
      </c>
      <c r="E349" s="21" t="s">
        <v>15</v>
      </c>
      <c r="F349" s="23">
        <v>125420</v>
      </c>
      <c r="G349" s="20" t="s">
        <v>719</v>
      </c>
      <c r="H349" s="20" t="s">
        <v>1058</v>
      </c>
      <c r="I349" t="s">
        <v>697</v>
      </c>
      <c r="J349" s="20" t="s">
        <v>8</v>
      </c>
      <c r="K349" t="s">
        <v>107</v>
      </c>
      <c r="L349" t="s">
        <v>107</v>
      </c>
      <c r="M349" s="20" t="s">
        <v>683</v>
      </c>
      <c r="N349" s="20" t="s">
        <v>108</v>
      </c>
      <c r="Q349" s="24" t="s">
        <v>680</v>
      </c>
    </row>
    <row r="350" spans="1:17" hidden="1" x14ac:dyDescent="0.3">
      <c r="A350" s="20">
        <f t="shared" si="5"/>
        <v>349</v>
      </c>
      <c r="B350" s="21" t="s">
        <v>87</v>
      </c>
      <c r="C350" s="21" t="s">
        <v>97</v>
      </c>
      <c r="D350" s="22" t="str">
        <f>IF($C350="","",IFERROR(VLOOKUP($C350,Map_Register!$A$2:$C$5,3,FALSE()),""))</f>
        <v>Toponym Labels</v>
      </c>
      <c r="E350" s="21" t="s">
        <v>15</v>
      </c>
      <c r="F350" s="23">
        <v>125421</v>
      </c>
      <c r="G350" s="20" t="s">
        <v>719</v>
      </c>
      <c r="H350" s="20" t="s">
        <v>1059</v>
      </c>
      <c r="I350" t="s">
        <v>697</v>
      </c>
      <c r="J350" s="20" t="s">
        <v>6</v>
      </c>
      <c r="K350" s="20" t="s">
        <v>137</v>
      </c>
      <c r="L350" s="20" t="s">
        <v>137</v>
      </c>
      <c r="M350" s="20" t="s">
        <v>721</v>
      </c>
      <c r="Q350" s="24" t="s">
        <v>680</v>
      </c>
    </row>
    <row r="351" spans="1:17" hidden="1" x14ac:dyDescent="0.3">
      <c r="A351" s="20">
        <f t="shared" si="5"/>
        <v>350</v>
      </c>
      <c r="B351" s="21" t="s">
        <v>87</v>
      </c>
      <c r="C351" s="21" t="s">
        <v>97</v>
      </c>
      <c r="D351" s="22" t="str">
        <f>IF($C351="","",IFERROR(VLOOKUP($C351,Map_Register!$A$2:$C$5,3,FALSE()),""))</f>
        <v>Toponym Labels</v>
      </c>
      <c r="E351" s="21" t="s">
        <v>15</v>
      </c>
      <c r="F351" s="23">
        <v>125422</v>
      </c>
      <c r="G351" s="20" t="s">
        <v>719</v>
      </c>
      <c r="H351" s="20" t="s">
        <v>1060</v>
      </c>
      <c r="I351" t="s">
        <v>697</v>
      </c>
      <c r="J351" s="20" t="s">
        <v>6</v>
      </c>
      <c r="K351" s="20" t="s">
        <v>137</v>
      </c>
      <c r="L351" s="20" t="s">
        <v>137</v>
      </c>
      <c r="M351" s="20" t="s">
        <v>721</v>
      </c>
      <c r="Q351" s="24" t="s">
        <v>680</v>
      </c>
    </row>
    <row r="352" spans="1:17" hidden="1" x14ac:dyDescent="0.3">
      <c r="A352" s="20">
        <f t="shared" si="5"/>
        <v>351</v>
      </c>
      <c r="B352" s="21" t="s">
        <v>87</v>
      </c>
      <c r="C352" s="21" t="s">
        <v>97</v>
      </c>
      <c r="D352" s="22" t="str">
        <f>IF($C352="","",IFERROR(VLOOKUP($C352,Map_Register!$A$2:$C$5,3,FALSE()),""))</f>
        <v>Toponym Labels</v>
      </c>
      <c r="E352" s="21" t="s">
        <v>15</v>
      </c>
      <c r="F352" s="23">
        <v>125428</v>
      </c>
      <c r="G352" s="20" t="s">
        <v>719</v>
      </c>
      <c r="H352" s="20" t="s">
        <v>1061</v>
      </c>
      <c r="I352" t="s">
        <v>697</v>
      </c>
      <c r="J352" s="20" t="s">
        <v>8</v>
      </c>
      <c r="K352" t="s">
        <v>107</v>
      </c>
      <c r="L352" t="s">
        <v>107</v>
      </c>
      <c r="M352" s="20" t="s">
        <v>683</v>
      </c>
      <c r="N352" s="20" t="s">
        <v>108</v>
      </c>
      <c r="Q352" s="24" t="s">
        <v>680</v>
      </c>
    </row>
    <row r="353" spans="1:17" x14ac:dyDescent="0.3">
      <c r="A353" s="20">
        <f t="shared" si="5"/>
        <v>352</v>
      </c>
      <c r="B353" s="21" t="s">
        <v>87</v>
      </c>
      <c r="C353" s="21" t="s">
        <v>97</v>
      </c>
      <c r="D353" s="22" t="str">
        <f>IF($C353="","",IFERROR(VLOOKUP($C353,Map_Register!$A$2:$C$5,3,FALSE()),""))</f>
        <v>Toponym Labels</v>
      </c>
      <c r="E353" s="21" t="s">
        <v>15</v>
      </c>
      <c r="F353" s="23">
        <v>125438</v>
      </c>
      <c r="G353" s="20" t="s">
        <v>719</v>
      </c>
      <c r="H353" s="20" t="s">
        <v>1062</v>
      </c>
      <c r="I353" t="s">
        <v>697</v>
      </c>
      <c r="J353" s="20" t="s">
        <v>8</v>
      </c>
      <c r="K353" t="s">
        <v>107</v>
      </c>
      <c r="L353" t="s">
        <v>108</v>
      </c>
      <c r="M353" s="20" t="s">
        <v>723</v>
      </c>
      <c r="N353" s="20" t="s">
        <v>108</v>
      </c>
      <c r="Q353" s="24" t="s">
        <v>680</v>
      </c>
    </row>
    <row r="354" spans="1:17" x14ac:dyDescent="0.3">
      <c r="A354" s="20">
        <f t="shared" si="5"/>
        <v>353</v>
      </c>
      <c r="B354" s="21" t="s">
        <v>87</v>
      </c>
      <c r="C354" s="21" t="s">
        <v>97</v>
      </c>
      <c r="D354" s="22" t="str">
        <f>IF($C354="","",IFERROR(VLOOKUP($C354,Map_Register!$A$2:$C$5,3,FALSE()),""))</f>
        <v>Toponym Labels</v>
      </c>
      <c r="E354" s="21" t="s">
        <v>15</v>
      </c>
      <c r="F354" s="23">
        <v>125439</v>
      </c>
      <c r="G354" s="20" t="s">
        <v>719</v>
      </c>
      <c r="H354" s="20" t="s">
        <v>1063</v>
      </c>
      <c r="I354" t="s">
        <v>697</v>
      </c>
      <c r="J354" s="20" t="s">
        <v>8</v>
      </c>
      <c r="K354" t="s">
        <v>107</v>
      </c>
      <c r="L354" t="s">
        <v>108</v>
      </c>
      <c r="M354" s="20" t="s">
        <v>723</v>
      </c>
      <c r="N354" s="20" t="s">
        <v>108</v>
      </c>
      <c r="Q354" s="24" t="s">
        <v>680</v>
      </c>
    </row>
    <row r="355" spans="1:17" x14ac:dyDescent="0.3">
      <c r="A355" s="20">
        <f t="shared" si="5"/>
        <v>354</v>
      </c>
      <c r="B355" s="21" t="s">
        <v>87</v>
      </c>
      <c r="C355" s="21" t="s">
        <v>97</v>
      </c>
      <c r="D355" s="22" t="str">
        <f>IF($C355="","",IFERROR(VLOOKUP($C355,Map_Register!$A$2:$C$5,3,FALSE()),""))</f>
        <v>Toponym Labels</v>
      </c>
      <c r="E355" s="21" t="s">
        <v>15</v>
      </c>
      <c r="F355" s="23">
        <v>125440</v>
      </c>
      <c r="G355" s="20" t="s">
        <v>719</v>
      </c>
      <c r="H355" s="20" t="s">
        <v>1064</v>
      </c>
      <c r="I355" t="s">
        <v>697</v>
      </c>
      <c r="J355" s="20" t="s">
        <v>8</v>
      </c>
      <c r="K355" t="s">
        <v>107</v>
      </c>
      <c r="L355" t="s">
        <v>108</v>
      </c>
      <c r="M355" s="20" t="s">
        <v>723</v>
      </c>
      <c r="N355" s="20" t="s">
        <v>108</v>
      </c>
      <c r="Q355" s="24" t="s">
        <v>680</v>
      </c>
    </row>
    <row r="356" spans="1:17" x14ac:dyDescent="0.3">
      <c r="A356" s="20">
        <f t="shared" si="5"/>
        <v>355</v>
      </c>
      <c r="B356" s="21" t="s">
        <v>87</v>
      </c>
      <c r="C356" s="21" t="s">
        <v>97</v>
      </c>
      <c r="D356" s="22" t="str">
        <f>IF($C356="","",IFERROR(VLOOKUP($C356,Map_Register!$A$2:$C$5,3,FALSE()),""))</f>
        <v>Toponym Labels</v>
      </c>
      <c r="E356" s="21" t="s">
        <v>15</v>
      </c>
      <c r="F356" s="23">
        <v>125441</v>
      </c>
      <c r="G356" s="20" t="s">
        <v>719</v>
      </c>
      <c r="H356" s="20" t="s">
        <v>1065</v>
      </c>
      <c r="I356" t="s">
        <v>697</v>
      </c>
      <c r="J356" s="20" t="s">
        <v>8</v>
      </c>
      <c r="K356" t="s">
        <v>107</v>
      </c>
      <c r="L356" t="s">
        <v>108</v>
      </c>
      <c r="M356" s="20" t="s">
        <v>723</v>
      </c>
      <c r="N356" s="20" t="s">
        <v>108</v>
      </c>
      <c r="Q356" s="24" t="s">
        <v>680</v>
      </c>
    </row>
    <row r="357" spans="1:17" hidden="1" x14ac:dyDescent="0.3">
      <c r="A357" s="20">
        <f t="shared" si="5"/>
        <v>356</v>
      </c>
      <c r="B357" s="21" t="s">
        <v>87</v>
      </c>
      <c r="C357" s="21" t="s">
        <v>97</v>
      </c>
      <c r="D357" s="22" t="str">
        <f>IF($C357="","",IFERROR(VLOOKUP($C357,Map_Register!$A$2:$C$5,3,FALSE()),""))</f>
        <v>Toponym Labels</v>
      </c>
      <c r="E357" s="21" t="s">
        <v>15</v>
      </c>
      <c r="F357" s="23">
        <v>125442</v>
      </c>
      <c r="G357" s="20" t="s">
        <v>719</v>
      </c>
      <c r="H357" s="20" t="s">
        <v>1066</v>
      </c>
      <c r="I357" t="s">
        <v>697</v>
      </c>
      <c r="J357" s="20" t="s">
        <v>6</v>
      </c>
      <c r="K357" s="20" t="s">
        <v>137</v>
      </c>
      <c r="L357" s="20" t="s">
        <v>137</v>
      </c>
      <c r="M357" s="20" t="s">
        <v>721</v>
      </c>
      <c r="Q357" s="24" t="s">
        <v>680</v>
      </c>
    </row>
    <row r="358" spans="1:17" hidden="1" x14ac:dyDescent="0.3">
      <c r="A358" s="20">
        <f t="shared" si="5"/>
        <v>357</v>
      </c>
      <c r="B358" s="21" t="s">
        <v>87</v>
      </c>
      <c r="C358" s="21" t="s">
        <v>97</v>
      </c>
      <c r="D358" s="22" t="str">
        <f>IF($C358="","",IFERROR(VLOOKUP($C358,Map_Register!$A$2:$C$5,3,FALSE()),""))</f>
        <v>Toponym Labels</v>
      </c>
      <c r="E358" s="21" t="s">
        <v>15</v>
      </c>
      <c r="F358" s="23">
        <v>125604</v>
      </c>
      <c r="G358" s="20" t="s">
        <v>719</v>
      </c>
      <c r="H358" s="20" t="s">
        <v>1067</v>
      </c>
      <c r="I358" t="s">
        <v>697</v>
      </c>
      <c r="J358" s="20" t="s">
        <v>8</v>
      </c>
      <c r="K358" t="s">
        <v>107</v>
      </c>
      <c r="L358" t="s">
        <v>107</v>
      </c>
      <c r="M358" s="20" t="s">
        <v>683</v>
      </c>
      <c r="N358" s="20" t="s">
        <v>108</v>
      </c>
      <c r="Q358" s="24" t="s">
        <v>680</v>
      </c>
    </row>
    <row r="359" spans="1:17" x14ac:dyDescent="0.3">
      <c r="A359" s="20">
        <f t="shared" si="5"/>
        <v>358</v>
      </c>
      <c r="B359" s="21" t="s">
        <v>87</v>
      </c>
      <c r="C359" s="21" t="s">
        <v>97</v>
      </c>
      <c r="D359" s="22" t="str">
        <f>IF($C359="","",IFERROR(VLOOKUP($C359,Map_Register!$A$2:$C$5,3,FALSE()),""))</f>
        <v>Toponym Labels</v>
      </c>
      <c r="E359" s="21" t="s">
        <v>15</v>
      </c>
      <c r="F359" s="23">
        <v>125605</v>
      </c>
      <c r="G359" s="20" t="s">
        <v>719</v>
      </c>
      <c r="H359" s="20" t="s">
        <v>1068</v>
      </c>
      <c r="I359" t="s">
        <v>697</v>
      </c>
      <c r="J359" s="20" t="s">
        <v>8</v>
      </c>
      <c r="K359" t="s">
        <v>107</v>
      </c>
      <c r="L359" t="s">
        <v>108</v>
      </c>
      <c r="M359" s="20" t="s">
        <v>723</v>
      </c>
      <c r="N359" s="20" t="s">
        <v>108</v>
      </c>
      <c r="Q359" s="24" t="s">
        <v>680</v>
      </c>
    </row>
    <row r="360" spans="1:17" hidden="1" x14ac:dyDescent="0.3">
      <c r="A360" s="20">
        <f t="shared" si="5"/>
        <v>359</v>
      </c>
      <c r="B360" s="21" t="s">
        <v>87</v>
      </c>
      <c r="C360" s="21" t="s">
        <v>97</v>
      </c>
      <c r="D360" s="22" t="str">
        <f>IF($C360="","",IFERROR(VLOOKUP($C360,Map_Register!$A$2:$C$5,3,FALSE()),""))</f>
        <v>Toponym Labels</v>
      </c>
      <c r="E360" s="21" t="s">
        <v>15</v>
      </c>
      <c r="F360" s="23">
        <v>125606</v>
      </c>
      <c r="G360" s="20" t="s">
        <v>719</v>
      </c>
      <c r="H360" s="20" t="s">
        <v>1069</v>
      </c>
      <c r="I360" t="s">
        <v>697</v>
      </c>
      <c r="J360" s="20" t="s">
        <v>6</v>
      </c>
      <c r="K360" s="20" t="s">
        <v>137</v>
      </c>
      <c r="L360" s="20" t="s">
        <v>137</v>
      </c>
      <c r="M360" s="20" t="s">
        <v>721</v>
      </c>
      <c r="Q360" s="24" t="s">
        <v>680</v>
      </c>
    </row>
    <row r="361" spans="1:17" x14ac:dyDescent="0.3">
      <c r="A361" s="20">
        <f t="shared" si="5"/>
        <v>360</v>
      </c>
      <c r="B361" s="21" t="s">
        <v>87</v>
      </c>
      <c r="C361" s="21" t="s">
        <v>97</v>
      </c>
      <c r="D361" s="22" t="str">
        <f>IF($C361="","",IFERROR(VLOOKUP($C361,Map_Register!$A$2:$C$5,3,FALSE()),""))</f>
        <v>Toponym Labels</v>
      </c>
      <c r="E361" s="21" t="s">
        <v>15</v>
      </c>
      <c r="F361" s="23">
        <v>125626</v>
      </c>
      <c r="G361" s="20" t="s">
        <v>719</v>
      </c>
      <c r="H361" s="20" t="s">
        <v>1070</v>
      </c>
      <c r="I361" t="s">
        <v>697</v>
      </c>
      <c r="J361" s="20" t="s">
        <v>8</v>
      </c>
      <c r="K361" t="s">
        <v>107</v>
      </c>
      <c r="L361" t="s">
        <v>108</v>
      </c>
      <c r="M361" s="20" t="s">
        <v>723</v>
      </c>
      <c r="N361" s="20" t="s">
        <v>108</v>
      </c>
      <c r="Q361" s="24" t="s">
        <v>680</v>
      </c>
    </row>
    <row r="362" spans="1:17" x14ac:dyDescent="0.3">
      <c r="A362" s="20">
        <f t="shared" si="5"/>
        <v>361</v>
      </c>
      <c r="B362" s="21" t="s">
        <v>87</v>
      </c>
      <c r="C362" s="21" t="s">
        <v>97</v>
      </c>
      <c r="D362" s="22" t="str">
        <f>IF($C362="","",IFERROR(VLOOKUP($C362,Map_Register!$A$2:$C$5,3,FALSE()),""))</f>
        <v>Toponym Labels</v>
      </c>
      <c r="E362" s="21" t="s">
        <v>15</v>
      </c>
      <c r="F362" s="23">
        <v>125691</v>
      </c>
      <c r="G362" s="20" t="s">
        <v>719</v>
      </c>
      <c r="H362" s="20" t="s">
        <v>1071</v>
      </c>
      <c r="I362" t="s">
        <v>697</v>
      </c>
      <c r="J362" s="20" t="s">
        <v>8</v>
      </c>
      <c r="K362" t="s">
        <v>107</v>
      </c>
      <c r="L362" t="s">
        <v>108</v>
      </c>
      <c r="M362" s="20" t="s">
        <v>723</v>
      </c>
      <c r="N362" s="20" t="s">
        <v>108</v>
      </c>
      <c r="Q362" s="24" t="s">
        <v>680</v>
      </c>
    </row>
    <row r="363" spans="1:17" x14ac:dyDescent="0.3">
      <c r="A363" s="20">
        <f t="shared" si="5"/>
        <v>362</v>
      </c>
      <c r="B363" s="21" t="s">
        <v>87</v>
      </c>
      <c r="C363" s="21" t="s">
        <v>97</v>
      </c>
      <c r="D363" s="22" t="str">
        <f>IF($C363="","",IFERROR(VLOOKUP($C363,Map_Register!$A$2:$C$5,3,FALSE()),""))</f>
        <v>Toponym Labels</v>
      </c>
      <c r="E363" s="21" t="s">
        <v>15</v>
      </c>
      <c r="F363" s="23">
        <v>125751</v>
      </c>
      <c r="G363" s="20" t="s">
        <v>719</v>
      </c>
      <c r="H363" s="20" t="s">
        <v>970</v>
      </c>
      <c r="I363" t="s">
        <v>697</v>
      </c>
      <c r="J363" s="20" t="s">
        <v>8</v>
      </c>
      <c r="K363" t="s">
        <v>107</v>
      </c>
      <c r="L363" t="s">
        <v>108</v>
      </c>
      <c r="M363" s="20" t="s">
        <v>723</v>
      </c>
      <c r="N363" s="20" t="s">
        <v>108</v>
      </c>
      <c r="Q363" s="24" t="s">
        <v>680</v>
      </c>
    </row>
    <row r="364" spans="1:17" hidden="1" x14ac:dyDescent="0.3">
      <c r="A364" s="20">
        <f t="shared" si="5"/>
        <v>363</v>
      </c>
      <c r="B364" s="21" t="s">
        <v>87</v>
      </c>
      <c r="C364" s="21" t="s">
        <v>97</v>
      </c>
      <c r="D364" s="22" t="str">
        <f>IF($C364="","",IFERROR(VLOOKUP($C364,Map_Register!$A$2:$C$5,3,FALSE()),""))</f>
        <v>Toponym Labels</v>
      </c>
      <c r="E364" s="21" t="s">
        <v>15</v>
      </c>
      <c r="F364" s="23">
        <v>126005</v>
      </c>
      <c r="G364" s="20" t="s">
        <v>719</v>
      </c>
      <c r="H364" s="20" t="s">
        <v>1072</v>
      </c>
      <c r="I364" t="s">
        <v>697</v>
      </c>
      <c r="J364" s="20" t="s">
        <v>8</v>
      </c>
      <c r="K364" t="s">
        <v>107</v>
      </c>
      <c r="L364" t="s">
        <v>107</v>
      </c>
      <c r="M364" s="20" t="s">
        <v>683</v>
      </c>
      <c r="N364" s="20" t="s">
        <v>108</v>
      </c>
      <c r="Q364" s="24" t="s">
        <v>680</v>
      </c>
    </row>
    <row r="365" spans="1:17" hidden="1" x14ac:dyDescent="0.3">
      <c r="A365" s="20">
        <f t="shared" si="5"/>
        <v>364</v>
      </c>
      <c r="B365" s="21" t="s">
        <v>87</v>
      </c>
      <c r="C365" s="21" t="s">
        <v>97</v>
      </c>
      <c r="D365" s="22" t="str">
        <f>IF($C365="","",IFERROR(VLOOKUP($C365,Map_Register!$A$2:$C$5,3,FALSE()),""))</f>
        <v>Toponym Labels</v>
      </c>
      <c r="E365" s="21" t="s">
        <v>15</v>
      </c>
      <c r="F365" s="23">
        <v>126006</v>
      </c>
      <c r="G365" s="20" t="s">
        <v>719</v>
      </c>
      <c r="H365" s="20" t="s">
        <v>1073</v>
      </c>
      <c r="I365" t="s">
        <v>697</v>
      </c>
      <c r="J365" s="20" t="s">
        <v>6</v>
      </c>
      <c r="K365" s="20" t="s">
        <v>137</v>
      </c>
      <c r="L365" s="20" t="s">
        <v>137</v>
      </c>
      <c r="M365" s="20" t="s">
        <v>721</v>
      </c>
      <c r="Q365" s="24" t="s">
        <v>680</v>
      </c>
    </row>
    <row r="366" spans="1:17" hidden="1" x14ac:dyDescent="0.3">
      <c r="A366" s="20">
        <f t="shared" si="5"/>
        <v>365</v>
      </c>
      <c r="B366" s="21" t="s">
        <v>87</v>
      </c>
      <c r="C366" s="21" t="s">
        <v>97</v>
      </c>
      <c r="D366" s="22" t="str">
        <f>IF($C366="","",IFERROR(VLOOKUP($C366,Map_Register!$A$2:$C$5,3,FALSE()),""))</f>
        <v>Toponym Labels</v>
      </c>
      <c r="E366" s="21" t="s">
        <v>15</v>
      </c>
      <c r="F366" s="23">
        <v>126036</v>
      </c>
      <c r="G366" s="20" t="s">
        <v>719</v>
      </c>
      <c r="H366" s="20" t="s">
        <v>1074</v>
      </c>
      <c r="I366" t="s">
        <v>697</v>
      </c>
      <c r="J366" s="20" t="s">
        <v>8</v>
      </c>
      <c r="K366" t="s">
        <v>107</v>
      </c>
      <c r="L366" t="s">
        <v>107</v>
      </c>
      <c r="M366" s="20" t="s">
        <v>975</v>
      </c>
      <c r="N366" s="20" t="s">
        <v>108</v>
      </c>
      <c r="Q366" s="24" t="s">
        <v>680</v>
      </c>
    </row>
    <row r="367" spans="1:17" x14ac:dyDescent="0.3">
      <c r="A367" s="20">
        <f t="shared" si="5"/>
        <v>366</v>
      </c>
      <c r="B367" s="21" t="s">
        <v>87</v>
      </c>
      <c r="C367" s="21" t="s">
        <v>97</v>
      </c>
      <c r="D367" s="22" t="str">
        <f>IF($C367="","",IFERROR(VLOOKUP($C367,Map_Register!$A$2:$C$5,3,FALSE()),""))</f>
        <v>Toponym Labels</v>
      </c>
      <c r="E367" s="21" t="s">
        <v>15</v>
      </c>
      <c r="F367" s="23">
        <v>126294</v>
      </c>
      <c r="G367" s="20" t="s">
        <v>719</v>
      </c>
      <c r="H367" s="20" t="s">
        <v>1075</v>
      </c>
      <c r="I367" t="s">
        <v>697</v>
      </c>
      <c r="J367" s="20" t="s">
        <v>8</v>
      </c>
      <c r="K367" t="s">
        <v>107</v>
      </c>
      <c r="L367" t="s">
        <v>108</v>
      </c>
      <c r="M367" s="20" t="s">
        <v>723</v>
      </c>
      <c r="N367" s="20" t="s">
        <v>108</v>
      </c>
      <c r="Q367" s="24" t="s">
        <v>680</v>
      </c>
    </row>
    <row r="368" spans="1:17" hidden="1" x14ac:dyDescent="0.3">
      <c r="A368" s="20">
        <f t="shared" si="5"/>
        <v>367</v>
      </c>
      <c r="B368" s="21" t="s">
        <v>87</v>
      </c>
      <c r="C368" s="21" t="s">
        <v>97</v>
      </c>
      <c r="D368" s="22" t="str">
        <f>IF($C368="","",IFERROR(VLOOKUP($C368,Map_Register!$A$2:$C$5,3,FALSE()),""))</f>
        <v>Toponym Labels</v>
      </c>
      <c r="E368" s="21" t="s">
        <v>15</v>
      </c>
      <c r="F368" s="23">
        <v>126553</v>
      </c>
      <c r="G368" s="20" t="s">
        <v>719</v>
      </c>
      <c r="H368" s="20" t="s">
        <v>1076</v>
      </c>
      <c r="I368" t="s">
        <v>697</v>
      </c>
      <c r="J368" s="20" t="s">
        <v>6</v>
      </c>
      <c r="K368" s="20" t="s">
        <v>137</v>
      </c>
      <c r="L368" s="20" t="s">
        <v>137</v>
      </c>
      <c r="M368" s="20" t="s">
        <v>721</v>
      </c>
      <c r="Q368" s="24" t="s">
        <v>680</v>
      </c>
    </row>
    <row r="369" spans="1:17" hidden="1" x14ac:dyDescent="0.3">
      <c r="A369" s="20">
        <f t="shared" si="5"/>
        <v>368</v>
      </c>
      <c r="B369" s="21" t="s">
        <v>87</v>
      </c>
      <c r="C369" s="21" t="s">
        <v>97</v>
      </c>
      <c r="D369" s="22" t="str">
        <f>IF($C369="","",IFERROR(VLOOKUP($C369,Map_Register!$A$2:$C$5,3,FALSE()),""))</f>
        <v>Toponym Labels</v>
      </c>
      <c r="E369" s="21" t="s">
        <v>15</v>
      </c>
      <c r="F369" s="23">
        <v>126554</v>
      </c>
      <c r="G369" s="20" t="s">
        <v>719</v>
      </c>
      <c r="H369" s="20" t="s">
        <v>1077</v>
      </c>
      <c r="I369" t="s">
        <v>697</v>
      </c>
      <c r="J369" s="20" t="s">
        <v>6</v>
      </c>
      <c r="K369" s="20" t="s">
        <v>137</v>
      </c>
      <c r="L369" s="20" t="s">
        <v>137</v>
      </c>
      <c r="M369" s="20" t="s">
        <v>721</v>
      </c>
      <c r="Q369" s="24" t="s">
        <v>680</v>
      </c>
    </row>
    <row r="370" spans="1:17" x14ac:dyDescent="0.3">
      <c r="A370" s="20">
        <f t="shared" si="5"/>
        <v>369</v>
      </c>
      <c r="B370" s="21" t="s">
        <v>87</v>
      </c>
      <c r="C370" s="21" t="s">
        <v>97</v>
      </c>
      <c r="D370" s="22" t="str">
        <f>IF($C370="","",IFERROR(VLOOKUP($C370,Map_Register!$A$2:$C$5,3,FALSE()),""))</f>
        <v>Toponym Labels</v>
      </c>
      <c r="E370" s="21" t="s">
        <v>15</v>
      </c>
      <c r="F370" s="23">
        <v>126555</v>
      </c>
      <c r="G370" s="20" t="s">
        <v>719</v>
      </c>
      <c r="H370" s="20" t="s">
        <v>1078</v>
      </c>
      <c r="I370" t="s">
        <v>697</v>
      </c>
      <c r="J370" s="20" t="s">
        <v>8</v>
      </c>
      <c r="K370" t="s">
        <v>107</v>
      </c>
      <c r="L370" t="s">
        <v>108</v>
      </c>
      <c r="M370" s="20" t="s">
        <v>723</v>
      </c>
      <c r="N370" s="20" t="s">
        <v>108</v>
      </c>
      <c r="Q370" s="24" t="s">
        <v>680</v>
      </c>
    </row>
    <row r="371" spans="1:17" hidden="1" x14ac:dyDescent="0.3">
      <c r="A371" s="20">
        <f t="shared" si="5"/>
        <v>370</v>
      </c>
      <c r="B371" s="21" t="s">
        <v>87</v>
      </c>
      <c r="C371" s="21" t="s">
        <v>97</v>
      </c>
      <c r="D371" s="22" t="str">
        <f>IF($C371="","",IFERROR(VLOOKUP($C371,Map_Register!$A$2:$C$5,3,FALSE()),""))</f>
        <v>Toponym Labels</v>
      </c>
      <c r="E371" s="21" t="s">
        <v>15</v>
      </c>
      <c r="F371" s="23">
        <v>126556</v>
      </c>
      <c r="G371" s="20" t="s">
        <v>719</v>
      </c>
      <c r="H371" s="20" t="s">
        <v>1079</v>
      </c>
      <c r="I371" t="s">
        <v>697</v>
      </c>
      <c r="J371" s="20" t="s">
        <v>6</v>
      </c>
      <c r="K371" s="20" t="s">
        <v>137</v>
      </c>
      <c r="L371" s="20" t="s">
        <v>137</v>
      </c>
      <c r="M371" s="20" t="s">
        <v>721</v>
      </c>
      <c r="Q371" s="24" t="s">
        <v>680</v>
      </c>
    </row>
    <row r="372" spans="1:17" x14ac:dyDescent="0.3">
      <c r="A372" s="20">
        <f t="shared" si="5"/>
        <v>371</v>
      </c>
      <c r="B372" s="21" t="s">
        <v>87</v>
      </c>
      <c r="C372" s="21" t="s">
        <v>97</v>
      </c>
      <c r="D372" s="22" t="str">
        <f>IF($C372="","",IFERROR(VLOOKUP($C372,Map_Register!$A$2:$C$5,3,FALSE()),""))</f>
        <v>Toponym Labels</v>
      </c>
      <c r="E372" s="21" t="s">
        <v>15</v>
      </c>
      <c r="F372" s="23">
        <v>126794</v>
      </c>
      <c r="G372" s="20" t="s">
        <v>719</v>
      </c>
      <c r="H372" s="20" t="s">
        <v>1080</v>
      </c>
      <c r="I372" t="s">
        <v>697</v>
      </c>
      <c r="J372" s="20" t="s">
        <v>8</v>
      </c>
      <c r="K372" t="s">
        <v>107</v>
      </c>
      <c r="L372" t="s">
        <v>108</v>
      </c>
      <c r="M372" s="20" t="s">
        <v>723</v>
      </c>
      <c r="N372" s="20" t="s">
        <v>108</v>
      </c>
      <c r="Q372" s="24" t="s">
        <v>680</v>
      </c>
    </row>
    <row r="373" spans="1:17" hidden="1" x14ac:dyDescent="0.3">
      <c r="A373" s="20">
        <f t="shared" si="5"/>
        <v>372</v>
      </c>
      <c r="B373" s="21" t="s">
        <v>87</v>
      </c>
      <c r="C373" s="21" t="s">
        <v>97</v>
      </c>
      <c r="D373" s="22" t="str">
        <f>IF($C373="","",IFERROR(VLOOKUP($C373,Map_Register!$A$2:$C$5,3,FALSE()),""))</f>
        <v>Toponym Labels</v>
      </c>
      <c r="E373" s="21" t="s">
        <v>15</v>
      </c>
      <c r="F373" s="23">
        <v>126837</v>
      </c>
      <c r="G373" s="20" t="s">
        <v>719</v>
      </c>
      <c r="H373" s="20" t="s">
        <v>1081</v>
      </c>
      <c r="I373" t="s">
        <v>697</v>
      </c>
      <c r="J373" s="20" t="s">
        <v>6</v>
      </c>
      <c r="K373" s="20" t="s">
        <v>137</v>
      </c>
      <c r="L373" s="20" t="s">
        <v>137</v>
      </c>
      <c r="M373" s="20" t="s">
        <v>721</v>
      </c>
      <c r="Q373" s="24" t="s">
        <v>680</v>
      </c>
    </row>
    <row r="374" spans="1:17" hidden="1" x14ac:dyDescent="0.3">
      <c r="A374" s="20">
        <f t="shared" si="5"/>
        <v>373</v>
      </c>
      <c r="B374" s="21" t="s">
        <v>87</v>
      </c>
      <c r="C374" s="21" t="s">
        <v>97</v>
      </c>
      <c r="D374" s="22" t="str">
        <f>IF($C374="","",IFERROR(VLOOKUP($C374,Map_Register!$A$2:$C$5,3,FALSE()),""))</f>
        <v>Toponym Labels</v>
      </c>
      <c r="E374" s="21" t="s">
        <v>15</v>
      </c>
      <c r="F374" s="23">
        <v>126846</v>
      </c>
      <c r="G374" s="20" t="s">
        <v>719</v>
      </c>
      <c r="H374" s="20" t="s">
        <v>1082</v>
      </c>
      <c r="I374" t="s">
        <v>697</v>
      </c>
      <c r="J374" s="20" t="s">
        <v>6</v>
      </c>
      <c r="K374" s="20" t="s">
        <v>137</v>
      </c>
      <c r="L374" s="20" t="s">
        <v>137</v>
      </c>
      <c r="M374" s="20" t="s">
        <v>721</v>
      </c>
      <c r="Q374" s="24" t="s">
        <v>680</v>
      </c>
    </row>
    <row r="375" spans="1:17" hidden="1" x14ac:dyDescent="0.3">
      <c r="A375" s="20">
        <f t="shared" si="5"/>
        <v>374</v>
      </c>
      <c r="B375" s="21" t="s">
        <v>87</v>
      </c>
      <c r="C375" s="21" t="s">
        <v>97</v>
      </c>
      <c r="D375" s="22" t="str">
        <f>IF($C375="","",IFERROR(VLOOKUP($C375,Map_Register!$A$2:$C$5,3,FALSE()),""))</f>
        <v>Toponym Labels</v>
      </c>
      <c r="E375" s="21" t="s">
        <v>15</v>
      </c>
      <c r="F375" s="23">
        <v>126971</v>
      </c>
      <c r="G375" s="20" t="s">
        <v>719</v>
      </c>
      <c r="H375" s="20" t="s">
        <v>1083</v>
      </c>
      <c r="I375" t="s">
        <v>697</v>
      </c>
      <c r="J375" s="20" t="s">
        <v>992</v>
      </c>
      <c r="K375" s="20" t="s">
        <v>137</v>
      </c>
      <c r="L375" s="20" t="s">
        <v>137</v>
      </c>
      <c r="M375" s="20" t="s">
        <v>721</v>
      </c>
      <c r="Q375" s="24" t="s">
        <v>680</v>
      </c>
    </row>
    <row r="376" spans="1:17" hidden="1" x14ac:dyDescent="0.3">
      <c r="A376" s="20">
        <f t="shared" si="5"/>
        <v>375</v>
      </c>
      <c r="B376" s="21" t="s">
        <v>87</v>
      </c>
      <c r="C376" s="21" t="s">
        <v>97</v>
      </c>
      <c r="D376" s="22" t="str">
        <f>IF($C376="","",IFERROR(VLOOKUP($C376,Map_Register!$A$2:$C$5,3,FALSE()),""))</f>
        <v>Toponym Labels</v>
      </c>
      <c r="E376" s="21" t="s">
        <v>15</v>
      </c>
      <c r="F376" s="23">
        <v>127238</v>
      </c>
      <c r="G376" s="20" t="s">
        <v>719</v>
      </c>
      <c r="H376" s="20" t="s">
        <v>1084</v>
      </c>
      <c r="I376" t="s">
        <v>697</v>
      </c>
      <c r="J376" s="20" t="s">
        <v>8</v>
      </c>
      <c r="K376" t="s">
        <v>107</v>
      </c>
      <c r="L376" t="s">
        <v>107</v>
      </c>
      <c r="M376" s="20" t="s">
        <v>683</v>
      </c>
      <c r="N376" s="20" t="s">
        <v>108</v>
      </c>
      <c r="Q376" s="24" t="s">
        <v>680</v>
      </c>
    </row>
    <row r="377" spans="1:17" hidden="1" x14ac:dyDescent="0.3">
      <c r="A377" s="20">
        <f t="shared" si="5"/>
        <v>376</v>
      </c>
      <c r="B377" s="21" t="s">
        <v>87</v>
      </c>
      <c r="C377" s="21" t="s">
        <v>97</v>
      </c>
      <c r="D377" s="22" t="str">
        <f>IF($C377="","",IFERROR(VLOOKUP($C377,Map_Register!$A$2:$C$5,3,FALSE()),""))</f>
        <v>Toponym Labels</v>
      </c>
      <c r="E377" s="21" t="s">
        <v>15</v>
      </c>
      <c r="F377" s="23">
        <v>127246</v>
      </c>
      <c r="G377" s="20" t="s">
        <v>719</v>
      </c>
      <c r="H377" s="20" t="s">
        <v>1085</v>
      </c>
      <c r="I377" t="s">
        <v>697</v>
      </c>
      <c r="J377" s="20" t="s">
        <v>8</v>
      </c>
      <c r="K377" t="s">
        <v>107</v>
      </c>
      <c r="L377" t="s">
        <v>107</v>
      </c>
      <c r="M377" s="20" t="s">
        <v>683</v>
      </c>
      <c r="N377" s="20" t="s">
        <v>108</v>
      </c>
      <c r="Q377" s="24" t="s">
        <v>680</v>
      </c>
    </row>
    <row r="378" spans="1:17" x14ac:dyDescent="0.3">
      <c r="A378" s="20">
        <f t="shared" si="5"/>
        <v>377</v>
      </c>
      <c r="B378" s="21" t="s">
        <v>87</v>
      </c>
      <c r="C378" s="21" t="s">
        <v>97</v>
      </c>
      <c r="D378" s="22" t="str">
        <f>IF($C378="","",IFERROR(VLOOKUP($C378,Map_Register!$A$2:$C$5,3,FALSE()),""))</f>
        <v>Toponym Labels</v>
      </c>
      <c r="E378" s="21" t="s">
        <v>15</v>
      </c>
      <c r="F378" s="23">
        <v>127247</v>
      </c>
      <c r="G378" s="20" t="s">
        <v>719</v>
      </c>
      <c r="H378" s="20" t="s">
        <v>1086</v>
      </c>
      <c r="I378" t="s">
        <v>697</v>
      </c>
      <c r="J378" s="20" t="s">
        <v>8</v>
      </c>
      <c r="K378" t="s">
        <v>107</v>
      </c>
      <c r="L378" t="s">
        <v>108</v>
      </c>
      <c r="M378" s="20" t="s">
        <v>723</v>
      </c>
      <c r="N378" s="20" t="s">
        <v>108</v>
      </c>
      <c r="Q378" s="24" t="s">
        <v>680</v>
      </c>
    </row>
    <row r="379" spans="1:17" hidden="1" x14ac:dyDescent="0.3">
      <c r="A379" s="20">
        <f t="shared" si="5"/>
        <v>378</v>
      </c>
      <c r="B379" s="21" t="s">
        <v>87</v>
      </c>
      <c r="C379" s="21" t="s">
        <v>97</v>
      </c>
      <c r="D379" s="22" t="str">
        <f>IF($C379="","",IFERROR(VLOOKUP($C379,Map_Register!$A$2:$C$5,3,FALSE()),""))</f>
        <v>Toponym Labels</v>
      </c>
      <c r="E379" s="21" t="s">
        <v>15</v>
      </c>
      <c r="F379" s="23">
        <v>127254</v>
      </c>
      <c r="G379" s="20" t="s">
        <v>719</v>
      </c>
      <c r="H379" s="20" t="s">
        <v>1087</v>
      </c>
      <c r="I379" t="s">
        <v>697</v>
      </c>
      <c r="J379" s="20" t="s">
        <v>6</v>
      </c>
      <c r="K379" s="20" t="s">
        <v>137</v>
      </c>
      <c r="L379" s="20" t="s">
        <v>137</v>
      </c>
      <c r="M379" s="20" t="s">
        <v>721</v>
      </c>
      <c r="Q379" s="24" t="s">
        <v>680</v>
      </c>
    </row>
    <row r="380" spans="1:17" hidden="1" x14ac:dyDescent="0.3">
      <c r="A380" s="20">
        <f t="shared" si="5"/>
        <v>379</v>
      </c>
      <c r="B380" s="21" t="s">
        <v>87</v>
      </c>
      <c r="C380" s="21" t="s">
        <v>97</v>
      </c>
      <c r="D380" s="22" t="str">
        <f>IF($C380="","",IFERROR(VLOOKUP($C380,Map_Register!$A$2:$C$5,3,FALSE()),""))</f>
        <v>Toponym Labels</v>
      </c>
      <c r="E380" s="21" t="s">
        <v>15</v>
      </c>
      <c r="F380" s="23">
        <v>127255</v>
      </c>
      <c r="G380" s="20" t="s">
        <v>719</v>
      </c>
      <c r="H380" s="20" t="s">
        <v>1088</v>
      </c>
      <c r="I380" t="s">
        <v>697</v>
      </c>
      <c r="J380" s="20" t="s">
        <v>6</v>
      </c>
      <c r="K380" s="20" t="s">
        <v>137</v>
      </c>
      <c r="L380" s="20" t="s">
        <v>137</v>
      </c>
      <c r="M380" s="20" t="s">
        <v>721</v>
      </c>
      <c r="Q380" s="24" t="s">
        <v>680</v>
      </c>
    </row>
    <row r="381" spans="1:17" x14ac:dyDescent="0.3">
      <c r="A381" s="20">
        <f t="shared" si="5"/>
        <v>380</v>
      </c>
      <c r="B381" s="21" t="s">
        <v>87</v>
      </c>
      <c r="C381" s="21" t="s">
        <v>97</v>
      </c>
      <c r="D381" s="22" t="str">
        <f>IF($C381="","",IFERROR(VLOOKUP($C381,Map_Register!$A$2:$C$5,3,FALSE()),""))</f>
        <v>Toponym Labels</v>
      </c>
      <c r="E381" s="21" t="s">
        <v>15</v>
      </c>
      <c r="F381" s="23">
        <v>127256</v>
      </c>
      <c r="G381" s="20" t="s">
        <v>719</v>
      </c>
      <c r="H381" s="20" t="s">
        <v>1089</v>
      </c>
      <c r="I381" t="s">
        <v>697</v>
      </c>
      <c r="J381" s="20" t="s">
        <v>8</v>
      </c>
      <c r="K381" t="s">
        <v>107</v>
      </c>
      <c r="L381" t="s">
        <v>108</v>
      </c>
      <c r="M381" s="20" t="s">
        <v>723</v>
      </c>
      <c r="N381" s="20" t="s">
        <v>108</v>
      </c>
      <c r="Q381" s="24" t="s">
        <v>680</v>
      </c>
    </row>
    <row r="382" spans="1:17" x14ac:dyDescent="0.3">
      <c r="A382" s="20">
        <f t="shared" si="5"/>
        <v>381</v>
      </c>
      <c r="B382" s="21" t="s">
        <v>87</v>
      </c>
      <c r="C382" s="21" t="s">
        <v>97</v>
      </c>
      <c r="D382" s="22" t="str">
        <f>IF($C382="","",IFERROR(VLOOKUP($C382,Map_Register!$A$2:$C$5,3,FALSE()),""))</f>
        <v>Toponym Labels</v>
      </c>
      <c r="E382" s="21" t="s">
        <v>15</v>
      </c>
      <c r="F382" s="23">
        <v>127259</v>
      </c>
      <c r="G382" s="20" t="s">
        <v>719</v>
      </c>
      <c r="H382" s="20" t="s">
        <v>1090</v>
      </c>
      <c r="I382" t="s">
        <v>697</v>
      </c>
      <c r="J382" s="20" t="s">
        <v>8</v>
      </c>
      <c r="K382" t="s">
        <v>107</v>
      </c>
      <c r="L382" t="s">
        <v>108</v>
      </c>
      <c r="M382" s="20" t="s">
        <v>723</v>
      </c>
      <c r="N382" s="20" t="s">
        <v>108</v>
      </c>
      <c r="Q382" s="24" t="s">
        <v>680</v>
      </c>
    </row>
    <row r="383" spans="1:17" hidden="1" x14ac:dyDescent="0.3">
      <c r="A383" s="20">
        <f t="shared" si="5"/>
        <v>382</v>
      </c>
      <c r="B383" s="21" t="s">
        <v>87</v>
      </c>
      <c r="C383" s="21" t="s">
        <v>97</v>
      </c>
      <c r="D383" s="22" t="str">
        <f>IF($C383="","",IFERROR(VLOOKUP($C383,Map_Register!$A$2:$C$5,3,FALSE()),""))</f>
        <v>Toponym Labels</v>
      </c>
      <c r="E383" s="21" t="s">
        <v>15</v>
      </c>
      <c r="F383" s="23">
        <v>127260</v>
      </c>
      <c r="G383" s="20" t="s">
        <v>719</v>
      </c>
      <c r="H383" s="20" t="s">
        <v>1091</v>
      </c>
      <c r="I383" t="s">
        <v>697</v>
      </c>
      <c r="J383" s="20" t="s">
        <v>6</v>
      </c>
      <c r="K383" s="20" t="s">
        <v>137</v>
      </c>
      <c r="L383" s="20" t="s">
        <v>137</v>
      </c>
      <c r="M383" s="20" t="s">
        <v>721</v>
      </c>
      <c r="Q383" s="24" t="s">
        <v>680</v>
      </c>
    </row>
    <row r="384" spans="1:17" x14ac:dyDescent="0.3">
      <c r="A384" s="20">
        <f t="shared" si="5"/>
        <v>383</v>
      </c>
      <c r="B384" s="21" t="s">
        <v>87</v>
      </c>
      <c r="C384" s="21" t="s">
        <v>97</v>
      </c>
      <c r="D384" s="22" t="str">
        <f>IF($C384="","",IFERROR(VLOOKUP($C384,Map_Register!$A$2:$C$5,3,FALSE()),""))</f>
        <v>Toponym Labels</v>
      </c>
      <c r="E384" s="21" t="s">
        <v>15</v>
      </c>
      <c r="F384" s="23">
        <v>127319</v>
      </c>
      <c r="G384" s="20" t="s">
        <v>719</v>
      </c>
      <c r="H384" s="20" t="s">
        <v>1092</v>
      </c>
      <c r="I384" t="s">
        <v>697</v>
      </c>
      <c r="J384" s="20" t="s">
        <v>8</v>
      </c>
      <c r="K384" t="s">
        <v>107</v>
      </c>
      <c r="L384" t="s">
        <v>108</v>
      </c>
      <c r="M384" s="20" t="s">
        <v>723</v>
      </c>
      <c r="N384" s="20" t="s">
        <v>108</v>
      </c>
      <c r="Q384" s="24" t="s">
        <v>680</v>
      </c>
    </row>
    <row r="385" spans="1:17" hidden="1" x14ac:dyDescent="0.3">
      <c r="A385" s="20">
        <f t="shared" si="5"/>
        <v>384</v>
      </c>
      <c r="B385" s="21" t="s">
        <v>87</v>
      </c>
      <c r="C385" s="21" t="s">
        <v>97</v>
      </c>
      <c r="D385" s="22" t="str">
        <f>IF($C385="","",IFERROR(VLOOKUP($C385,Map_Register!$A$2:$C$5,3,FALSE()),""))</f>
        <v>Toponym Labels</v>
      </c>
      <c r="E385" s="21" t="s">
        <v>15</v>
      </c>
      <c r="F385" s="23">
        <v>127320</v>
      </c>
      <c r="G385" s="20" t="s">
        <v>719</v>
      </c>
      <c r="H385" s="20" t="s">
        <v>1093</v>
      </c>
      <c r="I385" t="s">
        <v>697</v>
      </c>
      <c r="J385" s="20" t="s">
        <v>6</v>
      </c>
      <c r="K385" s="20" t="s">
        <v>137</v>
      </c>
      <c r="L385" s="20" t="s">
        <v>137</v>
      </c>
      <c r="M385" s="20" t="s">
        <v>721</v>
      </c>
      <c r="Q385" s="24" t="s">
        <v>680</v>
      </c>
    </row>
    <row r="386" spans="1:17" hidden="1" x14ac:dyDescent="0.3">
      <c r="A386" s="20">
        <f t="shared" ref="A386:A449" si="6">IF($B386="","",ROW()-1)</f>
        <v>385</v>
      </c>
      <c r="B386" s="21" t="s">
        <v>87</v>
      </c>
      <c r="C386" s="21" t="s">
        <v>97</v>
      </c>
      <c r="D386" s="22" t="str">
        <f>IF($C386="","",IFERROR(VLOOKUP($C386,Map_Register!$A$2:$C$5,3,FALSE()),""))</f>
        <v>Toponym Labels</v>
      </c>
      <c r="E386" s="21" t="s">
        <v>15</v>
      </c>
      <c r="F386" s="23">
        <v>127321</v>
      </c>
      <c r="G386" s="20" t="s">
        <v>719</v>
      </c>
      <c r="H386" s="20" t="s">
        <v>941</v>
      </c>
      <c r="I386" t="s">
        <v>697</v>
      </c>
      <c r="J386" s="20" t="s">
        <v>6</v>
      </c>
      <c r="K386" s="20" t="s">
        <v>137</v>
      </c>
      <c r="L386" s="20" t="s">
        <v>137</v>
      </c>
      <c r="M386" s="20" t="s">
        <v>721</v>
      </c>
      <c r="Q386" s="24" t="s">
        <v>680</v>
      </c>
    </row>
    <row r="387" spans="1:17" x14ac:dyDescent="0.3">
      <c r="A387" s="20">
        <f t="shared" si="6"/>
        <v>386</v>
      </c>
      <c r="B387" s="21" t="s">
        <v>87</v>
      </c>
      <c r="C387" s="21" t="s">
        <v>97</v>
      </c>
      <c r="D387" s="22" t="str">
        <f>IF($C387="","",IFERROR(VLOOKUP($C387,Map_Register!$A$2:$C$5,3,FALSE()),""))</f>
        <v>Toponym Labels</v>
      </c>
      <c r="E387" s="21" t="s">
        <v>15</v>
      </c>
      <c r="F387" s="23">
        <v>127322</v>
      </c>
      <c r="G387" s="20" t="s">
        <v>719</v>
      </c>
      <c r="H387" s="20" t="s">
        <v>1094</v>
      </c>
      <c r="I387" t="s">
        <v>697</v>
      </c>
      <c r="J387" s="20" t="s">
        <v>8</v>
      </c>
      <c r="K387" t="s">
        <v>107</v>
      </c>
      <c r="L387" t="s">
        <v>108</v>
      </c>
      <c r="M387" s="20" t="s">
        <v>723</v>
      </c>
      <c r="N387" s="20" t="s">
        <v>108</v>
      </c>
      <c r="Q387" s="24" t="s">
        <v>680</v>
      </c>
    </row>
    <row r="388" spans="1:17" hidden="1" x14ac:dyDescent="0.3">
      <c r="A388" s="20">
        <f t="shared" si="6"/>
        <v>387</v>
      </c>
      <c r="B388" s="21" t="s">
        <v>87</v>
      </c>
      <c r="C388" s="21" t="s">
        <v>97</v>
      </c>
      <c r="D388" s="22" t="str">
        <f>IF($C388="","",IFERROR(VLOOKUP($C388,Map_Register!$A$2:$C$5,3,FALSE()),""))</f>
        <v>Toponym Labels</v>
      </c>
      <c r="E388" s="21" t="s">
        <v>15</v>
      </c>
      <c r="F388" s="23">
        <v>127323</v>
      </c>
      <c r="G388" s="20" t="s">
        <v>719</v>
      </c>
      <c r="H388" s="20" t="s">
        <v>1095</v>
      </c>
      <c r="I388" t="s">
        <v>697</v>
      </c>
      <c r="J388" s="20" t="s">
        <v>6</v>
      </c>
      <c r="K388" s="20" t="s">
        <v>137</v>
      </c>
      <c r="L388" s="20" t="s">
        <v>137</v>
      </c>
      <c r="M388" s="20" t="s">
        <v>721</v>
      </c>
      <c r="Q388" s="24" t="s">
        <v>680</v>
      </c>
    </row>
    <row r="389" spans="1:17" x14ac:dyDescent="0.3">
      <c r="A389" s="20">
        <f t="shared" si="6"/>
        <v>388</v>
      </c>
      <c r="B389" s="21" t="s">
        <v>87</v>
      </c>
      <c r="C389" s="21" t="s">
        <v>97</v>
      </c>
      <c r="D389" s="22" t="str">
        <f>IF($C389="","",IFERROR(VLOOKUP($C389,Map_Register!$A$2:$C$5,3,FALSE()),""))</f>
        <v>Toponym Labels</v>
      </c>
      <c r="E389" s="21" t="s">
        <v>15</v>
      </c>
      <c r="F389" s="23">
        <v>127324</v>
      </c>
      <c r="G389" s="20" t="s">
        <v>719</v>
      </c>
      <c r="H389" s="20" t="s">
        <v>1096</v>
      </c>
      <c r="I389" t="s">
        <v>697</v>
      </c>
      <c r="J389" s="20" t="s">
        <v>8</v>
      </c>
      <c r="K389" t="s">
        <v>107</v>
      </c>
      <c r="L389" t="s">
        <v>108</v>
      </c>
      <c r="M389" s="20" t="s">
        <v>723</v>
      </c>
      <c r="N389" s="20" t="s">
        <v>108</v>
      </c>
      <c r="Q389" s="24" t="s">
        <v>680</v>
      </c>
    </row>
    <row r="390" spans="1:17" x14ac:dyDescent="0.3">
      <c r="A390" s="20">
        <f t="shared" si="6"/>
        <v>389</v>
      </c>
      <c r="B390" s="21" t="s">
        <v>87</v>
      </c>
      <c r="C390" s="21" t="s">
        <v>97</v>
      </c>
      <c r="D390" s="22" t="str">
        <f>IF($C390="","",IFERROR(VLOOKUP($C390,Map_Register!$A$2:$C$5,3,FALSE()),""))</f>
        <v>Toponym Labels</v>
      </c>
      <c r="E390" s="21" t="s">
        <v>15</v>
      </c>
      <c r="F390" s="23">
        <v>127325</v>
      </c>
      <c r="G390" s="20" t="s">
        <v>719</v>
      </c>
      <c r="H390" s="20" t="s">
        <v>1097</v>
      </c>
      <c r="I390" t="s">
        <v>697</v>
      </c>
      <c r="J390" s="20" t="s">
        <v>8</v>
      </c>
      <c r="K390" t="s">
        <v>107</v>
      </c>
      <c r="L390" t="s">
        <v>108</v>
      </c>
      <c r="M390" s="20" t="s">
        <v>723</v>
      </c>
      <c r="N390" s="20" t="s">
        <v>108</v>
      </c>
      <c r="Q390" s="24" t="s">
        <v>680</v>
      </c>
    </row>
    <row r="391" spans="1:17" hidden="1" x14ac:dyDescent="0.3">
      <c r="A391" s="20">
        <f t="shared" si="6"/>
        <v>390</v>
      </c>
      <c r="B391" s="21" t="s">
        <v>87</v>
      </c>
      <c r="C391" s="21" t="s">
        <v>97</v>
      </c>
      <c r="D391" s="22" t="str">
        <f>IF($C391="","",IFERROR(VLOOKUP($C391,Map_Register!$A$2:$C$5,3,FALSE()),""))</f>
        <v>Toponym Labels</v>
      </c>
      <c r="E391" s="21" t="s">
        <v>15</v>
      </c>
      <c r="F391" s="23">
        <v>127326</v>
      </c>
      <c r="G391" s="20" t="s">
        <v>719</v>
      </c>
      <c r="H391" s="20" t="s">
        <v>1098</v>
      </c>
      <c r="I391" t="s">
        <v>697</v>
      </c>
      <c r="J391" s="20" t="s">
        <v>6</v>
      </c>
      <c r="K391" s="20" t="s">
        <v>137</v>
      </c>
      <c r="L391" s="20" t="s">
        <v>137</v>
      </c>
      <c r="M391" s="20" t="s">
        <v>721</v>
      </c>
      <c r="Q391" s="24" t="s">
        <v>680</v>
      </c>
    </row>
    <row r="392" spans="1:17" x14ac:dyDescent="0.3">
      <c r="A392" s="20">
        <f t="shared" si="6"/>
        <v>391</v>
      </c>
      <c r="B392" s="21" t="s">
        <v>87</v>
      </c>
      <c r="C392" s="21" t="s">
        <v>97</v>
      </c>
      <c r="D392" s="22" t="str">
        <f>IF($C392="","",IFERROR(VLOOKUP($C392,Map_Register!$A$2:$C$5,3,FALSE()),""))</f>
        <v>Toponym Labels</v>
      </c>
      <c r="E392" s="21" t="s">
        <v>15</v>
      </c>
      <c r="F392" s="23">
        <v>127327</v>
      </c>
      <c r="G392" s="20" t="s">
        <v>719</v>
      </c>
      <c r="H392" s="20" t="s">
        <v>1099</v>
      </c>
      <c r="I392" t="s">
        <v>697</v>
      </c>
      <c r="J392" s="20" t="s">
        <v>8</v>
      </c>
      <c r="K392" t="s">
        <v>107</v>
      </c>
      <c r="L392" t="s">
        <v>108</v>
      </c>
      <c r="M392" s="20" t="s">
        <v>723</v>
      </c>
      <c r="N392" s="20" t="s">
        <v>108</v>
      </c>
      <c r="Q392" s="24" t="s">
        <v>680</v>
      </c>
    </row>
    <row r="393" spans="1:17" hidden="1" x14ac:dyDescent="0.3">
      <c r="A393" s="20">
        <f t="shared" si="6"/>
        <v>392</v>
      </c>
      <c r="B393" s="21" t="s">
        <v>87</v>
      </c>
      <c r="C393" s="21" t="s">
        <v>97</v>
      </c>
      <c r="D393" s="22" t="str">
        <f>IF($C393="","",IFERROR(VLOOKUP($C393,Map_Register!$A$2:$C$5,3,FALSE()),""))</f>
        <v>Toponym Labels</v>
      </c>
      <c r="E393" s="21" t="s">
        <v>15</v>
      </c>
      <c r="F393" s="23">
        <v>127633</v>
      </c>
      <c r="G393" s="20" t="s">
        <v>719</v>
      </c>
      <c r="H393" s="20" t="s">
        <v>1100</v>
      </c>
      <c r="I393" t="s">
        <v>697</v>
      </c>
      <c r="J393" s="20" t="s">
        <v>6</v>
      </c>
      <c r="K393" s="20" t="s">
        <v>137</v>
      </c>
      <c r="L393" s="20" t="s">
        <v>137</v>
      </c>
      <c r="M393" s="20" t="s">
        <v>721</v>
      </c>
      <c r="Q393" s="24" t="s">
        <v>680</v>
      </c>
    </row>
    <row r="394" spans="1:17" hidden="1" x14ac:dyDescent="0.3">
      <c r="A394" s="20">
        <f t="shared" si="6"/>
        <v>393</v>
      </c>
      <c r="B394" s="21" t="s">
        <v>87</v>
      </c>
      <c r="C394" s="21" t="s">
        <v>97</v>
      </c>
      <c r="D394" s="22" t="str">
        <f>IF($C394="","",IFERROR(VLOOKUP($C394,Map_Register!$A$2:$C$5,3,FALSE()),""))</f>
        <v>Toponym Labels</v>
      </c>
      <c r="E394" s="21" t="s">
        <v>15</v>
      </c>
      <c r="F394" s="23">
        <v>127634</v>
      </c>
      <c r="G394" s="20" t="s">
        <v>719</v>
      </c>
      <c r="H394" s="20" t="s">
        <v>1101</v>
      </c>
      <c r="I394" t="s">
        <v>697</v>
      </c>
      <c r="J394" s="20" t="s">
        <v>6</v>
      </c>
      <c r="K394" s="20" t="s">
        <v>137</v>
      </c>
      <c r="L394" s="20" t="s">
        <v>137</v>
      </c>
      <c r="M394" s="20" t="s">
        <v>721</v>
      </c>
      <c r="Q394" s="24" t="s">
        <v>680</v>
      </c>
    </row>
    <row r="395" spans="1:17" hidden="1" x14ac:dyDescent="0.3">
      <c r="A395" s="20">
        <f t="shared" si="6"/>
        <v>394</v>
      </c>
      <c r="B395" s="21" t="s">
        <v>87</v>
      </c>
      <c r="C395" s="21" t="s">
        <v>97</v>
      </c>
      <c r="D395" s="22" t="str">
        <f>IF($C395="","",IFERROR(VLOOKUP($C395,Map_Register!$A$2:$C$5,3,FALSE()),""))</f>
        <v>Toponym Labels</v>
      </c>
      <c r="E395" s="21" t="s">
        <v>15</v>
      </c>
      <c r="F395" s="23">
        <v>127635</v>
      </c>
      <c r="G395" s="20" t="s">
        <v>719</v>
      </c>
      <c r="H395" s="20" t="s">
        <v>1102</v>
      </c>
      <c r="I395" t="s">
        <v>697</v>
      </c>
      <c r="J395" s="20" t="s">
        <v>8</v>
      </c>
      <c r="K395" t="s">
        <v>107</v>
      </c>
      <c r="L395" t="s">
        <v>107</v>
      </c>
      <c r="M395" s="20" t="s">
        <v>683</v>
      </c>
      <c r="N395" s="20" t="s">
        <v>108</v>
      </c>
      <c r="Q395" s="24" t="s">
        <v>680</v>
      </c>
    </row>
    <row r="396" spans="1:17" x14ac:dyDescent="0.3">
      <c r="A396" s="20">
        <f t="shared" si="6"/>
        <v>395</v>
      </c>
      <c r="B396" s="21" t="s">
        <v>87</v>
      </c>
      <c r="C396" s="21" t="s">
        <v>97</v>
      </c>
      <c r="D396" s="22" t="str">
        <f>IF($C396="","",IFERROR(VLOOKUP($C396,Map_Register!$A$2:$C$5,3,FALSE()),""))</f>
        <v>Toponym Labels</v>
      </c>
      <c r="E396" s="21" t="s">
        <v>15</v>
      </c>
      <c r="F396" s="23">
        <v>127636</v>
      </c>
      <c r="G396" s="20" t="s">
        <v>719</v>
      </c>
      <c r="H396" s="20" t="s">
        <v>1103</v>
      </c>
      <c r="I396" t="s">
        <v>697</v>
      </c>
      <c r="J396" s="20" t="s">
        <v>8</v>
      </c>
      <c r="K396" t="s">
        <v>107</v>
      </c>
      <c r="L396" t="s">
        <v>108</v>
      </c>
      <c r="M396" s="20" t="s">
        <v>723</v>
      </c>
      <c r="N396" s="20" t="s">
        <v>108</v>
      </c>
      <c r="Q396" s="24" t="s">
        <v>680</v>
      </c>
    </row>
    <row r="397" spans="1:17" hidden="1" x14ac:dyDescent="0.3">
      <c r="A397" s="20">
        <f t="shared" si="6"/>
        <v>396</v>
      </c>
      <c r="B397" s="21" t="s">
        <v>87</v>
      </c>
      <c r="C397" s="21" t="s">
        <v>97</v>
      </c>
      <c r="D397" s="22" t="str">
        <f>IF($C397="","",IFERROR(VLOOKUP($C397,Map_Register!$A$2:$C$5,3,FALSE()),""))</f>
        <v>Toponym Labels</v>
      </c>
      <c r="E397" s="21" t="s">
        <v>15</v>
      </c>
      <c r="F397" s="23">
        <v>127645</v>
      </c>
      <c r="G397" s="20" t="s">
        <v>719</v>
      </c>
      <c r="H397" s="20" t="s">
        <v>1104</v>
      </c>
      <c r="I397" t="s">
        <v>697</v>
      </c>
      <c r="J397" s="20" t="s">
        <v>6</v>
      </c>
      <c r="K397" s="20" t="s">
        <v>137</v>
      </c>
      <c r="L397" s="20" t="s">
        <v>137</v>
      </c>
      <c r="M397" s="20" t="s">
        <v>721</v>
      </c>
      <c r="Q397" s="24" t="s">
        <v>680</v>
      </c>
    </row>
    <row r="398" spans="1:17" x14ac:dyDescent="0.3">
      <c r="A398" s="20">
        <f t="shared" si="6"/>
        <v>397</v>
      </c>
      <c r="B398" s="21" t="s">
        <v>87</v>
      </c>
      <c r="C398" s="21" t="s">
        <v>97</v>
      </c>
      <c r="D398" s="22" t="str">
        <f>IF($C398="","",IFERROR(VLOOKUP($C398,Map_Register!$A$2:$C$5,3,FALSE()),""))</f>
        <v>Toponym Labels</v>
      </c>
      <c r="E398" s="21" t="s">
        <v>15</v>
      </c>
      <c r="F398" s="23">
        <v>127646</v>
      </c>
      <c r="G398" s="20" t="s">
        <v>719</v>
      </c>
      <c r="H398" s="20" t="s">
        <v>1105</v>
      </c>
      <c r="I398" t="s">
        <v>697</v>
      </c>
      <c r="J398" s="20" t="s">
        <v>8</v>
      </c>
      <c r="K398" t="s">
        <v>107</v>
      </c>
      <c r="L398" t="s">
        <v>108</v>
      </c>
      <c r="M398" s="20" t="s">
        <v>723</v>
      </c>
      <c r="N398" s="20" t="s">
        <v>108</v>
      </c>
      <c r="Q398" s="24" t="s">
        <v>680</v>
      </c>
    </row>
    <row r="399" spans="1:17" hidden="1" x14ac:dyDescent="0.3">
      <c r="A399" s="20">
        <f t="shared" si="6"/>
        <v>398</v>
      </c>
      <c r="B399" s="21" t="s">
        <v>87</v>
      </c>
      <c r="C399" s="21" t="s">
        <v>97</v>
      </c>
      <c r="D399" s="22" t="str">
        <f>IF($C399="","",IFERROR(VLOOKUP($C399,Map_Register!$A$2:$C$5,3,FALSE()),""))</f>
        <v>Toponym Labels</v>
      </c>
      <c r="E399" s="21" t="s">
        <v>15</v>
      </c>
      <c r="F399" s="23">
        <v>128466</v>
      </c>
      <c r="G399" s="20" t="s">
        <v>719</v>
      </c>
      <c r="H399" s="20" t="s">
        <v>1106</v>
      </c>
      <c r="I399" t="s">
        <v>697</v>
      </c>
      <c r="J399" s="20" t="s">
        <v>8</v>
      </c>
      <c r="K399" t="s">
        <v>107</v>
      </c>
      <c r="L399" t="s">
        <v>107</v>
      </c>
      <c r="M399" s="20" t="s">
        <v>1107</v>
      </c>
      <c r="N399" s="20" t="s">
        <v>108</v>
      </c>
      <c r="Q399" s="24" t="s">
        <v>680</v>
      </c>
    </row>
    <row r="400" spans="1:17" hidden="1" x14ac:dyDescent="0.3">
      <c r="A400" s="20">
        <f t="shared" si="6"/>
        <v>399</v>
      </c>
      <c r="B400" s="21" t="s">
        <v>87</v>
      </c>
      <c r="C400" s="21" t="s">
        <v>97</v>
      </c>
      <c r="D400" s="22" t="str">
        <f>IF($C400="","",IFERROR(VLOOKUP($C400,Map_Register!$A$2:$C$5,3,FALSE()),""))</f>
        <v>Toponym Labels</v>
      </c>
      <c r="E400" s="21" t="s">
        <v>15</v>
      </c>
      <c r="F400" s="23">
        <v>128467</v>
      </c>
      <c r="G400" s="20" t="s">
        <v>719</v>
      </c>
      <c r="H400" s="20" t="s">
        <v>1108</v>
      </c>
      <c r="I400" t="s">
        <v>697</v>
      </c>
      <c r="J400" s="20" t="s">
        <v>6</v>
      </c>
      <c r="K400" s="20" t="s">
        <v>137</v>
      </c>
      <c r="L400" s="20" t="s">
        <v>137</v>
      </c>
      <c r="M400" s="20" t="s">
        <v>721</v>
      </c>
      <c r="Q400" s="24" t="s">
        <v>680</v>
      </c>
    </row>
    <row r="401" spans="1:17" x14ac:dyDescent="0.3">
      <c r="A401" s="20">
        <f t="shared" si="6"/>
        <v>400</v>
      </c>
      <c r="B401" s="21" t="s">
        <v>87</v>
      </c>
      <c r="C401" s="21" t="s">
        <v>97</v>
      </c>
      <c r="D401" s="22" t="str">
        <f>IF($C401="","",IFERROR(VLOOKUP($C401,Map_Register!$A$2:$C$5,3,FALSE()),""))</f>
        <v>Toponym Labels</v>
      </c>
      <c r="E401" s="21" t="s">
        <v>15</v>
      </c>
      <c r="F401" s="23">
        <v>128468</v>
      </c>
      <c r="G401" s="20" t="s">
        <v>719</v>
      </c>
      <c r="H401" s="20" t="s">
        <v>1109</v>
      </c>
      <c r="I401" t="s">
        <v>697</v>
      </c>
      <c r="J401" s="20" t="s">
        <v>8</v>
      </c>
      <c r="K401" t="s">
        <v>107</v>
      </c>
      <c r="L401" t="s">
        <v>108</v>
      </c>
      <c r="M401" s="20" t="s">
        <v>723</v>
      </c>
      <c r="N401" s="20" t="s">
        <v>108</v>
      </c>
      <c r="Q401" s="24" t="s">
        <v>680</v>
      </c>
    </row>
    <row r="402" spans="1:17" hidden="1" x14ac:dyDescent="0.3">
      <c r="A402" s="20">
        <f t="shared" si="6"/>
        <v>401</v>
      </c>
      <c r="B402" s="21" t="s">
        <v>87</v>
      </c>
      <c r="C402" s="21" t="s">
        <v>97</v>
      </c>
      <c r="D402" s="22" t="str">
        <f>IF($C402="","",IFERROR(VLOOKUP($C402,Map_Register!$A$2:$C$5,3,FALSE()),""))</f>
        <v>Toponym Labels</v>
      </c>
      <c r="E402" s="21" t="s">
        <v>15</v>
      </c>
      <c r="F402" s="23">
        <v>128877</v>
      </c>
      <c r="G402" s="20" t="s">
        <v>719</v>
      </c>
      <c r="H402" s="20" t="s">
        <v>1110</v>
      </c>
      <c r="I402" t="s">
        <v>697</v>
      </c>
      <c r="J402" s="20" t="s">
        <v>8</v>
      </c>
      <c r="K402" t="s">
        <v>107</v>
      </c>
      <c r="L402" t="s">
        <v>107</v>
      </c>
      <c r="M402" s="20" t="s">
        <v>683</v>
      </c>
      <c r="N402" s="20" t="s">
        <v>108</v>
      </c>
      <c r="Q402" s="24" t="s">
        <v>680</v>
      </c>
    </row>
    <row r="403" spans="1:17" x14ac:dyDescent="0.3">
      <c r="A403" s="20">
        <f t="shared" si="6"/>
        <v>402</v>
      </c>
      <c r="B403" s="21" t="s">
        <v>87</v>
      </c>
      <c r="C403" s="21" t="s">
        <v>97</v>
      </c>
      <c r="D403" s="22" t="str">
        <f>IF($C403="","",IFERROR(VLOOKUP($C403,Map_Register!$A$2:$C$5,3,FALSE()),""))</f>
        <v>Toponym Labels</v>
      </c>
      <c r="E403" s="21" t="s">
        <v>15</v>
      </c>
      <c r="F403" s="23">
        <v>128887</v>
      </c>
      <c r="G403" s="20" t="s">
        <v>719</v>
      </c>
      <c r="H403" s="20" t="s">
        <v>1111</v>
      </c>
      <c r="I403" t="s">
        <v>697</v>
      </c>
      <c r="J403" s="20" t="s">
        <v>8</v>
      </c>
      <c r="K403" t="s">
        <v>107</v>
      </c>
      <c r="L403" t="s">
        <v>108</v>
      </c>
      <c r="M403" s="20" t="s">
        <v>723</v>
      </c>
      <c r="N403" s="20" t="s">
        <v>108</v>
      </c>
      <c r="Q403" s="24" t="s">
        <v>680</v>
      </c>
    </row>
    <row r="404" spans="1:17" hidden="1" x14ac:dyDescent="0.3">
      <c r="A404" s="20">
        <f t="shared" si="6"/>
        <v>403</v>
      </c>
      <c r="B404" s="21" t="s">
        <v>87</v>
      </c>
      <c r="C404" s="21" t="s">
        <v>97</v>
      </c>
      <c r="D404" s="22" t="str">
        <f>IF($C404="","",IFERROR(VLOOKUP($C404,Map_Register!$A$2:$C$5,3,FALSE()),""))</f>
        <v>Toponym Labels</v>
      </c>
      <c r="E404" s="21" t="s">
        <v>15</v>
      </c>
      <c r="F404" s="23">
        <v>128888</v>
      </c>
      <c r="G404" s="20" t="s">
        <v>719</v>
      </c>
      <c r="H404" s="20" t="s">
        <v>1112</v>
      </c>
      <c r="I404" t="s">
        <v>697</v>
      </c>
      <c r="J404" s="20" t="s">
        <v>6</v>
      </c>
      <c r="K404" s="20" t="s">
        <v>137</v>
      </c>
      <c r="L404" s="20" t="s">
        <v>137</v>
      </c>
      <c r="M404" s="20" t="s">
        <v>721</v>
      </c>
      <c r="Q404" s="24" t="s">
        <v>680</v>
      </c>
    </row>
    <row r="405" spans="1:17" hidden="1" x14ac:dyDescent="0.3">
      <c r="A405" s="20">
        <f t="shared" si="6"/>
        <v>404</v>
      </c>
      <c r="B405" s="21" t="s">
        <v>87</v>
      </c>
      <c r="C405" s="21" t="s">
        <v>97</v>
      </c>
      <c r="D405" s="22" t="str">
        <f>IF($C405="","",IFERROR(VLOOKUP($C405,Map_Register!$A$2:$C$5,3,FALSE()),""))</f>
        <v>Toponym Labels</v>
      </c>
      <c r="E405" s="21" t="s">
        <v>15</v>
      </c>
      <c r="F405" s="23">
        <v>128890</v>
      </c>
      <c r="G405" s="20" t="s">
        <v>719</v>
      </c>
      <c r="H405" s="20" t="s">
        <v>1113</v>
      </c>
      <c r="I405" t="s">
        <v>697</v>
      </c>
      <c r="J405" s="20" t="s">
        <v>6</v>
      </c>
      <c r="K405" s="20" t="s">
        <v>137</v>
      </c>
      <c r="L405" s="20" t="s">
        <v>137</v>
      </c>
      <c r="M405" s="20" t="s">
        <v>721</v>
      </c>
      <c r="Q405" s="24" t="s">
        <v>680</v>
      </c>
    </row>
    <row r="406" spans="1:17" hidden="1" x14ac:dyDescent="0.3">
      <c r="A406" s="20">
        <f t="shared" si="6"/>
        <v>405</v>
      </c>
      <c r="B406" s="21" t="s">
        <v>87</v>
      </c>
      <c r="C406" s="21" t="s">
        <v>97</v>
      </c>
      <c r="D406" s="22" t="str">
        <f>IF($C406="","",IFERROR(VLOOKUP($C406,Map_Register!$A$2:$C$5,3,FALSE()),""))</f>
        <v>Toponym Labels</v>
      </c>
      <c r="E406" s="21" t="s">
        <v>15</v>
      </c>
      <c r="F406" s="23">
        <v>128891</v>
      </c>
      <c r="G406" s="20" t="s">
        <v>719</v>
      </c>
      <c r="H406" s="20" t="s">
        <v>1114</v>
      </c>
      <c r="I406" t="s">
        <v>697</v>
      </c>
      <c r="J406" s="20" t="s">
        <v>6</v>
      </c>
      <c r="K406" s="20" t="s">
        <v>137</v>
      </c>
      <c r="L406" s="20" t="s">
        <v>137</v>
      </c>
      <c r="M406" s="20" t="s">
        <v>721</v>
      </c>
      <c r="Q406" s="24" t="s">
        <v>680</v>
      </c>
    </row>
    <row r="407" spans="1:17" hidden="1" x14ac:dyDescent="0.3">
      <c r="A407" s="20">
        <f t="shared" si="6"/>
        <v>406</v>
      </c>
      <c r="B407" s="21" t="s">
        <v>87</v>
      </c>
      <c r="C407" s="21" t="s">
        <v>97</v>
      </c>
      <c r="D407" s="22" t="str">
        <f>IF($C407="","",IFERROR(VLOOKUP($C407,Map_Register!$A$2:$C$5,3,FALSE()),""))</f>
        <v>Toponym Labels</v>
      </c>
      <c r="E407" s="21" t="s">
        <v>15</v>
      </c>
      <c r="F407" s="23">
        <v>128892</v>
      </c>
      <c r="G407" s="20" t="s">
        <v>719</v>
      </c>
      <c r="H407" s="20" t="s">
        <v>1115</v>
      </c>
      <c r="I407" t="s">
        <v>697</v>
      </c>
      <c r="J407" s="20" t="s">
        <v>6</v>
      </c>
      <c r="K407" s="20" t="s">
        <v>137</v>
      </c>
      <c r="L407" s="20" t="s">
        <v>137</v>
      </c>
      <c r="M407" s="20" t="s">
        <v>721</v>
      </c>
      <c r="Q407" s="24" t="s">
        <v>680</v>
      </c>
    </row>
    <row r="408" spans="1:17" hidden="1" x14ac:dyDescent="0.3">
      <c r="A408" s="20">
        <f t="shared" si="6"/>
        <v>407</v>
      </c>
      <c r="B408" s="21" t="s">
        <v>87</v>
      </c>
      <c r="C408" s="21" t="s">
        <v>97</v>
      </c>
      <c r="D408" s="22" t="str">
        <f>IF($C408="","",IFERROR(VLOOKUP($C408,Map_Register!$A$2:$C$5,3,FALSE()),""))</f>
        <v>Toponym Labels</v>
      </c>
      <c r="E408" s="21" t="s">
        <v>15</v>
      </c>
      <c r="F408" s="23">
        <v>129748</v>
      </c>
      <c r="G408" s="20" t="s">
        <v>719</v>
      </c>
      <c r="H408" s="20" t="s">
        <v>1116</v>
      </c>
      <c r="I408" t="s">
        <v>697</v>
      </c>
      <c r="J408" s="20" t="s">
        <v>6</v>
      </c>
      <c r="K408" s="20" t="s">
        <v>137</v>
      </c>
      <c r="L408" s="20" t="s">
        <v>137</v>
      </c>
      <c r="M408" s="20" t="s">
        <v>721</v>
      </c>
      <c r="Q408" s="24" t="s">
        <v>680</v>
      </c>
    </row>
    <row r="409" spans="1:17" hidden="1" x14ac:dyDescent="0.3">
      <c r="A409" s="20">
        <f t="shared" si="6"/>
        <v>408</v>
      </c>
      <c r="B409" s="21" t="s">
        <v>87</v>
      </c>
      <c r="C409" s="21" t="s">
        <v>97</v>
      </c>
      <c r="D409" s="22" t="str">
        <f>IF($C409="","",IFERROR(VLOOKUP($C409,Map_Register!$A$2:$C$5,3,FALSE()),""))</f>
        <v>Toponym Labels</v>
      </c>
      <c r="E409" s="21" t="s">
        <v>15</v>
      </c>
      <c r="F409" s="23">
        <v>129981</v>
      </c>
      <c r="G409" s="20" t="s">
        <v>719</v>
      </c>
      <c r="H409" s="20" t="s">
        <v>1117</v>
      </c>
      <c r="I409" t="s">
        <v>697</v>
      </c>
      <c r="J409" s="20" t="s">
        <v>992</v>
      </c>
      <c r="K409" s="20" t="s">
        <v>137</v>
      </c>
      <c r="L409" s="20" t="s">
        <v>137</v>
      </c>
      <c r="M409" s="20" t="s">
        <v>721</v>
      </c>
      <c r="Q409" s="24" t="s">
        <v>680</v>
      </c>
    </row>
    <row r="410" spans="1:17" hidden="1" x14ac:dyDescent="0.3">
      <c r="A410" s="20">
        <f t="shared" si="6"/>
        <v>409</v>
      </c>
      <c r="B410" s="21" t="s">
        <v>87</v>
      </c>
      <c r="C410" s="21" t="s">
        <v>97</v>
      </c>
      <c r="D410" s="22" t="str">
        <f>IF($C410="","",IFERROR(VLOOKUP($C410,Map_Register!$A$2:$C$5,3,FALSE()),""))</f>
        <v>Toponym Labels</v>
      </c>
      <c r="E410" s="21" t="s">
        <v>15</v>
      </c>
      <c r="F410" s="23">
        <v>129982</v>
      </c>
      <c r="G410" s="20" t="s">
        <v>719</v>
      </c>
      <c r="H410" s="20" t="s">
        <v>1118</v>
      </c>
      <c r="I410" t="s">
        <v>697</v>
      </c>
      <c r="J410" s="20" t="s">
        <v>8</v>
      </c>
      <c r="K410" t="s">
        <v>107</v>
      </c>
      <c r="L410" t="s">
        <v>107</v>
      </c>
      <c r="M410" s="20" t="s">
        <v>683</v>
      </c>
      <c r="N410" s="20" t="s">
        <v>108</v>
      </c>
      <c r="Q410" s="24" t="s">
        <v>680</v>
      </c>
    </row>
    <row r="411" spans="1:17" hidden="1" x14ac:dyDescent="0.3">
      <c r="A411" s="20">
        <f t="shared" si="6"/>
        <v>410</v>
      </c>
      <c r="B411" s="21" t="s">
        <v>87</v>
      </c>
      <c r="C411" s="21" t="s">
        <v>97</v>
      </c>
      <c r="D411" s="22" t="str">
        <f>IF($C411="","",IFERROR(VLOOKUP($C411,Map_Register!$A$2:$C$5,3,FALSE()),""))</f>
        <v>Toponym Labels</v>
      </c>
      <c r="E411" s="21" t="s">
        <v>15</v>
      </c>
      <c r="F411" s="23">
        <v>129983</v>
      </c>
      <c r="G411" s="20" t="s">
        <v>719</v>
      </c>
      <c r="H411" s="20" t="s">
        <v>1119</v>
      </c>
      <c r="I411" t="s">
        <v>697</v>
      </c>
      <c r="J411" s="20" t="s">
        <v>8</v>
      </c>
      <c r="K411" t="s">
        <v>107</v>
      </c>
      <c r="L411" t="s">
        <v>107</v>
      </c>
      <c r="M411" s="20" t="s">
        <v>683</v>
      </c>
      <c r="N411" s="20" t="s">
        <v>108</v>
      </c>
      <c r="Q411" s="24" t="s">
        <v>680</v>
      </c>
    </row>
    <row r="412" spans="1:17" hidden="1" x14ac:dyDescent="0.3">
      <c r="A412" s="20">
        <f t="shared" si="6"/>
        <v>411</v>
      </c>
      <c r="B412" s="21" t="s">
        <v>87</v>
      </c>
      <c r="C412" s="21" t="s">
        <v>97</v>
      </c>
      <c r="D412" s="22" t="str">
        <f>IF($C412="","",IFERROR(VLOOKUP($C412,Map_Register!$A$2:$C$5,3,FALSE()),""))</f>
        <v>Toponym Labels</v>
      </c>
      <c r="E412" s="21" t="s">
        <v>15</v>
      </c>
      <c r="F412" s="23">
        <v>130164</v>
      </c>
      <c r="G412" s="20" t="s">
        <v>719</v>
      </c>
      <c r="H412" s="20" t="s">
        <v>1120</v>
      </c>
      <c r="I412" t="s">
        <v>697</v>
      </c>
      <c r="J412" s="20" t="s">
        <v>6</v>
      </c>
      <c r="K412" s="20" t="s">
        <v>137</v>
      </c>
      <c r="L412" s="20" t="s">
        <v>137</v>
      </c>
      <c r="M412" s="20" t="s">
        <v>721</v>
      </c>
      <c r="Q412" s="24" t="s">
        <v>680</v>
      </c>
    </row>
    <row r="413" spans="1:17" hidden="1" x14ac:dyDescent="0.3">
      <c r="A413" s="20">
        <f t="shared" si="6"/>
        <v>412</v>
      </c>
      <c r="B413" s="21" t="s">
        <v>87</v>
      </c>
      <c r="C413" s="21" t="s">
        <v>97</v>
      </c>
      <c r="D413" s="22" t="str">
        <f>IF($C413="","",IFERROR(VLOOKUP($C413,Map_Register!$A$2:$C$5,3,FALSE()),""))</f>
        <v>Toponym Labels</v>
      </c>
      <c r="E413" s="21" t="s">
        <v>15</v>
      </c>
      <c r="F413" s="23">
        <v>130200</v>
      </c>
      <c r="G413" s="20" t="s">
        <v>719</v>
      </c>
      <c r="H413" s="20" t="s">
        <v>1121</v>
      </c>
      <c r="I413" t="s">
        <v>697</v>
      </c>
      <c r="J413" s="20" t="s">
        <v>992</v>
      </c>
      <c r="K413" s="20" t="s">
        <v>137</v>
      </c>
      <c r="L413" s="20" t="s">
        <v>137</v>
      </c>
      <c r="M413" s="20" t="s">
        <v>721</v>
      </c>
      <c r="Q413" s="24" t="s">
        <v>680</v>
      </c>
    </row>
    <row r="414" spans="1:17" x14ac:dyDescent="0.3">
      <c r="A414" s="20">
        <f t="shared" si="6"/>
        <v>413</v>
      </c>
      <c r="B414" s="21" t="s">
        <v>87</v>
      </c>
      <c r="C414" s="21" t="s">
        <v>97</v>
      </c>
      <c r="D414" s="22" t="str">
        <f>IF($C414="","",IFERROR(VLOOKUP($C414,Map_Register!$A$2:$C$5,3,FALSE()),""))</f>
        <v>Toponym Labels</v>
      </c>
      <c r="E414" s="21" t="s">
        <v>15</v>
      </c>
      <c r="F414" s="23">
        <v>130646</v>
      </c>
      <c r="G414" s="20" t="s">
        <v>719</v>
      </c>
      <c r="H414" s="20" t="s">
        <v>1122</v>
      </c>
      <c r="I414" t="s">
        <v>697</v>
      </c>
      <c r="J414" s="20" t="s">
        <v>8</v>
      </c>
      <c r="K414" t="s">
        <v>107</v>
      </c>
      <c r="L414" t="s">
        <v>108</v>
      </c>
      <c r="M414" s="20" t="s">
        <v>723</v>
      </c>
      <c r="N414" s="20" t="s">
        <v>108</v>
      </c>
      <c r="Q414" s="24" t="s">
        <v>680</v>
      </c>
    </row>
    <row r="415" spans="1:17" hidden="1" x14ac:dyDescent="0.3">
      <c r="A415" s="20">
        <f t="shared" si="6"/>
        <v>414</v>
      </c>
      <c r="B415" s="21" t="s">
        <v>87</v>
      </c>
      <c r="C415" s="21" t="s">
        <v>97</v>
      </c>
      <c r="D415" s="22" t="str">
        <f>IF($C415="","",IFERROR(VLOOKUP($C415,Map_Register!$A$2:$C$5,3,FALSE()),""))</f>
        <v>Toponym Labels</v>
      </c>
      <c r="E415" s="21" t="s">
        <v>15</v>
      </c>
      <c r="F415" s="23">
        <v>131341</v>
      </c>
      <c r="G415" s="20" t="s">
        <v>719</v>
      </c>
      <c r="H415" s="20" t="s">
        <v>1123</v>
      </c>
      <c r="I415" t="s">
        <v>697</v>
      </c>
      <c r="J415" s="20" t="s">
        <v>992</v>
      </c>
      <c r="K415" s="20" t="s">
        <v>137</v>
      </c>
      <c r="L415" s="20" t="s">
        <v>137</v>
      </c>
      <c r="M415" s="20" t="s">
        <v>6</v>
      </c>
      <c r="Q415" s="24" t="s">
        <v>680</v>
      </c>
    </row>
    <row r="416" spans="1:17" x14ac:dyDescent="0.3">
      <c r="A416" s="20">
        <f t="shared" si="6"/>
        <v>415</v>
      </c>
      <c r="B416" s="21" t="s">
        <v>87</v>
      </c>
      <c r="C416" s="21" t="s">
        <v>97</v>
      </c>
      <c r="D416" s="22" t="str">
        <f>IF($C416="","",IFERROR(VLOOKUP($C416,Map_Register!$A$2:$C$5,3,FALSE()),""))</f>
        <v>Toponym Labels</v>
      </c>
      <c r="E416" s="21" t="s">
        <v>15</v>
      </c>
      <c r="F416" s="23">
        <v>132419</v>
      </c>
      <c r="G416" s="20" t="s">
        <v>719</v>
      </c>
      <c r="H416" s="20" t="s">
        <v>1124</v>
      </c>
      <c r="I416" t="s">
        <v>697</v>
      </c>
      <c r="J416" s="20" t="s">
        <v>8</v>
      </c>
      <c r="K416" t="s">
        <v>107</v>
      </c>
      <c r="L416" t="s">
        <v>108</v>
      </c>
      <c r="M416" s="20" t="s">
        <v>723</v>
      </c>
      <c r="N416" s="20" t="s">
        <v>108</v>
      </c>
      <c r="Q416" s="24" t="s">
        <v>680</v>
      </c>
    </row>
    <row r="417" spans="1:17" x14ac:dyDescent="0.3">
      <c r="A417" s="20">
        <f t="shared" si="6"/>
        <v>416</v>
      </c>
      <c r="B417" s="21" t="s">
        <v>87</v>
      </c>
      <c r="C417" s="21" t="s">
        <v>97</v>
      </c>
      <c r="D417" s="22" t="str">
        <f>IF($C417="","",IFERROR(VLOOKUP($C417,Map_Register!$A$2:$C$5,3,FALSE()),""))</f>
        <v>Toponym Labels</v>
      </c>
      <c r="E417" s="21" t="s">
        <v>15</v>
      </c>
      <c r="F417" s="23">
        <v>132420</v>
      </c>
      <c r="G417" s="20" t="s">
        <v>719</v>
      </c>
      <c r="H417" s="20" t="s">
        <v>1125</v>
      </c>
      <c r="I417" t="s">
        <v>697</v>
      </c>
      <c r="J417" s="20" t="s">
        <v>8</v>
      </c>
      <c r="K417" t="s">
        <v>107</v>
      </c>
      <c r="L417" t="s">
        <v>108</v>
      </c>
      <c r="M417" s="20" t="s">
        <v>1126</v>
      </c>
      <c r="N417" s="20" t="s">
        <v>108</v>
      </c>
      <c r="Q417" s="24" t="s">
        <v>680</v>
      </c>
    </row>
    <row r="418" spans="1:17" hidden="1" x14ac:dyDescent="0.3">
      <c r="A418" s="20">
        <f t="shared" si="6"/>
        <v>417</v>
      </c>
      <c r="B418" s="21" t="s">
        <v>87</v>
      </c>
      <c r="C418" s="21" t="s">
        <v>97</v>
      </c>
      <c r="D418" s="22" t="str">
        <f>IF($C418="","",IFERROR(VLOOKUP($C418,Map_Register!$A$2:$C$5,3,FALSE()),""))</f>
        <v>Toponym Labels</v>
      </c>
      <c r="E418" s="21" t="s">
        <v>15</v>
      </c>
      <c r="F418" s="23">
        <v>132814</v>
      </c>
      <c r="G418" s="20" t="s">
        <v>719</v>
      </c>
      <c r="H418" s="20" t="s">
        <v>1127</v>
      </c>
      <c r="I418" t="s">
        <v>697</v>
      </c>
      <c r="J418" s="20" t="s">
        <v>6</v>
      </c>
      <c r="K418" s="20" t="s">
        <v>137</v>
      </c>
      <c r="L418" s="20" t="s">
        <v>137</v>
      </c>
      <c r="M418" s="20" t="s">
        <v>721</v>
      </c>
      <c r="Q418" s="24" t="s">
        <v>680</v>
      </c>
    </row>
    <row r="419" spans="1:17" hidden="1" x14ac:dyDescent="0.3">
      <c r="A419" s="20">
        <f t="shared" si="6"/>
        <v>418</v>
      </c>
      <c r="B419" s="21" t="s">
        <v>87</v>
      </c>
      <c r="C419" s="21" t="s">
        <v>97</v>
      </c>
      <c r="D419" s="22" t="str">
        <f>IF($C419="","",IFERROR(VLOOKUP($C419,Map_Register!$A$2:$C$5,3,FALSE()),""))</f>
        <v>Toponym Labels</v>
      </c>
      <c r="E419" s="21" t="s">
        <v>15</v>
      </c>
      <c r="F419" s="23">
        <v>132815</v>
      </c>
      <c r="G419" s="20" t="s">
        <v>719</v>
      </c>
      <c r="H419" s="20" t="s">
        <v>1128</v>
      </c>
      <c r="I419" t="s">
        <v>697</v>
      </c>
      <c r="J419" s="20" t="s">
        <v>8</v>
      </c>
      <c r="K419" t="s">
        <v>107</v>
      </c>
      <c r="L419" t="s">
        <v>107</v>
      </c>
      <c r="M419" s="20" t="s">
        <v>683</v>
      </c>
      <c r="N419" s="20" t="s">
        <v>108</v>
      </c>
      <c r="Q419" s="24" t="s">
        <v>680</v>
      </c>
    </row>
    <row r="420" spans="1:17" hidden="1" x14ac:dyDescent="0.3">
      <c r="A420" s="20">
        <f t="shared" si="6"/>
        <v>419</v>
      </c>
      <c r="B420" s="21" t="s">
        <v>87</v>
      </c>
      <c r="C420" s="21" t="s">
        <v>97</v>
      </c>
      <c r="D420" s="22" t="str">
        <f>IF($C420="","",IFERROR(VLOOKUP($C420,Map_Register!$A$2:$C$5,3,FALSE()),""))</f>
        <v>Toponym Labels</v>
      </c>
      <c r="E420" s="21" t="s">
        <v>15</v>
      </c>
      <c r="F420" s="23">
        <v>132821</v>
      </c>
      <c r="G420" s="20" t="s">
        <v>719</v>
      </c>
      <c r="H420" s="20" t="s">
        <v>1129</v>
      </c>
      <c r="I420" t="s">
        <v>697</v>
      </c>
      <c r="J420" s="20" t="s">
        <v>6</v>
      </c>
      <c r="K420" s="20" t="s">
        <v>137</v>
      </c>
      <c r="L420" s="20" t="s">
        <v>137</v>
      </c>
      <c r="M420" s="20" t="s">
        <v>721</v>
      </c>
      <c r="Q420" s="24" t="s">
        <v>680</v>
      </c>
    </row>
    <row r="421" spans="1:17" hidden="1" x14ac:dyDescent="0.3">
      <c r="A421" s="20">
        <f t="shared" si="6"/>
        <v>420</v>
      </c>
      <c r="B421" s="21" t="s">
        <v>87</v>
      </c>
      <c r="C421" s="21" t="s">
        <v>97</v>
      </c>
      <c r="D421" s="22" t="str">
        <f>IF($C421="","",IFERROR(VLOOKUP($C421,Map_Register!$A$2:$C$5,3,FALSE()),""))</f>
        <v>Toponym Labels</v>
      </c>
      <c r="E421" s="21" t="s">
        <v>15</v>
      </c>
      <c r="F421" s="23">
        <v>133453</v>
      </c>
      <c r="G421" s="20" t="s">
        <v>719</v>
      </c>
      <c r="H421" s="20" t="s">
        <v>1130</v>
      </c>
      <c r="I421" t="s">
        <v>697</v>
      </c>
      <c r="J421" s="20" t="s">
        <v>6</v>
      </c>
      <c r="K421" s="20" t="s">
        <v>137</v>
      </c>
      <c r="L421" s="20" t="s">
        <v>137</v>
      </c>
      <c r="M421" s="20" t="s">
        <v>721</v>
      </c>
      <c r="Q421" s="24" t="s">
        <v>680</v>
      </c>
    </row>
    <row r="422" spans="1:17" x14ac:dyDescent="0.3">
      <c r="A422" s="20">
        <f t="shared" si="6"/>
        <v>421</v>
      </c>
      <c r="B422" s="21" t="s">
        <v>87</v>
      </c>
      <c r="C422" s="21" t="s">
        <v>97</v>
      </c>
      <c r="D422" s="22" t="str">
        <f>IF($C422="","",IFERROR(VLOOKUP($C422,Map_Register!$A$2:$C$5,3,FALSE()),""))</f>
        <v>Toponym Labels</v>
      </c>
      <c r="E422" s="21" t="s">
        <v>15</v>
      </c>
      <c r="F422" s="23">
        <v>133454</v>
      </c>
      <c r="G422" s="20" t="s">
        <v>719</v>
      </c>
      <c r="H422" s="20" t="s">
        <v>1131</v>
      </c>
      <c r="I422" t="s">
        <v>697</v>
      </c>
      <c r="J422" s="20" t="s">
        <v>8</v>
      </c>
      <c r="K422" t="s">
        <v>107</v>
      </c>
      <c r="L422" t="s">
        <v>108</v>
      </c>
      <c r="M422" s="20" t="s">
        <v>1126</v>
      </c>
      <c r="N422" s="20" t="s">
        <v>108</v>
      </c>
      <c r="Q422" s="24" t="s">
        <v>680</v>
      </c>
    </row>
    <row r="423" spans="1:17" hidden="1" x14ac:dyDescent="0.3">
      <c r="A423" s="20">
        <f t="shared" si="6"/>
        <v>422</v>
      </c>
      <c r="B423" s="21" t="s">
        <v>87</v>
      </c>
      <c r="C423" s="21" t="s">
        <v>97</v>
      </c>
      <c r="D423" s="22" t="str">
        <f>IF($C423="","",IFERROR(VLOOKUP($C423,Map_Register!$A$2:$C$5,3,FALSE()),""))</f>
        <v>Toponym Labels</v>
      </c>
      <c r="E423" s="21" t="s">
        <v>15</v>
      </c>
      <c r="F423" s="23">
        <v>133455</v>
      </c>
      <c r="G423" s="20" t="s">
        <v>719</v>
      </c>
      <c r="H423" s="20" t="s">
        <v>1132</v>
      </c>
      <c r="I423" t="s">
        <v>697</v>
      </c>
      <c r="J423" s="20" t="s">
        <v>6</v>
      </c>
      <c r="K423" s="20" t="s">
        <v>137</v>
      </c>
      <c r="L423" s="20" t="s">
        <v>137</v>
      </c>
      <c r="M423" s="20" t="s">
        <v>721</v>
      </c>
      <c r="Q423" s="24" t="s">
        <v>680</v>
      </c>
    </row>
    <row r="424" spans="1:17" x14ac:dyDescent="0.3">
      <c r="A424" s="20">
        <f t="shared" si="6"/>
        <v>423</v>
      </c>
      <c r="B424" s="21" t="s">
        <v>87</v>
      </c>
      <c r="C424" s="21" t="s">
        <v>97</v>
      </c>
      <c r="D424" s="22" t="str">
        <f>IF($C424="","",IFERROR(VLOOKUP($C424,Map_Register!$A$2:$C$5,3,FALSE()),""))</f>
        <v>Toponym Labels</v>
      </c>
      <c r="E424" s="21" t="s">
        <v>15</v>
      </c>
      <c r="F424" s="23">
        <v>135477</v>
      </c>
      <c r="G424" s="20" t="s">
        <v>719</v>
      </c>
      <c r="H424" s="20" t="s">
        <v>1133</v>
      </c>
      <c r="I424" t="s">
        <v>697</v>
      </c>
      <c r="J424" s="20" t="s">
        <v>8</v>
      </c>
      <c r="K424" t="s">
        <v>107</v>
      </c>
      <c r="L424" t="s">
        <v>108</v>
      </c>
      <c r="M424" s="20" t="s">
        <v>1126</v>
      </c>
      <c r="N424" s="20" t="s">
        <v>108</v>
      </c>
      <c r="Q424" s="24" t="s">
        <v>680</v>
      </c>
    </row>
    <row r="425" spans="1:17" hidden="1" x14ac:dyDescent="0.3">
      <c r="A425" s="20">
        <f t="shared" si="6"/>
        <v>424</v>
      </c>
      <c r="B425" s="21" t="s">
        <v>87</v>
      </c>
      <c r="C425" s="21" t="s">
        <v>97</v>
      </c>
      <c r="D425" s="22" t="str">
        <f>IF($C425="","",IFERROR(VLOOKUP($C425,Map_Register!$A$2:$C$5,3,FALSE()),""))</f>
        <v>Toponym Labels</v>
      </c>
      <c r="E425" s="21" t="s">
        <v>15</v>
      </c>
      <c r="F425" s="23">
        <v>135478</v>
      </c>
      <c r="G425" s="20" t="s">
        <v>719</v>
      </c>
      <c r="H425" s="20" t="s">
        <v>1134</v>
      </c>
      <c r="I425" t="s">
        <v>697</v>
      </c>
      <c r="J425" s="20" t="s">
        <v>8</v>
      </c>
      <c r="K425" t="s">
        <v>107</v>
      </c>
      <c r="L425" t="s">
        <v>107</v>
      </c>
      <c r="M425" s="20" t="s">
        <v>683</v>
      </c>
      <c r="N425" s="20" t="s">
        <v>108</v>
      </c>
      <c r="Q425" s="24" t="s">
        <v>680</v>
      </c>
    </row>
    <row r="426" spans="1:17" hidden="1" x14ac:dyDescent="0.3">
      <c r="A426" s="20">
        <f t="shared" si="6"/>
        <v>425</v>
      </c>
      <c r="B426" s="21" t="s">
        <v>87</v>
      </c>
      <c r="C426" s="21" t="s">
        <v>97</v>
      </c>
      <c r="D426" s="22" t="str">
        <f>IF($C426="","",IFERROR(VLOOKUP($C426,Map_Register!$A$2:$C$5,3,FALSE()),""))</f>
        <v>Toponym Labels</v>
      </c>
      <c r="E426" s="21" t="s">
        <v>15</v>
      </c>
      <c r="F426" s="23">
        <v>136111</v>
      </c>
      <c r="G426" s="20" t="s">
        <v>719</v>
      </c>
      <c r="H426" s="20" t="s">
        <v>987</v>
      </c>
      <c r="I426" t="s">
        <v>697</v>
      </c>
      <c r="J426" s="20" t="s">
        <v>6</v>
      </c>
      <c r="K426" s="20" t="s">
        <v>137</v>
      </c>
      <c r="L426" s="20" t="s">
        <v>137</v>
      </c>
      <c r="M426" s="20" t="s">
        <v>721</v>
      </c>
      <c r="Q426" s="24" t="s">
        <v>680</v>
      </c>
    </row>
    <row r="427" spans="1:17" x14ac:dyDescent="0.3">
      <c r="A427" s="20">
        <f t="shared" si="6"/>
        <v>426</v>
      </c>
      <c r="B427" s="21" t="s">
        <v>87</v>
      </c>
      <c r="C427" s="21" t="s">
        <v>97</v>
      </c>
      <c r="D427" s="22" t="str">
        <f>IF($C427="","",IFERROR(VLOOKUP($C427,Map_Register!$A$2:$C$5,3,FALSE()),""))</f>
        <v>Toponym Labels</v>
      </c>
      <c r="E427" s="21" t="s">
        <v>15</v>
      </c>
      <c r="F427" s="23">
        <v>136112</v>
      </c>
      <c r="G427" s="20" t="s">
        <v>719</v>
      </c>
      <c r="H427" s="20" t="s">
        <v>1135</v>
      </c>
      <c r="I427" t="s">
        <v>697</v>
      </c>
      <c r="J427" s="20" t="s">
        <v>8</v>
      </c>
      <c r="K427" t="s">
        <v>107</v>
      </c>
      <c r="L427" t="s">
        <v>108</v>
      </c>
      <c r="M427" s="20" t="s">
        <v>1126</v>
      </c>
      <c r="N427" s="20" t="s">
        <v>108</v>
      </c>
      <c r="Q427" s="24" t="s">
        <v>680</v>
      </c>
    </row>
    <row r="428" spans="1:17" hidden="1" x14ac:dyDescent="0.3">
      <c r="A428" s="20">
        <f t="shared" si="6"/>
        <v>427</v>
      </c>
      <c r="B428" s="21" t="s">
        <v>87</v>
      </c>
      <c r="C428" s="21" t="s">
        <v>97</v>
      </c>
      <c r="D428" s="22" t="str">
        <f>IF($C428="","",IFERROR(VLOOKUP($C428,Map_Register!$A$2:$C$5,3,FALSE()),""))</f>
        <v>Toponym Labels</v>
      </c>
      <c r="E428" s="21" t="s">
        <v>15</v>
      </c>
      <c r="F428" s="23">
        <v>136114</v>
      </c>
      <c r="G428" s="20" t="s">
        <v>719</v>
      </c>
      <c r="H428" s="20" t="s">
        <v>1136</v>
      </c>
      <c r="I428" t="s">
        <v>697</v>
      </c>
      <c r="J428" s="20" t="s">
        <v>6</v>
      </c>
      <c r="K428" s="20" t="s">
        <v>137</v>
      </c>
      <c r="L428" s="20" t="s">
        <v>137</v>
      </c>
      <c r="M428" s="20" t="s">
        <v>721</v>
      </c>
      <c r="Q428" s="24" t="s">
        <v>680</v>
      </c>
    </row>
    <row r="429" spans="1:17" x14ac:dyDescent="0.3">
      <c r="A429" s="20">
        <f t="shared" si="6"/>
        <v>428</v>
      </c>
      <c r="B429" s="21" t="s">
        <v>87</v>
      </c>
      <c r="C429" s="21" t="s">
        <v>97</v>
      </c>
      <c r="D429" s="22" t="str">
        <f>IF($C429="","",IFERROR(VLOOKUP($C429,Map_Register!$A$2:$C$5,3,FALSE()),""))</f>
        <v>Toponym Labels</v>
      </c>
      <c r="E429" s="21" t="s">
        <v>15</v>
      </c>
      <c r="F429" s="23">
        <v>136117</v>
      </c>
      <c r="G429" s="20" t="s">
        <v>719</v>
      </c>
      <c r="H429" s="20" t="s">
        <v>1137</v>
      </c>
      <c r="I429" t="s">
        <v>697</v>
      </c>
      <c r="J429" s="20" t="s">
        <v>8</v>
      </c>
      <c r="K429" t="s">
        <v>107</v>
      </c>
      <c r="L429" t="s">
        <v>108</v>
      </c>
      <c r="M429" s="20" t="s">
        <v>1126</v>
      </c>
      <c r="N429" s="20" t="s">
        <v>108</v>
      </c>
      <c r="Q429" s="24" t="s">
        <v>680</v>
      </c>
    </row>
    <row r="430" spans="1:17" hidden="1" x14ac:dyDescent="0.3">
      <c r="A430" s="20">
        <f t="shared" si="6"/>
        <v>429</v>
      </c>
      <c r="B430" s="21" t="s">
        <v>87</v>
      </c>
      <c r="C430" s="21" t="s">
        <v>97</v>
      </c>
      <c r="D430" s="22" t="str">
        <f>IF($C430="","",IFERROR(VLOOKUP($C430,Map_Register!$A$2:$C$5,3,FALSE()),""))</f>
        <v>Toponym Labels</v>
      </c>
      <c r="E430" s="21" t="s">
        <v>15</v>
      </c>
      <c r="F430" s="23">
        <v>136118</v>
      </c>
      <c r="G430" s="20" t="s">
        <v>719</v>
      </c>
      <c r="H430" s="20" t="s">
        <v>1138</v>
      </c>
      <c r="I430" t="s">
        <v>697</v>
      </c>
      <c r="J430" s="20" t="s">
        <v>6</v>
      </c>
      <c r="K430" s="20" t="s">
        <v>137</v>
      </c>
      <c r="L430" s="20" t="s">
        <v>137</v>
      </c>
      <c r="M430" s="20" t="s">
        <v>721</v>
      </c>
      <c r="Q430" s="24" t="s">
        <v>680</v>
      </c>
    </row>
    <row r="431" spans="1:17" hidden="1" x14ac:dyDescent="0.3">
      <c r="A431" s="20">
        <f t="shared" si="6"/>
        <v>430</v>
      </c>
      <c r="B431" s="21" t="s">
        <v>87</v>
      </c>
      <c r="C431" s="21" t="s">
        <v>97</v>
      </c>
      <c r="D431" s="22" t="str">
        <f>IF($C431="","",IFERROR(VLOOKUP($C431,Map_Register!$A$2:$C$5,3,FALSE()),""))</f>
        <v>Toponym Labels</v>
      </c>
      <c r="E431" s="21" t="s">
        <v>15</v>
      </c>
      <c r="F431" s="23">
        <v>136427</v>
      </c>
      <c r="G431" s="20" t="s">
        <v>719</v>
      </c>
      <c r="H431" s="20" t="s">
        <v>1139</v>
      </c>
      <c r="I431" t="s">
        <v>697</v>
      </c>
      <c r="J431" s="20" t="s">
        <v>6</v>
      </c>
      <c r="K431" s="20" t="s">
        <v>137</v>
      </c>
      <c r="L431" s="20" t="s">
        <v>137</v>
      </c>
      <c r="M431" s="20" t="s">
        <v>721</v>
      </c>
      <c r="Q431" s="24" t="s">
        <v>680</v>
      </c>
    </row>
    <row r="432" spans="1:17" hidden="1" x14ac:dyDescent="0.3">
      <c r="A432" s="20">
        <f t="shared" si="6"/>
        <v>431</v>
      </c>
      <c r="B432" s="21" t="s">
        <v>87</v>
      </c>
      <c r="C432" s="21" t="s">
        <v>97</v>
      </c>
      <c r="D432" s="22" t="str">
        <f>IF($C432="","",IFERROR(VLOOKUP($C432,Map_Register!$A$2:$C$5,3,FALSE()),""))</f>
        <v>Toponym Labels</v>
      </c>
      <c r="E432" s="21" t="s">
        <v>15</v>
      </c>
      <c r="F432" s="23">
        <v>136428</v>
      </c>
      <c r="G432" s="20" t="s">
        <v>719</v>
      </c>
      <c r="H432" s="20" t="s">
        <v>1140</v>
      </c>
      <c r="I432" t="s">
        <v>697</v>
      </c>
      <c r="J432" s="20" t="s">
        <v>6</v>
      </c>
      <c r="K432" s="20" t="s">
        <v>137</v>
      </c>
      <c r="L432" s="20" t="s">
        <v>137</v>
      </c>
      <c r="M432" s="20" t="s">
        <v>721</v>
      </c>
      <c r="Q432" s="24" t="s">
        <v>680</v>
      </c>
    </row>
    <row r="433" spans="1:17" x14ac:dyDescent="0.3">
      <c r="A433" s="20">
        <f t="shared" si="6"/>
        <v>432</v>
      </c>
      <c r="B433" s="21" t="s">
        <v>87</v>
      </c>
      <c r="C433" s="21" t="s">
        <v>97</v>
      </c>
      <c r="D433" s="22" t="str">
        <f>IF($C433="","",IFERROR(VLOOKUP($C433,Map_Register!$A$2:$C$5,3,FALSE()),""))</f>
        <v>Toponym Labels</v>
      </c>
      <c r="E433" s="21" t="s">
        <v>15</v>
      </c>
      <c r="F433" s="23">
        <v>136429</v>
      </c>
      <c r="G433" s="20" t="s">
        <v>719</v>
      </c>
      <c r="H433" s="20" t="s">
        <v>1141</v>
      </c>
      <c r="I433" t="s">
        <v>697</v>
      </c>
      <c r="J433" s="20" t="s">
        <v>8</v>
      </c>
      <c r="K433" t="s">
        <v>107</v>
      </c>
      <c r="L433" t="s">
        <v>108</v>
      </c>
      <c r="M433" s="20" t="s">
        <v>1126</v>
      </c>
      <c r="N433" s="20" t="s">
        <v>108</v>
      </c>
      <c r="Q433" s="24" t="s">
        <v>680</v>
      </c>
    </row>
    <row r="434" spans="1:17" hidden="1" x14ac:dyDescent="0.3">
      <c r="A434" s="20">
        <f t="shared" si="6"/>
        <v>433</v>
      </c>
      <c r="B434" s="21" t="s">
        <v>87</v>
      </c>
      <c r="C434" s="21" t="s">
        <v>97</v>
      </c>
      <c r="D434" s="22" t="str">
        <f>IF($C434="","",IFERROR(VLOOKUP($C434,Map_Register!$A$2:$C$5,3,FALSE()),""))</f>
        <v>Toponym Labels</v>
      </c>
      <c r="E434" s="21" t="s">
        <v>15</v>
      </c>
      <c r="F434" s="23">
        <v>136842</v>
      </c>
      <c r="G434" s="20" t="s">
        <v>719</v>
      </c>
      <c r="H434" s="20" t="s">
        <v>1142</v>
      </c>
      <c r="I434" t="s">
        <v>697</v>
      </c>
      <c r="J434" s="20" t="s">
        <v>6</v>
      </c>
      <c r="K434" s="20" t="s">
        <v>137</v>
      </c>
      <c r="L434" s="20" t="s">
        <v>137</v>
      </c>
      <c r="M434" s="20" t="s">
        <v>721</v>
      </c>
      <c r="Q434" s="24" t="s">
        <v>680</v>
      </c>
    </row>
    <row r="435" spans="1:17" hidden="1" x14ac:dyDescent="0.3">
      <c r="A435" s="20">
        <f t="shared" si="6"/>
        <v>434</v>
      </c>
      <c r="B435" s="21" t="s">
        <v>87</v>
      </c>
      <c r="C435" s="21" t="s">
        <v>97</v>
      </c>
      <c r="D435" s="22" t="str">
        <f>IF($C435="","",IFERROR(VLOOKUP($C435,Map_Register!$A$2:$C$5,3,FALSE()),""))</f>
        <v>Toponym Labels</v>
      </c>
      <c r="E435" s="21" t="s">
        <v>15</v>
      </c>
      <c r="F435" s="23">
        <v>136843</v>
      </c>
      <c r="G435" s="20" t="s">
        <v>719</v>
      </c>
      <c r="H435" s="20" t="s">
        <v>1143</v>
      </c>
      <c r="I435" t="s">
        <v>697</v>
      </c>
      <c r="J435" s="20" t="s">
        <v>8</v>
      </c>
      <c r="K435" t="s">
        <v>107</v>
      </c>
      <c r="L435" t="s">
        <v>107</v>
      </c>
      <c r="M435" s="20" t="s">
        <v>683</v>
      </c>
      <c r="N435" s="20" t="s">
        <v>108</v>
      </c>
      <c r="Q435" s="24" t="s">
        <v>680</v>
      </c>
    </row>
    <row r="436" spans="1:17" hidden="1" x14ac:dyDescent="0.3">
      <c r="A436" s="20">
        <f t="shared" si="6"/>
        <v>435</v>
      </c>
      <c r="B436" s="21" t="s">
        <v>87</v>
      </c>
      <c r="C436" s="21" t="s">
        <v>97</v>
      </c>
      <c r="D436" s="22" t="str">
        <f>IF($C436="","",IFERROR(VLOOKUP($C436,Map_Register!$A$2:$C$5,3,FALSE()),""))</f>
        <v>Toponym Labels</v>
      </c>
      <c r="E436" s="21" t="s">
        <v>15</v>
      </c>
      <c r="F436" s="23">
        <v>136844</v>
      </c>
      <c r="G436" s="20" t="s">
        <v>719</v>
      </c>
      <c r="H436" s="20" t="s">
        <v>1144</v>
      </c>
      <c r="I436" t="s">
        <v>697</v>
      </c>
      <c r="J436" s="20" t="s">
        <v>8</v>
      </c>
      <c r="K436" t="s">
        <v>107</v>
      </c>
      <c r="L436" t="s">
        <v>107</v>
      </c>
      <c r="M436" s="20" t="s">
        <v>1107</v>
      </c>
      <c r="N436" s="20" t="s">
        <v>108</v>
      </c>
      <c r="Q436" s="24" t="s">
        <v>680</v>
      </c>
    </row>
    <row r="437" spans="1:17" hidden="1" x14ac:dyDescent="0.3">
      <c r="A437" s="20">
        <f t="shared" si="6"/>
        <v>436</v>
      </c>
      <c r="B437" s="21" t="s">
        <v>87</v>
      </c>
      <c r="C437" s="21" t="s">
        <v>97</v>
      </c>
      <c r="D437" s="22" t="str">
        <f>IF($C437="","",IFERROR(VLOOKUP($C437,Map_Register!$A$2:$C$5,3,FALSE()),""))</f>
        <v>Toponym Labels</v>
      </c>
      <c r="E437" s="21" t="s">
        <v>15</v>
      </c>
      <c r="F437" s="23">
        <v>136845</v>
      </c>
      <c r="G437" s="20" t="s">
        <v>719</v>
      </c>
      <c r="H437" s="20" t="s">
        <v>960</v>
      </c>
      <c r="I437" t="s">
        <v>697</v>
      </c>
      <c r="J437" s="20" t="s">
        <v>8</v>
      </c>
      <c r="K437" t="s">
        <v>107</v>
      </c>
      <c r="L437" t="s">
        <v>107</v>
      </c>
      <c r="M437" s="20" t="s">
        <v>683</v>
      </c>
      <c r="N437" s="20" t="s">
        <v>108</v>
      </c>
      <c r="Q437" s="24" t="s">
        <v>680</v>
      </c>
    </row>
    <row r="438" spans="1:17" hidden="1" x14ac:dyDescent="0.3">
      <c r="A438" s="20">
        <f t="shared" si="6"/>
        <v>437</v>
      </c>
      <c r="B438" s="21" t="s">
        <v>87</v>
      </c>
      <c r="C438" s="21" t="s">
        <v>97</v>
      </c>
      <c r="D438" s="22" t="str">
        <f>IF($C438="","",IFERROR(VLOOKUP($C438,Map_Register!$A$2:$C$5,3,FALSE()),""))</f>
        <v>Toponym Labels</v>
      </c>
      <c r="E438" s="21" t="s">
        <v>15</v>
      </c>
      <c r="F438" s="23">
        <v>137266</v>
      </c>
      <c r="G438" s="20" t="s">
        <v>719</v>
      </c>
      <c r="H438" s="20" t="s">
        <v>1145</v>
      </c>
      <c r="I438" t="s">
        <v>697</v>
      </c>
      <c r="J438" s="20" t="s">
        <v>6</v>
      </c>
      <c r="K438" s="20" t="s">
        <v>137</v>
      </c>
      <c r="L438" s="20" t="s">
        <v>137</v>
      </c>
      <c r="M438" s="20" t="s">
        <v>721</v>
      </c>
      <c r="Q438" s="24" t="s">
        <v>680</v>
      </c>
    </row>
    <row r="439" spans="1:17" hidden="1" x14ac:dyDescent="0.3">
      <c r="A439" s="20">
        <f t="shared" si="6"/>
        <v>438</v>
      </c>
      <c r="B439" s="21" t="s">
        <v>87</v>
      </c>
      <c r="C439" s="21" t="s">
        <v>97</v>
      </c>
      <c r="D439" s="22" t="str">
        <f>IF($C439="","",IFERROR(VLOOKUP($C439,Map_Register!$A$2:$C$5,3,FALSE()),""))</f>
        <v>Toponym Labels</v>
      </c>
      <c r="E439" s="21" t="s">
        <v>15</v>
      </c>
      <c r="F439" s="23">
        <v>137267</v>
      </c>
      <c r="G439" s="20" t="s">
        <v>719</v>
      </c>
      <c r="H439" s="20" t="s">
        <v>1146</v>
      </c>
      <c r="I439" t="s">
        <v>697</v>
      </c>
      <c r="J439" s="20" t="s">
        <v>8</v>
      </c>
      <c r="K439" t="s">
        <v>107</v>
      </c>
      <c r="L439" t="s">
        <v>107</v>
      </c>
      <c r="M439" s="20" t="s">
        <v>683</v>
      </c>
      <c r="N439" s="20" t="s">
        <v>108</v>
      </c>
      <c r="Q439" s="24" t="s">
        <v>680</v>
      </c>
    </row>
    <row r="440" spans="1:17" hidden="1" x14ac:dyDescent="0.3">
      <c r="A440" s="20">
        <f t="shared" si="6"/>
        <v>439</v>
      </c>
      <c r="B440" s="21" t="s">
        <v>87</v>
      </c>
      <c r="C440" s="21" t="s">
        <v>97</v>
      </c>
      <c r="D440" s="22" t="str">
        <f>IF($C440="","",IFERROR(VLOOKUP($C440,Map_Register!$A$2:$C$5,3,FALSE()),""))</f>
        <v>Toponym Labels</v>
      </c>
      <c r="E440" s="21" t="s">
        <v>15</v>
      </c>
      <c r="F440" s="23">
        <v>137268</v>
      </c>
      <c r="G440" s="20" t="s">
        <v>719</v>
      </c>
      <c r="H440" s="20" t="s">
        <v>1147</v>
      </c>
      <c r="I440" t="s">
        <v>697</v>
      </c>
      <c r="J440" s="20" t="s">
        <v>6</v>
      </c>
      <c r="K440" s="20" t="s">
        <v>137</v>
      </c>
      <c r="L440" s="20" t="s">
        <v>137</v>
      </c>
      <c r="M440" s="20" t="s">
        <v>721</v>
      </c>
      <c r="Q440" s="24" t="s">
        <v>680</v>
      </c>
    </row>
    <row r="441" spans="1:17" x14ac:dyDescent="0.3">
      <c r="A441" s="20">
        <f t="shared" si="6"/>
        <v>440</v>
      </c>
      <c r="B441" s="21" t="s">
        <v>87</v>
      </c>
      <c r="C441" s="21" t="s">
        <v>97</v>
      </c>
      <c r="D441" s="22" t="str">
        <f>IF($C441="","",IFERROR(VLOOKUP($C441,Map_Register!$A$2:$C$5,3,FALSE()),""))</f>
        <v>Toponym Labels</v>
      </c>
      <c r="E441" s="21" t="s">
        <v>15</v>
      </c>
      <c r="F441" s="23">
        <v>137352</v>
      </c>
      <c r="G441" s="20" t="s">
        <v>719</v>
      </c>
      <c r="H441" s="20" t="s">
        <v>875</v>
      </c>
      <c r="I441" t="s">
        <v>697</v>
      </c>
      <c r="J441" s="20" t="s">
        <v>8</v>
      </c>
      <c r="K441" t="s">
        <v>107</v>
      </c>
      <c r="L441" t="s">
        <v>108</v>
      </c>
      <c r="M441" s="20" t="s">
        <v>1126</v>
      </c>
      <c r="N441" s="20" t="s">
        <v>108</v>
      </c>
      <c r="Q441" s="24" t="s">
        <v>680</v>
      </c>
    </row>
    <row r="442" spans="1:17" hidden="1" x14ac:dyDescent="0.3">
      <c r="A442" s="20">
        <f t="shared" si="6"/>
        <v>441</v>
      </c>
      <c r="B442" s="21" t="s">
        <v>87</v>
      </c>
      <c r="C442" s="21" t="s">
        <v>97</v>
      </c>
      <c r="D442" s="22" t="str">
        <f>IF($C442="","",IFERROR(VLOOKUP($C442,Map_Register!$A$2:$C$5,3,FALSE()),""))</f>
        <v>Toponym Labels</v>
      </c>
      <c r="E442" s="21" t="s">
        <v>15</v>
      </c>
      <c r="F442" s="23">
        <v>137353</v>
      </c>
      <c r="G442" s="20" t="s">
        <v>719</v>
      </c>
      <c r="H442" s="20" t="s">
        <v>1148</v>
      </c>
      <c r="I442" t="s">
        <v>697</v>
      </c>
      <c r="J442" s="20" t="s">
        <v>6</v>
      </c>
      <c r="K442" s="20" t="s">
        <v>137</v>
      </c>
      <c r="L442" s="20" t="s">
        <v>137</v>
      </c>
      <c r="M442" s="20" t="s">
        <v>721</v>
      </c>
      <c r="Q442" s="24" t="s">
        <v>680</v>
      </c>
    </row>
    <row r="443" spans="1:17" x14ac:dyDescent="0.3">
      <c r="A443" s="20">
        <f t="shared" si="6"/>
        <v>442</v>
      </c>
      <c r="B443" s="21" t="s">
        <v>87</v>
      </c>
      <c r="C443" s="21" t="s">
        <v>97</v>
      </c>
      <c r="D443" s="22" t="str">
        <f>IF($C443="","",IFERROR(VLOOKUP($C443,Map_Register!$A$2:$C$5,3,FALSE()),""))</f>
        <v>Toponym Labels</v>
      </c>
      <c r="E443" s="21" t="s">
        <v>15</v>
      </c>
      <c r="F443" s="23">
        <v>137354</v>
      </c>
      <c r="G443" s="20" t="s">
        <v>719</v>
      </c>
      <c r="H443" s="20" t="s">
        <v>1149</v>
      </c>
      <c r="I443" t="s">
        <v>697</v>
      </c>
      <c r="J443" s="20" t="s">
        <v>8</v>
      </c>
      <c r="K443" t="s">
        <v>107</v>
      </c>
      <c r="L443" t="s">
        <v>108</v>
      </c>
      <c r="M443" s="20" t="s">
        <v>1126</v>
      </c>
      <c r="N443" s="20" t="s">
        <v>108</v>
      </c>
      <c r="Q443" s="24" t="s">
        <v>680</v>
      </c>
    </row>
    <row r="444" spans="1:17" hidden="1" x14ac:dyDescent="0.3">
      <c r="A444" s="20">
        <f t="shared" si="6"/>
        <v>443</v>
      </c>
      <c r="B444" s="21" t="s">
        <v>87</v>
      </c>
      <c r="C444" s="21" t="s">
        <v>97</v>
      </c>
      <c r="D444" s="22" t="str">
        <f>IF($C444="","",IFERROR(VLOOKUP($C444,Map_Register!$A$2:$C$5,3,FALSE()),""))</f>
        <v>Toponym Labels</v>
      </c>
      <c r="E444" s="21" t="s">
        <v>15</v>
      </c>
      <c r="F444" s="23">
        <v>137355</v>
      </c>
      <c r="G444" s="20" t="s">
        <v>719</v>
      </c>
      <c r="H444" s="20" t="s">
        <v>1150</v>
      </c>
      <c r="I444" t="s">
        <v>697</v>
      </c>
      <c r="J444" s="20" t="s">
        <v>6</v>
      </c>
      <c r="K444" s="20" t="s">
        <v>137</v>
      </c>
      <c r="L444" s="20" t="s">
        <v>137</v>
      </c>
      <c r="M444" s="20" t="s">
        <v>721</v>
      </c>
      <c r="Q444" s="24" t="s">
        <v>680</v>
      </c>
    </row>
    <row r="445" spans="1:17" hidden="1" x14ac:dyDescent="0.3">
      <c r="A445" s="20">
        <f t="shared" si="6"/>
        <v>444</v>
      </c>
      <c r="B445" s="21" t="s">
        <v>87</v>
      </c>
      <c r="C445" s="21" t="s">
        <v>97</v>
      </c>
      <c r="D445" s="22" t="str">
        <f>IF($C445="","",IFERROR(VLOOKUP($C445,Map_Register!$A$2:$C$5,3,FALSE()),""))</f>
        <v>Toponym Labels</v>
      </c>
      <c r="E445" s="21" t="s">
        <v>15</v>
      </c>
      <c r="F445" s="23">
        <v>137356</v>
      </c>
      <c r="G445" s="20" t="s">
        <v>719</v>
      </c>
      <c r="H445" s="20" t="s">
        <v>1151</v>
      </c>
      <c r="I445" t="s">
        <v>697</v>
      </c>
      <c r="J445" s="20" t="s">
        <v>6</v>
      </c>
      <c r="K445" s="20" t="s">
        <v>137</v>
      </c>
      <c r="L445" s="20" t="s">
        <v>137</v>
      </c>
      <c r="M445" s="20" t="s">
        <v>721</v>
      </c>
      <c r="Q445" s="24" t="s">
        <v>680</v>
      </c>
    </row>
    <row r="446" spans="1:17" hidden="1" x14ac:dyDescent="0.3">
      <c r="A446" s="20">
        <f t="shared" si="6"/>
        <v>445</v>
      </c>
      <c r="B446" s="21" t="s">
        <v>87</v>
      </c>
      <c r="C446" s="21" t="s">
        <v>97</v>
      </c>
      <c r="D446" s="22" t="str">
        <f>IF($C446="","",IFERROR(VLOOKUP($C446,Map_Register!$A$2:$C$5,3,FALSE()),""))</f>
        <v>Toponym Labels</v>
      </c>
      <c r="E446" s="21" t="s">
        <v>15</v>
      </c>
      <c r="F446" s="23">
        <v>137357</v>
      </c>
      <c r="G446" s="20" t="s">
        <v>719</v>
      </c>
      <c r="H446" s="20" t="s">
        <v>1152</v>
      </c>
      <c r="I446" t="s">
        <v>697</v>
      </c>
      <c r="J446" s="20" t="s">
        <v>6</v>
      </c>
      <c r="K446" s="20" t="s">
        <v>137</v>
      </c>
      <c r="L446" s="20" t="s">
        <v>137</v>
      </c>
      <c r="M446" s="20" t="s">
        <v>721</v>
      </c>
      <c r="Q446" s="24" t="s">
        <v>680</v>
      </c>
    </row>
    <row r="447" spans="1:17" hidden="1" x14ac:dyDescent="0.3">
      <c r="A447" s="20">
        <f t="shared" si="6"/>
        <v>446</v>
      </c>
      <c r="B447" s="21" t="s">
        <v>87</v>
      </c>
      <c r="C447" s="21" t="s">
        <v>97</v>
      </c>
      <c r="D447" s="22" t="str">
        <f>IF($C447="","",IFERROR(VLOOKUP($C447,Map_Register!$A$2:$C$5,3,FALSE()),""))</f>
        <v>Toponym Labels</v>
      </c>
      <c r="E447" s="21" t="s">
        <v>15</v>
      </c>
      <c r="F447" s="23">
        <v>137358</v>
      </c>
      <c r="G447" s="20" t="s">
        <v>719</v>
      </c>
      <c r="H447" s="20" t="s">
        <v>1153</v>
      </c>
      <c r="I447" t="s">
        <v>697</v>
      </c>
      <c r="J447" s="20" t="s">
        <v>6</v>
      </c>
      <c r="K447" s="20" t="s">
        <v>137</v>
      </c>
      <c r="L447" s="20" t="s">
        <v>137</v>
      </c>
      <c r="M447" s="20" t="s">
        <v>721</v>
      </c>
      <c r="Q447" s="24" t="s">
        <v>680</v>
      </c>
    </row>
    <row r="448" spans="1:17" hidden="1" x14ac:dyDescent="0.3">
      <c r="A448" s="20">
        <f t="shared" si="6"/>
        <v>447</v>
      </c>
      <c r="B448" s="21" t="s">
        <v>87</v>
      </c>
      <c r="C448" s="21" t="s">
        <v>97</v>
      </c>
      <c r="D448" s="22" t="str">
        <f>IF($C448="","",IFERROR(VLOOKUP($C448,Map_Register!$A$2:$C$5,3,FALSE()),""))</f>
        <v>Toponym Labels</v>
      </c>
      <c r="E448" s="21" t="s">
        <v>15</v>
      </c>
      <c r="F448" s="23">
        <v>137359</v>
      </c>
      <c r="G448" s="20" t="s">
        <v>719</v>
      </c>
      <c r="H448" s="20" t="s">
        <v>1154</v>
      </c>
      <c r="I448" t="s">
        <v>697</v>
      </c>
      <c r="J448" s="20" t="s">
        <v>6</v>
      </c>
      <c r="K448" s="20" t="s">
        <v>137</v>
      </c>
      <c r="L448" s="20" t="s">
        <v>137</v>
      </c>
      <c r="M448" s="20" t="s">
        <v>721</v>
      </c>
      <c r="Q448" s="24" t="s">
        <v>680</v>
      </c>
    </row>
    <row r="449" spans="1:17" x14ac:dyDescent="0.3">
      <c r="A449" s="20">
        <f t="shared" si="6"/>
        <v>448</v>
      </c>
      <c r="B449" s="21" t="s">
        <v>87</v>
      </c>
      <c r="C449" s="21" t="s">
        <v>97</v>
      </c>
      <c r="D449" s="22" t="str">
        <f>IF($C449="","",IFERROR(VLOOKUP($C449,Map_Register!$A$2:$C$5,3,FALSE()),""))</f>
        <v>Toponym Labels</v>
      </c>
      <c r="E449" s="21" t="s">
        <v>15</v>
      </c>
      <c r="F449" s="23">
        <v>137375</v>
      </c>
      <c r="G449" s="20" t="s">
        <v>719</v>
      </c>
      <c r="H449" s="20" t="s">
        <v>1155</v>
      </c>
      <c r="I449" t="s">
        <v>697</v>
      </c>
      <c r="J449" s="20" t="s">
        <v>8</v>
      </c>
      <c r="K449" t="s">
        <v>107</v>
      </c>
      <c r="L449" t="s">
        <v>108</v>
      </c>
      <c r="M449" s="20" t="s">
        <v>1126</v>
      </c>
      <c r="N449" s="20" t="s">
        <v>108</v>
      </c>
      <c r="Q449" s="24" t="s">
        <v>680</v>
      </c>
    </row>
    <row r="450" spans="1:17" hidden="1" x14ac:dyDescent="0.3">
      <c r="A450" s="20">
        <f t="shared" ref="A450:A513" si="7">IF($B450="","",ROW()-1)</f>
        <v>449</v>
      </c>
      <c r="B450" s="21" t="s">
        <v>87</v>
      </c>
      <c r="C450" s="21" t="s">
        <v>97</v>
      </c>
      <c r="D450" s="22" t="str">
        <f>IF($C450="","",IFERROR(VLOOKUP($C450,Map_Register!$A$2:$C$5,3,FALSE()),""))</f>
        <v>Toponym Labels</v>
      </c>
      <c r="E450" s="21" t="s">
        <v>15</v>
      </c>
      <c r="F450" s="23">
        <v>137376</v>
      </c>
      <c r="G450" s="20" t="s">
        <v>719</v>
      </c>
      <c r="H450" s="20" t="s">
        <v>1156</v>
      </c>
      <c r="I450" t="s">
        <v>697</v>
      </c>
      <c r="J450" s="20" t="s">
        <v>6</v>
      </c>
      <c r="K450" s="20" t="s">
        <v>137</v>
      </c>
      <c r="L450" s="20" t="s">
        <v>137</v>
      </c>
      <c r="M450" s="20" t="s">
        <v>721</v>
      </c>
      <c r="Q450" s="24" t="s">
        <v>680</v>
      </c>
    </row>
    <row r="451" spans="1:17" hidden="1" x14ac:dyDescent="0.3">
      <c r="A451" s="20">
        <f t="shared" si="7"/>
        <v>450</v>
      </c>
      <c r="B451" s="21" t="s">
        <v>87</v>
      </c>
      <c r="C451" s="21" t="s">
        <v>97</v>
      </c>
      <c r="D451" s="22" t="str">
        <f>IF($C451="","",IFERROR(VLOOKUP($C451,Map_Register!$A$2:$C$5,3,FALSE()),""))</f>
        <v>Toponym Labels</v>
      </c>
      <c r="E451" s="21" t="s">
        <v>15</v>
      </c>
      <c r="F451" s="23">
        <v>137377</v>
      </c>
      <c r="G451" s="20" t="s">
        <v>719</v>
      </c>
      <c r="H451" s="20" t="s">
        <v>1157</v>
      </c>
      <c r="I451" t="s">
        <v>697</v>
      </c>
      <c r="J451" s="20" t="s">
        <v>6</v>
      </c>
      <c r="K451" s="20" t="s">
        <v>137</v>
      </c>
      <c r="L451" s="20" t="s">
        <v>137</v>
      </c>
      <c r="M451" s="20" t="s">
        <v>721</v>
      </c>
      <c r="Q451" s="24" t="s">
        <v>680</v>
      </c>
    </row>
    <row r="452" spans="1:17" hidden="1" x14ac:dyDescent="0.3">
      <c r="A452" s="20">
        <f t="shared" si="7"/>
        <v>451</v>
      </c>
      <c r="B452" s="21" t="s">
        <v>87</v>
      </c>
      <c r="C452" s="21" t="s">
        <v>97</v>
      </c>
      <c r="D452" s="22" t="str">
        <f>IF($C452="","",IFERROR(VLOOKUP($C452,Map_Register!$A$2:$C$5,3,FALSE()),""))</f>
        <v>Toponym Labels</v>
      </c>
      <c r="E452" s="21" t="s">
        <v>15</v>
      </c>
      <c r="F452" s="23">
        <v>137378</v>
      </c>
      <c r="G452" s="20" t="s">
        <v>719</v>
      </c>
      <c r="H452" s="20" t="s">
        <v>1158</v>
      </c>
      <c r="I452" t="s">
        <v>697</v>
      </c>
      <c r="J452" s="20" t="s">
        <v>6</v>
      </c>
      <c r="K452" s="20" t="s">
        <v>137</v>
      </c>
      <c r="L452" s="20" t="s">
        <v>137</v>
      </c>
      <c r="M452" s="20" t="s">
        <v>721</v>
      </c>
      <c r="Q452" s="24" t="s">
        <v>680</v>
      </c>
    </row>
    <row r="453" spans="1:17" hidden="1" x14ac:dyDescent="0.3">
      <c r="A453" s="20">
        <f t="shared" si="7"/>
        <v>452</v>
      </c>
      <c r="B453" s="21" t="s">
        <v>87</v>
      </c>
      <c r="C453" s="21" t="s">
        <v>97</v>
      </c>
      <c r="D453" s="22" t="str">
        <f>IF($C453="","",IFERROR(VLOOKUP($C453,Map_Register!$A$2:$C$5,3,FALSE()),""))</f>
        <v>Toponym Labels</v>
      </c>
      <c r="E453" s="21" t="s">
        <v>15</v>
      </c>
      <c r="F453" s="23">
        <v>137380</v>
      </c>
      <c r="G453" s="20" t="s">
        <v>719</v>
      </c>
      <c r="H453" s="20" t="s">
        <v>1159</v>
      </c>
      <c r="I453" t="s">
        <v>697</v>
      </c>
      <c r="J453" s="20" t="s">
        <v>6</v>
      </c>
      <c r="K453" s="20" t="s">
        <v>137</v>
      </c>
      <c r="L453" s="20" t="s">
        <v>137</v>
      </c>
      <c r="M453" s="20" t="s">
        <v>721</v>
      </c>
      <c r="Q453" s="24" t="s">
        <v>680</v>
      </c>
    </row>
    <row r="454" spans="1:17" hidden="1" x14ac:dyDescent="0.3">
      <c r="A454" s="20">
        <f t="shared" si="7"/>
        <v>453</v>
      </c>
      <c r="B454" s="21" t="s">
        <v>87</v>
      </c>
      <c r="C454" s="21" t="s">
        <v>97</v>
      </c>
      <c r="D454" s="22" t="str">
        <f>IF($C454="","",IFERROR(VLOOKUP($C454,Map_Register!$A$2:$C$5,3,FALSE()),""))</f>
        <v>Toponym Labels</v>
      </c>
      <c r="E454" s="21" t="s">
        <v>15</v>
      </c>
      <c r="F454" s="23">
        <v>137388</v>
      </c>
      <c r="G454" s="20" t="s">
        <v>719</v>
      </c>
      <c r="H454" s="20" t="s">
        <v>1160</v>
      </c>
      <c r="I454" t="s">
        <v>697</v>
      </c>
      <c r="J454" s="20" t="s">
        <v>6</v>
      </c>
      <c r="K454" s="20" t="s">
        <v>137</v>
      </c>
      <c r="L454" s="20" t="s">
        <v>137</v>
      </c>
      <c r="M454" s="20" t="s">
        <v>721</v>
      </c>
      <c r="Q454" s="24" t="s">
        <v>680</v>
      </c>
    </row>
    <row r="455" spans="1:17" hidden="1" x14ac:dyDescent="0.3">
      <c r="A455" s="20">
        <f t="shared" si="7"/>
        <v>454</v>
      </c>
      <c r="B455" s="21" t="s">
        <v>87</v>
      </c>
      <c r="C455" s="21" t="s">
        <v>97</v>
      </c>
      <c r="D455" s="22" t="str">
        <f>IF($C455="","",IFERROR(VLOOKUP($C455,Map_Register!$A$2:$C$5,3,FALSE()),""))</f>
        <v>Toponym Labels</v>
      </c>
      <c r="E455" s="21" t="s">
        <v>15</v>
      </c>
      <c r="F455" s="23">
        <v>138887</v>
      </c>
      <c r="G455" s="20" t="s">
        <v>719</v>
      </c>
      <c r="H455" s="20" t="s">
        <v>1161</v>
      </c>
      <c r="I455" t="s">
        <v>697</v>
      </c>
      <c r="J455" s="20" t="s">
        <v>8</v>
      </c>
      <c r="K455" t="s">
        <v>107</v>
      </c>
      <c r="L455" t="s">
        <v>107</v>
      </c>
      <c r="M455" s="20" t="s">
        <v>683</v>
      </c>
      <c r="N455" s="20" t="s">
        <v>108</v>
      </c>
      <c r="Q455" s="24" t="s">
        <v>680</v>
      </c>
    </row>
    <row r="456" spans="1:17" x14ac:dyDescent="0.3">
      <c r="A456" s="20">
        <f t="shared" si="7"/>
        <v>455</v>
      </c>
      <c r="B456" s="21" t="s">
        <v>87</v>
      </c>
      <c r="C456" s="21" t="s">
        <v>97</v>
      </c>
      <c r="D456" s="22" t="str">
        <f>IF($C456="","",IFERROR(VLOOKUP($C456,Map_Register!$A$2:$C$5,3,FALSE()),""))</f>
        <v>Toponym Labels</v>
      </c>
      <c r="E456" s="21" t="s">
        <v>15</v>
      </c>
      <c r="F456" s="23">
        <v>138888</v>
      </c>
      <c r="G456" s="20" t="s">
        <v>719</v>
      </c>
      <c r="H456" s="20" t="s">
        <v>1148</v>
      </c>
      <c r="I456" t="s">
        <v>697</v>
      </c>
      <c r="J456" s="20" t="s">
        <v>8</v>
      </c>
      <c r="K456" t="s">
        <v>107</v>
      </c>
      <c r="L456" t="s">
        <v>108</v>
      </c>
      <c r="M456" s="20" t="s">
        <v>1126</v>
      </c>
      <c r="N456" s="20" t="s">
        <v>108</v>
      </c>
      <c r="Q456" s="24" t="s">
        <v>680</v>
      </c>
    </row>
    <row r="457" spans="1:17" hidden="1" x14ac:dyDescent="0.3">
      <c r="A457" s="20">
        <f t="shared" si="7"/>
        <v>456</v>
      </c>
      <c r="B457" s="21" t="s">
        <v>87</v>
      </c>
      <c r="C457" s="21" t="s">
        <v>97</v>
      </c>
      <c r="D457" s="22" t="str">
        <f>IF($C457="","",IFERROR(VLOOKUP($C457,Map_Register!$A$2:$C$5,3,FALSE()),""))</f>
        <v>Toponym Labels</v>
      </c>
      <c r="E457" s="21" t="s">
        <v>15</v>
      </c>
      <c r="F457" s="23">
        <v>138964</v>
      </c>
      <c r="G457" s="20" t="s">
        <v>719</v>
      </c>
      <c r="H457" s="20" t="s">
        <v>1162</v>
      </c>
      <c r="I457" t="s">
        <v>697</v>
      </c>
      <c r="J457" s="20" t="s">
        <v>6</v>
      </c>
      <c r="K457" s="20" t="s">
        <v>137</v>
      </c>
      <c r="L457" s="20" t="s">
        <v>137</v>
      </c>
      <c r="M457" s="20" t="s">
        <v>721</v>
      </c>
      <c r="Q457" s="24" t="s">
        <v>680</v>
      </c>
    </row>
    <row r="458" spans="1:17" hidden="1" x14ac:dyDescent="0.3">
      <c r="A458" s="20">
        <f t="shared" si="7"/>
        <v>457</v>
      </c>
      <c r="B458" s="21" t="s">
        <v>87</v>
      </c>
      <c r="C458" s="21" t="s">
        <v>97</v>
      </c>
      <c r="D458" s="22" t="str">
        <f>IF($C458="","",IFERROR(VLOOKUP($C458,Map_Register!$A$2:$C$5,3,FALSE()),""))</f>
        <v>Toponym Labels</v>
      </c>
      <c r="E458" s="21" t="s">
        <v>15</v>
      </c>
      <c r="F458" s="23">
        <v>138965</v>
      </c>
      <c r="G458" s="20" t="s">
        <v>719</v>
      </c>
      <c r="H458" s="20" t="s">
        <v>1163</v>
      </c>
      <c r="I458" t="s">
        <v>697</v>
      </c>
      <c r="J458" s="20" t="s">
        <v>6</v>
      </c>
      <c r="K458" s="20" t="s">
        <v>137</v>
      </c>
      <c r="L458" s="20" t="s">
        <v>137</v>
      </c>
      <c r="M458" s="20" t="s">
        <v>721</v>
      </c>
      <c r="Q458" s="24" t="s">
        <v>680</v>
      </c>
    </row>
    <row r="459" spans="1:17" hidden="1" x14ac:dyDescent="0.3">
      <c r="A459" s="20">
        <f t="shared" si="7"/>
        <v>458</v>
      </c>
      <c r="B459" s="21" t="s">
        <v>87</v>
      </c>
      <c r="C459" s="21" t="s">
        <v>97</v>
      </c>
      <c r="D459" s="22" t="str">
        <f>IF($C459="","",IFERROR(VLOOKUP($C459,Map_Register!$A$2:$C$5,3,FALSE()),""))</f>
        <v>Toponym Labels</v>
      </c>
      <c r="E459" s="21" t="s">
        <v>15</v>
      </c>
      <c r="F459" s="23">
        <v>138972</v>
      </c>
      <c r="G459" s="20" t="s">
        <v>719</v>
      </c>
      <c r="H459" s="20" t="s">
        <v>1164</v>
      </c>
      <c r="I459" t="s">
        <v>697</v>
      </c>
      <c r="J459" s="20" t="s">
        <v>6</v>
      </c>
      <c r="K459" s="20" t="s">
        <v>137</v>
      </c>
      <c r="L459" s="20" t="s">
        <v>137</v>
      </c>
      <c r="M459" s="20" t="s">
        <v>721</v>
      </c>
      <c r="Q459" s="24" t="s">
        <v>680</v>
      </c>
    </row>
    <row r="460" spans="1:17" x14ac:dyDescent="0.3">
      <c r="A460" s="20">
        <f t="shared" si="7"/>
        <v>459</v>
      </c>
      <c r="B460" s="21" t="s">
        <v>87</v>
      </c>
      <c r="C460" s="21" t="s">
        <v>97</v>
      </c>
      <c r="D460" s="22" t="str">
        <f>IF($C460="","",IFERROR(VLOOKUP($C460,Map_Register!$A$2:$C$5,3,FALSE()),""))</f>
        <v>Toponym Labels</v>
      </c>
      <c r="E460" s="21" t="s">
        <v>15</v>
      </c>
      <c r="F460" s="23">
        <v>138973</v>
      </c>
      <c r="G460" s="20" t="s">
        <v>719</v>
      </c>
      <c r="H460" s="20" t="s">
        <v>1165</v>
      </c>
      <c r="I460" t="s">
        <v>697</v>
      </c>
      <c r="J460" s="20" t="s">
        <v>8</v>
      </c>
      <c r="K460" t="s">
        <v>107</v>
      </c>
      <c r="L460" t="s">
        <v>108</v>
      </c>
      <c r="M460" s="20" t="s">
        <v>1126</v>
      </c>
      <c r="N460" s="20" t="s">
        <v>108</v>
      </c>
      <c r="Q460" s="24" t="s">
        <v>680</v>
      </c>
    </row>
    <row r="461" spans="1:17" hidden="1" x14ac:dyDescent="0.3">
      <c r="A461" s="20">
        <f t="shared" si="7"/>
        <v>460</v>
      </c>
      <c r="B461" s="21" t="s">
        <v>87</v>
      </c>
      <c r="C461" s="21" t="s">
        <v>97</v>
      </c>
      <c r="D461" s="22" t="str">
        <f>IF($C461="","",IFERROR(VLOOKUP($C461,Map_Register!$A$2:$C$5,3,FALSE()),""))</f>
        <v>Toponym Labels</v>
      </c>
      <c r="E461" s="21" t="s">
        <v>15</v>
      </c>
      <c r="F461" s="23">
        <v>138976</v>
      </c>
      <c r="G461" s="20" t="s">
        <v>719</v>
      </c>
      <c r="H461" s="20" t="s">
        <v>1166</v>
      </c>
      <c r="I461" t="s">
        <v>697</v>
      </c>
      <c r="J461" s="20" t="s">
        <v>6</v>
      </c>
      <c r="K461" s="20" t="s">
        <v>137</v>
      </c>
      <c r="L461" s="20" t="s">
        <v>137</v>
      </c>
      <c r="M461" s="20" t="s">
        <v>721</v>
      </c>
      <c r="Q461" s="24" t="s">
        <v>680</v>
      </c>
    </row>
    <row r="462" spans="1:17" hidden="1" x14ac:dyDescent="0.3">
      <c r="A462" s="20">
        <f t="shared" si="7"/>
        <v>461</v>
      </c>
      <c r="B462" s="21" t="s">
        <v>87</v>
      </c>
      <c r="C462" s="21" t="s">
        <v>97</v>
      </c>
      <c r="D462" s="22" t="str">
        <f>IF($C462="","",IFERROR(VLOOKUP($C462,Map_Register!$A$2:$C$5,3,FALSE()),""))</f>
        <v>Toponym Labels</v>
      </c>
      <c r="E462" s="21" t="s">
        <v>15</v>
      </c>
      <c r="F462" s="23">
        <v>138977</v>
      </c>
      <c r="G462" s="20" t="s">
        <v>719</v>
      </c>
      <c r="H462" s="20" t="s">
        <v>1167</v>
      </c>
      <c r="I462" t="s">
        <v>697</v>
      </c>
      <c r="J462" s="20" t="s">
        <v>6</v>
      </c>
      <c r="K462" s="20" t="s">
        <v>137</v>
      </c>
      <c r="L462" s="20" t="s">
        <v>137</v>
      </c>
      <c r="M462" s="20" t="s">
        <v>721</v>
      </c>
      <c r="Q462" s="24" t="s">
        <v>680</v>
      </c>
    </row>
    <row r="463" spans="1:17" hidden="1" x14ac:dyDescent="0.3">
      <c r="A463" s="20">
        <f t="shared" si="7"/>
        <v>462</v>
      </c>
      <c r="B463" s="21" t="s">
        <v>87</v>
      </c>
      <c r="C463" s="21" t="s">
        <v>97</v>
      </c>
      <c r="D463" s="22" t="str">
        <f>IF($C463="","",IFERROR(VLOOKUP($C463,Map_Register!$A$2:$C$5,3,FALSE()),""))</f>
        <v>Toponym Labels</v>
      </c>
      <c r="E463" s="21" t="s">
        <v>15</v>
      </c>
      <c r="F463" s="23">
        <v>139066</v>
      </c>
      <c r="G463" s="20" t="s">
        <v>719</v>
      </c>
      <c r="H463" s="20" t="s">
        <v>1168</v>
      </c>
      <c r="I463" t="s">
        <v>697</v>
      </c>
      <c r="J463" s="20" t="s">
        <v>6</v>
      </c>
      <c r="K463" s="20" t="s">
        <v>137</v>
      </c>
      <c r="L463" s="20" t="s">
        <v>137</v>
      </c>
      <c r="M463" s="20" t="s">
        <v>721</v>
      </c>
      <c r="Q463" s="24" t="s">
        <v>680</v>
      </c>
    </row>
    <row r="464" spans="1:17" x14ac:dyDescent="0.3">
      <c r="A464" s="20">
        <f t="shared" si="7"/>
        <v>463</v>
      </c>
      <c r="B464" s="21" t="s">
        <v>87</v>
      </c>
      <c r="C464" s="21" t="s">
        <v>97</v>
      </c>
      <c r="D464" s="22" t="str">
        <f>IF($C464="","",IFERROR(VLOOKUP($C464,Map_Register!$A$2:$C$5,3,FALSE()),""))</f>
        <v>Toponym Labels</v>
      </c>
      <c r="E464" s="21" t="s">
        <v>15</v>
      </c>
      <c r="F464" s="23">
        <v>139092</v>
      </c>
      <c r="G464" s="20" t="s">
        <v>719</v>
      </c>
      <c r="H464" s="20" t="s">
        <v>1169</v>
      </c>
      <c r="I464" t="s">
        <v>697</v>
      </c>
      <c r="J464" s="20" t="s">
        <v>8</v>
      </c>
      <c r="K464" t="s">
        <v>107</v>
      </c>
      <c r="L464" t="s">
        <v>108</v>
      </c>
      <c r="M464" s="20" t="s">
        <v>1126</v>
      </c>
      <c r="N464" s="20" t="s">
        <v>108</v>
      </c>
      <c r="Q464" s="24" t="s">
        <v>680</v>
      </c>
    </row>
    <row r="465" spans="1:17" hidden="1" x14ac:dyDescent="0.3">
      <c r="A465" s="20">
        <f t="shared" si="7"/>
        <v>464</v>
      </c>
      <c r="B465" s="21" t="s">
        <v>87</v>
      </c>
      <c r="C465" s="21" t="s">
        <v>97</v>
      </c>
      <c r="D465" s="22" t="str">
        <f>IF($C465="","",IFERROR(VLOOKUP($C465,Map_Register!$A$2:$C$5,3,FALSE()),""))</f>
        <v>Toponym Labels</v>
      </c>
      <c r="E465" s="21" t="s">
        <v>15</v>
      </c>
      <c r="F465" s="23">
        <v>139748</v>
      </c>
      <c r="G465" s="20" t="s">
        <v>719</v>
      </c>
      <c r="H465" s="20" t="s">
        <v>1170</v>
      </c>
      <c r="I465" t="s">
        <v>697</v>
      </c>
      <c r="J465" s="20" t="s">
        <v>6</v>
      </c>
      <c r="K465" s="20" t="s">
        <v>137</v>
      </c>
      <c r="L465" s="20" t="s">
        <v>137</v>
      </c>
      <c r="M465" s="20" t="s">
        <v>721</v>
      </c>
      <c r="Q465" s="24" t="s">
        <v>680</v>
      </c>
    </row>
    <row r="466" spans="1:17" hidden="1" x14ac:dyDescent="0.3">
      <c r="A466" s="20">
        <f t="shared" si="7"/>
        <v>465</v>
      </c>
      <c r="B466" s="21" t="s">
        <v>87</v>
      </c>
      <c r="C466" s="21" t="s">
        <v>97</v>
      </c>
      <c r="D466" s="22" t="str">
        <f>IF($C466="","",IFERROR(VLOOKUP($C466,Map_Register!$A$2:$C$5,3,FALSE()),""))</f>
        <v>Toponym Labels</v>
      </c>
      <c r="E466" s="21" t="s">
        <v>15</v>
      </c>
      <c r="F466" s="23">
        <v>139749</v>
      </c>
      <c r="G466" s="20" t="s">
        <v>719</v>
      </c>
      <c r="H466" s="20" t="s">
        <v>1171</v>
      </c>
      <c r="I466" t="s">
        <v>697</v>
      </c>
      <c r="J466" s="20" t="s">
        <v>6</v>
      </c>
      <c r="K466" s="20" t="s">
        <v>137</v>
      </c>
      <c r="L466" s="20" t="s">
        <v>137</v>
      </c>
      <c r="M466" s="20" t="s">
        <v>721</v>
      </c>
      <c r="Q466" s="24" t="s">
        <v>680</v>
      </c>
    </row>
    <row r="467" spans="1:17" hidden="1" x14ac:dyDescent="0.3">
      <c r="A467" s="20">
        <f t="shared" si="7"/>
        <v>466</v>
      </c>
      <c r="B467" s="21" t="s">
        <v>87</v>
      </c>
      <c r="C467" s="21" t="s">
        <v>97</v>
      </c>
      <c r="D467" s="22" t="str">
        <f>IF($C467="","",IFERROR(VLOOKUP($C467,Map_Register!$A$2:$C$5,3,FALSE()),""))</f>
        <v>Toponym Labels</v>
      </c>
      <c r="E467" s="21" t="s">
        <v>15</v>
      </c>
      <c r="F467" s="23">
        <v>139750</v>
      </c>
      <c r="G467" s="20" t="s">
        <v>719</v>
      </c>
      <c r="H467" s="20" t="s">
        <v>1172</v>
      </c>
      <c r="I467" t="s">
        <v>697</v>
      </c>
      <c r="J467" s="20" t="s">
        <v>6</v>
      </c>
      <c r="K467" s="20" t="s">
        <v>137</v>
      </c>
      <c r="L467" s="20" t="s">
        <v>137</v>
      </c>
      <c r="M467" s="20" t="s">
        <v>721</v>
      </c>
      <c r="Q467" s="24" t="s">
        <v>680</v>
      </c>
    </row>
    <row r="468" spans="1:17" hidden="1" x14ac:dyDescent="0.3">
      <c r="A468" s="20">
        <f t="shared" si="7"/>
        <v>467</v>
      </c>
      <c r="B468" s="21" t="s">
        <v>87</v>
      </c>
      <c r="C468" s="21" t="s">
        <v>97</v>
      </c>
      <c r="D468" s="22" t="str">
        <f>IF($C468="","",IFERROR(VLOOKUP($C468,Map_Register!$A$2:$C$5,3,FALSE()),""))</f>
        <v>Toponym Labels</v>
      </c>
      <c r="E468" s="21" t="s">
        <v>15</v>
      </c>
      <c r="F468" s="23">
        <v>139751</v>
      </c>
      <c r="G468" s="20" t="s">
        <v>719</v>
      </c>
      <c r="H468" s="20" t="s">
        <v>1173</v>
      </c>
      <c r="I468" t="s">
        <v>697</v>
      </c>
      <c r="J468" s="20" t="s">
        <v>6</v>
      </c>
      <c r="K468" s="20" t="s">
        <v>137</v>
      </c>
      <c r="L468" s="20" t="s">
        <v>137</v>
      </c>
      <c r="M468" s="20" t="s">
        <v>721</v>
      </c>
      <c r="Q468" s="24" t="s">
        <v>680</v>
      </c>
    </row>
    <row r="469" spans="1:17" hidden="1" x14ac:dyDescent="0.3">
      <c r="A469" s="20">
        <f t="shared" si="7"/>
        <v>468</v>
      </c>
      <c r="B469" s="21" t="s">
        <v>87</v>
      </c>
      <c r="C469" s="21" t="s">
        <v>97</v>
      </c>
      <c r="D469" s="22" t="str">
        <f>IF($C469="","",IFERROR(VLOOKUP($C469,Map_Register!$A$2:$C$5,3,FALSE()),""))</f>
        <v>Toponym Labels</v>
      </c>
      <c r="E469" s="21" t="s">
        <v>15</v>
      </c>
      <c r="F469" s="23">
        <v>139752</v>
      </c>
      <c r="G469" s="20" t="s">
        <v>719</v>
      </c>
      <c r="H469" s="20" t="s">
        <v>1174</v>
      </c>
      <c r="I469" t="s">
        <v>697</v>
      </c>
      <c r="J469" s="20" t="s">
        <v>6</v>
      </c>
      <c r="K469" s="20" t="s">
        <v>137</v>
      </c>
      <c r="L469" s="20" t="s">
        <v>137</v>
      </c>
      <c r="M469" s="20" t="s">
        <v>1175</v>
      </c>
      <c r="Q469" s="24" t="s">
        <v>680</v>
      </c>
    </row>
    <row r="470" spans="1:17" hidden="1" x14ac:dyDescent="0.3">
      <c r="A470" s="20">
        <f t="shared" si="7"/>
        <v>469</v>
      </c>
      <c r="B470" s="21" t="s">
        <v>87</v>
      </c>
      <c r="C470" s="21" t="s">
        <v>97</v>
      </c>
      <c r="D470" s="22" t="str">
        <f>IF($C470="","",IFERROR(VLOOKUP($C470,Map_Register!$A$2:$C$5,3,FALSE()),""))</f>
        <v>Toponym Labels</v>
      </c>
      <c r="E470" s="21" t="s">
        <v>15</v>
      </c>
      <c r="F470" s="23">
        <v>139753</v>
      </c>
      <c r="G470" s="20" t="s">
        <v>719</v>
      </c>
      <c r="H470" s="20" t="s">
        <v>1176</v>
      </c>
      <c r="I470" t="s">
        <v>697</v>
      </c>
      <c r="J470" s="20" t="s">
        <v>6</v>
      </c>
      <c r="K470" s="20" t="s">
        <v>137</v>
      </c>
      <c r="L470" s="20" t="s">
        <v>137</v>
      </c>
      <c r="M470" s="20" t="s">
        <v>721</v>
      </c>
      <c r="Q470" s="24" t="s">
        <v>680</v>
      </c>
    </row>
    <row r="471" spans="1:17" hidden="1" x14ac:dyDescent="0.3">
      <c r="A471" s="20">
        <f t="shared" si="7"/>
        <v>470</v>
      </c>
      <c r="B471" s="21" t="s">
        <v>87</v>
      </c>
      <c r="C471" s="21" t="s">
        <v>97</v>
      </c>
      <c r="D471" s="22" t="str">
        <f>IF($C471="","",IFERROR(VLOOKUP($C471,Map_Register!$A$2:$C$5,3,FALSE()),""))</f>
        <v>Toponym Labels</v>
      </c>
      <c r="E471" s="21" t="s">
        <v>15</v>
      </c>
      <c r="F471" s="23">
        <v>139754</v>
      </c>
      <c r="G471" s="20" t="s">
        <v>719</v>
      </c>
      <c r="H471" s="20" t="s">
        <v>1177</v>
      </c>
      <c r="I471" t="s">
        <v>697</v>
      </c>
      <c r="J471" s="20" t="s">
        <v>6</v>
      </c>
      <c r="K471" s="20" t="s">
        <v>137</v>
      </c>
      <c r="L471" s="20" t="s">
        <v>137</v>
      </c>
      <c r="M471" s="20" t="s">
        <v>721</v>
      </c>
      <c r="Q471" s="24" t="s">
        <v>680</v>
      </c>
    </row>
    <row r="472" spans="1:17" hidden="1" x14ac:dyDescent="0.3">
      <c r="A472" s="20">
        <f t="shared" si="7"/>
        <v>471</v>
      </c>
      <c r="B472" s="21" t="s">
        <v>87</v>
      </c>
      <c r="C472" s="21" t="s">
        <v>97</v>
      </c>
      <c r="D472" s="22" t="str">
        <f>IF($C472="","",IFERROR(VLOOKUP($C472,Map_Register!$A$2:$C$5,3,FALSE()),""))</f>
        <v>Toponym Labels</v>
      </c>
      <c r="E472" s="21" t="s">
        <v>15</v>
      </c>
      <c r="F472" s="23">
        <v>139755</v>
      </c>
      <c r="G472" s="20" t="s">
        <v>719</v>
      </c>
      <c r="H472" s="20" t="s">
        <v>1178</v>
      </c>
      <c r="I472" t="s">
        <v>697</v>
      </c>
      <c r="J472" s="20" t="s">
        <v>8</v>
      </c>
      <c r="K472" t="s">
        <v>107</v>
      </c>
      <c r="L472" t="s">
        <v>107</v>
      </c>
      <c r="M472" s="20" t="s">
        <v>683</v>
      </c>
      <c r="N472" s="20" t="s">
        <v>108</v>
      </c>
      <c r="Q472" s="24" t="s">
        <v>680</v>
      </c>
    </row>
    <row r="473" spans="1:17" hidden="1" x14ac:dyDescent="0.3">
      <c r="A473" s="20">
        <f t="shared" si="7"/>
        <v>472</v>
      </c>
      <c r="B473" s="21" t="s">
        <v>87</v>
      </c>
      <c r="C473" s="21" t="s">
        <v>97</v>
      </c>
      <c r="D473" s="22" t="str">
        <f>IF($C473="","",IFERROR(VLOOKUP($C473,Map_Register!$A$2:$C$5,3,FALSE()),""))</f>
        <v>Toponym Labels</v>
      </c>
      <c r="E473" s="21" t="s">
        <v>15</v>
      </c>
      <c r="F473" s="23">
        <v>140875</v>
      </c>
      <c r="G473" s="20" t="s">
        <v>719</v>
      </c>
      <c r="H473" s="20" t="s">
        <v>1179</v>
      </c>
      <c r="I473" t="s">
        <v>697</v>
      </c>
      <c r="J473" s="20" t="s">
        <v>6</v>
      </c>
      <c r="K473" s="20" t="s">
        <v>137</v>
      </c>
      <c r="L473" s="20" t="s">
        <v>137</v>
      </c>
      <c r="M473" s="20" t="s">
        <v>1180</v>
      </c>
      <c r="Q473" s="24" t="s">
        <v>680</v>
      </c>
    </row>
    <row r="474" spans="1:17" hidden="1" x14ac:dyDescent="0.3">
      <c r="A474" s="20">
        <f t="shared" si="7"/>
        <v>473</v>
      </c>
      <c r="B474" s="21" t="s">
        <v>87</v>
      </c>
      <c r="C474" s="21" t="s">
        <v>97</v>
      </c>
      <c r="D474" s="22" t="str">
        <f>IF($C474="","",IFERROR(VLOOKUP($C474,Map_Register!$A$2:$C$5,3,FALSE()),""))</f>
        <v>Toponym Labels</v>
      </c>
      <c r="E474" s="21" t="s">
        <v>15</v>
      </c>
      <c r="F474" s="23">
        <v>140876</v>
      </c>
      <c r="G474" s="20" t="s">
        <v>719</v>
      </c>
      <c r="H474" s="20" t="s">
        <v>1181</v>
      </c>
      <c r="I474" t="s">
        <v>697</v>
      </c>
      <c r="J474" s="20" t="s">
        <v>6</v>
      </c>
      <c r="K474" s="20" t="s">
        <v>137</v>
      </c>
      <c r="L474" s="20" t="s">
        <v>137</v>
      </c>
      <c r="M474" s="20" t="s">
        <v>721</v>
      </c>
      <c r="Q474" s="24" t="s">
        <v>680</v>
      </c>
    </row>
    <row r="475" spans="1:17" hidden="1" x14ac:dyDescent="0.3">
      <c r="A475" s="20">
        <f t="shared" si="7"/>
        <v>474</v>
      </c>
      <c r="B475" s="21" t="s">
        <v>87</v>
      </c>
      <c r="C475" s="21" t="s">
        <v>97</v>
      </c>
      <c r="D475" s="22" t="str">
        <f>IF($C475="","",IFERROR(VLOOKUP($C475,Map_Register!$A$2:$C$5,3,FALSE()),""))</f>
        <v>Toponym Labels</v>
      </c>
      <c r="E475" s="21" t="s">
        <v>15</v>
      </c>
      <c r="F475" s="23">
        <v>140877</v>
      </c>
      <c r="G475" s="20" t="s">
        <v>719</v>
      </c>
      <c r="H475" s="20" t="s">
        <v>1182</v>
      </c>
      <c r="I475" t="s">
        <v>697</v>
      </c>
      <c r="J475" s="20" t="s">
        <v>6</v>
      </c>
      <c r="K475" s="20" t="s">
        <v>137</v>
      </c>
      <c r="L475" s="20" t="s">
        <v>137</v>
      </c>
      <c r="M475" s="20" t="s">
        <v>721</v>
      </c>
      <c r="Q475" s="24" t="s">
        <v>680</v>
      </c>
    </row>
    <row r="476" spans="1:17" x14ac:dyDescent="0.3">
      <c r="A476" s="20">
        <f t="shared" si="7"/>
        <v>475</v>
      </c>
      <c r="B476" s="21" t="s">
        <v>87</v>
      </c>
      <c r="C476" s="21" t="s">
        <v>97</v>
      </c>
      <c r="D476" s="22" t="str">
        <f>IF($C476="","",IFERROR(VLOOKUP($C476,Map_Register!$A$2:$C$5,3,FALSE()),""))</f>
        <v>Toponym Labels</v>
      </c>
      <c r="E476" s="21" t="s">
        <v>15</v>
      </c>
      <c r="F476" s="23">
        <v>140894</v>
      </c>
      <c r="G476" s="20" t="s">
        <v>719</v>
      </c>
      <c r="H476" s="20" t="s">
        <v>1183</v>
      </c>
      <c r="I476" t="s">
        <v>697</v>
      </c>
      <c r="J476" s="20" t="s">
        <v>8</v>
      </c>
      <c r="K476" t="s">
        <v>107</v>
      </c>
      <c r="L476" t="s">
        <v>108</v>
      </c>
      <c r="M476" s="20" t="s">
        <v>1126</v>
      </c>
      <c r="N476" s="20" t="s">
        <v>108</v>
      </c>
      <c r="Q476" s="24" t="s">
        <v>680</v>
      </c>
    </row>
    <row r="477" spans="1:17" x14ac:dyDescent="0.3">
      <c r="A477" s="20">
        <f t="shared" si="7"/>
        <v>476</v>
      </c>
      <c r="B477" s="21" t="s">
        <v>87</v>
      </c>
      <c r="C477" s="21" t="s">
        <v>97</v>
      </c>
      <c r="D477" s="22" t="str">
        <f>IF($C477="","",IFERROR(VLOOKUP($C477,Map_Register!$A$2:$C$5,3,FALSE()),""))</f>
        <v>Toponym Labels</v>
      </c>
      <c r="E477" s="21" t="s">
        <v>15</v>
      </c>
      <c r="F477" s="23">
        <v>140895</v>
      </c>
      <c r="G477" s="20" t="s">
        <v>719</v>
      </c>
      <c r="H477" s="20" t="s">
        <v>1184</v>
      </c>
      <c r="I477" t="s">
        <v>697</v>
      </c>
      <c r="J477" s="20" t="s">
        <v>8</v>
      </c>
      <c r="K477" t="s">
        <v>107</v>
      </c>
      <c r="L477" t="s">
        <v>108</v>
      </c>
      <c r="M477" s="20" t="s">
        <v>1126</v>
      </c>
      <c r="N477" s="20" t="s">
        <v>108</v>
      </c>
      <c r="Q477" s="24" t="s">
        <v>680</v>
      </c>
    </row>
    <row r="478" spans="1:17" hidden="1" x14ac:dyDescent="0.3">
      <c r="A478" s="20">
        <f t="shared" si="7"/>
        <v>477</v>
      </c>
      <c r="B478" s="21" t="s">
        <v>87</v>
      </c>
      <c r="C478" s="21" t="s">
        <v>97</v>
      </c>
      <c r="D478" s="22" t="str">
        <f>IF($C478="","",IFERROR(VLOOKUP($C478,Map_Register!$A$2:$C$5,3,FALSE()),""))</f>
        <v>Toponym Labels</v>
      </c>
      <c r="E478" s="21" t="s">
        <v>15</v>
      </c>
      <c r="F478" s="23">
        <v>140896</v>
      </c>
      <c r="G478" s="20" t="s">
        <v>719</v>
      </c>
      <c r="H478" s="20" t="s">
        <v>1185</v>
      </c>
      <c r="I478" t="s">
        <v>697</v>
      </c>
      <c r="J478" s="20" t="s">
        <v>6</v>
      </c>
      <c r="K478" s="20" t="s">
        <v>137</v>
      </c>
      <c r="L478" s="20" t="s">
        <v>137</v>
      </c>
      <c r="M478" s="20" t="s">
        <v>721</v>
      </c>
      <c r="Q478" s="24" t="s">
        <v>680</v>
      </c>
    </row>
    <row r="479" spans="1:17" hidden="1" x14ac:dyDescent="0.3">
      <c r="A479" s="20">
        <f t="shared" si="7"/>
        <v>478</v>
      </c>
      <c r="B479" s="21" t="s">
        <v>87</v>
      </c>
      <c r="C479" s="21" t="s">
        <v>97</v>
      </c>
      <c r="D479" s="22" t="str">
        <f>IF($C479="","",IFERROR(VLOOKUP($C479,Map_Register!$A$2:$C$5,3,FALSE()),""))</f>
        <v>Toponym Labels</v>
      </c>
      <c r="E479" s="21" t="s">
        <v>15</v>
      </c>
      <c r="F479" s="23">
        <v>140897</v>
      </c>
      <c r="G479" s="20" t="s">
        <v>719</v>
      </c>
      <c r="H479" s="20" t="s">
        <v>1186</v>
      </c>
      <c r="I479" t="s">
        <v>697</v>
      </c>
      <c r="J479" s="20" t="s">
        <v>6</v>
      </c>
      <c r="K479" s="20" t="s">
        <v>137</v>
      </c>
      <c r="L479" s="20" t="s">
        <v>137</v>
      </c>
      <c r="M479" s="20" t="s">
        <v>721</v>
      </c>
      <c r="Q479" s="24" t="s">
        <v>680</v>
      </c>
    </row>
    <row r="480" spans="1:17" hidden="1" x14ac:dyDescent="0.3">
      <c r="A480" s="20">
        <f t="shared" si="7"/>
        <v>479</v>
      </c>
      <c r="B480" s="21" t="s">
        <v>87</v>
      </c>
      <c r="C480" s="21" t="s">
        <v>97</v>
      </c>
      <c r="D480" s="22" t="str">
        <f>IF($C480="","",IFERROR(VLOOKUP($C480,Map_Register!$A$2:$C$5,3,FALSE()),""))</f>
        <v>Toponym Labels</v>
      </c>
      <c r="E480" s="21" t="s">
        <v>15</v>
      </c>
      <c r="F480" s="23">
        <v>140898</v>
      </c>
      <c r="G480" s="20" t="s">
        <v>719</v>
      </c>
      <c r="H480" s="20" t="s">
        <v>1187</v>
      </c>
      <c r="I480" t="s">
        <v>697</v>
      </c>
      <c r="J480" s="20" t="s">
        <v>6</v>
      </c>
      <c r="K480" s="20" t="s">
        <v>137</v>
      </c>
      <c r="L480" s="20" t="s">
        <v>137</v>
      </c>
      <c r="M480" s="20" t="s">
        <v>721</v>
      </c>
      <c r="Q480" s="24" t="s">
        <v>680</v>
      </c>
    </row>
    <row r="481" spans="1:17" hidden="1" x14ac:dyDescent="0.3">
      <c r="A481" s="20">
        <f t="shared" si="7"/>
        <v>480</v>
      </c>
      <c r="B481" s="21" t="s">
        <v>87</v>
      </c>
      <c r="C481" s="21" t="s">
        <v>97</v>
      </c>
      <c r="D481" s="22" t="str">
        <f>IF($C481="","",IFERROR(VLOOKUP($C481,Map_Register!$A$2:$C$5,3,FALSE()),""))</f>
        <v>Toponym Labels</v>
      </c>
      <c r="E481" s="21" t="s">
        <v>15</v>
      </c>
      <c r="F481" s="23">
        <v>140899</v>
      </c>
      <c r="G481" s="20" t="s">
        <v>719</v>
      </c>
      <c r="H481" s="20" t="s">
        <v>1188</v>
      </c>
      <c r="I481" t="s">
        <v>697</v>
      </c>
      <c r="J481" s="20" t="s">
        <v>6</v>
      </c>
      <c r="K481" s="20" t="s">
        <v>137</v>
      </c>
      <c r="L481" s="20" t="s">
        <v>137</v>
      </c>
      <c r="M481" s="20" t="s">
        <v>721</v>
      </c>
      <c r="Q481" s="24" t="s">
        <v>680</v>
      </c>
    </row>
    <row r="482" spans="1:17" hidden="1" x14ac:dyDescent="0.3">
      <c r="A482" s="20">
        <f t="shared" si="7"/>
        <v>481</v>
      </c>
      <c r="B482" s="21" t="s">
        <v>87</v>
      </c>
      <c r="C482" s="21" t="s">
        <v>97</v>
      </c>
      <c r="D482" s="22" t="str">
        <f>IF($C482="","",IFERROR(VLOOKUP($C482,Map_Register!$A$2:$C$5,3,FALSE()),""))</f>
        <v>Toponym Labels</v>
      </c>
      <c r="E482" s="21" t="s">
        <v>15</v>
      </c>
      <c r="F482" s="23">
        <v>140900</v>
      </c>
      <c r="G482" s="20" t="s">
        <v>719</v>
      </c>
      <c r="H482" s="20" t="s">
        <v>1189</v>
      </c>
      <c r="I482" t="s">
        <v>697</v>
      </c>
      <c r="J482" s="20" t="s">
        <v>6</v>
      </c>
      <c r="K482" s="20" t="s">
        <v>137</v>
      </c>
      <c r="L482" s="20" t="s">
        <v>137</v>
      </c>
      <c r="M482" s="20" t="s">
        <v>721</v>
      </c>
      <c r="Q482" s="24" t="s">
        <v>680</v>
      </c>
    </row>
    <row r="483" spans="1:17" hidden="1" x14ac:dyDescent="0.3">
      <c r="A483" s="20">
        <f t="shared" si="7"/>
        <v>482</v>
      </c>
      <c r="B483" s="21" t="s">
        <v>87</v>
      </c>
      <c r="C483" s="21" t="s">
        <v>97</v>
      </c>
      <c r="D483" s="22" t="str">
        <f>IF($C483="","",IFERROR(VLOOKUP($C483,Map_Register!$A$2:$C$5,3,FALSE()),""))</f>
        <v>Toponym Labels</v>
      </c>
      <c r="E483" s="21" t="s">
        <v>15</v>
      </c>
      <c r="F483" s="23">
        <v>140901</v>
      </c>
      <c r="G483" s="20" t="s">
        <v>719</v>
      </c>
      <c r="H483" s="20" t="s">
        <v>1190</v>
      </c>
      <c r="I483" t="s">
        <v>697</v>
      </c>
      <c r="J483" s="20" t="s">
        <v>6</v>
      </c>
      <c r="K483" s="20" t="s">
        <v>137</v>
      </c>
      <c r="L483" s="20" t="s">
        <v>137</v>
      </c>
      <c r="M483" s="20" t="s">
        <v>721</v>
      </c>
      <c r="Q483" s="24" t="s">
        <v>680</v>
      </c>
    </row>
    <row r="484" spans="1:17" hidden="1" x14ac:dyDescent="0.3">
      <c r="A484" s="20">
        <f t="shared" si="7"/>
        <v>483</v>
      </c>
      <c r="B484" s="21" t="s">
        <v>87</v>
      </c>
      <c r="C484" s="21" t="s">
        <v>97</v>
      </c>
      <c r="D484" s="22" t="str">
        <f>IF($C484="","",IFERROR(VLOOKUP($C484,Map_Register!$A$2:$C$5,3,FALSE()),""))</f>
        <v>Toponym Labels</v>
      </c>
      <c r="E484" s="21" t="s">
        <v>15</v>
      </c>
      <c r="F484" s="23">
        <v>140902</v>
      </c>
      <c r="G484" s="20" t="s">
        <v>719</v>
      </c>
      <c r="H484" s="20" t="s">
        <v>1191</v>
      </c>
      <c r="I484" t="s">
        <v>697</v>
      </c>
      <c r="J484" s="20" t="s">
        <v>6</v>
      </c>
      <c r="K484" s="20" t="s">
        <v>137</v>
      </c>
      <c r="L484" s="20" t="s">
        <v>137</v>
      </c>
      <c r="M484" s="20" t="s">
        <v>721</v>
      </c>
      <c r="Q484" s="24" t="s">
        <v>680</v>
      </c>
    </row>
    <row r="485" spans="1:17" hidden="1" x14ac:dyDescent="0.3">
      <c r="A485" s="20">
        <f t="shared" si="7"/>
        <v>484</v>
      </c>
      <c r="B485" s="21" t="s">
        <v>87</v>
      </c>
      <c r="C485" s="21" t="s">
        <v>97</v>
      </c>
      <c r="D485" s="22" t="str">
        <f>IF($C485="","",IFERROR(VLOOKUP($C485,Map_Register!$A$2:$C$5,3,FALSE()),""))</f>
        <v>Toponym Labels</v>
      </c>
      <c r="E485" s="21" t="s">
        <v>15</v>
      </c>
      <c r="F485" s="23">
        <v>140903</v>
      </c>
      <c r="G485" s="20" t="s">
        <v>719</v>
      </c>
      <c r="H485" s="20" t="s">
        <v>1192</v>
      </c>
      <c r="I485" t="s">
        <v>697</v>
      </c>
      <c r="J485" s="20" t="s">
        <v>6</v>
      </c>
      <c r="K485" s="20" t="s">
        <v>137</v>
      </c>
      <c r="L485" s="20" t="s">
        <v>137</v>
      </c>
      <c r="M485" s="20" t="s">
        <v>721</v>
      </c>
      <c r="Q485" s="24" t="s">
        <v>680</v>
      </c>
    </row>
    <row r="486" spans="1:17" hidden="1" x14ac:dyDescent="0.3">
      <c r="A486" s="20">
        <f t="shared" si="7"/>
        <v>485</v>
      </c>
      <c r="B486" s="21" t="s">
        <v>87</v>
      </c>
      <c r="C486" s="21" t="s">
        <v>97</v>
      </c>
      <c r="D486" s="22" t="str">
        <f>IF($C486="","",IFERROR(VLOOKUP($C486,Map_Register!$A$2:$C$5,3,FALSE()),""))</f>
        <v>Toponym Labels</v>
      </c>
      <c r="E486" s="21" t="s">
        <v>15</v>
      </c>
      <c r="F486" s="23">
        <v>140904</v>
      </c>
      <c r="G486" s="20" t="s">
        <v>719</v>
      </c>
      <c r="H486" s="20" t="s">
        <v>1193</v>
      </c>
      <c r="I486" t="s">
        <v>697</v>
      </c>
      <c r="J486" s="20" t="s">
        <v>6</v>
      </c>
      <c r="K486" s="20" t="s">
        <v>137</v>
      </c>
      <c r="L486" s="20" t="s">
        <v>137</v>
      </c>
      <c r="M486" s="20" t="s">
        <v>721</v>
      </c>
      <c r="Q486" s="24" t="s">
        <v>680</v>
      </c>
    </row>
    <row r="487" spans="1:17" x14ac:dyDescent="0.3">
      <c r="A487" s="20">
        <f t="shared" si="7"/>
        <v>486</v>
      </c>
      <c r="B487" s="21" t="s">
        <v>87</v>
      </c>
      <c r="C487" s="21" t="s">
        <v>97</v>
      </c>
      <c r="D487" s="22" t="str">
        <f>IF($C487="","",IFERROR(VLOOKUP($C487,Map_Register!$A$2:$C$5,3,FALSE()),""))</f>
        <v>Toponym Labels</v>
      </c>
      <c r="E487" s="21" t="s">
        <v>15</v>
      </c>
      <c r="F487" s="23">
        <v>140905</v>
      </c>
      <c r="G487" s="20" t="s">
        <v>719</v>
      </c>
      <c r="H487" s="20" t="s">
        <v>1194</v>
      </c>
      <c r="I487" t="s">
        <v>697</v>
      </c>
      <c r="J487" s="20" t="s">
        <v>8</v>
      </c>
      <c r="K487" t="s">
        <v>107</v>
      </c>
      <c r="L487" t="s">
        <v>108</v>
      </c>
      <c r="M487" s="20" t="s">
        <v>1126</v>
      </c>
      <c r="N487" s="20" t="s">
        <v>108</v>
      </c>
      <c r="Q487" s="24" t="s">
        <v>680</v>
      </c>
    </row>
    <row r="488" spans="1:17" x14ac:dyDescent="0.3">
      <c r="A488" s="20">
        <f t="shared" si="7"/>
        <v>487</v>
      </c>
      <c r="B488" s="21" t="s">
        <v>87</v>
      </c>
      <c r="C488" s="21" t="s">
        <v>97</v>
      </c>
      <c r="D488" s="22" t="str">
        <f>IF($C488="","",IFERROR(VLOOKUP($C488,Map_Register!$A$2:$C$5,3,FALSE()),""))</f>
        <v>Toponym Labels</v>
      </c>
      <c r="E488" s="21" t="s">
        <v>15</v>
      </c>
      <c r="F488" s="23">
        <v>140906</v>
      </c>
      <c r="G488" s="20" t="s">
        <v>719</v>
      </c>
      <c r="H488" s="20" t="s">
        <v>1195</v>
      </c>
      <c r="I488" t="s">
        <v>697</v>
      </c>
      <c r="J488" s="20" t="s">
        <v>8</v>
      </c>
      <c r="K488" t="s">
        <v>107</v>
      </c>
      <c r="L488" t="s">
        <v>108</v>
      </c>
      <c r="M488" s="20" t="s">
        <v>1126</v>
      </c>
      <c r="N488" s="20" t="s">
        <v>108</v>
      </c>
      <c r="Q488" s="24" t="s">
        <v>680</v>
      </c>
    </row>
    <row r="489" spans="1:17" hidden="1" x14ac:dyDescent="0.3">
      <c r="A489" s="20">
        <f t="shared" si="7"/>
        <v>488</v>
      </c>
      <c r="B489" s="21" t="s">
        <v>87</v>
      </c>
      <c r="C489" s="21" t="s">
        <v>97</v>
      </c>
      <c r="D489" s="22" t="str">
        <f>IF($C489="","",IFERROR(VLOOKUP($C489,Map_Register!$A$2:$C$5,3,FALSE()),""))</f>
        <v>Toponym Labels</v>
      </c>
      <c r="E489" s="21" t="s">
        <v>15</v>
      </c>
      <c r="F489" s="23">
        <v>141206</v>
      </c>
      <c r="G489" s="20" t="s">
        <v>719</v>
      </c>
      <c r="H489" s="20" t="s">
        <v>1196</v>
      </c>
      <c r="I489" t="s">
        <v>697</v>
      </c>
      <c r="J489" s="20" t="s">
        <v>6</v>
      </c>
      <c r="K489" s="20" t="s">
        <v>137</v>
      </c>
      <c r="L489" s="20" t="s">
        <v>137</v>
      </c>
      <c r="M489" s="20" t="s">
        <v>721</v>
      </c>
      <c r="Q489" s="24" t="s">
        <v>680</v>
      </c>
    </row>
    <row r="490" spans="1:17" hidden="1" x14ac:dyDescent="0.3">
      <c r="A490" s="20">
        <f t="shared" si="7"/>
        <v>489</v>
      </c>
      <c r="B490" s="21" t="s">
        <v>87</v>
      </c>
      <c r="C490" s="21" t="s">
        <v>97</v>
      </c>
      <c r="D490" s="22" t="str">
        <f>IF($C490="","",IFERROR(VLOOKUP($C490,Map_Register!$A$2:$C$5,3,FALSE()),""))</f>
        <v>Toponym Labels</v>
      </c>
      <c r="E490" s="21" t="s">
        <v>15</v>
      </c>
      <c r="F490" s="23">
        <v>141207</v>
      </c>
      <c r="G490" s="20" t="s">
        <v>719</v>
      </c>
      <c r="H490" s="20" t="s">
        <v>759</v>
      </c>
      <c r="I490" t="s">
        <v>697</v>
      </c>
      <c r="J490" s="20" t="s">
        <v>6</v>
      </c>
      <c r="K490" s="20" t="s">
        <v>137</v>
      </c>
      <c r="L490" s="20" t="s">
        <v>137</v>
      </c>
      <c r="M490" s="20" t="s">
        <v>721</v>
      </c>
      <c r="Q490" s="24" t="s">
        <v>680</v>
      </c>
    </row>
    <row r="491" spans="1:17" x14ac:dyDescent="0.3">
      <c r="A491" s="20">
        <f t="shared" si="7"/>
        <v>490</v>
      </c>
      <c r="B491" s="21" t="s">
        <v>87</v>
      </c>
      <c r="C491" s="21" t="s">
        <v>97</v>
      </c>
      <c r="D491" s="22" t="str">
        <f>IF($C491="","",IFERROR(VLOOKUP($C491,Map_Register!$A$2:$C$5,3,FALSE()),""))</f>
        <v>Toponym Labels</v>
      </c>
      <c r="E491" s="21" t="s">
        <v>15</v>
      </c>
      <c r="F491" s="23">
        <v>141208</v>
      </c>
      <c r="G491" s="20" t="s">
        <v>719</v>
      </c>
      <c r="H491" s="20" t="s">
        <v>1197</v>
      </c>
      <c r="I491" t="s">
        <v>697</v>
      </c>
      <c r="J491" s="20" t="s">
        <v>8</v>
      </c>
      <c r="K491" t="s">
        <v>107</v>
      </c>
      <c r="L491" t="s">
        <v>108</v>
      </c>
      <c r="M491" s="20" t="s">
        <v>1126</v>
      </c>
      <c r="N491" s="20" t="s">
        <v>108</v>
      </c>
      <c r="Q491" s="24" t="s">
        <v>680</v>
      </c>
    </row>
    <row r="492" spans="1:17" x14ac:dyDescent="0.3">
      <c r="A492" s="20">
        <f t="shared" si="7"/>
        <v>491</v>
      </c>
      <c r="B492" s="21" t="s">
        <v>87</v>
      </c>
      <c r="C492" s="21" t="s">
        <v>97</v>
      </c>
      <c r="D492" s="22" t="str">
        <f>IF($C492="","",IFERROR(VLOOKUP($C492,Map_Register!$A$2:$C$5,3,FALSE()),""))</f>
        <v>Toponym Labels</v>
      </c>
      <c r="E492" s="21" t="s">
        <v>15</v>
      </c>
      <c r="F492" s="23">
        <v>141209</v>
      </c>
      <c r="G492" s="20" t="s">
        <v>719</v>
      </c>
      <c r="H492" s="20" t="s">
        <v>1198</v>
      </c>
      <c r="I492" t="s">
        <v>697</v>
      </c>
      <c r="J492" s="20" t="s">
        <v>8</v>
      </c>
      <c r="K492" t="s">
        <v>107</v>
      </c>
      <c r="L492" t="s">
        <v>108</v>
      </c>
      <c r="M492" s="20" t="s">
        <v>1126</v>
      </c>
      <c r="N492" s="20" t="s">
        <v>108</v>
      </c>
      <c r="Q492" s="24" t="s">
        <v>680</v>
      </c>
    </row>
    <row r="493" spans="1:17" x14ac:dyDescent="0.3">
      <c r="A493" s="20">
        <f t="shared" si="7"/>
        <v>492</v>
      </c>
      <c r="B493" s="21" t="s">
        <v>87</v>
      </c>
      <c r="C493" s="21" t="s">
        <v>97</v>
      </c>
      <c r="D493" s="22" t="str">
        <f>IF($C493="","",IFERROR(VLOOKUP($C493,Map_Register!$A$2:$C$5,3,FALSE()),""))</f>
        <v>Toponym Labels</v>
      </c>
      <c r="E493" s="21" t="s">
        <v>15</v>
      </c>
      <c r="F493" s="23">
        <v>141210</v>
      </c>
      <c r="G493" s="20" t="s">
        <v>719</v>
      </c>
      <c r="H493" s="20" t="s">
        <v>1199</v>
      </c>
      <c r="I493" t="s">
        <v>697</v>
      </c>
      <c r="J493" s="20" t="s">
        <v>8</v>
      </c>
      <c r="K493" t="s">
        <v>107</v>
      </c>
      <c r="L493" t="s">
        <v>108</v>
      </c>
      <c r="M493" s="20" t="s">
        <v>1126</v>
      </c>
      <c r="N493" s="20" t="s">
        <v>108</v>
      </c>
      <c r="Q493" s="24" t="s">
        <v>680</v>
      </c>
    </row>
    <row r="494" spans="1:17" hidden="1" x14ac:dyDescent="0.3">
      <c r="A494" s="20">
        <f t="shared" si="7"/>
        <v>493</v>
      </c>
      <c r="B494" s="21" t="s">
        <v>87</v>
      </c>
      <c r="C494" s="21" t="s">
        <v>97</v>
      </c>
      <c r="D494" s="22" t="str">
        <f>IF($C494="","",IFERROR(VLOOKUP($C494,Map_Register!$A$2:$C$5,3,FALSE()),""))</f>
        <v>Toponym Labels</v>
      </c>
      <c r="E494" s="21" t="s">
        <v>15</v>
      </c>
      <c r="F494" s="23">
        <v>141230</v>
      </c>
      <c r="G494" s="20" t="s">
        <v>719</v>
      </c>
      <c r="H494" s="20" t="s">
        <v>1200</v>
      </c>
      <c r="I494" t="s">
        <v>697</v>
      </c>
      <c r="J494" s="20" t="s">
        <v>6</v>
      </c>
      <c r="K494" s="20" t="s">
        <v>137</v>
      </c>
      <c r="L494" s="20" t="s">
        <v>137</v>
      </c>
      <c r="M494" s="20" t="s">
        <v>721</v>
      </c>
      <c r="Q494" s="24" t="s">
        <v>680</v>
      </c>
    </row>
    <row r="495" spans="1:17" x14ac:dyDescent="0.3">
      <c r="A495" s="20">
        <f t="shared" si="7"/>
        <v>494</v>
      </c>
      <c r="B495" s="21" t="s">
        <v>87</v>
      </c>
      <c r="C495" s="21" t="s">
        <v>97</v>
      </c>
      <c r="D495" s="22" t="str">
        <f>IF($C495="","",IFERROR(VLOOKUP($C495,Map_Register!$A$2:$C$5,3,FALSE()),""))</f>
        <v>Toponym Labels</v>
      </c>
      <c r="E495" s="21" t="s">
        <v>15</v>
      </c>
      <c r="F495" s="23">
        <v>142517</v>
      </c>
      <c r="G495" s="20" t="s">
        <v>719</v>
      </c>
      <c r="H495" s="20" t="s">
        <v>1201</v>
      </c>
      <c r="I495" t="s">
        <v>697</v>
      </c>
      <c r="J495" s="20" t="s">
        <v>8</v>
      </c>
      <c r="K495" t="s">
        <v>107</v>
      </c>
      <c r="L495" t="s">
        <v>108</v>
      </c>
      <c r="M495" s="20" t="s">
        <v>1126</v>
      </c>
      <c r="N495" s="20" t="s">
        <v>108</v>
      </c>
      <c r="Q495" s="24" t="s">
        <v>680</v>
      </c>
    </row>
    <row r="496" spans="1:17" x14ac:dyDescent="0.3">
      <c r="A496" s="20">
        <f t="shared" si="7"/>
        <v>495</v>
      </c>
      <c r="B496" s="21" t="s">
        <v>87</v>
      </c>
      <c r="C496" s="21" t="s">
        <v>97</v>
      </c>
      <c r="D496" s="22" t="str">
        <f>IF($C496="","",IFERROR(VLOOKUP($C496,Map_Register!$A$2:$C$5,3,FALSE()),""))</f>
        <v>Toponym Labels</v>
      </c>
      <c r="E496" s="21" t="s">
        <v>15</v>
      </c>
      <c r="F496" s="23">
        <v>142518</v>
      </c>
      <c r="G496" s="20" t="s">
        <v>719</v>
      </c>
      <c r="H496" s="20" t="s">
        <v>1202</v>
      </c>
      <c r="I496" t="s">
        <v>697</v>
      </c>
      <c r="J496" s="20" t="s">
        <v>8</v>
      </c>
      <c r="K496" t="s">
        <v>107</v>
      </c>
      <c r="L496" t="s">
        <v>108</v>
      </c>
      <c r="M496" s="20" t="s">
        <v>1126</v>
      </c>
      <c r="N496" s="20" t="s">
        <v>108</v>
      </c>
      <c r="Q496" s="24" t="s">
        <v>680</v>
      </c>
    </row>
    <row r="497" spans="1:17" hidden="1" x14ac:dyDescent="0.3">
      <c r="A497" s="20">
        <f t="shared" si="7"/>
        <v>496</v>
      </c>
      <c r="B497" s="21" t="s">
        <v>87</v>
      </c>
      <c r="C497" s="21" t="s">
        <v>97</v>
      </c>
      <c r="D497" s="22" t="str">
        <f>IF($C497="","",IFERROR(VLOOKUP($C497,Map_Register!$A$2:$C$5,3,FALSE()),""))</f>
        <v>Toponym Labels</v>
      </c>
      <c r="E497" s="21" t="s">
        <v>15</v>
      </c>
      <c r="F497" s="23">
        <v>142519</v>
      </c>
      <c r="G497" s="20" t="s">
        <v>719</v>
      </c>
      <c r="H497" s="20" t="s">
        <v>1203</v>
      </c>
      <c r="I497" t="s">
        <v>697</v>
      </c>
      <c r="J497" s="20" t="s">
        <v>6</v>
      </c>
      <c r="K497" s="20" t="s">
        <v>137</v>
      </c>
      <c r="L497" s="20" t="s">
        <v>137</v>
      </c>
      <c r="M497" s="20" t="s">
        <v>721</v>
      </c>
      <c r="Q497" s="24" t="s">
        <v>680</v>
      </c>
    </row>
    <row r="498" spans="1:17" hidden="1" x14ac:dyDescent="0.3">
      <c r="A498" s="20">
        <f t="shared" si="7"/>
        <v>497</v>
      </c>
      <c r="B498" s="21" t="s">
        <v>87</v>
      </c>
      <c r="C498" s="21" t="s">
        <v>97</v>
      </c>
      <c r="D498" s="22" t="str">
        <f>IF($C498="","",IFERROR(VLOOKUP($C498,Map_Register!$A$2:$C$5,3,FALSE()),""))</f>
        <v>Toponym Labels</v>
      </c>
      <c r="E498" s="21" t="s">
        <v>15</v>
      </c>
      <c r="F498" s="23">
        <v>142520</v>
      </c>
      <c r="G498" s="20" t="s">
        <v>719</v>
      </c>
      <c r="H498" s="20" t="s">
        <v>1204</v>
      </c>
      <c r="I498" t="s">
        <v>697</v>
      </c>
      <c r="J498" s="20" t="s">
        <v>8</v>
      </c>
      <c r="K498" t="s">
        <v>107</v>
      </c>
      <c r="L498" t="s">
        <v>107</v>
      </c>
      <c r="M498" s="20" t="s">
        <v>683</v>
      </c>
      <c r="N498" s="20" t="s">
        <v>108</v>
      </c>
      <c r="Q498" s="24" t="s">
        <v>680</v>
      </c>
    </row>
    <row r="499" spans="1:17" x14ac:dyDescent="0.3">
      <c r="A499" s="20">
        <f t="shared" si="7"/>
        <v>498</v>
      </c>
      <c r="B499" s="21" t="s">
        <v>87</v>
      </c>
      <c r="C499" s="21" t="s">
        <v>97</v>
      </c>
      <c r="D499" s="22" t="str">
        <f>IF($C499="","",IFERROR(VLOOKUP($C499,Map_Register!$A$2:$C$5,3,FALSE()),""))</f>
        <v>Toponym Labels</v>
      </c>
      <c r="E499" s="21" t="s">
        <v>15</v>
      </c>
      <c r="F499" s="23">
        <v>142938</v>
      </c>
      <c r="G499" s="20" t="s">
        <v>719</v>
      </c>
      <c r="H499" s="20" t="s">
        <v>1205</v>
      </c>
      <c r="I499" t="s">
        <v>697</v>
      </c>
      <c r="J499" s="20" t="s">
        <v>8</v>
      </c>
      <c r="K499" t="s">
        <v>107</v>
      </c>
      <c r="L499" t="s">
        <v>108</v>
      </c>
      <c r="M499" s="20" t="s">
        <v>1126</v>
      </c>
      <c r="N499" s="20" t="s">
        <v>108</v>
      </c>
      <c r="Q499" s="24" t="s">
        <v>680</v>
      </c>
    </row>
    <row r="500" spans="1:17" x14ac:dyDescent="0.3">
      <c r="A500" s="20">
        <f t="shared" si="7"/>
        <v>499</v>
      </c>
      <c r="B500" s="21" t="s">
        <v>87</v>
      </c>
      <c r="C500" s="21" t="s">
        <v>97</v>
      </c>
      <c r="D500" s="22" t="str">
        <f>IF($C500="","",IFERROR(VLOOKUP($C500,Map_Register!$A$2:$C$5,3,FALSE()),""))</f>
        <v>Toponym Labels</v>
      </c>
      <c r="E500" s="21" t="s">
        <v>15</v>
      </c>
      <c r="F500" s="23">
        <v>144526</v>
      </c>
      <c r="G500" s="20" t="s">
        <v>719</v>
      </c>
      <c r="H500" s="20" t="s">
        <v>1206</v>
      </c>
      <c r="I500" t="s">
        <v>697</v>
      </c>
      <c r="J500" s="20" t="s">
        <v>8</v>
      </c>
      <c r="K500" t="s">
        <v>107</v>
      </c>
      <c r="L500" t="s">
        <v>108</v>
      </c>
      <c r="M500" s="20" t="s">
        <v>1126</v>
      </c>
      <c r="N500" s="20" t="s">
        <v>108</v>
      </c>
      <c r="Q500" s="24" t="s">
        <v>680</v>
      </c>
    </row>
    <row r="501" spans="1:17" x14ac:dyDescent="0.3">
      <c r="A501" s="20">
        <f t="shared" si="7"/>
        <v>500</v>
      </c>
      <c r="B501" s="21" t="s">
        <v>87</v>
      </c>
      <c r="C501" s="21" t="s">
        <v>97</v>
      </c>
      <c r="D501" s="22" t="str">
        <f>IF($C501="","",IFERROR(VLOOKUP($C501,Map_Register!$A$2:$C$5,3,FALSE()),""))</f>
        <v>Toponym Labels</v>
      </c>
      <c r="E501" s="21" t="s">
        <v>15</v>
      </c>
      <c r="F501" s="23">
        <v>144527</v>
      </c>
      <c r="G501" s="20" t="s">
        <v>719</v>
      </c>
      <c r="H501" s="20" t="s">
        <v>1207</v>
      </c>
      <c r="I501" t="s">
        <v>697</v>
      </c>
      <c r="J501" s="20" t="s">
        <v>8</v>
      </c>
      <c r="K501" t="s">
        <v>107</v>
      </c>
      <c r="L501" t="s">
        <v>108</v>
      </c>
      <c r="M501" s="20" t="s">
        <v>1126</v>
      </c>
      <c r="N501" s="20" t="s">
        <v>108</v>
      </c>
      <c r="Q501" s="24" t="s">
        <v>680</v>
      </c>
    </row>
    <row r="502" spans="1:17" x14ac:dyDescent="0.3">
      <c r="A502" s="20">
        <f t="shared" si="7"/>
        <v>501</v>
      </c>
      <c r="B502" s="21" t="s">
        <v>87</v>
      </c>
      <c r="C502" s="21" t="s">
        <v>97</v>
      </c>
      <c r="D502" s="22" t="str">
        <f>IF($C502="","",IFERROR(VLOOKUP($C502,Map_Register!$A$2:$C$5,3,FALSE()),""))</f>
        <v>Toponym Labels</v>
      </c>
      <c r="E502" s="21" t="s">
        <v>15</v>
      </c>
      <c r="F502" s="23">
        <v>144528</v>
      </c>
      <c r="G502" s="20" t="s">
        <v>719</v>
      </c>
      <c r="H502" s="20" t="s">
        <v>1208</v>
      </c>
      <c r="I502" t="s">
        <v>697</v>
      </c>
      <c r="J502" s="20" t="s">
        <v>8</v>
      </c>
      <c r="K502" t="s">
        <v>107</v>
      </c>
      <c r="L502" t="s">
        <v>108</v>
      </c>
      <c r="M502" s="20" t="s">
        <v>1126</v>
      </c>
      <c r="N502" s="20" t="s">
        <v>108</v>
      </c>
      <c r="Q502" s="24" t="s">
        <v>680</v>
      </c>
    </row>
    <row r="503" spans="1:17" x14ac:dyDescent="0.3">
      <c r="A503" s="20">
        <f t="shared" si="7"/>
        <v>502</v>
      </c>
      <c r="B503" s="21" t="s">
        <v>87</v>
      </c>
      <c r="C503" s="21" t="s">
        <v>97</v>
      </c>
      <c r="D503" s="22" t="str">
        <f>IF($C503="","",IFERROR(VLOOKUP($C503,Map_Register!$A$2:$C$5,3,FALSE()),""))</f>
        <v>Toponym Labels</v>
      </c>
      <c r="E503" s="21" t="s">
        <v>15</v>
      </c>
      <c r="F503" s="23">
        <v>144529</v>
      </c>
      <c r="G503" s="20" t="s">
        <v>719</v>
      </c>
      <c r="H503" s="20" t="s">
        <v>1209</v>
      </c>
      <c r="I503" t="s">
        <v>697</v>
      </c>
      <c r="J503" s="20" t="s">
        <v>8</v>
      </c>
      <c r="K503" t="s">
        <v>107</v>
      </c>
      <c r="L503" t="s">
        <v>108</v>
      </c>
      <c r="M503" s="20" t="s">
        <v>1126</v>
      </c>
      <c r="N503" s="20" t="s">
        <v>108</v>
      </c>
      <c r="Q503" s="24" t="s">
        <v>680</v>
      </c>
    </row>
    <row r="504" spans="1:17" x14ac:dyDescent="0.3">
      <c r="A504" s="20">
        <f t="shared" si="7"/>
        <v>503</v>
      </c>
      <c r="B504" s="21" t="s">
        <v>87</v>
      </c>
      <c r="C504" s="21" t="s">
        <v>97</v>
      </c>
      <c r="D504" s="22" t="str">
        <f>IF($C504="","",IFERROR(VLOOKUP($C504,Map_Register!$A$2:$C$5,3,FALSE()),""))</f>
        <v>Toponym Labels</v>
      </c>
      <c r="E504" s="21" t="s">
        <v>15</v>
      </c>
      <c r="F504" s="23">
        <v>144530</v>
      </c>
      <c r="G504" s="20" t="s">
        <v>719</v>
      </c>
      <c r="H504" s="20" t="s">
        <v>1210</v>
      </c>
      <c r="I504" t="s">
        <v>697</v>
      </c>
      <c r="J504" s="20" t="s">
        <v>8</v>
      </c>
      <c r="K504" t="s">
        <v>107</v>
      </c>
      <c r="L504" t="s">
        <v>108</v>
      </c>
      <c r="M504" s="20" t="s">
        <v>1126</v>
      </c>
      <c r="N504" s="20" t="s">
        <v>108</v>
      </c>
      <c r="Q504" s="24" t="s">
        <v>680</v>
      </c>
    </row>
    <row r="505" spans="1:17" x14ac:dyDescent="0.3">
      <c r="A505" s="20">
        <f t="shared" si="7"/>
        <v>504</v>
      </c>
      <c r="B505" s="21" t="s">
        <v>87</v>
      </c>
      <c r="C505" s="21" t="s">
        <v>97</v>
      </c>
      <c r="D505" s="22" t="str">
        <f>IF($C505="","",IFERROR(VLOOKUP($C505,Map_Register!$A$2:$C$5,3,FALSE()),""))</f>
        <v>Toponym Labels</v>
      </c>
      <c r="E505" s="21" t="s">
        <v>15</v>
      </c>
      <c r="F505" s="23">
        <v>144536</v>
      </c>
      <c r="G505" s="20" t="s">
        <v>719</v>
      </c>
      <c r="H505" s="20" t="s">
        <v>1211</v>
      </c>
      <c r="I505" t="s">
        <v>697</v>
      </c>
      <c r="J505" s="20" t="s">
        <v>8</v>
      </c>
      <c r="K505" t="s">
        <v>107</v>
      </c>
      <c r="L505" t="s">
        <v>108</v>
      </c>
      <c r="M505" s="20" t="s">
        <v>1126</v>
      </c>
      <c r="N505" s="20" t="s">
        <v>108</v>
      </c>
      <c r="Q505" s="24" t="s">
        <v>680</v>
      </c>
    </row>
    <row r="506" spans="1:17" x14ac:dyDescent="0.3">
      <c r="A506" s="20">
        <f t="shared" si="7"/>
        <v>505</v>
      </c>
      <c r="B506" s="21" t="s">
        <v>87</v>
      </c>
      <c r="C506" s="21" t="s">
        <v>97</v>
      </c>
      <c r="D506" s="22" t="str">
        <f>IF($C506="","",IFERROR(VLOOKUP($C506,Map_Register!$A$2:$C$5,3,FALSE()),""))</f>
        <v>Toponym Labels</v>
      </c>
      <c r="E506" s="21" t="s">
        <v>15</v>
      </c>
      <c r="F506" s="23">
        <v>144735</v>
      </c>
      <c r="G506" s="20" t="s">
        <v>719</v>
      </c>
      <c r="H506" s="20" t="s">
        <v>1212</v>
      </c>
      <c r="I506" t="s">
        <v>697</v>
      </c>
      <c r="J506" s="20" t="s">
        <v>8</v>
      </c>
      <c r="K506" t="s">
        <v>107</v>
      </c>
      <c r="L506" t="s">
        <v>108</v>
      </c>
      <c r="M506" s="20" t="s">
        <v>1126</v>
      </c>
      <c r="N506" s="20" t="s">
        <v>108</v>
      </c>
      <c r="Q506" s="24" t="s">
        <v>680</v>
      </c>
    </row>
    <row r="507" spans="1:17" x14ac:dyDescent="0.3">
      <c r="A507" s="20">
        <f t="shared" si="7"/>
        <v>506</v>
      </c>
      <c r="B507" s="21" t="s">
        <v>87</v>
      </c>
      <c r="C507" s="21" t="s">
        <v>97</v>
      </c>
      <c r="D507" s="22" t="str">
        <f>IF($C507="","",IFERROR(VLOOKUP($C507,Map_Register!$A$2:$C$5,3,FALSE()),""))</f>
        <v>Toponym Labels</v>
      </c>
      <c r="E507" s="21" t="s">
        <v>15</v>
      </c>
      <c r="F507" s="23">
        <v>144736</v>
      </c>
      <c r="G507" s="20" t="s">
        <v>719</v>
      </c>
      <c r="H507" s="20" t="s">
        <v>1213</v>
      </c>
      <c r="I507" t="s">
        <v>697</v>
      </c>
      <c r="J507" s="20" t="s">
        <v>8</v>
      </c>
      <c r="K507" t="s">
        <v>107</v>
      </c>
      <c r="L507" t="s">
        <v>108</v>
      </c>
      <c r="M507" s="20" t="s">
        <v>1126</v>
      </c>
      <c r="N507" s="20" t="s">
        <v>108</v>
      </c>
      <c r="Q507" s="24" t="s">
        <v>680</v>
      </c>
    </row>
    <row r="508" spans="1:17" x14ac:dyDescent="0.3">
      <c r="A508" s="20">
        <f t="shared" si="7"/>
        <v>507</v>
      </c>
      <c r="B508" s="21" t="s">
        <v>87</v>
      </c>
      <c r="C508" s="21" t="s">
        <v>97</v>
      </c>
      <c r="D508" s="22" t="str">
        <f>IF($C508="","",IFERROR(VLOOKUP($C508,Map_Register!$A$2:$C$5,3,FALSE()),""))</f>
        <v>Toponym Labels</v>
      </c>
      <c r="E508" s="21" t="s">
        <v>15</v>
      </c>
      <c r="F508" s="23">
        <v>144737</v>
      </c>
      <c r="G508" s="20" t="s">
        <v>719</v>
      </c>
      <c r="H508" s="20" t="s">
        <v>1214</v>
      </c>
      <c r="I508" t="s">
        <v>697</v>
      </c>
      <c r="J508" s="20" t="s">
        <v>8</v>
      </c>
      <c r="K508" t="s">
        <v>107</v>
      </c>
      <c r="L508" t="s">
        <v>108</v>
      </c>
      <c r="M508" s="20" t="s">
        <v>1126</v>
      </c>
      <c r="N508" s="20" t="s">
        <v>108</v>
      </c>
      <c r="Q508" s="24" t="s">
        <v>680</v>
      </c>
    </row>
    <row r="509" spans="1:17" hidden="1" x14ac:dyDescent="0.3">
      <c r="A509" s="20">
        <f t="shared" si="7"/>
        <v>508</v>
      </c>
      <c r="B509" s="21" t="s">
        <v>87</v>
      </c>
      <c r="C509" s="21" t="s">
        <v>97</v>
      </c>
      <c r="D509" s="22" t="str">
        <f>IF($C509="","",IFERROR(VLOOKUP($C509,Map_Register!$A$2:$C$5,3,FALSE()),""))</f>
        <v>Toponym Labels</v>
      </c>
      <c r="E509" s="21" t="s">
        <v>15</v>
      </c>
      <c r="F509" s="23">
        <v>144738</v>
      </c>
      <c r="G509" s="20" t="s">
        <v>719</v>
      </c>
      <c r="H509" s="20" t="s">
        <v>996</v>
      </c>
      <c r="I509" t="s">
        <v>697</v>
      </c>
      <c r="J509" s="20" t="s">
        <v>6</v>
      </c>
      <c r="K509" s="20" t="s">
        <v>137</v>
      </c>
      <c r="L509" s="20" t="s">
        <v>137</v>
      </c>
      <c r="M509" s="20" t="s">
        <v>721</v>
      </c>
      <c r="Q509" s="24" t="s">
        <v>680</v>
      </c>
    </row>
    <row r="510" spans="1:17" x14ac:dyDescent="0.3">
      <c r="A510" s="20">
        <f t="shared" si="7"/>
        <v>509</v>
      </c>
      <c r="B510" s="21" t="s">
        <v>87</v>
      </c>
      <c r="C510" s="21" t="s">
        <v>97</v>
      </c>
      <c r="D510" s="22" t="str">
        <f>IF($C510="","",IFERROR(VLOOKUP($C510,Map_Register!$A$2:$C$5,3,FALSE()),""))</f>
        <v>Toponym Labels</v>
      </c>
      <c r="E510" s="21" t="s">
        <v>15</v>
      </c>
      <c r="F510" s="23">
        <v>145723</v>
      </c>
      <c r="G510" s="20" t="s">
        <v>719</v>
      </c>
      <c r="H510" s="20" t="s">
        <v>1215</v>
      </c>
      <c r="I510" t="s">
        <v>697</v>
      </c>
      <c r="J510" s="20" t="s">
        <v>8</v>
      </c>
      <c r="K510" t="s">
        <v>107</v>
      </c>
      <c r="L510" t="s">
        <v>108</v>
      </c>
      <c r="M510" s="20" t="s">
        <v>1126</v>
      </c>
      <c r="N510" s="20" t="s">
        <v>108</v>
      </c>
      <c r="Q510" s="24" t="s">
        <v>680</v>
      </c>
    </row>
    <row r="511" spans="1:17" hidden="1" x14ac:dyDescent="0.3">
      <c r="A511" s="20">
        <f t="shared" si="7"/>
        <v>510</v>
      </c>
      <c r="B511" s="21" t="s">
        <v>87</v>
      </c>
      <c r="C511" s="21" t="s">
        <v>97</v>
      </c>
      <c r="D511" s="22" t="str">
        <f>IF($C511="","",IFERROR(VLOOKUP($C511,Map_Register!$A$2:$C$5,3,FALSE()),""))</f>
        <v>Toponym Labels</v>
      </c>
      <c r="E511" s="21" t="s">
        <v>15</v>
      </c>
      <c r="F511" s="23">
        <v>146112</v>
      </c>
      <c r="G511" s="20" t="s">
        <v>719</v>
      </c>
      <c r="H511" s="20" t="s">
        <v>1216</v>
      </c>
      <c r="I511" t="s">
        <v>697</v>
      </c>
      <c r="J511" s="20" t="s">
        <v>6</v>
      </c>
      <c r="K511" s="20" t="s">
        <v>137</v>
      </c>
      <c r="L511" s="20" t="s">
        <v>137</v>
      </c>
      <c r="M511" s="20" t="s">
        <v>721</v>
      </c>
      <c r="Q511" s="24" t="s">
        <v>680</v>
      </c>
    </row>
    <row r="512" spans="1:17" hidden="1" x14ac:dyDescent="0.3">
      <c r="A512" s="20">
        <f t="shared" si="7"/>
        <v>511</v>
      </c>
      <c r="B512" s="21" t="s">
        <v>87</v>
      </c>
      <c r="C512" s="21" t="s">
        <v>97</v>
      </c>
      <c r="D512" s="22" t="str">
        <f>IF($C512="","",IFERROR(VLOOKUP($C512,Map_Register!$A$2:$C$5,3,FALSE()),""))</f>
        <v>Toponym Labels</v>
      </c>
      <c r="E512" s="21" t="s">
        <v>15</v>
      </c>
      <c r="F512" s="23">
        <v>159434</v>
      </c>
      <c r="G512" s="20" t="s">
        <v>719</v>
      </c>
      <c r="H512" s="20" t="s">
        <v>1217</v>
      </c>
      <c r="I512" t="s">
        <v>697</v>
      </c>
      <c r="J512" s="20" t="s">
        <v>6</v>
      </c>
      <c r="K512" s="20" t="s">
        <v>137</v>
      </c>
      <c r="L512" s="20" t="s">
        <v>137</v>
      </c>
      <c r="M512" s="20" t="s">
        <v>721</v>
      </c>
      <c r="Q512" s="24" t="s">
        <v>680</v>
      </c>
    </row>
    <row r="513" spans="1:17" hidden="1" x14ac:dyDescent="0.3">
      <c r="A513" s="20">
        <f t="shared" si="7"/>
        <v>512</v>
      </c>
      <c r="B513" s="21" t="s">
        <v>87</v>
      </c>
      <c r="C513" s="21" t="s">
        <v>97</v>
      </c>
      <c r="D513" s="22" t="str">
        <f>IF($C513="","",IFERROR(VLOOKUP($C513,Map_Register!$A$2:$C$5,3,FALSE()),""))</f>
        <v>Toponym Labels</v>
      </c>
      <c r="E513" s="21" t="s">
        <v>15</v>
      </c>
      <c r="F513" s="23">
        <v>159435</v>
      </c>
      <c r="G513" s="20" t="s">
        <v>719</v>
      </c>
      <c r="H513" s="20" t="s">
        <v>1218</v>
      </c>
      <c r="I513" t="s">
        <v>697</v>
      </c>
      <c r="J513" s="20" t="s">
        <v>8</v>
      </c>
      <c r="K513" t="s">
        <v>107</v>
      </c>
      <c r="L513" t="s">
        <v>107</v>
      </c>
      <c r="M513" s="20" t="s">
        <v>683</v>
      </c>
      <c r="N513" s="20" t="s">
        <v>108</v>
      </c>
      <c r="Q513" s="24" t="s">
        <v>680</v>
      </c>
    </row>
    <row r="514" spans="1:17" hidden="1" x14ac:dyDescent="0.3">
      <c r="A514" s="20">
        <f t="shared" ref="A514:A577" si="8">IF($B514="","",ROW()-1)</f>
        <v>513</v>
      </c>
      <c r="B514" s="21" t="s">
        <v>87</v>
      </c>
      <c r="C514" s="21" t="s">
        <v>97</v>
      </c>
      <c r="D514" s="22" t="str">
        <f>IF($C514="","",IFERROR(VLOOKUP($C514,Map_Register!$A$2:$C$5,3,FALSE()),""))</f>
        <v>Toponym Labels</v>
      </c>
      <c r="E514" s="21" t="s">
        <v>15</v>
      </c>
      <c r="F514" s="23">
        <v>159436</v>
      </c>
      <c r="G514" s="20" t="s">
        <v>719</v>
      </c>
      <c r="H514" s="20" t="s">
        <v>1219</v>
      </c>
      <c r="I514" t="s">
        <v>697</v>
      </c>
      <c r="J514" s="20" t="s">
        <v>6</v>
      </c>
      <c r="K514" s="20" t="s">
        <v>137</v>
      </c>
      <c r="L514" s="20" t="s">
        <v>137</v>
      </c>
      <c r="M514" s="20" t="s">
        <v>721</v>
      </c>
      <c r="Q514" s="24" t="s">
        <v>680</v>
      </c>
    </row>
    <row r="515" spans="1:17" hidden="1" x14ac:dyDescent="0.3">
      <c r="A515" s="20">
        <f t="shared" si="8"/>
        <v>514</v>
      </c>
      <c r="B515" s="21" t="s">
        <v>87</v>
      </c>
      <c r="C515" s="21" t="s">
        <v>97</v>
      </c>
      <c r="D515" s="22" t="str">
        <f>IF($C515="","",IFERROR(VLOOKUP($C515,Map_Register!$A$2:$C$5,3,FALSE()),""))</f>
        <v>Toponym Labels</v>
      </c>
      <c r="E515" s="21" t="s">
        <v>15</v>
      </c>
      <c r="F515" s="23">
        <v>159437</v>
      </c>
      <c r="G515" s="20" t="s">
        <v>719</v>
      </c>
      <c r="H515" s="20" t="s">
        <v>1220</v>
      </c>
      <c r="I515" t="s">
        <v>697</v>
      </c>
      <c r="J515" s="20" t="s">
        <v>8</v>
      </c>
      <c r="K515" t="s">
        <v>107</v>
      </c>
      <c r="L515" t="s">
        <v>107</v>
      </c>
      <c r="M515" s="20" t="s">
        <v>683</v>
      </c>
      <c r="N515" s="20" t="s">
        <v>108</v>
      </c>
      <c r="Q515" s="24" t="s">
        <v>680</v>
      </c>
    </row>
    <row r="516" spans="1:17" x14ac:dyDescent="0.3">
      <c r="A516" s="20">
        <f t="shared" si="8"/>
        <v>515</v>
      </c>
      <c r="B516" s="21" t="s">
        <v>87</v>
      </c>
      <c r="C516" s="21" t="s">
        <v>97</v>
      </c>
      <c r="D516" s="22" t="str">
        <f>IF($C516="","",IFERROR(VLOOKUP($C516,Map_Register!$A$2:$C$5,3,FALSE()),""))</f>
        <v>Toponym Labels</v>
      </c>
      <c r="E516" s="21" t="s">
        <v>15</v>
      </c>
      <c r="F516" s="23">
        <v>159438</v>
      </c>
      <c r="G516" s="20" t="s">
        <v>719</v>
      </c>
      <c r="H516" s="20" t="s">
        <v>1221</v>
      </c>
      <c r="I516" t="s">
        <v>697</v>
      </c>
      <c r="J516" s="20" t="s">
        <v>8</v>
      </c>
      <c r="K516" t="s">
        <v>107</v>
      </c>
      <c r="L516" t="s">
        <v>108</v>
      </c>
      <c r="M516" s="20" t="s">
        <v>1126</v>
      </c>
      <c r="N516" s="20" t="s">
        <v>108</v>
      </c>
      <c r="Q516" s="24" t="s">
        <v>680</v>
      </c>
    </row>
    <row r="517" spans="1:17" x14ac:dyDescent="0.3">
      <c r="A517" s="20">
        <f t="shared" si="8"/>
        <v>516</v>
      </c>
      <c r="B517" s="21" t="s">
        <v>87</v>
      </c>
      <c r="C517" s="21" t="s">
        <v>97</v>
      </c>
      <c r="D517" s="22" t="str">
        <f>IF($C517="","",IFERROR(VLOOKUP($C517,Map_Register!$A$2:$C$5,3,FALSE()),""))</f>
        <v>Toponym Labels</v>
      </c>
      <c r="E517" s="21" t="s">
        <v>15</v>
      </c>
      <c r="F517" s="23">
        <v>162737</v>
      </c>
      <c r="G517" s="20" t="s">
        <v>719</v>
      </c>
      <c r="H517" s="20" t="s">
        <v>1222</v>
      </c>
      <c r="I517" t="s">
        <v>697</v>
      </c>
      <c r="J517" s="20" t="s">
        <v>8</v>
      </c>
      <c r="K517" t="s">
        <v>107</v>
      </c>
      <c r="L517" t="s">
        <v>108</v>
      </c>
      <c r="M517" s="20" t="s">
        <v>1126</v>
      </c>
      <c r="N517" s="20" t="s">
        <v>108</v>
      </c>
      <c r="Q517" s="24" t="s">
        <v>680</v>
      </c>
    </row>
    <row r="518" spans="1:17" hidden="1" x14ac:dyDescent="0.3">
      <c r="A518" s="20">
        <f t="shared" si="8"/>
        <v>517</v>
      </c>
      <c r="B518" s="21" t="s">
        <v>87</v>
      </c>
      <c r="C518" s="21" t="s">
        <v>97</v>
      </c>
      <c r="D518" s="22" t="str">
        <f>IF($C518="","",IFERROR(VLOOKUP($C518,Map_Register!$A$2:$C$5,3,FALSE()),""))</f>
        <v>Toponym Labels</v>
      </c>
      <c r="E518" s="21" t="s">
        <v>15</v>
      </c>
      <c r="F518" s="23">
        <v>162738</v>
      </c>
      <c r="G518" s="20" t="s">
        <v>719</v>
      </c>
      <c r="H518" s="20" t="s">
        <v>828</v>
      </c>
      <c r="I518" t="s">
        <v>697</v>
      </c>
      <c r="J518" s="20" t="s">
        <v>8</v>
      </c>
      <c r="K518" t="s">
        <v>107</v>
      </c>
      <c r="L518" t="s">
        <v>107</v>
      </c>
      <c r="M518" s="20" t="s">
        <v>683</v>
      </c>
      <c r="N518" s="20" t="s">
        <v>108</v>
      </c>
      <c r="Q518" s="24" t="s">
        <v>680</v>
      </c>
    </row>
    <row r="519" spans="1:17" hidden="1" x14ac:dyDescent="0.3">
      <c r="A519" s="20">
        <f t="shared" si="8"/>
        <v>518</v>
      </c>
      <c r="B519" s="21" t="s">
        <v>87</v>
      </c>
      <c r="C519" s="21" t="s">
        <v>97</v>
      </c>
      <c r="D519" s="22" t="str">
        <f>IF($C519="","",IFERROR(VLOOKUP($C519,Map_Register!$A$2:$C$5,3,FALSE()),""))</f>
        <v>Toponym Labels</v>
      </c>
      <c r="E519" s="21" t="s">
        <v>15</v>
      </c>
      <c r="F519" s="23">
        <v>162739</v>
      </c>
      <c r="G519" s="20" t="s">
        <v>719</v>
      </c>
      <c r="H519" s="20" t="s">
        <v>1223</v>
      </c>
      <c r="I519" t="s">
        <v>697</v>
      </c>
      <c r="J519" s="20" t="s">
        <v>6</v>
      </c>
      <c r="K519" s="20" t="s">
        <v>137</v>
      </c>
      <c r="L519" s="20" t="s">
        <v>137</v>
      </c>
      <c r="M519" s="20" t="s">
        <v>721</v>
      </c>
      <c r="Q519" s="24" t="s">
        <v>680</v>
      </c>
    </row>
    <row r="520" spans="1:17" hidden="1" x14ac:dyDescent="0.3">
      <c r="A520" s="20">
        <f t="shared" si="8"/>
        <v>519</v>
      </c>
      <c r="B520" s="21" t="s">
        <v>87</v>
      </c>
      <c r="C520" s="21" t="s">
        <v>97</v>
      </c>
      <c r="D520" s="22" t="str">
        <f>IF($C520="","",IFERROR(VLOOKUP($C520,Map_Register!$A$2:$C$5,3,FALSE()),""))</f>
        <v>Toponym Labels</v>
      </c>
      <c r="E520" s="21" t="s">
        <v>15</v>
      </c>
      <c r="F520" s="23">
        <v>162740</v>
      </c>
      <c r="G520" s="20" t="s">
        <v>719</v>
      </c>
      <c r="H520" s="20" t="s">
        <v>1224</v>
      </c>
      <c r="I520" t="s">
        <v>697</v>
      </c>
      <c r="J520" s="20" t="s">
        <v>6</v>
      </c>
      <c r="K520" s="20" t="s">
        <v>137</v>
      </c>
      <c r="L520" s="20" t="s">
        <v>137</v>
      </c>
      <c r="M520" s="20" t="s">
        <v>721</v>
      </c>
      <c r="Q520" s="24" t="s">
        <v>680</v>
      </c>
    </row>
    <row r="521" spans="1:17" hidden="1" x14ac:dyDescent="0.3">
      <c r="A521" s="20">
        <f t="shared" si="8"/>
        <v>520</v>
      </c>
      <c r="B521" s="21" t="s">
        <v>87</v>
      </c>
      <c r="C521" s="21" t="s">
        <v>97</v>
      </c>
      <c r="D521" s="22" t="str">
        <f>IF($C521="","",IFERROR(VLOOKUP($C521,Map_Register!$A$2:$C$5,3,FALSE()),""))</f>
        <v>Toponym Labels</v>
      </c>
      <c r="E521" s="21" t="s">
        <v>15</v>
      </c>
      <c r="F521" s="23">
        <v>162741</v>
      </c>
      <c r="G521" s="20" t="s">
        <v>719</v>
      </c>
      <c r="H521" s="20" t="s">
        <v>1225</v>
      </c>
      <c r="I521" t="s">
        <v>697</v>
      </c>
      <c r="J521" s="20" t="s">
        <v>6</v>
      </c>
      <c r="K521" s="20" t="s">
        <v>137</v>
      </c>
      <c r="L521" s="20" t="s">
        <v>137</v>
      </c>
      <c r="M521" s="20" t="s">
        <v>721</v>
      </c>
      <c r="Q521" s="24" t="s">
        <v>680</v>
      </c>
    </row>
    <row r="522" spans="1:17" hidden="1" x14ac:dyDescent="0.3">
      <c r="A522" s="20">
        <f t="shared" si="8"/>
        <v>521</v>
      </c>
      <c r="B522" s="21" t="s">
        <v>87</v>
      </c>
      <c r="C522" s="21" t="s">
        <v>97</v>
      </c>
      <c r="D522" s="22" t="str">
        <f>IF($C522="","",IFERROR(VLOOKUP($C522,Map_Register!$A$2:$C$5,3,FALSE()),""))</f>
        <v>Toponym Labels</v>
      </c>
      <c r="E522" s="21" t="s">
        <v>15</v>
      </c>
      <c r="F522" s="23">
        <v>162746</v>
      </c>
      <c r="G522" s="20" t="s">
        <v>719</v>
      </c>
      <c r="H522" s="20" t="s">
        <v>1226</v>
      </c>
      <c r="I522" t="s">
        <v>697</v>
      </c>
      <c r="J522" s="20" t="s">
        <v>6</v>
      </c>
      <c r="K522" s="20" t="s">
        <v>137</v>
      </c>
      <c r="L522" s="20" t="s">
        <v>137</v>
      </c>
      <c r="M522" s="20" t="s">
        <v>721</v>
      </c>
      <c r="Q522" s="24" t="s">
        <v>680</v>
      </c>
    </row>
    <row r="523" spans="1:17" x14ac:dyDescent="0.3">
      <c r="A523" s="20">
        <f t="shared" si="8"/>
        <v>522</v>
      </c>
      <c r="B523" s="21" t="s">
        <v>87</v>
      </c>
      <c r="C523" s="21" t="s">
        <v>97</v>
      </c>
      <c r="D523" s="22" t="str">
        <f>IF($C523="","",IFERROR(VLOOKUP($C523,Map_Register!$A$2:$C$5,3,FALSE()),""))</f>
        <v>Toponym Labels</v>
      </c>
      <c r="E523" s="21" t="s">
        <v>15</v>
      </c>
      <c r="F523" s="23">
        <v>163792</v>
      </c>
      <c r="G523" s="20" t="s">
        <v>719</v>
      </c>
      <c r="H523" s="20" t="s">
        <v>1227</v>
      </c>
      <c r="I523" t="s">
        <v>697</v>
      </c>
      <c r="J523" s="20" t="s">
        <v>8</v>
      </c>
      <c r="K523" t="s">
        <v>107</v>
      </c>
      <c r="L523" t="s">
        <v>108</v>
      </c>
      <c r="M523" s="20" t="s">
        <v>1126</v>
      </c>
      <c r="N523" s="20" t="s">
        <v>108</v>
      </c>
      <c r="Q523" s="24" t="s">
        <v>680</v>
      </c>
    </row>
    <row r="524" spans="1:17" hidden="1" x14ac:dyDescent="0.3">
      <c r="A524" s="20">
        <f t="shared" si="8"/>
        <v>523</v>
      </c>
      <c r="B524" s="21" t="s">
        <v>87</v>
      </c>
      <c r="C524" s="21" t="s">
        <v>97</v>
      </c>
      <c r="D524" s="22" t="str">
        <f>IF($C524="","",IFERROR(VLOOKUP($C524,Map_Register!$A$2:$C$5,3,FALSE()),""))</f>
        <v>Toponym Labels</v>
      </c>
      <c r="E524" s="21" t="s">
        <v>15</v>
      </c>
      <c r="F524" s="23">
        <v>163793</v>
      </c>
      <c r="G524" s="20" t="s">
        <v>719</v>
      </c>
      <c r="H524" s="20" t="s">
        <v>1228</v>
      </c>
      <c r="I524" t="s">
        <v>697</v>
      </c>
      <c r="J524" s="20" t="s">
        <v>6</v>
      </c>
      <c r="K524" s="20" t="s">
        <v>137</v>
      </c>
      <c r="L524" s="20" t="s">
        <v>137</v>
      </c>
      <c r="M524" s="20" t="s">
        <v>1229</v>
      </c>
      <c r="Q524" s="24" t="s">
        <v>680</v>
      </c>
    </row>
    <row r="525" spans="1:17" x14ac:dyDescent="0.3">
      <c r="A525" s="20">
        <f t="shared" si="8"/>
        <v>524</v>
      </c>
      <c r="B525" s="21" t="s">
        <v>87</v>
      </c>
      <c r="C525" s="21" t="s">
        <v>97</v>
      </c>
      <c r="D525" s="22" t="str">
        <f>IF($C525="","",IFERROR(VLOOKUP($C525,Map_Register!$A$2:$C$5,3,FALSE()),""))</f>
        <v>Toponym Labels</v>
      </c>
      <c r="E525" s="21" t="s">
        <v>15</v>
      </c>
      <c r="F525" s="23">
        <v>163794</v>
      </c>
      <c r="G525" s="20" t="s">
        <v>719</v>
      </c>
      <c r="H525" s="20" t="s">
        <v>1230</v>
      </c>
      <c r="I525" t="s">
        <v>697</v>
      </c>
      <c r="J525" s="20" t="s">
        <v>8</v>
      </c>
      <c r="K525" t="s">
        <v>107</v>
      </c>
      <c r="L525" t="s">
        <v>108</v>
      </c>
      <c r="M525" s="20" t="s">
        <v>1126</v>
      </c>
      <c r="N525" s="20" t="s">
        <v>108</v>
      </c>
      <c r="Q525" s="24" t="s">
        <v>680</v>
      </c>
    </row>
    <row r="526" spans="1:17" hidden="1" x14ac:dyDescent="0.3">
      <c r="A526" s="20">
        <f t="shared" si="8"/>
        <v>525</v>
      </c>
      <c r="B526" s="21" t="s">
        <v>87</v>
      </c>
      <c r="C526" s="21" t="s">
        <v>97</v>
      </c>
      <c r="D526" s="22" t="str">
        <f>IF($C526="","",IFERROR(VLOOKUP($C526,Map_Register!$A$2:$C$5,3,FALSE()),""))</f>
        <v>Toponym Labels</v>
      </c>
      <c r="E526" s="21" t="s">
        <v>15</v>
      </c>
      <c r="F526" s="23">
        <v>163795</v>
      </c>
      <c r="G526" s="20" t="s">
        <v>719</v>
      </c>
      <c r="H526" s="20" t="s">
        <v>1231</v>
      </c>
      <c r="I526" t="s">
        <v>697</v>
      </c>
      <c r="J526" s="20" t="s">
        <v>6</v>
      </c>
      <c r="K526" s="20" t="s">
        <v>137</v>
      </c>
      <c r="L526" s="20" t="s">
        <v>137</v>
      </c>
      <c r="M526" s="20" t="s">
        <v>721</v>
      </c>
      <c r="Q526" s="24" t="s">
        <v>680</v>
      </c>
    </row>
    <row r="527" spans="1:17" hidden="1" x14ac:dyDescent="0.3">
      <c r="A527" s="20">
        <f t="shared" si="8"/>
        <v>526</v>
      </c>
      <c r="B527" s="21" t="s">
        <v>87</v>
      </c>
      <c r="C527" s="21" t="s">
        <v>97</v>
      </c>
      <c r="D527" s="22" t="str">
        <f>IF($C527="","",IFERROR(VLOOKUP($C527,Map_Register!$A$2:$C$5,3,FALSE()),""))</f>
        <v>Toponym Labels</v>
      </c>
      <c r="E527" s="21" t="s">
        <v>15</v>
      </c>
      <c r="F527" s="23">
        <v>163796</v>
      </c>
      <c r="G527" s="20" t="s">
        <v>719</v>
      </c>
      <c r="H527" s="20" t="s">
        <v>1232</v>
      </c>
      <c r="I527" t="s">
        <v>697</v>
      </c>
      <c r="J527" s="20" t="s">
        <v>6</v>
      </c>
      <c r="K527" s="20" t="s">
        <v>137</v>
      </c>
      <c r="L527" s="20" t="s">
        <v>137</v>
      </c>
      <c r="M527" s="20" t="s">
        <v>721</v>
      </c>
      <c r="Q527" s="24" t="s">
        <v>680</v>
      </c>
    </row>
    <row r="528" spans="1:17" hidden="1" x14ac:dyDescent="0.3">
      <c r="A528" s="20">
        <f t="shared" si="8"/>
        <v>527</v>
      </c>
      <c r="B528" s="21" t="s">
        <v>87</v>
      </c>
      <c r="C528" s="21" t="s">
        <v>97</v>
      </c>
      <c r="D528" s="22" t="str">
        <f>IF($C528="","",IFERROR(VLOOKUP($C528,Map_Register!$A$2:$C$5,3,FALSE()),""))</f>
        <v>Toponym Labels</v>
      </c>
      <c r="E528" s="21" t="s">
        <v>15</v>
      </c>
      <c r="F528" s="23">
        <v>163797</v>
      </c>
      <c r="G528" s="20" t="s">
        <v>719</v>
      </c>
      <c r="H528" s="20" t="s">
        <v>1233</v>
      </c>
      <c r="I528" t="s">
        <v>697</v>
      </c>
      <c r="J528" s="20" t="s">
        <v>6</v>
      </c>
      <c r="K528" s="20" t="s">
        <v>137</v>
      </c>
      <c r="L528" s="20" t="s">
        <v>137</v>
      </c>
      <c r="M528" s="20" t="s">
        <v>721</v>
      </c>
      <c r="Q528" s="24" t="s">
        <v>680</v>
      </c>
    </row>
    <row r="529" spans="1:17" hidden="1" x14ac:dyDescent="0.3">
      <c r="A529" s="20">
        <f t="shared" si="8"/>
        <v>528</v>
      </c>
      <c r="B529" s="21" t="s">
        <v>87</v>
      </c>
      <c r="C529" s="21" t="s">
        <v>97</v>
      </c>
      <c r="D529" s="22" t="str">
        <f>IF($C529="","",IFERROR(VLOOKUP($C529,Map_Register!$A$2:$C$5,3,FALSE()),""))</f>
        <v>Toponym Labels</v>
      </c>
      <c r="E529" s="21" t="s">
        <v>15</v>
      </c>
      <c r="F529" s="23">
        <v>163811</v>
      </c>
      <c r="G529" s="20" t="s">
        <v>719</v>
      </c>
      <c r="H529" s="20" t="s">
        <v>1234</v>
      </c>
      <c r="I529" t="s">
        <v>697</v>
      </c>
      <c r="J529" s="20" t="s">
        <v>6</v>
      </c>
      <c r="K529" s="20" t="s">
        <v>137</v>
      </c>
      <c r="L529" s="20" t="s">
        <v>137</v>
      </c>
      <c r="M529" s="20" t="s">
        <v>721</v>
      </c>
      <c r="Q529" s="24" t="s">
        <v>680</v>
      </c>
    </row>
    <row r="530" spans="1:17" x14ac:dyDescent="0.3">
      <c r="A530" s="20">
        <f t="shared" si="8"/>
        <v>529</v>
      </c>
      <c r="B530" s="21" t="s">
        <v>87</v>
      </c>
      <c r="C530" s="21" t="s">
        <v>97</v>
      </c>
      <c r="D530" s="22" t="str">
        <f>IF($C530="","",IFERROR(VLOOKUP($C530,Map_Register!$A$2:$C$5,3,FALSE()),""))</f>
        <v>Toponym Labels</v>
      </c>
      <c r="E530" s="21" t="s">
        <v>15</v>
      </c>
      <c r="F530" s="23">
        <v>164146</v>
      </c>
      <c r="G530" s="20" t="s">
        <v>719</v>
      </c>
      <c r="H530" s="20" t="s">
        <v>1235</v>
      </c>
      <c r="I530" t="s">
        <v>697</v>
      </c>
      <c r="J530" s="20" t="s">
        <v>8</v>
      </c>
      <c r="K530" t="s">
        <v>107</v>
      </c>
      <c r="L530" t="s">
        <v>108</v>
      </c>
      <c r="M530" s="20" t="s">
        <v>1126</v>
      </c>
      <c r="N530" s="20" t="s">
        <v>108</v>
      </c>
      <c r="Q530" s="24" t="s">
        <v>680</v>
      </c>
    </row>
    <row r="531" spans="1:17" x14ac:dyDescent="0.3">
      <c r="A531" s="20">
        <f t="shared" si="8"/>
        <v>530</v>
      </c>
      <c r="B531" s="21" t="s">
        <v>87</v>
      </c>
      <c r="C531" s="21" t="s">
        <v>97</v>
      </c>
      <c r="D531" s="22" t="str">
        <f>IF($C531="","",IFERROR(VLOOKUP($C531,Map_Register!$A$2:$C$5,3,FALSE()),""))</f>
        <v>Toponym Labels</v>
      </c>
      <c r="E531" s="21" t="s">
        <v>15</v>
      </c>
      <c r="F531" s="23">
        <v>164147</v>
      </c>
      <c r="G531" s="20" t="s">
        <v>719</v>
      </c>
      <c r="H531" s="20" t="s">
        <v>1236</v>
      </c>
      <c r="I531" t="s">
        <v>697</v>
      </c>
      <c r="J531" s="20" t="s">
        <v>8</v>
      </c>
      <c r="K531" t="s">
        <v>107</v>
      </c>
      <c r="L531" t="s">
        <v>108</v>
      </c>
      <c r="M531" s="20" t="s">
        <v>1126</v>
      </c>
      <c r="N531" s="20" t="s">
        <v>108</v>
      </c>
      <c r="Q531" s="24" t="s">
        <v>680</v>
      </c>
    </row>
    <row r="532" spans="1:17" x14ac:dyDescent="0.3">
      <c r="A532" s="20">
        <f t="shared" si="8"/>
        <v>531</v>
      </c>
      <c r="B532" s="21" t="s">
        <v>87</v>
      </c>
      <c r="C532" s="21" t="s">
        <v>97</v>
      </c>
      <c r="D532" s="22" t="str">
        <f>IF($C532="","",IFERROR(VLOOKUP($C532,Map_Register!$A$2:$C$5,3,FALSE()),""))</f>
        <v>Toponym Labels</v>
      </c>
      <c r="E532" s="21" t="s">
        <v>15</v>
      </c>
      <c r="F532" s="23">
        <v>164148</v>
      </c>
      <c r="G532" s="20" t="s">
        <v>719</v>
      </c>
      <c r="H532" s="20" t="s">
        <v>1237</v>
      </c>
      <c r="I532" t="s">
        <v>697</v>
      </c>
      <c r="J532" s="20" t="s">
        <v>8</v>
      </c>
      <c r="K532" t="s">
        <v>107</v>
      </c>
      <c r="L532" t="s">
        <v>108</v>
      </c>
      <c r="M532" s="20" t="s">
        <v>1126</v>
      </c>
      <c r="N532" s="20" t="s">
        <v>108</v>
      </c>
      <c r="Q532" s="24" t="s">
        <v>680</v>
      </c>
    </row>
    <row r="533" spans="1:17" x14ac:dyDescent="0.3">
      <c r="A533" s="20">
        <f t="shared" si="8"/>
        <v>532</v>
      </c>
      <c r="B533" s="21" t="s">
        <v>87</v>
      </c>
      <c r="C533" s="21" t="s">
        <v>97</v>
      </c>
      <c r="D533" s="22" t="str">
        <f>IF($C533="","",IFERROR(VLOOKUP($C533,Map_Register!$A$2:$C$5,3,FALSE()),""))</f>
        <v>Toponym Labels</v>
      </c>
      <c r="E533" s="21" t="s">
        <v>15</v>
      </c>
      <c r="F533" s="23">
        <v>164149</v>
      </c>
      <c r="G533" s="20" t="s">
        <v>719</v>
      </c>
      <c r="H533" s="20" t="s">
        <v>1238</v>
      </c>
      <c r="I533" t="s">
        <v>697</v>
      </c>
      <c r="J533" s="20" t="s">
        <v>8</v>
      </c>
      <c r="K533" t="s">
        <v>107</v>
      </c>
      <c r="L533" t="s">
        <v>108</v>
      </c>
      <c r="M533" s="20" t="s">
        <v>1126</v>
      </c>
      <c r="N533" s="20" t="s">
        <v>108</v>
      </c>
      <c r="Q533" s="24" t="s">
        <v>680</v>
      </c>
    </row>
    <row r="534" spans="1:17" hidden="1" x14ac:dyDescent="0.3">
      <c r="A534" s="20">
        <f t="shared" si="8"/>
        <v>533</v>
      </c>
      <c r="B534" s="21" t="s">
        <v>87</v>
      </c>
      <c r="C534" s="21" t="s">
        <v>97</v>
      </c>
      <c r="D534" s="22" t="str">
        <f>IF($C534="","",IFERROR(VLOOKUP($C534,Map_Register!$A$2:$C$5,3,FALSE()),""))</f>
        <v>Toponym Labels</v>
      </c>
      <c r="E534" s="21" t="s">
        <v>15</v>
      </c>
      <c r="F534" s="23">
        <v>164150</v>
      </c>
      <c r="G534" s="20" t="s">
        <v>719</v>
      </c>
      <c r="H534" s="20" t="s">
        <v>1239</v>
      </c>
      <c r="I534" t="s">
        <v>697</v>
      </c>
      <c r="J534" s="20" t="s">
        <v>8</v>
      </c>
      <c r="K534" t="s">
        <v>107</v>
      </c>
      <c r="L534" t="s">
        <v>107</v>
      </c>
      <c r="M534" s="20" t="s">
        <v>683</v>
      </c>
      <c r="N534" s="20" t="s">
        <v>108</v>
      </c>
      <c r="Q534" s="24" t="s">
        <v>680</v>
      </c>
    </row>
    <row r="535" spans="1:17" x14ac:dyDescent="0.3">
      <c r="A535" s="20">
        <f t="shared" si="8"/>
        <v>534</v>
      </c>
      <c r="B535" s="21" t="s">
        <v>87</v>
      </c>
      <c r="C535" s="21" t="s">
        <v>97</v>
      </c>
      <c r="D535" s="22" t="str">
        <f>IF($C535="","",IFERROR(VLOOKUP($C535,Map_Register!$A$2:$C$5,3,FALSE()),""))</f>
        <v>Toponym Labels</v>
      </c>
      <c r="E535" s="21" t="s">
        <v>15</v>
      </c>
      <c r="F535" s="23">
        <v>164151</v>
      </c>
      <c r="G535" s="20" t="s">
        <v>719</v>
      </c>
      <c r="H535" s="20" t="s">
        <v>1240</v>
      </c>
      <c r="I535" t="s">
        <v>697</v>
      </c>
      <c r="J535" s="20" t="s">
        <v>8</v>
      </c>
      <c r="K535" t="s">
        <v>107</v>
      </c>
      <c r="L535" t="s">
        <v>108</v>
      </c>
      <c r="M535" s="20" t="s">
        <v>1126</v>
      </c>
      <c r="N535" s="20" t="s">
        <v>108</v>
      </c>
      <c r="Q535" s="24" t="s">
        <v>680</v>
      </c>
    </row>
    <row r="536" spans="1:17" hidden="1" x14ac:dyDescent="0.3">
      <c r="A536" s="20">
        <f t="shared" si="8"/>
        <v>535</v>
      </c>
      <c r="B536" s="21" t="s">
        <v>87</v>
      </c>
      <c r="C536" s="21" t="s">
        <v>97</v>
      </c>
      <c r="D536" s="22" t="str">
        <f>IF($C536="","",IFERROR(VLOOKUP($C536,Map_Register!$A$2:$C$5,3,FALSE()),""))</f>
        <v>Toponym Labels</v>
      </c>
      <c r="E536" s="21" t="s">
        <v>15</v>
      </c>
      <c r="F536" s="23">
        <v>164152</v>
      </c>
      <c r="G536" s="20" t="s">
        <v>719</v>
      </c>
      <c r="H536" s="20" t="s">
        <v>1241</v>
      </c>
      <c r="I536" t="s">
        <v>697</v>
      </c>
      <c r="J536" s="20" t="s">
        <v>8</v>
      </c>
      <c r="K536" t="s">
        <v>107</v>
      </c>
      <c r="L536" t="s">
        <v>107</v>
      </c>
      <c r="M536" s="20" t="s">
        <v>683</v>
      </c>
      <c r="N536" s="20" t="s">
        <v>108</v>
      </c>
      <c r="Q536" s="24" t="s">
        <v>680</v>
      </c>
    </row>
    <row r="537" spans="1:17" hidden="1" x14ac:dyDescent="0.3">
      <c r="A537" s="20">
        <f t="shared" si="8"/>
        <v>536</v>
      </c>
      <c r="B537" s="21" t="s">
        <v>87</v>
      </c>
      <c r="C537" s="21" t="s">
        <v>97</v>
      </c>
      <c r="D537" s="22" t="str">
        <f>IF($C537="","",IFERROR(VLOOKUP($C537,Map_Register!$A$2:$C$5,3,FALSE()),""))</f>
        <v>Toponym Labels</v>
      </c>
      <c r="E537" s="21" t="s">
        <v>15</v>
      </c>
      <c r="F537" s="23">
        <v>164153</v>
      </c>
      <c r="G537" s="20" t="s">
        <v>719</v>
      </c>
      <c r="H537" s="20" t="s">
        <v>1242</v>
      </c>
      <c r="I537" t="s">
        <v>697</v>
      </c>
      <c r="J537" s="20" t="s">
        <v>6</v>
      </c>
      <c r="K537" s="20" t="s">
        <v>137</v>
      </c>
      <c r="L537" s="20" t="s">
        <v>137</v>
      </c>
      <c r="M537" s="20" t="s">
        <v>721</v>
      </c>
      <c r="Q537" s="24" t="s">
        <v>680</v>
      </c>
    </row>
    <row r="538" spans="1:17" hidden="1" x14ac:dyDescent="0.3">
      <c r="A538" s="20">
        <f t="shared" si="8"/>
        <v>537</v>
      </c>
      <c r="B538" s="21" t="s">
        <v>87</v>
      </c>
      <c r="C538" s="21" t="s">
        <v>97</v>
      </c>
      <c r="D538" s="22" t="str">
        <f>IF($C538="","",IFERROR(VLOOKUP($C538,Map_Register!$A$2:$C$5,3,FALSE()),""))</f>
        <v>Toponym Labels</v>
      </c>
      <c r="E538" s="21" t="s">
        <v>15</v>
      </c>
      <c r="F538" s="23">
        <v>164154</v>
      </c>
      <c r="G538" s="20" t="s">
        <v>719</v>
      </c>
      <c r="H538" s="20" t="s">
        <v>1243</v>
      </c>
      <c r="I538" t="s">
        <v>697</v>
      </c>
      <c r="J538" s="20" t="s">
        <v>6</v>
      </c>
      <c r="K538" s="20" t="s">
        <v>137</v>
      </c>
      <c r="L538" s="20" t="s">
        <v>137</v>
      </c>
      <c r="M538" s="20" t="s">
        <v>721</v>
      </c>
      <c r="Q538" s="24" t="s">
        <v>680</v>
      </c>
    </row>
    <row r="539" spans="1:17" hidden="1" x14ac:dyDescent="0.3">
      <c r="A539" s="20">
        <f t="shared" si="8"/>
        <v>538</v>
      </c>
      <c r="B539" s="21" t="s">
        <v>87</v>
      </c>
      <c r="C539" s="21" t="s">
        <v>97</v>
      </c>
      <c r="D539" s="22" t="str">
        <f>IF($C539="","",IFERROR(VLOOKUP($C539,Map_Register!$A$2:$C$5,3,FALSE()),""))</f>
        <v>Toponym Labels</v>
      </c>
      <c r="E539" s="21" t="s">
        <v>15</v>
      </c>
      <c r="F539" s="23">
        <v>164155</v>
      </c>
      <c r="G539" s="20" t="s">
        <v>719</v>
      </c>
      <c r="H539" s="20" t="s">
        <v>1244</v>
      </c>
      <c r="I539" t="s">
        <v>697</v>
      </c>
      <c r="J539" s="20" t="s">
        <v>6</v>
      </c>
      <c r="K539" s="20" t="s">
        <v>137</v>
      </c>
      <c r="L539" s="20" t="s">
        <v>137</v>
      </c>
      <c r="M539" s="20" t="s">
        <v>721</v>
      </c>
      <c r="Q539" s="24" t="s">
        <v>680</v>
      </c>
    </row>
    <row r="540" spans="1:17" hidden="1" x14ac:dyDescent="0.3">
      <c r="A540" s="20">
        <f t="shared" si="8"/>
        <v>539</v>
      </c>
      <c r="B540" s="21" t="s">
        <v>87</v>
      </c>
      <c r="C540" s="21" t="s">
        <v>97</v>
      </c>
      <c r="D540" s="22" t="str">
        <f>IF($C540="","",IFERROR(VLOOKUP($C540,Map_Register!$A$2:$C$5,3,FALSE()),""))</f>
        <v>Toponym Labels</v>
      </c>
      <c r="E540" s="21" t="s">
        <v>15</v>
      </c>
      <c r="F540" s="23">
        <v>164156</v>
      </c>
      <c r="G540" s="20" t="s">
        <v>719</v>
      </c>
      <c r="H540" s="20" t="s">
        <v>1245</v>
      </c>
      <c r="I540" t="s">
        <v>697</v>
      </c>
      <c r="J540" s="20" t="s">
        <v>6</v>
      </c>
      <c r="K540" s="20" t="s">
        <v>137</v>
      </c>
      <c r="L540" s="20" t="s">
        <v>137</v>
      </c>
      <c r="M540" s="20" t="s">
        <v>721</v>
      </c>
      <c r="Q540" s="24" t="s">
        <v>680</v>
      </c>
    </row>
    <row r="541" spans="1:17" x14ac:dyDescent="0.3">
      <c r="A541" s="20">
        <f t="shared" si="8"/>
        <v>540</v>
      </c>
      <c r="B541" s="21" t="s">
        <v>87</v>
      </c>
      <c r="C541" s="21" t="s">
        <v>97</v>
      </c>
      <c r="D541" s="22" t="str">
        <f>IF($C541="","",IFERROR(VLOOKUP($C541,Map_Register!$A$2:$C$5,3,FALSE()),""))</f>
        <v>Toponym Labels</v>
      </c>
      <c r="E541" s="21" t="s">
        <v>15</v>
      </c>
      <c r="F541" s="23">
        <v>164158</v>
      </c>
      <c r="G541" s="20" t="s">
        <v>719</v>
      </c>
      <c r="H541" s="20" t="s">
        <v>1246</v>
      </c>
      <c r="I541" t="s">
        <v>697</v>
      </c>
      <c r="J541" s="20" t="s">
        <v>8</v>
      </c>
      <c r="K541" t="s">
        <v>107</v>
      </c>
      <c r="L541" t="s">
        <v>108</v>
      </c>
      <c r="M541" s="20" t="s">
        <v>1126</v>
      </c>
      <c r="N541" s="20" t="s">
        <v>108</v>
      </c>
      <c r="Q541" s="24" t="s">
        <v>680</v>
      </c>
    </row>
    <row r="542" spans="1:17" hidden="1" x14ac:dyDescent="0.3">
      <c r="A542" s="20">
        <f t="shared" si="8"/>
        <v>541</v>
      </c>
      <c r="B542" s="21" t="s">
        <v>87</v>
      </c>
      <c r="C542" s="21" t="s">
        <v>97</v>
      </c>
      <c r="D542" s="22" t="str">
        <f>IF($C542="","",IFERROR(VLOOKUP($C542,Map_Register!$A$2:$C$5,3,FALSE()),""))</f>
        <v>Toponym Labels</v>
      </c>
      <c r="E542" s="21" t="s">
        <v>15</v>
      </c>
      <c r="F542" s="23">
        <v>164170</v>
      </c>
      <c r="G542" s="20" t="s">
        <v>719</v>
      </c>
      <c r="H542" s="20" t="s">
        <v>1247</v>
      </c>
      <c r="I542" t="s">
        <v>697</v>
      </c>
      <c r="J542" s="20" t="s">
        <v>6</v>
      </c>
      <c r="K542" s="20" t="s">
        <v>137</v>
      </c>
      <c r="L542" s="20" t="s">
        <v>137</v>
      </c>
      <c r="M542" s="20" t="s">
        <v>721</v>
      </c>
      <c r="Q542" s="24" t="s">
        <v>680</v>
      </c>
    </row>
    <row r="543" spans="1:17" x14ac:dyDescent="0.3">
      <c r="A543" s="20">
        <f t="shared" si="8"/>
        <v>542</v>
      </c>
      <c r="B543" s="21" t="s">
        <v>87</v>
      </c>
      <c r="C543" s="21" t="s">
        <v>97</v>
      </c>
      <c r="D543" s="22" t="str">
        <f>IF($C543="","",IFERROR(VLOOKUP($C543,Map_Register!$A$2:$C$5,3,FALSE()),""))</f>
        <v>Toponym Labels</v>
      </c>
      <c r="E543" s="21" t="s">
        <v>15</v>
      </c>
      <c r="F543" s="23">
        <v>164541</v>
      </c>
      <c r="G543" s="20" t="s">
        <v>719</v>
      </c>
      <c r="H543" s="20" t="s">
        <v>1248</v>
      </c>
      <c r="I543" t="s">
        <v>697</v>
      </c>
      <c r="J543" s="20" t="s">
        <v>8</v>
      </c>
      <c r="K543" t="s">
        <v>107</v>
      </c>
      <c r="L543" t="s">
        <v>108</v>
      </c>
      <c r="M543" s="20" t="s">
        <v>1126</v>
      </c>
      <c r="N543" s="20" t="s">
        <v>108</v>
      </c>
      <c r="Q543" s="24" t="s">
        <v>680</v>
      </c>
    </row>
    <row r="544" spans="1:17" hidden="1" x14ac:dyDescent="0.3">
      <c r="A544" s="20">
        <f t="shared" si="8"/>
        <v>543</v>
      </c>
      <c r="B544" s="21" t="s">
        <v>87</v>
      </c>
      <c r="C544" s="21" t="s">
        <v>97</v>
      </c>
      <c r="D544" s="22" t="str">
        <f>IF($C544="","",IFERROR(VLOOKUP($C544,Map_Register!$A$2:$C$5,3,FALSE()),""))</f>
        <v>Toponym Labels</v>
      </c>
      <c r="E544" s="21" t="s">
        <v>15</v>
      </c>
      <c r="F544" s="23">
        <v>164542</v>
      </c>
      <c r="G544" s="20" t="s">
        <v>719</v>
      </c>
      <c r="H544" s="20" t="s">
        <v>1249</v>
      </c>
      <c r="I544" t="s">
        <v>697</v>
      </c>
      <c r="J544" s="20" t="s">
        <v>6</v>
      </c>
      <c r="K544" s="20" t="s">
        <v>137</v>
      </c>
      <c r="L544" s="20" t="s">
        <v>137</v>
      </c>
      <c r="M544" s="20" t="s">
        <v>721</v>
      </c>
      <c r="Q544" s="24" t="s">
        <v>680</v>
      </c>
    </row>
    <row r="545" spans="1:17" hidden="1" x14ac:dyDescent="0.3">
      <c r="A545" s="20">
        <f t="shared" si="8"/>
        <v>544</v>
      </c>
      <c r="B545" s="21" t="s">
        <v>87</v>
      </c>
      <c r="C545" s="21" t="s">
        <v>97</v>
      </c>
      <c r="D545" s="22" t="str">
        <f>IF($C545="","",IFERROR(VLOOKUP($C545,Map_Register!$A$2:$C$5,3,FALSE()),""))</f>
        <v>Toponym Labels</v>
      </c>
      <c r="E545" s="21" t="s">
        <v>15</v>
      </c>
      <c r="F545" s="23">
        <v>164543</v>
      </c>
      <c r="G545" s="20" t="s">
        <v>719</v>
      </c>
      <c r="H545" s="20" t="s">
        <v>1250</v>
      </c>
      <c r="I545" t="s">
        <v>697</v>
      </c>
      <c r="J545" s="20" t="s">
        <v>6</v>
      </c>
      <c r="K545" s="20" t="s">
        <v>137</v>
      </c>
      <c r="L545" s="20" t="s">
        <v>137</v>
      </c>
      <c r="M545" s="20" t="s">
        <v>721</v>
      </c>
      <c r="Q545" s="24" t="s">
        <v>680</v>
      </c>
    </row>
    <row r="546" spans="1:17" hidden="1" x14ac:dyDescent="0.3">
      <c r="A546" s="20">
        <f t="shared" si="8"/>
        <v>545</v>
      </c>
      <c r="B546" s="21" t="s">
        <v>87</v>
      </c>
      <c r="C546" s="21" t="s">
        <v>97</v>
      </c>
      <c r="D546" s="22" t="str">
        <f>IF($C546="","",IFERROR(VLOOKUP($C546,Map_Register!$A$2:$C$5,3,FALSE()),""))</f>
        <v>Toponym Labels</v>
      </c>
      <c r="E546" s="21" t="s">
        <v>15</v>
      </c>
      <c r="F546" s="23">
        <v>164544</v>
      </c>
      <c r="G546" s="20" t="s">
        <v>719</v>
      </c>
      <c r="H546" s="20" t="s">
        <v>1251</v>
      </c>
      <c r="I546" t="s">
        <v>697</v>
      </c>
      <c r="J546" s="20" t="s">
        <v>8</v>
      </c>
      <c r="K546" t="s">
        <v>107</v>
      </c>
      <c r="L546" t="s">
        <v>107</v>
      </c>
      <c r="M546" s="20" t="s">
        <v>683</v>
      </c>
      <c r="N546" s="20" t="s">
        <v>108</v>
      </c>
      <c r="Q546" s="24" t="s">
        <v>680</v>
      </c>
    </row>
    <row r="547" spans="1:17" hidden="1" x14ac:dyDescent="0.3">
      <c r="A547" s="20">
        <f t="shared" si="8"/>
        <v>546</v>
      </c>
      <c r="B547" s="21" t="s">
        <v>87</v>
      </c>
      <c r="C547" s="21" t="s">
        <v>97</v>
      </c>
      <c r="D547" s="22" t="str">
        <f>IF($C547="","",IFERROR(VLOOKUP($C547,Map_Register!$A$2:$C$5,3,FALSE()),""))</f>
        <v>Toponym Labels</v>
      </c>
      <c r="E547" s="21" t="s">
        <v>15</v>
      </c>
      <c r="F547" s="23">
        <v>164545</v>
      </c>
      <c r="G547" s="20" t="s">
        <v>719</v>
      </c>
      <c r="H547" s="20" t="s">
        <v>1252</v>
      </c>
      <c r="I547" t="s">
        <v>697</v>
      </c>
      <c r="J547" s="20" t="s">
        <v>6</v>
      </c>
      <c r="K547" s="20" t="s">
        <v>137</v>
      </c>
      <c r="L547" s="20" t="s">
        <v>137</v>
      </c>
      <c r="M547" s="20" t="s">
        <v>721</v>
      </c>
      <c r="Q547" s="24" t="s">
        <v>680</v>
      </c>
    </row>
    <row r="548" spans="1:17" x14ac:dyDescent="0.3">
      <c r="A548" s="20">
        <f t="shared" si="8"/>
        <v>547</v>
      </c>
      <c r="B548" s="21" t="s">
        <v>87</v>
      </c>
      <c r="C548" s="21" t="s">
        <v>97</v>
      </c>
      <c r="D548" s="22" t="str">
        <f>IF($C548="","",IFERROR(VLOOKUP($C548,Map_Register!$A$2:$C$5,3,FALSE()),""))</f>
        <v>Toponym Labels</v>
      </c>
      <c r="E548" s="21" t="s">
        <v>15</v>
      </c>
      <c r="F548" s="23">
        <v>164546</v>
      </c>
      <c r="G548" s="20" t="s">
        <v>719</v>
      </c>
      <c r="H548" s="20" t="s">
        <v>1253</v>
      </c>
      <c r="I548" t="s">
        <v>697</v>
      </c>
      <c r="J548" s="20" t="s">
        <v>8</v>
      </c>
      <c r="K548" t="s">
        <v>107</v>
      </c>
      <c r="L548" t="s">
        <v>108</v>
      </c>
      <c r="M548" s="20" t="s">
        <v>1126</v>
      </c>
      <c r="N548" s="20" t="s">
        <v>108</v>
      </c>
      <c r="Q548" s="24" t="s">
        <v>680</v>
      </c>
    </row>
    <row r="549" spans="1:17" x14ac:dyDescent="0.3">
      <c r="A549" s="20">
        <f t="shared" si="8"/>
        <v>548</v>
      </c>
      <c r="B549" s="21" t="s">
        <v>87</v>
      </c>
      <c r="C549" s="21" t="s">
        <v>97</v>
      </c>
      <c r="D549" s="22" t="str">
        <f>IF($C549="","",IFERROR(VLOOKUP($C549,Map_Register!$A$2:$C$5,3,FALSE()),""))</f>
        <v>Toponym Labels</v>
      </c>
      <c r="E549" s="21" t="s">
        <v>15</v>
      </c>
      <c r="F549" s="23">
        <v>164547</v>
      </c>
      <c r="G549" s="20" t="s">
        <v>719</v>
      </c>
      <c r="H549" s="20" t="s">
        <v>1254</v>
      </c>
      <c r="I549" t="s">
        <v>697</v>
      </c>
      <c r="J549" s="20" t="s">
        <v>8</v>
      </c>
      <c r="K549" t="s">
        <v>107</v>
      </c>
      <c r="L549" t="s">
        <v>108</v>
      </c>
      <c r="M549" s="20" t="s">
        <v>1126</v>
      </c>
      <c r="N549" s="20" t="s">
        <v>108</v>
      </c>
      <c r="Q549" s="24" t="s">
        <v>680</v>
      </c>
    </row>
    <row r="550" spans="1:17" hidden="1" x14ac:dyDescent="0.3">
      <c r="A550" s="20">
        <f t="shared" si="8"/>
        <v>549</v>
      </c>
      <c r="B550" s="21" t="s">
        <v>87</v>
      </c>
      <c r="C550" s="21" t="s">
        <v>97</v>
      </c>
      <c r="D550" s="22" t="str">
        <f>IF($C550="","",IFERROR(VLOOKUP($C550,Map_Register!$A$2:$C$5,3,FALSE()),""))</f>
        <v>Toponym Labels</v>
      </c>
      <c r="E550" s="21" t="s">
        <v>15</v>
      </c>
      <c r="F550" s="23">
        <v>164548</v>
      </c>
      <c r="G550" s="20" t="s">
        <v>719</v>
      </c>
      <c r="H550" s="20" t="s">
        <v>1255</v>
      </c>
      <c r="I550" t="s">
        <v>697</v>
      </c>
      <c r="J550" s="20" t="s">
        <v>6</v>
      </c>
      <c r="K550" s="20" t="s">
        <v>137</v>
      </c>
      <c r="L550" s="20" t="s">
        <v>137</v>
      </c>
      <c r="M550" s="20" t="s">
        <v>721</v>
      </c>
      <c r="Q550" s="24" t="s">
        <v>680</v>
      </c>
    </row>
    <row r="551" spans="1:17" x14ac:dyDescent="0.3">
      <c r="A551" s="20">
        <f t="shared" si="8"/>
        <v>550</v>
      </c>
      <c r="B551" s="21" t="s">
        <v>87</v>
      </c>
      <c r="C551" s="21" t="s">
        <v>97</v>
      </c>
      <c r="D551" s="22" t="str">
        <f>IF($C551="","",IFERROR(VLOOKUP($C551,Map_Register!$A$2:$C$5,3,FALSE()),""))</f>
        <v>Toponym Labels</v>
      </c>
      <c r="E551" s="21" t="s">
        <v>15</v>
      </c>
      <c r="F551" s="23">
        <v>164552</v>
      </c>
      <c r="G551" s="20" t="s">
        <v>719</v>
      </c>
      <c r="H551" s="20" t="s">
        <v>1256</v>
      </c>
      <c r="I551" t="s">
        <v>697</v>
      </c>
      <c r="J551" s="20" t="s">
        <v>8</v>
      </c>
      <c r="K551" t="s">
        <v>107</v>
      </c>
      <c r="L551" t="s">
        <v>108</v>
      </c>
      <c r="M551" s="20" t="s">
        <v>1126</v>
      </c>
      <c r="N551" s="20" t="s">
        <v>108</v>
      </c>
      <c r="Q551" s="24" t="s">
        <v>680</v>
      </c>
    </row>
    <row r="552" spans="1:17" hidden="1" x14ac:dyDescent="0.3">
      <c r="A552" s="20">
        <f t="shared" si="8"/>
        <v>551</v>
      </c>
      <c r="B552" s="21" t="s">
        <v>87</v>
      </c>
      <c r="C552" s="21" t="s">
        <v>97</v>
      </c>
      <c r="D552" s="22" t="str">
        <f>IF($C552="","",IFERROR(VLOOKUP($C552,Map_Register!$A$2:$C$5,3,FALSE()),""))</f>
        <v>Toponym Labels</v>
      </c>
      <c r="E552" s="21" t="s">
        <v>15</v>
      </c>
      <c r="F552" s="23">
        <v>164553</v>
      </c>
      <c r="G552" s="20" t="s">
        <v>719</v>
      </c>
      <c r="H552" s="20" t="s">
        <v>1257</v>
      </c>
      <c r="I552" t="s">
        <v>697</v>
      </c>
      <c r="J552" s="20" t="s">
        <v>8</v>
      </c>
      <c r="K552" t="s">
        <v>107</v>
      </c>
      <c r="L552" t="s">
        <v>107</v>
      </c>
      <c r="M552" s="20" t="s">
        <v>683</v>
      </c>
      <c r="N552" s="20" t="s">
        <v>108</v>
      </c>
      <c r="Q552" s="24" t="s">
        <v>680</v>
      </c>
    </row>
    <row r="553" spans="1:17" hidden="1" x14ac:dyDescent="0.3">
      <c r="A553" s="20">
        <f t="shared" si="8"/>
        <v>552</v>
      </c>
      <c r="B553" s="21" t="s">
        <v>87</v>
      </c>
      <c r="C553" s="21" t="s">
        <v>97</v>
      </c>
      <c r="D553" s="22" t="str">
        <f>IF($C553="","",IFERROR(VLOOKUP($C553,Map_Register!$A$2:$C$5,3,FALSE()),""))</f>
        <v>Toponym Labels</v>
      </c>
      <c r="E553" s="21" t="s">
        <v>15</v>
      </c>
      <c r="F553" s="23">
        <v>164554</v>
      </c>
      <c r="G553" s="20" t="s">
        <v>719</v>
      </c>
      <c r="H553" s="20" t="s">
        <v>1258</v>
      </c>
      <c r="I553" t="s">
        <v>697</v>
      </c>
      <c r="J553" s="20" t="s">
        <v>6</v>
      </c>
      <c r="K553" s="20" t="s">
        <v>137</v>
      </c>
      <c r="L553" s="20" t="s">
        <v>137</v>
      </c>
      <c r="M553" s="20" t="s">
        <v>721</v>
      </c>
      <c r="Q553" s="24" t="s">
        <v>680</v>
      </c>
    </row>
    <row r="554" spans="1:17" hidden="1" x14ac:dyDescent="0.3">
      <c r="A554" s="20">
        <f t="shared" si="8"/>
        <v>553</v>
      </c>
      <c r="B554" s="21" t="s">
        <v>87</v>
      </c>
      <c r="C554" s="21" t="s">
        <v>97</v>
      </c>
      <c r="D554" s="22" t="str">
        <f>IF($C554="","",IFERROR(VLOOKUP($C554,Map_Register!$A$2:$C$5,3,FALSE()),""))</f>
        <v>Toponym Labels</v>
      </c>
      <c r="E554" s="21" t="s">
        <v>15</v>
      </c>
      <c r="F554" s="23">
        <v>164931</v>
      </c>
      <c r="G554" s="20" t="s">
        <v>719</v>
      </c>
      <c r="H554" s="20" t="s">
        <v>1259</v>
      </c>
      <c r="I554" t="s">
        <v>697</v>
      </c>
      <c r="J554" s="20" t="s">
        <v>6</v>
      </c>
      <c r="K554" s="20" t="s">
        <v>137</v>
      </c>
      <c r="L554" s="20" t="s">
        <v>137</v>
      </c>
      <c r="M554" s="20" t="s">
        <v>721</v>
      </c>
      <c r="Q554" s="24" t="s">
        <v>680</v>
      </c>
    </row>
    <row r="555" spans="1:17" hidden="1" x14ac:dyDescent="0.3">
      <c r="A555" s="20">
        <f t="shared" si="8"/>
        <v>554</v>
      </c>
      <c r="B555" s="21" t="s">
        <v>87</v>
      </c>
      <c r="C555" s="21" t="s">
        <v>97</v>
      </c>
      <c r="D555" s="22" t="str">
        <f>IF($C555="","",IFERROR(VLOOKUP($C555,Map_Register!$A$2:$C$5,3,FALSE()),""))</f>
        <v>Toponym Labels</v>
      </c>
      <c r="E555" s="21" t="s">
        <v>15</v>
      </c>
      <c r="F555" s="23">
        <v>164932</v>
      </c>
      <c r="G555" s="20" t="s">
        <v>719</v>
      </c>
      <c r="H555" s="20" t="s">
        <v>1260</v>
      </c>
      <c r="I555" t="s">
        <v>697</v>
      </c>
      <c r="J555" s="20" t="s">
        <v>8</v>
      </c>
      <c r="K555" t="s">
        <v>107</v>
      </c>
      <c r="L555" t="s">
        <v>107</v>
      </c>
      <c r="M555" s="20" t="s">
        <v>683</v>
      </c>
      <c r="N555" s="20" t="s">
        <v>108</v>
      </c>
      <c r="Q555" s="24" t="s">
        <v>680</v>
      </c>
    </row>
    <row r="556" spans="1:17" x14ac:dyDescent="0.3">
      <c r="A556" s="20">
        <f t="shared" si="8"/>
        <v>555</v>
      </c>
      <c r="B556" s="21" t="s">
        <v>87</v>
      </c>
      <c r="C556" s="21" t="s">
        <v>97</v>
      </c>
      <c r="D556" s="22" t="str">
        <f>IF($C556="","",IFERROR(VLOOKUP($C556,Map_Register!$A$2:$C$5,3,FALSE()),""))</f>
        <v>Toponym Labels</v>
      </c>
      <c r="E556" s="21" t="s">
        <v>15</v>
      </c>
      <c r="F556" s="23">
        <v>164934</v>
      </c>
      <c r="G556" s="20" t="s">
        <v>719</v>
      </c>
      <c r="H556" s="20" t="s">
        <v>1261</v>
      </c>
      <c r="I556" t="s">
        <v>697</v>
      </c>
      <c r="J556" s="20" t="s">
        <v>8</v>
      </c>
      <c r="K556" t="s">
        <v>107</v>
      </c>
      <c r="L556" t="s">
        <v>108</v>
      </c>
      <c r="M556" s="20" t="s">
        <v>1126</v>
      </c>
      <c r="N556" s="20" t="s">
        <v>108</v>
      </c>
      <c r="Q556" s="24" t="s">
        <v>680</v>
      </c>
    </row>
    <row r="557" spans="1:17" x14ac:dyDescent="0.3">
      <c r="A557" s="20">
        <f t="shared" si="8"/>
        <v>556</v>
      </c>
      <c r="B557" s="21" t="s">
        <v>87</v>
      </c>
      <c r="C557" s="21" t="s">
        <v>97</v>
      </c>
      <c r="D557" s="22" t="str">
        <f>IF($C557="","",IFERROR(VLOOKUP($C557,Map_Register!$A$2:$C$5,3,FALSE()),""))</f>
        <v>Toponym Labels</v>
      </c>
      <c r="E557" s="21" t="s">
        <v>15</v>
      </c>
      <c r="F557" s="23">
        <v>164935</v>
      </c>
      <c r="G557" s="20" t="s">
        <v>719</v>
      </c>
      <c r="H557" s="20" t="s">
        <v>1262</v>
      </c>
      <c r="I557" t="s">
        <v>697</v>
      </c>
      <c r="J557" s="20" t="s">
        <v>8</v>
      </c>
      <c r="K557" t="s">
        <v>107</v>
      </c>
      <c r="L557" t="s">
        <v>108</v>
      </c>
      <c r="M557" s="20" t="s">
        <v>1126</v>
      </c>
      <c r="N557" s="20" t="s">
        <v>108</v>
      </c>
      <c r="Q557" s="24" t="s">
        <v>680</v>
      </c>
    </row>
    <row r="558" spans="1:17" hidden="1" x14ac:dyDescent="0.3">
      <c r="A558" s="20">
        <f t="shared" si="8"/>
        <v>557</v>
      </c>
      <c r="B558" s="21" t="s">
        <v>87</v>
      </c>
      <c r="C558" s="21" t="s">
        <v>97</v>
      </c>
      <c r="D558" s="22" t="str">
        <f>IF($C558="","",IFERROR(VLOOKUP($C558,Map_Register!$A$2:$C$5,3,FALSE()),""))</f>
        <v>Toponym Labels</v>
      </c>
      <c r="E558" s="21" t="s">
        <v>15</v>
      </c>
      <c r="F558" s="23">
        <v>165576</v>
      </c>
      <c r="G558" s="20" t="s">
        <v>719</v>
      </c>
      <c r="H558" s="20" t="s">
        <v>1263</v>
      </c>
      <c r="I558" t="s">
        <v>697</v>
      </c>
      <c r="J558" s="20" t="s">
        <v>992</v>
      </c>
      <c r="K558" s="20" t="s">
        <v>137</v>
      </c>
      <c r="L558" s="20" t="s">
        <v>137</v>
      </c>
      <c r="M558" s="20" t="s">
        <v>1264</v>
      </c>
      <c r="Q558" s="24" t="s">
        <v>680</v>
      </c>
    </row>
    <row r="559" spans="1:17" x14ac:dyDescent="0.3">
      <c r="A559" s="20">
        <f t="shared" si="8"/>
        <v>558</v>
      </c>
      <c r="B559" s="21" t="s">
        <v>87</v>
      </c>
      <c r="C559" s="21" t="s">
        <v>97</v>
      </c>
      <c r="D559" s="22" t="str">
        <f>IF($C559="","",IFERROR(VLOOKUP($C559,Map_Register!$A$2:$C$5,3,FALSE()),""))</f>
        <v>Toponym Labels</v>
      </c>
      <c r="E559" s="21" t="s">
        <v>15</v>
      </c>
      <c r="F559" s="23">
        <v>165577</v>
      </c>
      <c r="G559" s="20" t="s">
        <v>719</v>
      </c>
      <c r="H559" s="20" t="s">
        <v>1265</v>
      </c>
      <c r="I559" t="s">
        <v>697</v>
      </c>
      <c r="J559" s="20" t="s">
        <v>8</v>
      </c>
      <c r="K559" t="s">
        <v>107</v>
      </c>
      <c r="L559" t="s">
        <v>108</v>
      </c>
      <c r="M559" s="20" t="s">
        <v>1126</v>
      </c>
      <c r="N559" s="20" t="s">
        <v>108</v>
      </c>
      <c r="Q559" s="24" t="s">
        <v>680</v>
      </c>
    </row>
    <row r="560" spans="1:17" hidden="1" x14ac:dyDescent="0.3">
      <c r="A560" s="20">
        <f t="shared" si="8"/>
        <v>559</v>
      </c>
      <c r="B560" s="21" t="s">
        <v>87</v>
      </c>
      <c r="C560" s="21" t="s">
        <v>97</v>
      </c>
      <c r="D560" s="22" t="str">
        <f>IF($C560="","",IFERROR(VLOOKUP($C560,Map_Register!$A$2:$C$5,3,FALSE()),""))</f>
        <v>Toponym Labels</v>
      </c>
      <c r="E560" s="21" t="s">
        <v>15</v>
      </c>
      <c r="F560" s="23">
        <v>165578</v>
      </c>
      <c r="G560" s="20" t="s">
        <v>719</v>
      </c>
      <c r="H560" s="20" t="s">
        <v>1266</v>
      </c>
      <c r="I560" t="s">
        <v>697</v>
      </c>
      <c r="J560" s="20" t="s">
        <v>6</v>
      </c>
      <c r="K560" s="20" t="s">
        <v>137</v>
      </c>
      <c r="L560" s="20" t="s">
        <v>137</v>
      </c>
      <c r="M560" s="20" t="s">
        <v>721</v>
      </c>
      <c r="Q560" s="24" t="s">
        <v>680</v>
      </c>
    </row>
    <row r="561" spans="1:17" hidden="1" x14ac:dyDescent="0.3">
      <c r="A561" s="20">
        <f t="shared" si="8"/>
        <v>560</v>
      </c>
      <c r="B561" s="21" t="s">
        <v>87</v>
      </c>
      <c r="C561" s="21" t="s">
        <v>97</v>
      </c>
      <c r="D561" s="22" t="str">
        <f>IF($C561="","",IFERROR(VLOOKUP($C561,Map_Register!$A$2:$C$5,3,FALSE()),""))</f>
        <v>Toponym Labels</v>
      </c>
      <c r="E561" s="21" t="s">
        <v>15</v>
      </c>
      <c r="F561" s="23">
        <v>165579</v>
      </c>
      <c r="G561" s="20" t="s">
        <v>719</v>
      </c>
      <c r="H561" s="20" t="s">
        <v>1267</v>
      </c>
      <c r="I561" t="s">
        <v>697</v>
      </c>
      <c r="J561" s="20" t="s">
        <v>6</v>
      </c>
      <c r="K561" s="20" t="s">
        <v>137</v>
      </c>
      <c r="L561" s="20" t="s">
        <v>137</v>
      </c>
      <c r="M561" s="20" t="s">
        <v>721</v>
      </c>
      <c r="Q561" s="24" t="s">
        <v>680</v>
      </c>
    </row>
    <row r="562" spans="1:17" x14ac:dyDescent="0.3">
      <c r="A562" s="20">
        <f t="shared" si="8"/>
        <v>561</v>
      </c>
      <c r="B562" s="21" t="s">
        <v>87</v>
      </c>
      <c r="C562" s="21" t="s">
        <v>97</v>
      </c>
      <c r="D562" s="22" t="str">
        <f>IF($C562="","",IFERROR(VLOOKUP($C562,Map_Register!$A$2:$C$5,3,FALSE()),""))</f>
        <v>Toponym Labels</v>
      </c>
      <c r="E562" s="21" t="s">
        <v>15</v>
      </c>
      <c r="F562" s="23">
        <v>165580</v>
      </c>
      <c r="G562" s="20" t="s">
        <v>719</v>
      </c>
      <c r="H562" s="20" t="s">
        <v>1268</v>
      </c>
      <c r="I562" t="s">
        <v>697</v>
      </c>
      <c r="J562" s="20" t="s">
        <v>8</v>
      </c>
      <c r="K562" t="s">
        <v>107</v>
      </c>
      <c r="L562" t="s">
        <v>108</v>
      </c>
      <c r="M562" s="20" t="s">
        <v>1126</v>
      </c>
      <c r="N562" s="20" t="s">
        <v>108</v>
      </c>
      <c r="Q562" s="24" t="s">
        <v>680</v>
      </c>
    </row>
    <row r="563" spans="1:17" hidden="1" x14ac:dyDescent="0.3">
      <c r="A563" s="20">
        <f t="shared" si="8"/>
        <v>562</v>
      </c>
      <c r="B563" s="21" t="s">
        <v>87</v>
      </c>
      <c r="C563" s="21" t="s">
        <v>97</v>
      </c>
      <c r="D563" s="22" t="str">
        <f>IF($C563="","",IFERROR(VLOOKUP($C563,Map_Register!$A$2:$C$5,3,FALSE()),""))</f>
        <v>Toponym Labels</v>
      </c>
      <c r="E563" s="21" t="s">
        <v>15</v>
      </c>
      <c r="F563" s="23">
        <v>165976</v>
      </c>
      <c r="G563" s="20" t="s">
        <v>719</v>
      </c>
      <c r="H563" s="20" t="s">
        <v>1269</v>
      </c>
      <c r="I563" t="s">
        <v>697</v>
      </c>
      <c r="J563" s="20" t="s">
        <v>6</v>
      </c>
      <c r="K563" s="20" t="s">
        <v>137</v>
      </c>
      <c r="L563" s="20" t="s">
        <v>137</v>
      </c>
      <c r="M563" s="20" t="s">
        <v>721</v>
      </c>
      <c r="Q563" s="24" t="s">
        <v>680</v>
      </c>
    </row>
    <row r="564" spans="1:17" x14ac:dyDescent="0.3">
      <c r="A564" s="20">
        <f t="shared" si="8"/>
        <v>563</v>
      </c>
      <c r="B564" s="21" t="s">
        <v>87</v>
      </c>
      <c r="C564" s="21" t="s">
        <v>97</v>
      </c>
      <c r="D564" s="22" t="str">
        <f>IF($C564="","",IFERROR(VLOOKUP($C564,Map_Register!$A$2:$C$5,3,FALSE()),""))</f>
        <v>Toponym Labels</v>
      </c>
      <c r="E564" s="21" t="s">
        <v>15</v>
      </c>
      <c r="F564" s="23">
        <v>165977</v>
      </c>
      <c r="G564" s="20" t="s">
        <v>719</v>
      </c>
      <c r="H564" s="20" t="s">
        <v>1270</v>
      </c>
      <c r="I564" t="s">
        <v>697</v>
      </c>
      <c r="J564" s="20" t="s">
        <v>8</v>
      </c>
      <c r="K564" t="s">
        <v>107</v>
      </c>
      <c r="L564" t="s">
        <v>108</v>
      </c>
      <c r="M564" s="20" t="s">
        <v>1126</v>
      </c>
      <c r="N564" s="20" t="s">
        <v>108</v>
      </c>
      <c r="Q564" s="24" t="s">
        <v>680</v>
      </c>
    </row>
    <row r="565" spans="1:17" hidden="1" x14ac:dyDescent="0.3">
      <c r="A565" s="20">
        <f t="shared" si="8"/>
        <v>564</v>
      </c>
      <c r="B565" s="21" t="s">
        <v>87</v>
      </c>
      <c r="C565" s="21" t="s">
        <v>97</v>
      </c>
      <c r="D565" s="22" t="str">
        <f>IF($C565="","",IFERROR(VLOOKUP($C565,Map_Register!$A$2:$C$5,3,FALSE()),""))</f>
        <v>Toponym Labels</v>
      </c>
      <c r="E565" s="21" t="s">
        <v>15</v>
      </c>
      <c r="F565" s="23">
        <v>165978</v>
      </c>
      <c r="G565" s="20" t="s">
        <v>719</v>
      </c>
      <c r="H565" s="20" t="s">
        <v>1271</v>
      </c>
      <c r="I565" t="s">
        <v>697</v>
      </c>
      <c r="J565" s="20" t="s">
        <v>6</v>
      </c>
      <c r="K565" s="20" t="s">
        <v>137</v>
      </c>
      <c r="L565" s="20" t="s">
        <v>137</v>
      </c>
      <c r="M565" s="20" t="s">
        <v>721</v>
      </c>
      <c r="Q565" s="24" t="s">
        <v>680</v>
      </c>
    </row>
    <row r="566" spans="1:17" hidden="1" x14ac:dyDescent="0.3">
      <c r="A566" s="20">
        <f t="shared" si="8"/>
        <v>565</v>
      </c>
      <c r="B566" s="21" t="s">
        <v>87</v>
      </c>
      <c r="C566" s="21" t="s">
        <v>97</v>
      </c>
      <c r="D566" s="22" t="str">
        <f>IF($C566="","",IFERROR(VLOOKUP($C566,Map_Register!$A$2:$C$5,3,FALSE()),""))</f>
        <v>Toponym Labels</v>
      </c>
      <c r="E566" s="21" t="s">
        <v>15</v>
      </c>
      <c r="F566" s="23">
        <v>165979</v>
      </c>
      <c r="G566" s="20" t="s">
        <v>719</v>
      </c>
      <c r="H566" s="20" t="s">
        <v>1272</v>
      </c>
      <c r="I566" t="s">
        <v>697</v>
      </c>
      <c r="J566" s="20" t="s">
        <v>6</v>
      </c>
      <c r="K566" s="20" t="s">
        <v>137</v>
      </c>
      <c r="L566" s="20" t="s">
        <v>137</v>
      </c>
      <c r="M566" s="20" t="s">
        <v>721</v>
      </c>
      <c r="Q566" s="24" t="s">
        <v>680</v>
      </c>
    </row>
    <row r="567" spans="1:17" hidden="1" x14ac:dyDescent="0.3">
      <c r="A567" s="20">
        <f t="shared" si="8"/>
        <v>566</v>
      </c>
      <c r="B567" s="21" t="s">
        <v>87</v>
      </c>
      <c r="C567" s="21" t="s">
        <v>97</v>
      </c>
      <c r="D567" s="22" t="str">
        <f>IF($C567="","",IFERROR(VLOOKUP($C567,Map_Register!$A$2:$C$5,3,FALSE()),""))</f>
        <v>Toponym Labels</v>
      </c>
      <c r="E567" s="21" t="s">
        <v>15</v>
      </c>
      <c r="F567" s="23">
        <v>165980</v>
      </c>
      <c r="G567" s="20" t="s">
        <v>719</v>
      </c>
      <c r="H567" s="20" t="s">
        <v>1273</v>
      </c>
      <c r="I567" t="s">
        <v>697</v>
      </c>
      <c r="J567" s="20" t="s">
        <v>6</v>
      </c>
      <c r="K567" s="20" t="s">
        <v>137</v>
      </c>
      <c r="L567" s="20" t="s">
        <v>137</v>
      </c>
      <c r="M567" s="20" t="s">
        <v>721</v>
      </c>
      <c r="Q567" s="24" t="s">
        <v>680</v>
      </c>
    </row>
    <row r="568" spans="1:17" x14ac:dyDescent="0.3">
      <c r="A568" s="20">
        <f t="shared" si="8"/>
        <v>567</v>
      </c>
      <c r="B568" s="21" t="s">
        <v>87</v>
      </c>
      <c r="C568" s="21" t="s">
        <v>97</v>
      </c>
      <c r="D568" s="22" t="str">
        <f>IF($C568="","",IFERROR(VLOOKUP($C568,Map_Register!$A$2:$C$5,3,FALSE()),""))</f>
        <v>Toponym Labels</v>
      </c>
      <c r="E568" s="21" t="s">
        <v>15</v>
      </c>
      <c r="F568" s="23">
        <v>165981</v>
      </c>
      <c r="G568" s="20" t="s">
        <v>719</v>
      </c>
      <c r="H568" s="20" t="s">
        <v>1274</v>
      </c>
      <c r="I568" t="s">
        <v>697</v>
      </c>
      <c r="J568" s="20" t="s">
        <v>8</v>
      </c>
      <c r="K568" t="s">
        <v>107</v>
      </c>
      <c r="L568" t="s">
        <v>108</v>
      </c>
      <c r="M568" s="20" t="s">
        <v>1126</v>
      </c>
      <c r="N568" s="20" t="s">
        <v>108</v>
      </c>
      <c r="Q568" s="24" t="s">
        <v>680</v>
      </c>
    </row>
    <row r="569" spans="1:17" hidden="1" x14ac:dyDescent="0.3">
      <c r="A569" s="20">
        <f t="shared" si="8"/>
        <v>568</v>
      </c>
      <c r="B569" s="21" t="s">
        <v>87</v>
      </c>
      <c r="C569" s="21" t="s">
        <v>97</v>
      </c>
      <c r="D569" s="22" t="str">
        <f>IF($C569="","",IFERROR(VLOOKUP($C569,Map_Register!$A$2:$C$5,3,FALSE()),""))</f>
        <v>Toponym Labels</v>
      </c>
      <c r="E569" s="21" t="s">
        <v>15</v>
      </c>
      <c r="F569" s="23">
        <v>165982</v>
      </c>
      <c r="G569" s="20" t="s">
        <v>719</v>
      </c>
      <c r="H569" s="20" t="s">
        <v>1275</v>
      </c>
      <c r="I569" t="s">
        <v>697</v>
      </c>
      <c r="J569" s="20" t="s">
        <v>6</v>
      </c>
      <c r="K569" s="20" t="s">
        <v>137</v>
      </c>
      <c r="L569" s="20" t="s">
        <v>137</v>
      </c>
      <c r="M569" s="20" t="s">
        <v>721</v>
      </c>
      <c r="Q569" s="24" t="s">
        <v>680</v>
      </c>
    </row>
    <row r="570" spans="1:17" hidden="1" x14ac:dyDescent="0.3">
      <c r="A570" s="20">
        <f t="shared" si="8"/>
        <v>569</v>
      </c>
      <c r="B570" s="21" t="s">
        <v>87</v>
      </c>
      <c r="C570" s="21" t="s">
        <v>97</v>
      </c>
      <c r="D570" s="22" t="str">
        <f>IF($C570="","",IFERROR(VLOOKUP($C570,Map_Register!$A$2:$C$5,3,FALSE()),""))</f>
        <v>Toponym Labels</v>
      </c>
      <c r="E570" s="21" t="s">
        <v>15</v>
      </c>
      <c r="F570" s="23">
        <v>165983</v>
      </c>
      <c r="G570" s="20" t="s">
        <v>719</v>
      </c>
      <c r="H570" s="20" t="s">
        <v>1276</v>
      </c>
      <c r="I570" t="s">
        <v>697</v>
      </c>
      <c r="J570" s="20" t="s">
        <v>8</v>
      </c>
      <c r="K570" t="s">
        <v>107</v>
      </c>
      <c r="L570" t="s">
        <v>107</v>
      </c>
      <c r="M570" s="20" t="s">
        <v>683</v>
      </c>
      <c r="N570" s="20" t="s">
        <v>108</v>
      </c>
      <c r="Q570" s="24" t="s">
        <v>680</v>
      </c>
    </row>
    <row r="571" spans="1:17" hidden="1" x14ac:dyDescent="0.3">
      <c r="A571" s="20">
        <f t="shared" si="8"/>
        <v>570</v>
      </c>
      <c r="B571" s="21" t="s">
        <v>87</v>
      </c>
      <c r="C571" s="21" t="s">
        <v>97</v>
      </c>
      <c r="D571" s="22" t="str">
        <f>IF($C571="","",IFERROR(VLOOKUP($C571,Map_Register!$A$2:$C$5,3,FALSE()),""))</f>
        <v>Toponym Labels</v>
      </c>
      <c r="E571" s="21" t="s">
        <v>15</v>
      </c>
      <c r="F571" s="23">
        <v>165984</v>
      </c>
      <c r="G571" s="20" t="s">
        <v>719</v>
      </c>
      <c r="H571" s="20" t="s">
        <v>1277</v>
      </c>
      <c r="I571" t="s">
        <v>697</v>
      </c>
      <c r="J571" s="20" t="s">
        <v>8</v>
      </c>
      <c r="K571" t="s">
        <v>107</v>
      </c>
      <c r="L571" t="s">
        <v>107</v>
      </c>
      <c r="M571" s="20" t="s">
        <v>683</v>
      </c>
      <c r="N571" s="20" t="s">
        <v>108</v>
      </c>
      <c r="Q571" s="24" t="s">
        <v>680</v>
      </c>
    </row>
    <row r="572" spans="1:17" hidden="1" x14ac:dyDescent="0.3">
      <c r="A572" s="20">
        <f t="shared" si="8"/>
        <v>571</v>
      </c>
      <c r="B572" s="21" t="s">
        <v>87</v>
      </c>
      <c r="C572" s="21" t="s">
        <v>97</v>
      </c>
      <c r="D572" s="22" t="str">
        <f>IF($C572="","",IFERROR(VLOOKUP($C572,Map_Register!$A$2:$C$5,3,FALSE()),""))</f>
        <v>Toponym Labels</v>
      </c>
      <c r="E572" s="21" t="s">
        <v>15</v>
      </c>
      <c r="F572" s="23">
        <v>165989</v>
      </c>
      <c r="G572" s="20" t="s">
        <v>719</v>
      </c>
      <c r="H572" s="20" t="s">
        <v>1278</v>
      </c>
      <c r="I572" t="s">
        <v>697</v>
      </c>
      <c r="J572" s="20" t="s">
        <v>8</v>
      </c>
      <c r="K572" t="s">
        <v>107</v>
      </c>
      <c r="L572" t="s">
        <v>107</v>
      </c>
      <c r="M572" s="20" t="s">
        <v>683</v>
      </c>
      <c r="N572" s="20" t="s">
        <v>108</v>
      </c>
      <c r="Q572" s="24" t="s">
        <v>680</v>
      </c>
    </row>
    <row r="573" spans="1:17" hidden="1" x14ac:dyDescent="0.3">
      <c r="A573" s="20">
        <f t="shared" si="8"/>
        <v>572</v>
      </c>
      <c r="B573" s="21" t="s">
        <v>87</v>
      </c>
      <c r="C573" s="21" t="s">
        <v>97</v>
      </c>
      <c r="D573" s="22" t="str">
        <f>IF($C573="","",IFERROR(VLOOKUP($C573,Map_Register!$A$2:$C$5,3,FALSE()),""))</f>
        <v>Toponym Labels</v>
      </c>
      <c r="E573" s="21" t="s">
        <v>15</v>
      </c>
      <c r="F573" s="23">
        <v>166014</v>
      </c>
      <c r="G573" s="20" t="s">
        <v>719</v>
      </c>
      <c r="H573" s="20" t="s">
        <v>1279</v>
      </c>
      <c r="I573" t="s">
        <v>697</v>
      </c>
      <c r="J573" s="20" t="s">
        <v>8</v>
      </c>
      <c r="K573" t="s">
        <v>107</v>
      </c>
      <c r="L573" t="s">
        <v>107</v>
      </c>
      <c r="M573" s="20" t="s">
        <v>683</v>
      </c>
      <c r="N573" s="20" t="s">
        <v>108</v>
      </c>
      <c r="Q573" s="24" t="s">
        <v>680</v>
      </c>
    </row>
    <row r="574" spans="1:17" hidden="1" x14ac:dyDescent="0.3">
      <c r="A574" s="20">
        <f t="shared" si="8"/>
        <v>573</v>
      </c>
      <c r="B574" s="21" t="s">
        <v>87</v>
      </c>
      <c r="C574" s="21" t="s">
        <v>97</v>
      </c>
      <c r="D574" s="22" t="str">
        <f>IF($C574="","",IFERROR(VLOOKUP($C574,Map_Register!$A$2:$C$5,3,FALSE()),""))</f>
        <v>Toponym Labels</v>
      </c>
      <c r="E574" s="21" t="s">
        <v>15</v>
      </c>
      <c r="F574" s="23">
        <v>166015</v>
      </c>
      <c r="G574" s="20" t="s">
        <v>719</v>
      </c>
      <c r="H574" s="20" t="s">
        <v>1280</v>
      </c>
      <c r="I574" t="s">
        <v>697</v>
      </c>
      <c r="J574" s="20" t="s">
        <v>6</v>
      </c>
      <c r="K574" s="20" t="s">
        <v>137</v>
      </c>
      <c r="L574" s="20" t="s">
        <v>137</v>
      </c>
      <c r="M574" s="20" t="s">
        <v>721</v>
      </c>
      <c r="Q574" s="24" t="s">
        <v>680</v>
      </c>
    </row>
    <row r="575" spans="1:17" hidden="1" x14ac:dyDescent="0.3">
      <c r="A575" s="20">
        <f t="shared" si="8"/>
        <v>574</v>
      </c>
      <c r="B575" s="21" t="s">
        <v>87</v>
      </c>
      <c r="C575" s="21" t="s">
        <v>97</v>
      </c>
      <c r="D575" s="22" t="str">
        <f>IF($C575="","",IFERROR(VLOOKUP($C575,Map_Register!$A$2:$C$5,3,FALSE()),""))</f>
        <v>Toponym Labels</v>
      </c>
      <c r="E575" s="21" t="s">
        <v>15</v>
      </c>
      <c r="F575" s="23">
        <v>166344</v>
      </c>
      <c r="G575" s="20" t="s">
        <v>719</v>
      </c>
      <c r="H575" s="20" t="s">
        <v>1281</v>
      </c>
      <c r="I575" t="s">
        <v>697</v>
      </c>
      <c r="J575" s="20" t="s">
        <v>6</v>
      </c>
      <c r="K575" s="20" t="s">
        <v>137</v>
      </c>
      <c r="L575" s="20" t="s">
        <v>137</v>
      </c>
      <c r="M575" s="20" t="s">
        <v>1264</v>
      </c>
      <c r="Q575" s="24" t="s">
        <v>680</v>
      </c>
    </row>
    <row r="576" spans="1:17" hidden="1" x14ac:dyDescent="0.3">
      <c r="A576" s="20">
        <f t="shared" si="8"/>
        <v>575</v>
      </c>
      <c r="B576" s="21" t="s">
        <v>87</v>
      </c>
      <c r="C576" s="21" t="s">
        <v>97</v>
      </c>
      <c r="D576" s="22" t="str">
        <f>IF($C576="","",IFERROR(VLOOKUP($C576,Map_Register!$A$2:$C$5,3,FALSE()),""))</f>
        <v>Toponym Labels</v>
      </c>
      <c r="E576" s="21" t="s">
        <v>15</v>
      </c>
      <c r="F576" s="23">
        <v>166370</v>
      </c>
      <c r="G576" s="20" t="s">
        <v>719</v>
      </c>
      <c r="H576" s="20" t="s">
        <v>1282</v>
      </c>
      <c r="I576" t="s">
        <v>697</v>
      </c>
      <c r="J576" s="20" t="s">
        <v>8</v>
      </c>
      <c r="K576" t="s">
        <v>107</v>
      </c>
      <c r="L576" t="s">
        <v>107</v>
      </c>
      <c r="M576" s="20" t="s">
        <v>683</v>
      </c>
      <c r="N576" s="20" t="s">
        <v>108</v>
      </c>
      <c r="Q576" s="24" t="s">
        <v>680</v>
      </c>
    </row>
    <row r="577" spans="1:17" hidden="1" x14ac:dyDescent="0.3">
      <c r="A577" s="20">
        <f t="shared" si="8"/>
        <v>576</v>
      </c>
      <c r="B577" s="21" t="s">
        <v>87</v>
      </c>
      <c r="C577" s="21" t="s">
        <v>97</v>
      </c>
      <c r="D577" s="22" t="str">
        <f>IF($C577="","",IFERROR(VLOOKUP($C577,Map_Register!$A$2:$C$5,3,FALSE()),""))</f>
        <v>Toponym Labels</v>
      </c>
      <c r="E577" s="21" t="s">
        <v>15</v>
      </c>
      <c r="F577" s="23">
        <v>166371</v>
      </c>
      <c r="G577" s="20" t="s">
        <v>719</v>
      </c>
      <c r="H577" s="20" t="s">
        <v>1283</v>
      </c>
      <c r="I577" t="s">
        <v>697</v>
      </c>
      <c r="J577" s="20" t="s">
        <v>8</v>
      </c>
      <c r="K577" t="s">
        <v>107</v>
      </c>
      <c r="L577" t="s">
        <v>107</v>
      </c>
      <c r="M577" s="20" t="s">
        <v>683</v>
      </c>
      <c r="N577" s="20" t="s">
        <v>108</v>
      </c>
      <c r="Q577" s="24" t="s">
        <v>680</v>
      </c>
    </row>
    <row r="578" spans="1:17" hidden="1" x14ac:dyDescent="0.3">
      <c r="A578" s="20">
        <f t="shared" ref="A578:A641" si="9">IF($B578="","",ROW()-1)</f>
        <v>577</v>
      </c>
      <c r="B578" s="21" t="s">
        <v>87</v>
      </c>
      <c r="C578" s="21" t="s">
        <v>97</v>
      </c>
      <c r="D578" s="22" t="str">
        <f>IF($C578="","",IFERROR(VLOOKUP($C578,Map_Register!$A$2:$C$5,3,FALSE()),""))</f>
        <v>Toponym Labels</v>
      </c>
      <c r="E578" s="21" t="s">
        <v>15</v>
      </c>
      <c r="F578" s="23">
        <v>166372</v>
      </c>
      <c r="G578" s="20" t="s">
        <v>719</v>
      </c>
      <c r="H578" s="20" t="s">
        <v>1284</v>
      </c>
      <c r="I578" t="s">
        <v>697</v>
      </c>
      <c r="J578" s="20" t="s">
        <v>8</v>
      </c>
      <c r="K578" t="s">
        <v>107</v>
      </c>
      <c r="L578" t="s">
        <v>107</v>
      </c>
      <c r="M578" s="20" t="s">
        <v>683</v>
      </c>
      <c r="N578" s="20" t="s">
        <v>108</v>
      </c>
      <c r="Q578" s="24" t="s">
        <v>680</v>
      </c>
    </row>
    <row r="579" spans="1:17" x14ac:dyDescent="0.3">
      <c r="A579" s="20">
        <f t="shared" si="9"/>
        <v>578</v>
      </c>
      <c r="B579" s="21" t="s">
        <v>87</v>
      </c>
      <c r="C579" s="21" t="s">
        <v>97</v>
      </c>
      <c r="D579" s="22" t="str">
        <f>IF($C579="","",IFERROR(VLOOKUP($C579,Map_Register!$A$2:$C$5,3,FALSE()),""))</f>
        <v>Toponym Labels</v>
      </c>
      <c r="E579" s="21" t="s">
        <v>15</v>
      </c>
      <c r="F579" s="23">
        <v>166373</v>
      </c>
      <c r="G579" s="20" t="s">
        <v>719</v>
      </c>
      <c r="H579" s="20" t="s">
        <v>1285</v>
      </c>
      <c r="I579" t="s">
        <v>697</v>
      </c>
      <c r="J579" s="20" t="s">
        <v>8</v>
      </c>
      <c r="K579" t="s">
        <v>107</v>
      </c>
      <c r="L579" t="s">
        <v>108</v>
      </c>
      <c r="M579" s="20" t="s">
        <v>1286</v>
      </c>
      <c r="N579" s="20" t="s">
        <v>108</v>
      </c>
      <c r="Q579" s="24" t="s">
        <v>680</v>
      </c>
    </row>
    <row r="580" spans="1:17" hidden="1" x14ac:dyDescent="0.3">
      <c r="A580" s="20">
        <f t="shared" si="9"/>
        <v>579</v>
      </c>
      <c r="B580" s="21" t="s">
        <v>87</v>
      </c>
      <c r="C580" s="21" t="s">
        <v>97</v>
      </c>
      <c r="D580" s="22" t="str">
        <f>IF($C580="","",IFERROR(VLOOKUP($C580,Map_Register!$A$2:$C$5,3,FALSE()),""))</f>
        <v>Toponym Labels</v>
      </c>
      <c r="E580" s="21" t="s">
        <v>15</v>
      </c>
      <c r="F580" s="23">
        <v>166374</v>
      </c>
      <c r="G580" s="20" t="s">
        <v>719</v>
      </c>
      <c r="H580" s="20" t="s">
        <v>1287</v>
      </c>
      <c r="I580" t="s">
        <v>697</v>
      </c>
      <c r="J580" s="20" t="s">
        <v>6</v>
      </c>
      <c r="K580" s="20" t="s">
        <v>137</v>
      </c>
      <c r="L580" s="20" t="s">
        <v>137</v>
      </c>
      <c r="M580" s="20" t="s">
        <v>1264</v>
      </c>
      <c r="Q580" s="24" t="s">
        <v>680</v>
      </c>
    </row>
    <row r="581" spans="1:17" hidden="1" x14ac:dyDescent="0.3">
      <c r="A581" s="20">
        <f t="shared" si="9"/>
        <v>580</v>
      </c>
      <c r="B581" s="21" t="s">
        <v>87</v>
      </c>
      <c r="C581" s="21" t="s">
        <v>97</v>
      </c>
      <c r="D581" s="22" t="str">
        <f>IF($C581="","",IFERROR(VLOOKUP($C581,Map_Register!$A$2:$C$5,3,FALSE()),""))</f>
        <v>Toponym Labels</v>
      </c>
      <c r="E581" s="21" t="s">
        <v>15</v>
      </c>
      <c r="F581" s="23">
        <v>166375</v>
      </c>
      <c r="G581" s="20" t="s">
        <v>719</v>
      </c>
      <c r="H581" s="20" t="s">
        <v>1288</v>
      </c>
      <c r="I581" t="s">
        <v>697</v>
      </c>
      <c r="J581" s="20" t="s">
        <v>6</v>
      </c>
      <c r="K581" s="20" t="s">
        <v>137</v>
      </c>
      <c r="L581" s="20" t="s">
        <v>137</v>
      </c>
      <c r="M581" s="20" t="s">
        <v>721</v>
      </c>
      <c r="Q581" s="24" t="s">
        <v>680</v>
      </c>
    </row>
    <row r="582" spans="1:17" hidden="1" x14ac:dyDescent="0.3">
      <c r="A582" s="20">
        <f t="shared" si="9"/>
        <v>581</v>
      </c>
      <c r="B582" s="21" t="s">
        <v>87</v>
      </c>
      <c r="C582" s="21" t="s">
        <v>97</v>
      </c>
      <c r="D582" s="22" t="str">
        <f>IF($C582="","",IFERROR(VLOOKUP($C582,Map_Register!$A$2:$C$5,3,FALSE()),""))</f>
        <v>Toponym Labels</v>
      </c>
      <c r="E582" s="21" t="s">
        <v>15</v>
      </c>
      <c r="F582" s="23">
        <v>166376</v>
      </c>
      <c r="G582" s="20" t="s">
        <v>719</v>
      </c>
      <c r="H582" s="20" t="s">
        <v>1289</v>
      </c>
      <c r="I582" t="s">
        <v>697</v>
      </c>
      <c r="J582" s="20" t="s">
        <v>8</v>
      </c>
      <c r="K582" t="s">
        <v>107</v>
      </c>
      <c r="L582" t="s">
        <v>107</v>
      </c>
      <c r="M582" s="20" t="s">
        <v>683</v>
      </c>
      <c r="N582" s="20" t="s">
        <v>108</v>
      </c>
      <c r="Q582" s="24" t="s">
        <v>680</v>
      </c>
    </row>
    <row r="583" spans="1:17" hidden="1" x14ac:dyDescent="0.3">
      <c r="A583" s="20">
        <f t="shared" si="9"/>
        <v>582</v>
      </c>
      <c r="B583" s="21" t="s">
        <v>87</v>
      </c>
      <c r="C583" s="21" t="s">
        <v>97</v>
      </c>
      <c r="D583" s="22" t="str">
        <f>IF($C583="","",IFERROR(VLOOKUP($C583,Map_Register!$A$2:$C$5,3,FALSE()),""))</f>
        <v>Toponym Labels</v>
      </c>
      <c r="E583" s="21" t="s">
        <v>15</v>
      </c>
      <c r="F583" s="23">
        <v>166395</v>
      </c>
      <c r="G583" s="20" t="s">
        <v>719</v>
      </c>
      <c r="H583" s="20" t="s">
        <v>1290</v>
      </c>
      <c r="I583" t="s">
        <v>697</v>
      </c>
      <c r="J583" s="20" t="s">
        <v>6</v>
      </c>
      <c r="K583" s="20" t="s">
        <v>137</v>
      </c>
      <c r="L583" s="20" t="s">
        <v>137</v>
      </c>
      <c r="M583" s="20" t="s">
        <v>721</v>
      </c>
      <c r="Q583" s="24" t="s">
        <v>680</v>
      </c>
    </row>
    <row r="584" spans="1:17" x14ac:dyDescent="0.3">
      <c r="A584" s="20">
        <f t="shared" si="9"/>
        <v>583</v>
      </c>
      <c r="B584" s="21" t="s">
        <v>87</v>
      </c>
      <c r="C584" s="21" t="s">
        <v>97</v>
      </c>
      <c r="D584" s="22" t="str">
        <f>IF($C584="","",IFERROR(VLOOKUP($C584,Map_Register!$A$2:$C$5,3,FALSE()),""))</f>
        <v>Toponym Labels</v>
      </c>
      <c r="E584" s="21" t="s">
        <v>15</v>
      </c>
      <c r="F584" s="23">
        <v>166715</v>
      </c>
      <c r="G584" s="20" t="s">
        <v>719</v>
      </c>
      <c r="H584" s="20" t="s">
        <v>1291</v>
      </c>
      <c r="I584" t="s">
        <v>697</v>
      </c>
      <c r="J584" s="20" t="s">
        <v>8</v>
      </c>
      <c r="K584" t="s">
        <v>107</v>
      </c>
      <c r="L584" t="s">
        <v>108</v>
      </c>
      <c r="M584" s="20" t="s">
        <v>1126</v>
      </c>
      <c r="N584" s="20" t="s">
        <v>108</v>
      </c>
      <c r="Q584" s="24" t="s">
        <v>680</v>
      </c>
    </row>
    <row r="585" spans="1:17" hidden="1" x14ac:dyDescent="0.3">
      <c r="A585" s="20">
        <f t="shared" si="9"/>
        <v>584</v>
      </c>
      <c r="B585" s="21" t="s">
        <v>87</v>
      </c>
      <c r="C585" s="21" t="s">
        <v>97</v>
      </c>
      <c r="D585" s="22" t="str">
        <f>IF($C585="","",IFERROR(VLOOKUP($C585,Map_Register!$A$2:$C$5,3,FALSE()),""))</f>
        <v>Toponym Labels</v>
      </c>
      <c r="E585" s="21" t="s">
        <v>15</v>
      </c>
      <c r="F585" s="23">
        <v>166734</v>
      </c>
      <c r="G585" s="20" t="s">
        <v>719</v>
      </c>
      <c r="H585" s="20" t="s">
        <v>1292</v>
      </c>
      <c r="I585" t="s">
        <v>697</v>
      </c>
      <c r="J585" s="20" t="s">
        <v>8</v>
      </c>
      <c r="K585" t="s">
        <v>107</v>
      </c>
      <c r="L585" t="s">
        <v>107</v>
      </c>
      <c r="M585" s="20" t="s">
        <v>683</v>
      </c>
      <c r="N585" s="20" t="s">
        <v>108</v>
      </c>
      <c r="Q585" s="24" t="s">
        <v>680</v>
      </c>
    </row>
    <row r="586" spans="1:17" hidden="1" x14ac:dyDescent="0.3">
      <c r="A586" s="20">
        <f t="shared" si="9"/>
        <v>585</v>
      </c>
      <c r="B586" s="21" t="s">
        <v>87</v>
      </c>
      <c r="C586" s="21" t="s">
        <v>97</v>
      </c>
      <c r="D586" s="22" t="str">
        <f>IF($C586="","",IFERROR(VLOOKUP($C586,Map_Register!$A$2:$C$5,3,FALSE()),""))</f>
        <v>Toponym Labels</v>
      </c>
      <c r="E586" s="21" t="s">
        <v>15</v>
      </c>
      <c r="F586" s="23">
        <v>166741</v>
      </c>
      <c r="G586" s="20" t="s">
        <v>719</v>
      </c>
      <c r="H586" s="20" t="s">
        <v>1293</v>
      </c>
      <c r="I586" t="s">
        <v>697</v>
      </c>
      <c r="J586" s="20" t="s">
        <v>6</v>
      </c>
      <c r="K586" s="20" t="s">
        <v>137</v>
      </c>
      <c r="L586" s="20" t="s">
        <v>137</v>
      </c>
      <c r="M586" s="20" t="s">
        <v>721</v>
      </c>
      <c r="Q586" s="24" t="s">
        <v>680</v>
      </c>
    </row>
    <row r="587" spans="1:17" hidden="1" x14ac:dyDescent="0.3">
      <c r="A587" s="20">
        <f t="shared" si="9"/>
        <v>586</v>
      </c>
      <c r="B587" s="21" t="s">
        <v>87</v>
      </c>
      <c r="C587" s="21" t="s">
        <v>97</v>
      </c>
      <c r="D587" s="22" t="str">
        <f>IF($C587="","",IFERROR(VLOOKUP($C587,Map_Register!$A$2:$C$5,3,FALSE()),""))</f>
        <v>Toponym Labels</v>
      </c>
      <c r="E587" s="21" t="s">
        <v>15</v>
      </c>
      <c r="F587" s="23">
        <v>166742</v>
      </c>
      <c r="G587" s="20" t="s">
        <v>719</v>
      </c>
      <c r="H587" s="20" t="s">
        <v>1294</v>
      </c>
      <c r="I587" t="s">
        <v>697</v>
      </c>
      <c r="J587" s="20" t="s">
        <v>6</v>
      </c>
      <c r="K587" s="20" t="s">
        <v>137</v>
      </c>
      <c r="L587" s="20" t="s">
        <v>137</v>
      </c>
      <c r="M587" s="20" t="s">
        <v>1295</v>
      </c>
      <c r="Q587" s="24" t="s">
        <v>680</v>
      </c>
    </row>
    <row r="588" spans="1:17" hidden="1" x14ac:dyDescent="0.3">
      <c r="A588" s="20">
        <f t="shared" si="9"/>
        <v>587</v>
      </c>
      <c r="B588" s="21" t="s">
        <v>87</v>
      </c>
      <c r="C588" s="21" t="s">
        <v>97</v>
      </c>
      <c r="D588" s="22" t="str">
        <f>IF($C588="","",IFERROR(VLOOKUP($C588,Map_Register!$A$2:$C$5,3,FALSE()),""))</f>
        <v>Toponym Labels</v>
      </c>
      <c r="E588" s="21" t="s">
        <v>15</v>
      </c>
      <c r="F588" s="23">
        <v>167094</v>
      </c>
      <c r="G588" s="20" t="s">
        <v>719</v>
      </c>
      <c r="H588" s="20" t="s">
        <v>1296</v>
      </c>
      <c r="I588" t="s">
        <v>697</v>
      </c>
      <c r="J588" s="20" t="s">
        <v>6</v>
      </c>
      <c r="K588" s="20" t="s">
        <v>137</v>
      </c>
      <c r="L588" s="20" t="s">
        <v>137</v>
      </c>
      <c r="M588" s="20" t="s">
        <v>721</v>
      </c>
      <c r="Q588" s="24" t="s">
        <v>680</v>
      </c>
    </row>
    <row r="589" spans="1:17" hidden="1" x14ac:dyDescent="0.3">
      <c r="A589" s="20">
        <f t="shared" si="9"/>
        <v>588</v>
      </c>
      <c r="B589" s="21" t="s">
        <v>87</v>
      </c>
      <c r="C589" s="21" t="s">
        <v>97</v>
      </c>
      <c r="D589" s="22" t="str">
        <f>IF($C589="","",IFERROR(VLOOKUP($C589,Map_Register!$A$2:$C$5,3,FALSE()),""))</f>
        <v>Toponym Labels</v>
      </c>
      <c r="E589" s="21" t="s">
        <v>15</v>
      </c>
      <c r="F589" s="23">
        <v>167420</v>
      </c>
      <c r="G589" s="20" t="s">
        <v>719</v>
      </c>
      <c r="H589" s="20" t="s">
        <v>1297</v>
      </c>
      <c r="I589" t="s">
        <v>697</v>
      </c>
      <c r="J589" s="20" t="s">
        <v>6</v>
      </c>
      <c r="K589" s="20" t="s">
        <v>137</v>
      </c>
      <c r="L589" s="20" t="s">
        <v>137</v>
      </c>
      <c r="M589" s="20" t="s">
        <v>1298</v>
      </c>
      <c r="Q589" s="24" t="s">
        <v>680</v>
      </c>
    </row>
    <row r="590" spans="1:17" x14ac:dyDescent="0.3">
      <c r="A590" s="20">
        <f t="shared" si="9"/>
        <v>589</v>
      </c>
      <c r="B590" s="21" t="s">
        <v>87</v>
      </c>
      <c r="C590" s="21" t="s">
        <v>97</v>
      </c>
      <c r="D590" s="22" t="str">
        <f>IF($C590="","",IFERROR(VLOOKUP($C590,Map_Register!$A$2:$C$5,3,FALSE()),""))</f>
        <v>Toponym Labels</v>
      </c>
      <c r="E590" s="21" t="s">
        <v>15</v>
      </c>
      <c r="F590" s="23">
        <v>167421</v>
      </c>
      <c r="G590" s="20" t="s">
        <v>719</v>
      </c>
      <c r="H590" s="20" t="s">
        <v>1299</v>
      </c>
      <c r="I590" t="s">
        <v>697</v>
      </c>
      <c r="J590" s="20" t="s">
        <v>8</v>
      </c>
      <c r="K590" t="s">
        <v>107</v>
      </c>
      <c r="L590" t="s">
        <v>108</v>
      </c>
      <c r="M590" s="20" t="s">
        <v>1126</v>
      </c>
      <c r="N590" s="20" t="s">
        <v>108</v>
      </c>
      <c r="Q590" s="24" t="s">
        <v>680</v>
      </c>
    </row>
    <row r="591" spans="1:17" hidden="1" x14ac:dyDescent="0.3">
      <c r="A591" s="20">
        <f t="shared" si="9"/>
        <v>590</v>
      </c>
      <c r="B591" s="21" t="s">
        <v>87</v>
      </c>
      <c r="C591" s="21" t="s">
        <v>97</v>
      </c>
      <c r="D591" s="22" t="str">
        <f>IF($C591="","",IFERROR(VLOOKUP($C591,Map_Register!$A$2:$C$5,3,FALSE()),""))</f>
        <v>Toponym Labels</v>
      </c>
      <c r="E591" s="21" t="s">
        <v>15</v>
      </c>
      <c r="F591" s="23">
        <v>167422</v>
      </c>
      <c r="G591" s="20" t="s">
        <v>719</v>
      </c>
      <c r="H591" s="20" t="s">
        <v>1300</v>
      </c>
      <c r="I591" t="s">
        <v>697</v>
      </c>
      <c r="J591" s="20" t="s">
        <v>6</v>
      </c>
      <c r="K591" s="20" t="s">
        <v>137</v>
      </c>
      <c r="L591" s="20" t="s">
        <v>137</v>
      </c>
      <c r="M591" s="20" t="s">
        <v>721</v>
      </c>
      <c r="Q591" s="24" t="s">
        <v>680</v>
      </c>
    </row>
    <row r="592" spans="1:17" x14ac:dyDescent="0.3">
      <c r="A592" s="20">
        <f t="shared" si="9"/>
        <v>591</v>
      </c>
      <c r="B592" s="21" t="s">
        <v>87</v>
      </c>
      <c r="C592" s="21" t="s">
        <v>97</v>
      </c>
      <c r="D592" s="22" t="str">
        <f>IF($C592="","",IFERROR(VLOOKUP($C592,Map_Register!$A$2:$C$5,3,FALSE()),""))</f>
        <v>Toponym Labels</v>
      </c>
      <c r="E592" s="21" t="s">
        <v>15</v>
      </c>
      <c r="F592" s="23">
        <v>167428</v>
      </c>
      <c r="G592" s="20" t="s">
        <v>719</v>
      </c>
      <c r="H592" s="20" t="s">
        <v>1301</v>
      </c>
      <c r="I592" t="s">
        <v>697</v>
      </c>
      <c r="J592" s="20" t="s">
        <v>8</v>
      </c>
      <c r="K592" t="s">
        <v>107</v>
      </c>
      <c r="L592" t="s">
        <v>108</v>
      </c>
      <c r="M592" s="20" t="s">
        <v>1126</v>
      </c>
      <c r="N592" s="20" t="s">
        <v>108</v>
      </c>
      <c r="Q592" s="24" t="s">
        <v>680</v>
      </c>
    </row>
    <row r="593" spans="1:17" hidden="1" x14ac:dyDescent="0.3">
      <c r="A593" s="20">
        <f t="shared" si="9"/>
        <v>592</v>
      </c>
      <c r="B593" s="21" t="s">
        <v>87</v>
      </c>
      <c r="C593" s="21" t="s">
        <v>97</v>
      </c>
      <c r="D593" s="22" t="str">
        <f>IF($C593="","",IFERROR(VLOOKUP($C593,Map_Register!$A$2:$C$5,3,FALSE()),""))</f>
        <v>Toponym Labels</v>
      </c>
      <c r="E593" s="21" t="s">
        <v>15</v>
      </c>
      <c r="F593" s="23">
        <v>167429</v>
      </c>
      <c r="G593" s="20" t="s">
        <v>719</v>
      </c>
      <c r="H593" s="20" t="s">
        <v>1194</v>
      </c>
      <c r="I593" t="s">
        <v>697</v>
      </c>
      <c r="J593" s="20" t="s">
        <v>6</v>
      </c>
      <c r="K593" s="20" t="s">
        <v>137</v>
      </c>
      <c r="L593" s="20" t="s">
        <v>137</v>
      </c>
      <c r="M593" s="20" t="s">
        <v>721</v>
      </c>
      <c r="Q593" s="24" t="s">
        <v>680</v>
      </c>
    </row>
    <row r="594" spans="1:17" x14ac:dyDescent="0.3">
      <c r="A594" s="20">
        <f t="shared" si="9"/>
        <v>593</v>
      </c>
      <c r="B594" s="21" t="s">
        <v>87</v>
      </c>
      <c r="C594" s="21" t="s">
        <v>97</v>
      </c>
      <c r="D594" s="22" t="str">
        <f>IF($C594="","",IFERROR(VLOOKUP($C594,Map_Register!$A$2:$C$5,3,FALSE()),""))</f>
        <v>Toponym Labels</v>
      </c>
      <c r="E594" s="21" t="s">
        <v>15</v>
      </c>
      <c r="F594" s="23">
        <v>167430</v>
      </c>
      <c r="G594" s="20" t="s">
        <v>719</v>
      </c>
      <c r="H594" s="20" t="s">
        <v>1302</v>
      </c>
      <c r="I594" t="s">
        <v>697</v>
      </c>
      <c r="J594" s="20" t="s">
        <v>8</v>
      </c>
      <c r="K594" t="s">
        <v>107</v>
      </c>
      <c r="L594" t="s">
        <v>108</v>
      </c>
      <c r="M594" s="20" t="s">
        <v>1126</v>
      </c>
      <c r="N594" s="20" t="s">
        <v>108</v>
      </c>
      <c r="Q594" s="24" t="s">
        <v>680</v>
      </c>
    </row>
    <row r="595" spans="1:17" x14ac:dyDescent="0.3">
      <c r="A595" s="20">
        <f t="shared" si="9"/>
        <v>594</v>
      </c>
      <c r="B595" s="21" t="s">
        <v>87</v>
      </c>
      <c r="C595" s="21" t="s">
        <v>97</v>
      </c>
      <c r="D595" s="22" t="str">
        <f>IF($C595="","",IFERROR(VLOOKUP($C595,Map_Register!$A$2:$C$5,3,FALSE()),""))</f>
        <v>Toponym Labels</v>
      </c>
      <c r="E595" s="21" t="s">
        <v>15</v>
      </c>
      <c r="F595" s="23">
        <v>167431</v>
      </c>
      <c r="G595" s="20" t="s">
        <v>719</v>
      </c>
      <c r="H595" s="20" t="s">
        <v>1303</v>
      </c>
      <c r="I595" t="s">
        <v>697</v>
      </c>
      <c r="J595" s="20" t="s">
        <v>8</v>
      </c>
      <c r="K595" t="s">
        <v>107</v>
      </c>
      <c r="L595" t="s">
        <v>108</v>
      </c>
      <c r="M595" s="20" t="s">
        <v>1126</v>
      </c>
      <c r="N595" s="20" t="s">
        <v>108</v>
      </c>
      <c r="Q595" s="24" t="s">
        <v>680</v>
      </c>
    </row>
    <row r="596" spans="1:17" hidden="1" x14ac:dyDescent="0.3">
      <c r="A596" s="20">
        <f t="shared" si="9"/>
        <v>595</v>
      </c>
      <c r="B596" s="21" t="s">
        <v>87</v>
      </c>
      <c r="C596" s="21" t="s">
        <v>97</v>
      </c>
      <c r="D596" s="22" t="str">
        <f>IF($C596="","",IFERROR(VLOOKUP($C596,Map_Register!$A$2:$C$5,3,FALSE()),""))</f>
        <v>Toponym Labels</v>
      </c>
      <c r="E596" s="21" t="s">
        <v>15</v>
      </c>
      <c r="F596" s="23">
        <v>167432</v>
      </c>
      <c r="G596" s="20" t="s">
        <v>719</v>
      </c>
      <c r="H596" s="20" t="s">
        <v>1304</v>
      </c>
      <c r="I596" t="s">
        <v>697</v>
      </c>
      <c r="J596" s="20" t="s">
        <v>992</v>
      </c>
      <c r="K596" s="20" t="s">
        <v>137</v>
      </c>
      <c r="L596" s="20" t="s">
        <v>137</v>
      </c>
      <c r="M596" s="20" t="s">
        <v>1264</v>
      </c>
      <c r="Q596" s="24" t="s">
        <v>680</v>
      </c>
    </row>
    <row r="597" spans="1:17" hidden="1" x14ac:dyDescent="0.3">
      <c r="A597" s="20">
        <f t="shared" si="9"/>
        <v>596</v>
      </c>
      <c r="B597" s="21" t="s">
        <v>87</v>
      </c>
      <c r="C597" s="21" t="s">
        <v>97</v>
      </c>
      <c r="D597" s="22" t="str">
        <f>IF($C597="","",IFERROR(VLOOKUP($C597,Map_Register!$A$2:$C$5,3,FALSE()),""))</f>
        <v>Toponym Labels</v>
      </c>
      <c r="E597" s="21" t="s">
        <v>15</v>
      </c>
      <c r="F597" s="23">
        <v>167437</v>
      </c>
      <c r="G597" s="20" t="s">
        <v>719</v>
      </c>
      <c r="H597" s="20" t="s">
        <v>1305</v>
      </c>
      <c r="I597" t="s">
        <v>697</v>
      </c>
      <c r="J597" s="20" t="s">
        <v>8</v>
      </c>
      <c r="K597" t="s">
        <v>107</v>
      </c>
      <c r="L597" t="s">
        <v>107</v>
      </c>
      <c r="M597" s="20" t="s">
        <v>683</v>
      </c>
      <c r="N597" s="20" t="s">
        <v>108</v>
      </c>
      <c r="Q597" s="24" t="s">
        <v>680</v>
      </c>
    </row>
    <row r="598" spans="1:17" hidden="1" x14ac:dyDescent="0.3">
      <c r="A598" s="20">
        <f t="shared" si="9"/>
        <v>597</v>
      </c>
      <c r="B598" s="21" t="s">
        <v>87</v>
      </c>
      <c r="C598" s="21" t="s">
        <v>97</v>
      </c>
      <c r="D598" s="22" t="str">
        <f>IF($C598="","",IFERROR(VLOOKUP($C598,Map_Register!$A$2:$C$5,3,FALSE()),""))</f>
        <v>Toponym Labels</v>
      </c>
      <c r="E598" s="21" t="s">
        <v>15</v>
      </c>
      <c r="F598" s="23">
        <v>167448</v>
      </c>
      <c r="G598" s="20" t="s">
        <v>719</v>
      </c>
      <c r="H598" s="20" t="s">
        <v>1306</v>
      </c>
      <c r="I598" t="s">
        <v>697</v>
      </c>
      <c r="J598" s="20" t="s">
        <v>8</v>
      </c>
      <c r="K598" t="s">
        <v>107</v>
      </c>
      <c r="L598" t="s">
        <v>107</v>
      </c>
      <c r="M598" s="20" t="s">
        <v>683</v>
      </c>
      <c r="N598" s="20" t="s">
        <v>108</v>
      </c>
      <c r="Q598" s="24" t="s">
        <v>680</v>
      </c>
    </row>
    <row r="599" spans="1:17" hidden="1" x14ac:dyDescent="0.3">
      <c r="A599" s="20">
        <f t="shared" si="9"/>
        <v>598</v>
      </c>
      <c r="B599" s="21" t="s">
        <v>87</v>
      </c>
      <c r="C599" s="21" t="s">
        <v>97</v>
      </c>
      <c r="D599" s="22" t="str">
        <f>IF($C599="","",IFERROR(VLOOKUP($C599,Map_Register!$A$2:$C$5,3,FALSE()),""))</f>
        <v>Toponym Labels</v>
      </c>
      <c r="E599" s="21" t="s">
        <v>15</v>
      </c>
      <c r="F599" s="23">
        <v>167795</v>
      </c>
      <c r="G599" s="20" t="s">
        <v>719</v>
      </c>
      <c r="H599" s="20" t="s">
        <v>1303</v>
      </c>
      <c r="I599" t="s">
        <v>697</v>
      </c>
      <c r="J599" s="20" t="s">
        <v>6</v>
      </c>
      <c r="K599" s="20" t="s">
        <v>137</v>
      </c>
      <c r="L599" s="20" t="s">
        <v>137</v>
      </c>
      <c r="M599" s="20" t="s">
        <v>721</v>
      </c>
      <c r="Q599" s="24" t="s">
        <v>680</v>
      </c>
    </row>
    <row r="600" spans="1:17" x14ac:dyDescent="0.3">
      <c r="A600" s="20">
        <f t="shared" si="9"/>
        <v>599</v>
      </c>
      <c r="B600" s="21" t="s">
        <v>87</v>
      </c>
      <c r="C600" s="21" t="s">
        <v>97</v>
      </c>
      <c r="D600" s="22" t="str">
        <f>IF($C600="","",IFERROR(VLOOKUP($C600,Map_Register!$A$2:$C$5,3,FALSE()),""))</f>
        <v>Toponym Labels</v>
      </c>
      <c r="E600" s="21" t="s">
        <v>15</v>
      </c>
      <c r="F600" s="23">
        <v>167796</v>
      </c>
      <c r="G600" s="20" t="s">
        <v>719</v>
      </c>
      <c r="H600" s="20" t="s">
        <v>1307</v>
      </c>
      <c r="I600" t="s">
        <v>697</v>
      </c>
      <c r="J600" s="20" t="s">
        <v>8</v>
      </c>
      <c r="K600" t="s">
        <v>107</v>
      </c>
      <c r="L600" t="s">
        <v>108</v>
      </c>
      <c r="M600" s="20" t="s">
        <v>1126</v>
      </c>
      <c r="N600" s="20" t="s">
        <v>108</v>
      </c>
      <c r="Q600" s="24" t="s">
        <v>680</v>
      </c>
    </row>
    <row r="601" spans="1:17" x14ac:dyDescent="0.3">
      <c r="A601" s="20">
        <f t="shared" si="9"/>
        <v>600</v>
      </c>
      <c r="B601" s="21" t="s">
        <v>87</v>
      </c>
      <c r="C601" s="21" t="s">
        <v>97</v>
      </c>
      <c r="D601" s="22" t="str">
        <f>IF($C601="","",IFERROR(VLOOKUP($C601,Map_Register!$A$2:$C$5,3,FALSE()),""))</f>
        <v>Toponym Labels</v>
      </c>
      <c r="E601" s="21" t="s">
        <v>15</v>
      </c>
      <c r="F601" s="23">
        <v>167797</v>
      </c>
      <c r="G601" s="20" t="s">
        <v>719</v>
      </c>
      <c r="H601" s="20" t="s">
        <v>1308</v>
      </c>
      <c r="I601" t="s">
        <v>697</v>
      </c>
      <c r="J601" s="20" t="s">
        <v>8</v>
      </c>
      <c r="K601" t="s">
        <v>107</v>
      </c>
      <c r="L601" t="s">
        <v>108</v>
      </c>
      <c r="M601" s="20" t="s">
        <v>1126</v>
      </c>
      <c r="N601" s="20" t="s">
        <v>108</v>
      </c>
      <c r="Q601" s="24" t="s">
        <v>680</v>
      </c>
    </row>
    <row r="602" spans="1:17" hidden="1" x14ac:dyDescent="0.3">
      <c r="A602" s="20">
        <f t="shared" si="9"/>
        <v>601</v>
      </c>
      <c r="B602" s="21" t="s">
        <v>87</v>
      </c>
      <c r="C602" s="21" t="s">
        <v>97</v>
      </c>
      <c r="D602" s="22" t="str">
        <f>IF($C602="","",IFERROR(VLOOKUP($C602,Map_Register!$A$2:$C$5,3,FALSE()),""))</f>
        <v>Toponym Labels</v>
      </c>
      <c r="E602" s="21" t="s">
        <v>15</v>
      </c>
      <c r="F602" s="23">
        <v>167798</v>
      </c>
      <c r="G602" s="20" t="s">
        <v>719</v>
      </c>
      <c r="H602" s="20" t="s">
        <v>1309</v>
      </c>
      <c r="I602" t="s">
        <v>697</v>
      </c>
      <c r="J602" s="20" t="s">
        <v>6</v>
      </c>
      <c r="K602" s="20" t="s">
        <v>137</v>
      </c>
      <c r="L602" s="20" t="s">
        <v>137</v>
      </c>
      <c r="M602" s="20" t="s">
        <v>721</v>
      </c>
      <c r="Q602" s="24" t="s">
        <v>680</v>
      </c>
    </row>
    <row r="603" spans="1:17" hidden="1" x14ac:dyDescent="0.3">
      <c r="A603" s="20">
        <f t="shared" si="9"/>
        <v>602</v>
      </c>
      <c r="B603" s="21" t="s">
        <v>87</v>
      </c>
      <c r="C603" s="21" t="s">
        <v>97</v>
      </c>
      <c r="D603" s="22" t="str">
        <f>IF($C603="","",IFERROR(VLOOKUP($C603,Map_Register!$A$2:$C$5,3,FALSE()),""))</f>
        <v>Toponym Labels</v>
      </c>
      <c r="E603" s="21" t="s">
        <v>15</v>
      </c>
      <c r="F603" s="23">
        <v>167799</v>
      </c>
      <c r="G603" s="20" t="s">
        <v>719</v>
      </c>
      <c r="H603" s="20" t="s">
        <v>1310</v>
      </c>
      <c r="I603" t="s">
        <v>697</v>
      </c>
      <c r="J603" s="20" t="s">
        <v>6</v>
      </c>
      <c r="K603" s="20" t="s">
        <v>137</v>
      </c>
      <c r="L603" s="20" t="s">
        <v>137</v>
      </c>
      <c r="M603" s="20" t="s">
        <v>721</v>
      </c>
      <c r="Q603" s="24" t="s">
        <v>680</v>
      </c>
    </row>
    <row r="604" spans="1:17" hidden="1" x14ac:dyDescent="0.3">
      <c r="A604" s="20">
        <f t="shared" si="9"/>
        <v>603</v>
      </c>
      <c r="B604" s="21" t="s">
        <v>87</v>
      </c>
      <c r="C604" s="21" t="s">
        <v>97</v>
      </c>
      <c r="D604" s="22" t="str">
        <f>IF($C604="","",IFERROR(VLOOKUP($C604,Map_Register!$A$2:$C$5,3,FALSE()),""))</f>
        <v>Toponym Labels</v>
      </c>
      <c r="E604" s="21" t="s">
        <v>15</v>
      </c>
      <c r="F604" s="23">
        <v>167800</v>
      </c>
      <c r="G604" s="20" t="s">
        <v>719</v>
      </c>
      <c r="H604" s="20" t="s">
        <v>1311</v>
      </c>
      <c r="I604" t="s">
        <v>697</v>
      </c>
      <c r="J604" s="20" t="s">
        <v>992</v>
      </c>
      <c r="K604" s="20" t="s">
        <v>137</v>
      </c>
      <c r="L604" s="20" t="s">
        <v>137</v>
      </c>
      <c r="M604" s="20" t="s">
        <v>1264</v>
      </c>
      <c r="Q604" s="24" t="s">
        <v>680</v>
      </c>
    </row>
    <row r="605" spans="1:17" hidden="1" x14ac:dyDescent="0.3">
      <c r="A605" s="20">
        <f t="shared" si="9"/>
        <v>604</v>
      </c>
      <c r="B605" s="21" t="s">
        <v>87</v>
      </c>
      <c r="C605" s="21" t="s">
        <v>97</v>
      </c>
      <c r="D605" s="22" t="str">
        <f>IF($C605="","",IFERROR(VLOOKUP($C605,Map_Register!$A$2:$C$5,3,FALSE()),""))</f>
        <v>Toponym Labels</v>
      </c>
      <c r="E605" s="21" t="s">
        <v>15</v>
      </c>
      <c r="F605" s="23">
        <v>167801</v>
      </c>
      <c r="G605" s="20" t="s">
        <v>719</v>
      </c>
      <c r="H605" s="20" t="s">
        <v>1312</v>
      </c>
      <c r="I605" t="s">
        <v>697</v>
      </c>
      <c r="J605" s="20" t="s">
        <v>6</v>
      </c>
      <c r="K605" s="20" t="s">
        <v>137</v>
      </c>
      <c r="L605" s="20" t="s">
        <v>137</v>
      </c>
      <c r="M605" s="20" t="s">
        <v>721</v>
      </c>
      <c r="Q605" s="24" t="s">
        <v>680</v>
      </c>
    </row>
    <row r="606" spans="1:17" x14ac:dyDescent="0.3">
      <c r="A606" s="20">
        <f t="shared" si="9"/>
        <v>605</v>
      </c>
      <c r="B606" s="21" t="s">
        <v>87</v>
      </c>
      <c r="C606" s="21" t="s">
        <v>97</v>
      </c>
      <c r="D606" s="22" t="str">
        <f>IF($C606="","",IFERROR(VLOOKUP($C606,Map_Register!$A$2:$C$5,3,FALSE()),""))</f>
        <v>Toponym Labels</v>
      </c>
      <c r="E606" s="21" t="s">
        <v>15</v>
      </c>
      <c r="F606" s="23">
        <v>167802</v>
      </c>
      <c r="G606" s="20" t="s">
        <v>719</v>
      </c>
      <c r="H606" s="20" t="s">
        <v>1313</v>
      </c>
      <c r="I606" t="s">
        <v>697</v>
      </c>
      <c r="J606" s="20" t="s">
        <v>8</v>
      </c>
      <c r="K606" t="s">
        <v>107</v>
      </c>
      <c r="L606" t="s">
        <v>108</v>
      </c>
      <c r="M606" s="20" t="s">
        <v>1126</v>
      </c>
      <c r="N606" s="20" t="s">
        <v>108</v>
      </c>
      <c r="Q606" s="24" t="s">
        <v>680</v>
      </c>
    </row>
    <row r="607" spans="1:17" x14ac:dyDescent="0.3">
      <c r="A607" s="20">
        <f t="shared" si="9"/>
        <v>606</v>
      </c>
      <c r="B607" s="21" t="s">
        <v>87</v>
      </c>
      <c r="C607" s="21" t="s">
        <v>97</v>
      </c>
      <c r="D607" s="22" t="str">
        <f>IF($C607="","",IFERROR(VLOOKUP($C607,Map_Register!$A$2:$C$5,3,FALSE()),""))</f>
        <v>Toponym Labels</v>
      </c>
      <c r="E607" s="21" t="s">
        <v>15</v>
      </c>
      <c r="F607" s="23">
        <v>167803</v>
      </c>
      <c r="G607" s="20" t="s">
        <v>719</v>
      </c>
      <c r="H607" s="20" t="s">
        <v>1314</v>
      </c>
      <c r="I607" t="s">
        <v>697</v>
      </c>
      <c r="J607" s="20" t="s">
        <v>8</v>
      </c>
      <c r="K607" t="s">
        <v>107</v>
      </c>
      <c r="L607" t="s">
        <v>108</v>
      </c>
      <c r="M607" s="20" t="s">
        <v>1126</v>
      </c>
      <c r="N607" s="20" t="s">
        <v>108</v>
      </c>
      <c r="Q607" s="24" t="s">
        <v>680</v>
      </c>
    </row>
    <row r="608" spans="1:17" hidden="1" x14ac:dyDescent="0.3">
      <c r="A608" s="20">
        <f t="shared" si="9"/>
        <v>607</v>
      </c>
      <c r="B608" s="21" t="s">
        <v>87</v>
      </c>
      <c r="C608" s="21" t="s">
        <v>97</v>
      </c>
      <c r="D608" s="22" t="str">
        <f>IF($C608="","",IFERROR(VLOOKUP($C608,Map_Register!$A$2:$C$5,3,FALSE()),""))</f>
        <v>Toponym Labels</v>
      </c>
      <c r="E608" s="21" t="s">
        <v>15</v>
      </c>
      <c r="F608" s="23">
        <v>167804</v>
      </c>
      <c r="G608" s="20" t="s">
        <v>719</v>
      </c>
      <c r="H608" s="20" t="s">
        <v>1315</v>
      </c>
      <c r="I608" t="s">
        <v>697</v>
      </c>
      <c r="J608" s="20" t="s">
        <v>6</v>
      </c>
      <c r="K608" s="20" t="s">
        <v>137</v>
      </c>
      <c r="L608" s="20" t="s">
        <v>137</v>
      </c>
      <c r="M608" s="20" t="s">
        <v>721</v>
      </c>
      <c r="Q608" s="24" t="s">
        <v>680</v>
      </c>
    </row>
    <row r="609" spans="1:17" hidden="1" x14ac:dyDescent="0.3">
      <c r="A609" s="20">
        <f t="shared" si="9"/>
        <v>608</v>
      </c>
      <c r="B609" s="21" t="s">
        <v>87</v>
      </c>
      <c r="C609" s="21" t="s">
        <v>97</v>
      </c>
      <c r="D609" s="22" t="str">
        <f>IF($C609="","",IFERROR(VLOOKUP($C609,Map_Register!$A$2:$C$5,3,FALSE()),""))</f>
        <v>Toponym Labels</v>
      </c>
      <c r="E609" s="21" t="s">
        <v>15</v>
      </c>
      <c r="F609" s="23">
        <v>167805</v>
      </c>
      <c r="G609" s="20" t="s">
        <v>719</v>
      </c>
      <c r="H609" s="20" t="s">
        <v>1316</v>
      </c>
      <c r="I609" t="s">
        <v>697</v>
      </c>
      <c r="J609" s="20" t="s">
        <v>6</v>
      </c>
      <c r="K609" s="20" t="s">
        <v>137</v>
      </c>
      <c r="L609" s="20" t="s">
        <v>137</v>
      </c>
      <c r="M609" s="20" t="s">
        <v>721</v>
      </c>
      <c r="Q609" s="24" t="s">
        <v>680</v>
      </c>
    </row>
    <row r="610" spans="1:17" x14ac:dyDescent="0.3">
      <c r="A610" s="20">
        <f t="shared" si="9"/>
        <v>609</v>
      </c>
      <c r="B610" s="21" t="s">
        <v>87</v>
      </c>
      <c r="C610" s="21" t="s">
        <v>97</v>
      </c>
      <c r="D610" s="22" t="str">
        <f>IF($C610="","",IFERROR(VLOOKUP($C610,Map_Register!$A$2:$C$5,3,FALSE()),""))</f>
        <v>Toponym Labels</v>
      </c>
      <c r="E610" s="21" t="s">
        <v>15</v>
      </c>
      <c r="F610" s="23">
        <v>167806</v>
      </c>
      <c r="G610" s="20" t="s">
        <v>719</v>
      </c>
      <c r="H610" s="20" t="s">
        <v>1317</v>
      </c>
      <c r="I610" t="s">
        <v>697</v>
      </c>
      <c r="J610" s="20" t="s">
        <v>8</v>
      </c>
      <c r="K610" t="s">
        <v>107</v>
      </c>
      <c r="L610" t="s">
        <v>108</v>
      </c>
      <c r="M610" s="20" t="s">
        <v>1126</v>
      </c>
      <c r="N610" s="20" t="s">
        <v>108</v>
      </c>
      <c r="Q610" s="24" t="s">
        <v>680</v>
      </c>
    </row>
    <row r="611" spans="1:17" hidden="1" x14ac:dyDescent="0.3">
      <c r="A611" s="20">
        <f t="shared" si="9"/>
        <v>610</v>
      </c>
      <c r="B611" s="21" t="s">
        <v>87</v>
      </c>
      <c r="C611" s="21" t="s">
        <v>97</v>
      </c>
      <c r="D611" s="22" t="str">
        <f>IF($C611="","",IFERROR(VLOOKUP($C611,Map_Register!$A$2:$C$5,3,FALSE()),""))</f>
        <v>Toponym Labels</v>
      </c>
      <c r="E611" s="21" t="s">
        <v>15</v>
      </c>
      <c r="F611" s="23">
        <v>167807</v>
      </c>
      <c r="G611" s="20" t="s">
        <v>719</v>
      </c>
      <c r="H611" s="20" t="s">
        <v>1318</v>
      </c>
      <c r="I611" t="s">
        <v>697</v>
      </c>
      <c r="J611" s="20" t="s">
        <v>8</v>
      </c>
      <c r="K611" t="s">
        <v>107</v>
      </c>
      <c r="L611" t="s">
        <v>107</v>
      </c>
      <c r="M611" s="20" t="s">
        <v>683</v>
      </c>
      <c r="N611" s="20" t="s">
        <v>108</v>
      </c>
      <c r="Q611" s="24" t="s">
        <v>680</v>
      </c>
    </row>
    <row r="612" spans="1:17" hidden="1" x14ac:dyDescent="0.3">
      <c r="A612" s="20">
        <f t="shared" si="9"/>
        <v>611</v>
      </c>
      <c r="B612" s="21" t="s">
        <v>87</v>
      </c>
      <c r="C612" s="21" t="s">
        <v>97</v>
      </c>
      <c r="D612" s="22" t="str">
        <f>IF($C612="","",IFERROR(VLOOKUP($C612,Map_Register!$A$2:$C$5,3,FALSE()),""))</f>
        <v>Toponym Labels</v>
      </c>
      <c r="E612" s="21" t="s">
        <v>15</v>
      </c>
      <c r="F612" s="23">
        <v>167821</v>
      </c>
      <c r="G612" s="20" t="s">
        <v>719</v>
      </c>
      <c r="H612" s="20" t="s">
        <v>1319</v>
      </c>
      <c r="I612" t="s">
        <v>697</v>
      </c>
      <c r="J612" s="20" t="s">
        <v>8</v>
      </c>
      <c r="K612" t="s">
        <v>107</v>
      </c>
      <c r="L612" t="s">
        <v>107</v>
      </c>
      <c r="M612" s="20" t="s">
        <v>683</v>
      </c>
      <c r="N612" s="20" t="s">
        <v>108</v>
      </c>
      <c r="Q612" s="24" t="s">
        <v>680</v>
      </c>
    </row>
    <row r="613" spans="1:17" x14ac:dyDescent="0.3">
      <c r="A613" s="20">
        <f t="shared" si="9"/>
        <v>612</v>
      </c>
      <c r="B613" s="21" t="s">
        <v>87</v>
      </c>
      <c r="C613" s="21" t="s">
        <v>97</v>
      </c>
      <c r="D613" s="22" t="str">
        <f>IF($C613="","",IFERROR(VLOOKUP($C613,Map_Register!$A$2:$C$5,3,FALSE()),""))</f>
        <v>Toponym Labels</v>
      </c>
      <c r="E613" s="21" t="s">
        <v>15</v>
      </c>
      <c r="F613" s="23">
        <v>167822</v>
      </c>
      <c r="G613" s="20" t="s">
        <v>719</v>
      </c>
      <c r="H613" s="20" t="s">
        <v>1320</v>
      </c>
      <c r="I613" t="s">
        <v>697</v>
      </c>
      <c r="J613" s="20" t="s">
        <v>8</v>
      </c>
      <c r="K613" t="s">
        <v>107</v>
      </c>
      <c r="L613" t="s">
        <v>108</v>
      </c>
      <c r="M613" s="20" t="s">
        <v>1126</v>
      </c>
      <c r="N613" s="20" t="s">
        <v>108</v>
      </c>
      <c r="Q613" s="24" t="s">
        <v>680</v>
      </c>
    </row>
    <row r="614" spans="1:17" hidden="1" x14ac:dyDescent="0.3">
      <c r="A614" s="20">
        <f t="shared" si="9"/>
        <v>613</v>
      </c>
      <c r="B614" s="21" t="s">
        <v>87</v>
      </c>
      <c r="C614" s="21" t="s">
        <v>97</v>
      </c>
      <c r="D614" s="22" t="str">
        <f>IF($C614="","",IFERROR(VLOOKUP($C614,Map_Register!$A$2:$C$5,3,FALSE()),""))</f>
        <v>Toponym Labels</v>
      </c>
      <c r="E614" s="21" t="s">
        <v>15</v>
      </c>
      <c r="F614" s="23">
        <v>167823</v>
      </c>
      <c r="G614" s="20" t="s">
        <v>719</v>
      </c>
      <c r="H614" s="20" t="s">
        <v>1321</v>
      </c>
      <c r="I614" t="s">
        <v>697</v>
      </c>
      <c r="J614" s="20" t="s">
        <v>8</v>
      </c>
      <c r="K614" t="s">
        <v>107</v>
      </c>
      <c r="L614" t="s">
        <v>107</v>
      </c>
      <c r="M614" s="20" t="s">
        <v>683</v>
      </c>
      <c r="N614" s="20" t="s">
        <v>108</v>
      </c>
      <c r="Q614" s="24" t="s">
        <v>680</v>
      </c>
    </row>
    <row r="615" spans="1:17" hidden="1" x14ac:dyDescent="0.3">
      <c r="A615" s="20">
        <f t="shared" si="9"/>
        <v>614</v>
      </c>
      <c r="B615" s="21" t="s">
        <v>87</v>
      </c>
      <c r="C615" s="21" t="s">
        <v>97</v>
      </c>
      <c r="D615" s="22" t="str">
        <f>IF($C615="","",IFERROR(VLOOKUP($C615,Map_Register!$A$2:$C$5,3,FALSE()),""))</f>
        <v>Toponym Labels</v>
      </c>
      <c r="E615" s="21" t="s">
        <v>15</v>
      </c>
      <c r="F615" s="23">
        <v>167824</v>
      </c>
      <c r="G615" s="20" t="s">
        <v>719</v>
      </c>
      <c r="H615" s="20" t="s">
        <v>1322</v>
      </c>
      <c r="I615" t="s">
        <v>697</v>
      </c>
      <c r="J615" s="20" t="s">
        <v>8</v>
      </c>
      <c r="K615" t="s">
        <v>107</v>
      </c>
      <c r="L615" t="s">
        <v>107</v>
      </c>
      <c r="M615" s="20" t="s">
        <v>683</v>
      </c>
      <c r="N615" s="20" t="s">
        <v>108</v>
      </c>
      <c r="Q615" s="24" t="s">
        <v>680</v>
      </c>
    </row>
    <row r="616" spans="1:17" x14ac:dyDescent="0.3">
      <c r="A616" s="20">
        <f t="shared" si="9"/>
        <v>615</v>
      </c>
      <c r="B616" s="21" t="s">
        <v>87</v>
      </c>
      <c r="C616" s="21" t="s">
        <v>97</v>
      </c>
      <c r="D616" s="22" t="str">
        <f>IF($C616="","",IFERROR(VLOOKUP($C616,Map_Register!$A$2:$C$5,3,FALSE()),""))</f>
        <v>Toponym Labels</v>
      </c>
      <c r="E616" s="21" t="s">
        <v>15</v>
      </c>
      <c r="F616" s="23">
        <v>167825</v>
      </c>
      <c r="G616" s="20" t="s">
        <v>719</v>
      </c>
      <c r="H616" s="20" t="s">
        <v>1323</v>
      </c>
      <c r="I616" t="s">
        <v>697</v>
      </c>
      <c r="J616" s="20" t="s">
        <v>8</v>
      </c>
      <c r="K616" t="s">
        <v>107</v>
      </c>
      <c r="L616" t="s">
        <v>108</v>
      </c>
      <c r="M616" s="20" t="s">
        <v>1126</v>
      </c>
      <c r="N616" s="20" t="s">
        <v>108</v>
      </c>
      <c r="Q616" s="24" t="s">
        <v>680</v>
      </c>
    </row>
    <row r="617" spans="1:17" hidden="1" x14ac:dyDescent="0.3">
      <c r="A617" s="20">
        <f t="shared" si="9"/>
        <v>616</v>
      </c>
      <c r="B617" s="21" t="s">
        <v>87</v>
      </c>
      <c r="C617" s="21" t="s">
        <v>97</v>
      </c>
      <c r="D617" s="22" t="str">
        <f>IF($C617="","",IFERROR(VLOOKUP($C617,Map_Register!$A$2:$C$5,3,FALSE()),""))</f>
        <v>Toponym Labels</v>
      </c>
      <c r="E617" s="21" t="s">
        <v>15</v>
      </c>
      <c r="F617" s="23">
        <v>167826</v>
      </c>
      <c r="G617" s="20" t="s">
        <v>719</v>
      </c>
      <c r="H617" s="20" t="s">
        <v>1324</v>
      </c>
      <c r="I617" t="s">
        <v>697</v>
      </c>
      <c r="J617" s="20" t="s">
        <v>6</v>
      </c>
      <c r="K617" s="20" t="s">
        <v>137</v>
      </c>
      <c r="L617" s="20" t="s">
        <v>137</v>
      </c>
      <c r="M617" s="20" t="s">
        <v>721</v>
      </c>
      <c r="Q617" s="24" t="s">
        <v>680</v>
      </c>
    </row>
    <row r="618" spans="1:17" hidden="1" x14ac:dyDescent="0.3">
      <c r="A618" s="20">
        <f t="shared" si="9"/>
        <v>617</v>
      </c>
      <c r="B618" s="21" t="s">
        <v>87</v>
      </c>
      <c r="C618" s="21" t="s">
        <v>97</v>
      </c>
      <c r="D618" s="22" t="str">
        <f>IF($C618="","",IFERROR(VLOOKUP($C618,Map_Register!$A$2:$C$5,3,FALSE()),""))</f>
        <v>Toponym Labels</v>
      </c>
      <c r="E618" s="21" t="s">
        <v>15</v>
      </c>
      <c r="F618" s="23">
        <v>167827</v>
      </c>
      <c r="G618" s="20" t="s">
        <v>719</v>
      </c>
      <c r="H618" s="20" t="s">
        <v>1325</v>
      </c>
      <c r="I618" t="s">
        <v>697</v>
      </c>
      <c r="J618" s="20" t="s">
        <v>6</v>
      </c>
      <c r="K618" s="20" t="s">
        <v>137</v>
      </c>
      <c r="L618" s="20" t="s">
        <v>137</v>
      </c>
      <c r="M618" s="20" t="s">
        <v>721</v>
      </c>
      <c r="Q618" s="24" t="s">
        <v>680</v>
      </c>
    </row>
    <row r="619" spans="1:17" hidden="1" x14ac:dyDescent="0.3">
      <c r="A619" s="20">
        <f t="shared" si="9"/>
        <v>618</v>
      </c>
      <c r="B619" s="21" t="s">
        <v>87</v>
      </c>
      <c r="C619" s="21" t="s">
        <v>97</v>
      </c>
      <c r="D619" s="22" t="str">
        <f>IF($C619="","",IFERROR(VLOOKUP($C619,Map_Register!$A$2:$C$5,3,FALSE()),""))</f>
        <v>Toponym Labels</v>
      </c>
      <c r="E619" s="21" t="s">
        <v>15</v>
      </c>
      <c r="F619" s="23">
        <v>167828</v>
      </c>
      <c r="G619" s="20" t="s">
        <v>719</v>
      </c>
      <c r="H619" s="20" t="s">
        <v>1326</v>
      </c>
      <c r="I619" t="s">
        <v>697</v>
      </c>
      <c r="J619" s="20" t="s">
        <v>6</v>
      </c>
      <c r="K619" s="20" t="s">
        <v>137</v>
      </c>
      <c r="L619" s="20" t="s">
        <v>137</v>
      </c>
      <c r="M619" s="20" t="s">
        <v>721</v>
      </c>
      <c r="Q619" s="24" t="s">
        <v>680</v>
      </c>
    </row>
    <row r="620" spans="1:17" x14ac:dyDescent="0.3">
      <c r="A620" s="20">
        <f t="shared" si="9"/>
        <v>619</v>
      </c>
      <c r="B620" s="21" t="s">
        <v>87</v>
      </c>
      <c r="C620" s="21" t="s">
        <v>97</v>
      </c>
      <c r="D620" s="22" t="str">
        <f>IF($C620="","",IFERROR(VLOOKUP($C620,Map_Register!$A$2:$C$5,3,FALSE()),""))</f>
        <v>Toponym Labels</v>
      </c>
      <c r="E620" s="21" t="s">
        <v>15</v>
      </c>
      <c r="F620" s="23">
        <v>167829</v>
      </c>
      <c r="G620" s="20" t="s">
        <v>719</v>
      </c>
      <c r="H620" s="20" t="s">
        <v>1327</v>
      </c>
      <c r="I620" t="s">
        <v>697</v>
      </c>
      <c r="J620" s="20" t="s">
        <v>8</v>
      </c>
      <c r="K620" t="s">
        <v>107</v>
      </c>
      <c r="L620" t="s">
        <v>108</v>
      </c>
      <c r="M620" s="20" t="s">
        <v>1126</v>
      </c>
      <c r="N620" s="20" t="s">
        <v>108</v>
      </c>
      <c r="Q620" s="24" t="s">
        <v>680</v>
      </c>
    </row>
    <row r="621" spans="1:17" x14ac:dyDescent="0.3">
      <c r="A621" s="20">
        <f t="shared" si="9"/>
        <v>620</v>
      </c>
      <c r="B621" s="21" t="s">
        <v>87</v>
      </c>
      <c r="C621" s="21" t="s">
        <v>97</v>
      </c>
      <c r="D621" s="22" t="str">
        <f>IF($C621="","",IFERROR(VLOOKUP($C621,Map_Register!$A$2:$C$5,3,FALSE()),""))</f>
        <v>Toponym Labels</v>
      </c>
      <c r="E621" s="21" t="s">
        <v>15</v>
      </c>
      <c r="F621" s="23">
        <v>167830</v>
      </c>
      <c r="G621" s="20" t="s">
        <v>719</v>
      </c>
      <c r="H621" s="20" t="s">
        <v>1328</v>
      </c>
      <c r="I621" t="s">
        <v>697</v>
      </c>
      <c r="J621" s="20" t="s">
        <v>8</v>
      </c>
      <c r="K621" t="s">
        <v>107</v>
      </c>
      <c r="L621" t="s">
        <v>108</v>
      </c>
      <c r="M621" s="20" t="s">
        <v>1126</v>
      </c>
      <c r="N621" s="20" t="s">
        <v>108</v>
      </c>
      <c r="Q621" s="24" t="s">
        <v>680</v>
      </c>
    </row>
    <row r="622" spans="1:17" hidden="1" x14ac:dyDescent="0.3">
      <c r="A622" s="20">
        <f t="shared" si="9"/>
        <v>621</v>
      </c>
      <c r="B622" s="21" t="s">
        <v>87</v>
      </c>
      <c r="C622" s="21" t="s">
        <v>97</v>
      </c>
      <c r="D622" s="22" t="str">
        <f>IF($C622="","",IFERROR(VLOOKUP($C622,Map_Register!$A$2:$C$5,3,FALSE()),""))</f>
        <v>Toponym Labels</v>
      </c>
      <c r="E622" s="21" t="s">
        <v>15</v>
      </c>
      <c r="F622" s="23">
        <v>168137</v>
      </c>
      <c r="G622" s="20" t="s">
        <v>719</v>
      </c>
      <c r="H622" s="20" t="s">
        <v>1329</v>
      </c>
      <c r="I622" t="s">
        <v>697</v>
      </c>
      <c r="J622" s="20" t="s">
        <v>6</v>
      </c>
      <c r="K622" s="20" t="s">
        <v>137</v>
      </c>
      <c r="L622" s="20" t="s">
        <v>137</v>
      </c>
      <c r="M622" s="20" t="s">
        <v>721</v>
      </c>
      <c r="Q622" s="24" t="s">
        <v>680</v>
      </c>
    </row>
    <row r="623" spans="1:17" hidden="1" x14ac:dyDescent="0.3">
      <c r="A623" s="20">
        <f t="shared" si="9"/>
        <v>622</v>
      </c>
      <c r="B623" s="21" t="s">
        <v>87</v>
      </c>
      <c r="C623" s="21" t="s">
        <v>97</v>
      </c>
      <c r="D623" s="22" t="str">
        <f>IF($C623="","",IFERROR(VLOOKUP($C623,Map_Register!$A$2:$C$5,3,FALSE()),""))</f>
        <v>Toponym Labels</v>
      </c>
      <c r="E623" s="21" t="s">
        <v>15</v>
      </c>
      <c r="F623" s="23">
        <v>168146</v>
      </c>
      <c r="G623" s="20" t="s">
        <v>719</v>
      </c>
      <c r="H623" s="20" t="s">
        <v>987</v>
      </c>
      <c r="I623" t="s">
        <v>697</v>
      </c>
      <c r="J623" s="20" t="s">
        <v>8</v>
      </c>
      <c r="K623" t="s">
        <v>107</v>
      </c>
      <c r="L623" t="s">
        <v>107</v>
      </c>
      <c r="M623" s="20" t="s">
        <v>683</v>
      </c>
      <c r="N623" s="20" t="s">
        <v>108</v>
      </c>
      <c r="Q623" s="24" t="s">
        <v>680</v>
      </c>
    </row>
    <row r="624" spans="1:17" hidden="1" x14ac:dyDescent="0.3">
      <c r="A624" s="20">
        <f t="shared" si="9"/>
        <v>623</v>
      </c>
      <c r="B624" s="21" t="s">
        <v>87</v>
      </c>
      <c r="C624" s="21" t="s">
        <v>97</v>
      </c>
      <c r="D624" s="22" t="str">
        <f>IF($C624="","",IFERROR(VLOOKUP($C624,Map_Register!$A$2:$C$5,3,FALSE()),""))</f>
        <v>Toponym Labels</v>
      </c>
      <c r="E624" s="21" t="s">
        <v>15</v>
      </c>
      <c r="F624" s="23">
        <v>168185</v>
      </c>
      <c r="G624" s="20" t="s">
        <v>719</v>
      </c>
      <c r="H624" s="20" t="s">
        <v>1330</v>
      </c>
      <c r="I624" t="s">
        <v>697</v>
      </c>
      <c r="J624" s="20" t="s">
        <v>6</v>
      </c>
      <c r="K624" s="20" t="s">
        <v>137</v>
      </c>
      <c r="L624" s="20" t="s">
        <v>137</v>
      </c>
      <c r="M624" s="20" t="s">
        <v>721</v>
      </c>
      <c r="Q624" s="24" t="s">
        <v>680</v>
      </c>
    </row>
    <row r="625" spans="1:17" x14ac:dyDescent="0.3">
      <c r="A625" s="20">
        <f t="shared" si="9"/>
        <v>624</v>
      </c>
      <c r="B625" s="21" t="s">
        <v>87</v>
      </c>
      <c r="C625" s="21" t="s">
        <v>97</v>
      </c>
      <c r="D625" s="22" t="str">
        <f>IF($C625="","",IFERROR(VLOOKUP($C625,Map_Register!$A$2:$C$5,3,FALSE()),""))</f>
        <v>Toponym Labels</v>
      </c>
      <c r="E625" s="21" t="s">
        <v>15</v>
      </c>
      <c r="F625" s="23">
        <v>168186</v>
      </c>
      <c r="G625" s="20" t="s">
        <v>719</v>
      </c>
      <c r="H625" s="20" t="s">
        <v>1331</v>
      </c>
      <c r="I625" t="s">
        <v>697</v>
      </c>
      <c r="J625" s="20" t="s">
        <v>8</v>
      </c>
      <c r="K625" t="s">
        <v>107</v>
      </c>
      <c r="L625" t="s">
        <v>108</v>
      </c>
      <c r="M625" s="20" t="s">
        <v>1126</v>
      </c>
      <c r="N625" s="20" t="s">
        <v>108</v>
      </c>
      <c r="Q625" s="24" t="s">
        <v>680</v>
      </c>
    </row>
    <row r="626" spans="1:17" hidden="1" x14ac:dyDescent="0.3">
      <c r="A626" s="20">
        <f t="shared" si="9"/>
        <v>625</v>
      </c>
      <c r="B626" s="21" t="s">
        <v>87</v>
      </c>
      <c r="C626" s="21" t="s">
        <v>97</v>
      </c>
      <c r="D626" s="22" t="str">
        <f>IF($C626="","",IFERROR(VLOOKUP($C626,Map_Register!$A$2:$C$5,3,FALSE()),""))</f>
        <v>Toponym Labels</v>
      </c>
      <c r="E626" s="21" t="s">
        <v>15</v>
      </c>
      <c r="F626" s="23">
        <v>168187</v>
      </c>
      <c r="G626" s="20" t="s">
        <v>719</v>
      </c>
      <c r="H626" s="20" t="s">
        <v>1332</v>
      </c>
      <c r="I626" t="s">
        <v>697</v>
      </c>
      <c r="J626" s="20" t="s">
        <v>6</v>
      </c>
      <c r="K626" s="20" t="s">
        <v>137</v>
      </c>
      <c r="L626" s="20" t="s">
        <v>137</v>
      </c>
      <c r="M626" s="20" t="s">
        <v>721</v>
      </c>
      <c r="Q626" s="24" t="s">
        <v>680</v>
      </c>
    </row>
    <row r="627" spans="1:17" x14ac:dyDescent="0.3">
      <c r="A627" s="20">
        <f t="shared" si="9"/>
        <v>626</v>
      </c>
      <c r="B627" s="21" t="s">
        <v>87</v>
      </c>
      <c r="C627" s="21" t="s">
        <v>97</v>
      </c>
      <c r="D627" s="22" t="str">
        <f>IF($C627="","",IFERROR(VLOOKUP($C627,Map_Register!$A$2:$C$5,3,FALSE()),""))</f>
        <v>Toponym Labels</v>
      </c>
      <c r="E627" s="21" t="s">
        <v>15</v>
      </c>
      <c r="F627" s="23">
        <v>168188</v>
      </c>
      <c r="G627" s="20" t="s">
        <v>719</v>
      </c>
      <c r="H627" s="20" t="s">
        <v>1333</v>
      </c>
      <c r="I627" t="s">
        <v>697</v>
      </c>
      <c r="J627" s="20" t="s">
        <v>8</v>
      </c>
      <c r="K627" t="s">
        <v>107</v>
      </c>
      <c r="L627" t="s">
        <v>108</v>
      </c>
      <c r="M627" s="20" t="s">
        <v>1126</v>
      </c>
      <c r="N627" s="20" t="s">
        <v>108</v>
      </c>
      <c r="Q627" s="24" t="s">
        <v>680</v>
      </c>
    </row>
    <row r="628" spans="1:17" x14ac:dyDescent="0.3">
      <c r="A628" s="20">
        <f t="shared" si="9"/>
        <v>627</v>
      </c>
      <c r="B628" s="21" t="s">
        <v>87</v>
      </c>
      <c r="C628" s="21" t="s">
        <v>97</v>
      </c>
      <c r="D628" s="22" t="str">
        <f>IF($C628="","",IFERROR(VLOOKUP($C628,Map_Register!$A$2:$C$5,3,FALSE()),""))</f>
        <v>Toponym Labels</v>
      </c>
      <c r="E628" s="21" t="s">
        <v>15</v>
      </c>
      <c r="F628" s="23">
        <v>168189</v>
      </c>
      <c r="G628" s="20" t="s">
        <v>719</v>
      </c>
      <c r="H628" s="20" t="s">
        <v>1334</v>
      </c>
      <c r="I628" t="s">
        <v>697</v>
      </c>
      <c r="J628" s="20" t="s">
        <v>8</v>
      </c>
      <c r="K628" t="s">
        <v>107</v>
      </c>
      <c r="L628" t="s">
        <v>108</v>
      </c>
      <c r="M628" s="20" t="s">
        <v>1126</v>
      </c>
      <c r="N628" s="20" t="s">
        <v>108</v>
      </c>
      <c r="Q628" s="24" t="s">
        <v>680</v>
      </c>
    </row>
    <row r="629" spans="1:17" x14ac:dyDescent="0.3">
      <c r="A629" s="20">
        <f t="shared" si="9"/>
        <v>628</v>
      </c>
      <c r="B629" s="21" t="s">
        <v>87</v>
      </c>
      <c r="C629" s="21" t="s">
        <v>97</v>
      </c>
      <c r="D629" s="22" t="str">
        <f>IF($C629="","",IFERROR(VLOOKUP($C629,Map_Register!$A$2:$C$5,3,FALSE()),""))</f>
        <v>Toponym Labels</v>
      </c>
      <c r="E629" s="21" t="s">
        <v>15</v>
      </c>
      <c r="F629" s="23">
        <v>168190</v>
      </c>
      <c r="G629" s="20" t="s">
        <v>719</v>
      </c>
      <c r="H629" s="20" t="s">
        <v>1335</v>
      </c>
      <c r="I629" t="s">
        <v>697</v>
      </c>
      <c r="J629" s="20" t="s">
        <v>8</v>
      </c>
      <c r="K629" t="s">
        <v>107</v>
      </c>
      <c r="L629" t="s">
        <v>108</v>
      </c>
      <c r="M629" s="20" t="s">
        <v>1126</v>
      </c>
      <c r="N629" s="20" t="s">
        <v>108</v>
      </c>
      <c r="Q629" s="24" t="s">
        <v>680</v>
      </c>
    </row>
    <row r="630" spans="1:17" hidden="1" x14ac:dyDescent="0.3">
      <c r="A630" s="20">
        <f t="shared" si="9"/>
        <v>629</v>
      </c>
      <c r="B630" s="21" t="s">
        <v>87</v>
      </c>
      <c r="C630" s="21" t="s">
        <v>97</v>
      </c>
      <c r="D630" s="22" t="str">
        <f>IF($C630="","",IFERROR(VLOOKUP($C630,Map_Register!$A$2:$C$5,3,FALSE()),""))</f>
        <v>Toponym Labels</v>
      </c>
      <c r="E630" s="21" t="s">
        <v>15</v>
      </c>
      <c r="F630" s="23">
        <v>168191</v>
      </c>
      <c r="G630" s="20" t="s">
        <v>719</v>
      </c>
      <c r="H630" s="20" t="s">
        <v>1336</v>
      </c>
      <c r="I630" t="s">
        <v>697</v>
      </c>
      <c r="J630" s="20" t="s">
        <v>6</v>
      </c>
      <c r="K630" s="20" t="s">
        <v>137</v>
      </c>
      <c r="L630" s="20" t="s">
        <v>137</v>
      </c>
      <c r="M630" s="20" t="s">
        <v>721</v>
      </c>
      <c r="Q630" s="24" t="s">
        <v>680</v>
      </c>
    </row>
    <row r="631" spans="1:17" hidden="1" x14ac:dyDescent="0.3">
      <c r="A631" s="20">
        <f t="shared" si="9"/>
        <v>630</v>
      </c>
      <c r="B631" s="21" t="s">
        <v>87</v>
      </c>
      <c r="C631" s="21" t="s">
        <v>97</v>
      </c>
      <c r="D631" s="22" t="str">
        <f>IF($C631="","",IFERROR(VLOOKUP($C631,Map_Register!$A$2:$C$5,3,FALSE()),""))</f>
        <v>Toponym Labels</v>
      </c>
      <c r="E631" s="21" t="s">
        <v>15</v>
      </c>
      <c r="F631" s="23">
        <v>168192</v>
      </c>
      <c r="G631" s="20" t="s">
        <v>719</v>
      </c>
      <c r="H631" s="20" t="s">
        <v>1337</v>
      </c>
      <c r="I631" t="s">
        <v>697</v>
      </c>
      <c r="J631" s="20" t="s">
        <v>8</v>
      </c>
      <c r="K631" t="s">
        <v>107</v>
      </c>
      <c r="L631" t="s">
        <v>107</v>
      </c>
      <c r="M631" s="20" t="s">
        <v>683</v>
      </c>
      <c r="N631" s="20" t="s">
        <v>108</v>
      </c>
      <c r="Q631" s="24" t="s">
        <v>680</v>
      </c>
    </row>
    <row r="632" spans="1:17" hidden="1" x14ac:dyDescent="0.3">
      <c r="A632" s="20">
        <f t="shared" si="9"/>
        <v>631</v>
      </c>
      <c r="B632" s="21" t="s">
        <v>87</v>
      </c>
      <c r="C632" s="21" t="s">
        <v>97</v>
      </c>
      <c r="D632" s="22" t="str">
        <f>IF($C632="","",IFERROR(VLOOKUP($C632,Map_Register!$A$2:$C$5,3,FALSE()),""))</f>
        <v>Toponym Labels</v>
      </c>
      <c r="E632" s="21" t="s">
        <v>15</v>
      </c>
      <c r="F632" s="23">
        <v>168193</v>
      </c>
      <c r="G632" s="20" t="s">
        <v>719</v>
      </c>
      <c r="H632" s="20" t="s">
        <v>1338</v>
      </c>
      <c r="I632" t="s">
        <v>697</v>
      </c>
      <c r="J632" s="20" t="s">
        <v>6</v>
      </c>
      <c r="K632" s="20" t="s">
        <v>137</v>
      </c>
      <c r="L632" s="20" t="s">
        <v>137</v>
      </c>
      <c r="M632" s="20" t="s">
        <v>721</v>
      </c>
      <c r="Q632" s="24" t="s">
        <v>680</v>
      </c>
    </row>
    <row r="633" spans="1:17" hidden="1" x14ac:dyDescent="0.3">
      <c r="A633" s="20">
        <f t="shared" si="9"/>
        <v>632</v>
      </c>
      <c r="B633" s="21" t="s">
        <v>87</v>
      </c>
      <c r="C633" s="21" t="s">
        <v>97</v>
      </c>
      <c r="D633" s="22" t="str">
        <f>IF($C633="","",IFERROR(VLOOKUP($C633,Map_Register!$A$2:$C$5,3,FALSE()),""))</f>
        <v>Toponym Labels</v>
      </c>
      <c r="E633" s="21" t="s">
        <v>15</v>
      </c>
      <c r="F633" s="23">
        <v>168522</v>
      </c>
      <c r="G633" s="20" t="s">
        <v>719</v>
      </c>
      <c r="H633" s="20" t="s">
        <v>1339</v>
      </c>
      <c r="I633" t="s">
        <v>697</v>
      </c>
      <c r="J633" s="20" t="s">
        <v>6</v>
      </c>
      <c r="K633" s="20" t="s">
        <v>137</v>
      </c>
      <c r="L633" s="20" t="s">
        <v>137</v>
      </c>
      <c r="M633" s="20" t="s">
        <v>721</v>
      </c>
      <c r="Q633" s="24" t="s">
        <v>680</v>
      </c>
    </row>
    <row r="634" spans="1:17" hidden="1" x14ac:dyDescent="0.3">
      <c r="A634" s="20">
        <f t="shared" si="9"/>
        <v>633</v>
      </c>
      <c r="B634" s="21" t="s">
        <v>87</v>
      </c>
      <c r="C634" s="21" t="s">
        <v>97</v>
      </c>
      <c r="D634" s="22" t="str">
        <f>IF($C634="","",IFERROR(VLOOKUP($C634,Map_Register!$A$2:$C$5,3,FALSE()),""))</f>
        <v>Toponym Labels</v>
      </c>
      <c r="E634" s="21" t="s">
        <v>15</v>
      </c>
      <c r="F634" s="23">
        <v>168523</v>
      </c>
      <c r="G634" s="20" t="s">
        <v>719</v>
      </c>
      <c r="H634" s="20" t="s">
        <v>1340</v>
      </c>
      <c r="I634" t="s">
        <v>697</v>
      </c>
      <c r="J634" s="20" t="s">
        <v>6</v>
      </c>
      <c r="K634" s="20" t="s">
        <v>137</v>
      </c>
      <c r="L634" s="20" t="s">
        <v>137</v>
      </c>
      <c r="M634" s="20" t="s">
        <v>721</v>
      </c>
      <c r="Q634" s="24" t="s">
        <v>680</v>
      </c>
    </row>
    <row r="635" spans="1:17" hidden="1" x14ac:dyDescent="0.3">
      <c r="A635" s="20">
        <f t="shared" si="9"/>
        <v>634</v>
      </c>
      <c r="B635" s="21" t="s">
        <v>87</v>
      </c>
      <c r="C635" s="21" t="s">
        <v>97</v>
      </c>
      <c r="D635" s="22" t="str">
        <f>IF($C635="","",IFERROR(VLOOKUP($C635,Map_Register!$A$2:$C$5,3,FALSE()),""))</f>
        <v>Toponym Labels</v>
      </c>
      <c r="E635" s="21" t="s">
        <v>15</v>
      </c>
      <c r="F635" s="23">
        <v>168524</v>
      </c>
      <c r="G635" s="20" t="s">
        <v>719</v>
      </c>
      <c r="H635" s="20" t="s">
        <v>1341</v>
      </c>
      <c r="I635" t="s">
        <v>697</v>
      </c>
      <c r="J635" s="20" t="s">
        <v>8</v>
      </c>
      <c r="K635" t="s">
        <v>107</v>
      </c>
      <c r="L635" t="s">
        <v>107</v>
      </c>
      <c r="M635" s="20" t="s">
        <v>683</v>
      </c>
      <c r="N635" s="20" t="s">
        <v>108</v>
      </c>
      <c r="Q635" s="24" t="s">
        <v>680</v>
      </c>
    </row>
    <row r="636" spans="1:17" x14ac:dyDescent="0.3">
      <c r="A636" s="20">
        <f t="shared" si="9"/>
        <v>635</v>
      </c>
      <c r="B636" s="21" t="s">
        <v>87</v>
      </c>
      <c r="C636" s="21" t="s">
        <v>97</v>
      </c>
      <c r="D636" s="22" t="str">
        <f>IF($C636="","",IFERROR(VLOOKUP($C636,Map_Register!$A$2:$C$5,3,FALSE()),""))</f>
        <v>Toponym Labels</v>
      </c>
      <c r="E636" s="21" t="s">
        <v>15</v>
      </c>
      <c r="F636" s="23">
        <v>168525</v>
      </c>
      <c r="G636" s="20" t="s">
        <v>719</v>
      </c>
      <c r="H636" s="20" t="s">
        <v>1342</v>
      </c>
      <c r="I636" t="s">
        <v>697</v>
      </c>
      <c r="J636" s="20" t="s">
        <v>8</v>
      </c>
      <c r="K636" t="s">
        <v>107</v>
      </c>
      <c r="L636" t="s">
        <v>108</v>
      </c>
      <c r="M636" s="20" t="s">
        <v>1126</v>
      </c>
      <c r="N636" s="20" t="s">
        <v>108</v>
      </c>
      <c r="Q636" s="24" t="s">
        <v>680</v>
      </c>
    </row>
    <row r="637" spans="1:17" x14ac:dyDescent="0.3">
      <c r="A637" s="20">
        <f t="shared" si="9"/>
        <v>636</v>
      </c>
      <c r="B637" s="21" t="s">
        <v>87</v>
      </c>
      <c r="C637" s="21" t="s">
        <v>97</v>
      </c>
      <c r="D637" s="22" t="str">
        <f>IF($C637="","",IFERROR(VLOOKUP($C637,Map_Register!$A$2:$C$5,3,FALSE()),""))</f>
        <v>Toponym Labels</v>
      </c>
      <c r="E637" s="21" t="s">
        <v>15</v>
      </c>
      <c r="F637" s="23">
        <v>168526</v>
      </c>
      <c r="G637" s="20" t="s">
        <v>719</v>
      </c>
      <c r="H637" s="20" t="s">
        <v>1343</v>
      </c>
      <c r="I637" t="s">
        <v>697</v>
      </c>
      <c r="J637" s="20" t="s">
        <v>8</v>
      </c>
      <c r="K637" t="s">
        <v>107</v>
      </c>
      <c r="L637" t="s">
        <v>108</v>
      </c>
      <c r="M637" s="20" t="s">
        <v>1126</v>
      </c>
      <c r="N637" s="20" t="s">
        <v>108</v>
      </c>
      <c r="Q637" s="24" t="s">
        <v>680</v>
      </c>
    </row>
    <row r="638" spans="1:17" hidden="1" x14ac:dyDescent="0.3">
      <c r="A638" s="20">
        <f t="shared" si="9"/>
        <v>637</v>
      </c>
      <c r="B638" s="21" t="s">
        <v>87</v>
      </c>
      <c r="C638" s="21" t="s">
        <v>97</v>
      </c>
      <c r="D638" s="22" t="str">
        <f>IF($C638="","",IFERROR(VLOOKUP($C638,Map_Register!$A$2:$C$5,3,FALSE()),""))</f>
        <v>Toponym Labels</v>
      </c>
      <c r="E638" s="21" t="s">
        <v>15</v>
      </c>
      <c r="F638" s="23">
        <v>168527</v>
      </c>
      <c r="G638" s="20" t="s">
        <v>719</v>
      </c>
      <c r="H638" s="20" t="s">
        <v>1344</v>
      </c>
      <c r="I638" t="s">
        <v>697</v>
      </c>
      <c r="J638" s="20" t="s">
        <v>6</v>
      </c>
      <c r="K638" s="20" t="s">
        <v>137</v>
      </c>
      <c r="L638" s="20" t="s">
        <v>137</v>
      </c>
      <c r="M638" s="20" t="s">
        <v>721</v>
      </c>
      <c r="Q638" s="24" t="s">
        <v>680</v>
      </c>
    </row>
    <row r="639" spans="1:17" x14ac:dyDescent="0.3">
      <c r="A639" s="20">
        <f t="shared" si="9"/>
        <v>638</v>
      </c>
      <c r="B639" s="21" t="s">
        <v>87</v>
      </c>
      <c r="C639" s="21" t="s">
        <v>97</v>
      </c>
      <c r="D639" s="22" t="str">
        <f>IF($C639="","",IFERROR(VLOOKUP($C639,Map_Register!$A$2:$C$5,3,FALSE()),""))</f>
        <v>Toponym Labels</v>
      </c>
      <c r="E639" s="21" t="s">
        <v>15</v>
      </c>
      <c r="F639" s="23">
        <v>168528</v>
      </c>
      <c r="G639" s="20" t="s">
        <v>719</v>
      </c>
      <c r="H639" s="20" t="s">
        <v>1345</v>
      </c>
      <c r="I639" t="s">
        <v>697</v>
      </c>
      <c r="J639" s="20" t="s">
        <v>8</v>
      </c>
      <c r="K639" t="s">
        <v>107</v>
      </c>
      <c r="L639" t="s">
        <v>108</v>
      </c>
      <c r="M639" s="20" t="s">
        <v>1126</v>
      </c>
      <c r="N639" s="20" t="s">
        <v>108</v>
      </c>
      <c r="Q639" s="24" t="s">
        <v>680</v>
      </c>
    </row>
    <row r="640" spans="1:17" x14ac:dyDescent="0.3">
      <c r="A640" s="20">
        <f t="shared" si="9"/>
        <v>639</v>
      </c>
      <c r="B640" s="21" t="s">
        <v>87</v>
      </c>
      <c r="C640" s="21" t="s">
        <v>97</v>
      </c>
      <c r="D640" s="22" t="str">
        <f>IF($C640="","",IFERROR(VLOOKUP($C640,Map_Register!$A$2:$C$5,3,FALSE()),""))</f>
        <v>Toponym Labels</v>
      </c>
      <c r="E640" s="21" t="s">
        <v>15</v>
      </c>
      <c r="F640" s="23">
        <v>168529</v>
      </c>
      <c r="G640" s="20" t="s">
        <v>719</v>
      </c>
      <c r="H640" s="20" t="s">
        <v>1346</v>
      </c>
      <c r="I640" t="s">
        <v>697</v>
      </c>
      <c r="J640" s="20" t="s">
        <v>8</v>
      </c>
      <c r="K640" t="s">
        <v>107</v>
      </c>
      <c r="L640" t="s">
        <v>108</v>
      </c>
      <c r="M640" s="20" t="s">
        <v>1126</v>
      </c>
      <c r="N640" s="20" t="s">
        <v>108</v>
      </c>
      <c r="Q640" s="24" t="s">
        <v>680</v>
      </c>
    </row>
    <row r="641" spans="1:17" hidden="1" x14ac:dyDescent="0.3">
      <c r="A641" s="20">
        <f t="shared" si="9"/>
        <v>640</v>
      </c>
      <c r="B641" s="21" t="s">
        <v>87</v>
      </c>
      <c r="C641" s="21" t="s">
        <v>97</v>
      </c>
      <c r="D641" s="22" t="str">
        <f>IF($C641="","",IFERROR(VLOOKUP($C641,Map_Register!$A$2:$C$5,3,FALSE()),""))</f>
        <v>Toponym Labels</v>
      </c>
      <c r="E641" s="21" t="s">
        <v>15</v>
      </c>
      <c r="F641" s="23">
        <v>168531</v>
      </c>
      <c r="G641" s="20" t="s">
        <v>719</v>
      </c>
      <c r="H641" s="20" t="s">
        <v>1347</v>
      </c>
      <c r="I641" t="s">
        <v>697</v>
      </c>
      <c r="J641" s="20" t="s">
        <v>8</v>
      </c>
      <c r="K641" t="s">
        <v>107</v>
      </c>
      <c r="L641" t="s">
        <v>107</v>
      </c>
      <c r="M641" s="20" t="s">
        <v>683</v>
      </c>
      <c r="N641" s="20" t="s">
        <v>108</v>
      </c>
      <c r="Q641" s="24" t="s">
        <v>680</v>
      </c>
    </row>
    <row r="642" spans="1:17" hidden="1" x14ac:dyDescent="0.3">
      <c r="A642" s="20">
        <f t="shared" ref="A642:A705" si="10">IF($B642="","",ROW()-1)</f>
        <v>641</v>
      </c>
      <c r="B642" s="21" t="s">
        <v>87</v>
      </c>
      <c r="C642" s="21" t="s">
        <v>97</v>
      </c>
      <c r="D642" s="22" t="str">
        <f>IF($C642="","",IFERROR(VLOOKUP($C642,Map_Register!$A$2:$C$5,3,FALSE()),""))</f>
        <v>Toponym Labels</v>
      </c>
      <c r="E642" s="21" t="s">
        <v>15</v>
      </c>
      <c r="F642" s="23">
        <v>168532</v>
      </c>
      <c r="G642" s="20" t="s">
        <v>719</v>
      </c>
      <c r="H642" s="20" t="s">
        <v>1348</v>
      </c>
      <c r="I642" t="s">
        <v>697</v>
      </c>
      <c r="J642" s="20" t="s">
        <v>6</v>
      </c>
      <c r="K642" s="20" t="s">
        <v>137</v>
      </c>
      <c r="L642" s="20" t="s">
        <v>137</v>
      </c>
      <c r="M642" s="20" t="s">
        <v>1264</v>
      </c>
      <c r="Q642" s="24" t="s">
        <v>680</v>
      </c>
    </row>
    <row r="643" spans="1:17" hidden="1" x14ac:dyDescent="0.3">
      <c r="A643" s="20">
        <f t="shared" si="10"/>
        <v>642</v>
      </c>
      <c r="B643" s="21" t="s">
        <v>87</v>
      </c>
      <c r="C643" s="21" t="s">
        <v>97</v>
      </c>
      <c r="D643" s="22" t="str">
        <f>IF($C643="","",IFERROR(VLOOKUP($C643,Map_Register!$A$2:$C$5,3,FALSE()),""))</f>
        <v>Toponym Labels</v>
      </c>
      <c r="E643" s="21" t="s">
        <v>15</v>
      </c>
      <c r="F643" s="23">
        <v>184386</v>
      </c>
      <c r="G643" s="20" t="s">
        <v>719</v>
      </c>
      <c r="H643" s="20" t="s">
        <v>1349</v>
      </c>
      <c r="I643" t="s">
        <v>697</v>
      </c>
      <c r="J643" s="20" t="s">
        <v>6</v>
      </c>
      <c r="K643" s="20" t="s">
        <v>137</v>
      </c>
      <c r="L643" s="20" t="s">
        <v>137</v>
      </c>
      <c r="M643" s="20" t="s">
        <v>721</v>
      </c>
      <c r="Q643" s="24" t="s">
        <v>680</v>
      </c>
    </row>
    <row r="644" spans="1:17" hidden="1" x14ac:dyDescent="0.3">
      <c r="A644" s="20">
        <f t="shared" si="10"/>
        <v>643</v>
      </c>
      <c r="B644" s="21" t="s">
        <v>87</v>
      </c>
      <c r="C644" s="21" t="s">
        <v>97</v>
      </c>
      <c r="D644" s="22" t="str">
        <f>IF($C644="","",IFERROR(VLOOKUP($C644,Map_Register!$A$2:$C$5,3,FALSE()),""))</f>
        <v>Toponym Labels</v>
      </c>
      <c r="E644" s="21" t="s">
        <v>15</v>
      </c>
      <c r="F644" s="23">
        <v>184387</v>
      </c>
      <c r="G644" s="20" t="s">
        <v>719</v>
      </c>
      <c r="H644" s="20" t="s">
        <v>1350</v>
      </c>
      <c r="I644" t="s">
        <v>697</v>
      </c>
      <c r="J644" s="20" t="s">
        <v>6</v>
      </c>
      <c r="K644" s="20" t="s">
        <v>137</v>
      </c>
      <c r="L644" s="20" t="s">
        <v>137</v>
      </c>
      <c r="M644" s="20" t="s">
        <v>721</v>
      </c>
      <c r="Q644" s="24" t="s">
        <v>680</v>
      </c>
    </row>
    <row r="645" spans="1:17" hidden="1" x14ac:dyDescent="0.3">
      <c r="A645" s="20">
        <f t="shared" si="10"/>
        <v>644</v>
      </c>
      <c r="B645" s="21" t="s">
        <v>87</v>
      </c>
      <c r="C645" s="21" t="s">
        <v>97</v>
      </c>
      <c r="D645" s="22" t="str">
        <f>IF($C645="","",IFERROR(VLOOKUP($C645,Map_Register!$A$2:$C$5,3,FALSE()),""))</f>
        <v>Toponym Labels</v>
      </c>
      <c r="E645" s="21" t="s">
        <v>15</v>
      </c>
      <c r="F645" s="23">
        <v>184388</v>
      </c>
      <c r="G645" s="20" t="s">
        <v>719</v>
      </c>
      <c r="H645" s="20" t="s">
        <v>1351</v>
      </c>
      <c r="I645" t="s">
        <v>697</v>
      </c>
      <c r="J645" s="20" t="s">
        <v>6</v>
      </c>
      <c r="K645" s="20" t="s">
        <v>137</v>
      </c>
      <c r="L645" s="20" t="s">
        <v>137</v>
      </c>
      <c r="M645" s="20" t="s">
        <v>721</v>
      </c>
      <c r="Q645" s="24" t="s">
        <v>680</v>
      </c>
    </row>
    <row r="646" spans="1:17" hidden="1" x14ac:dyDescent="0.3">
      <c r="A646" s="20">
        <f t="shared" si="10"/>
        <v>645</v>
      </c>
      <c r="B646" s="21" t="s">
        <v>87</v>
      </c>
      <c r="C646" s="21" t="s">
        <v>97</v>
      </c>
      <c r="D646" s="22" t="str">
        <f>IF($C646="","",IFERROR(VLOOKUP($C646,Map_Register!$A$2:$C$5,3,FALSE()),""))</f>
        <v>Toponym Labels</v>
      </c>
      <c r="E646" s="21" t="s">
        <v>15</v>
      </c>
      <c r="F646" s="23">
        <v>184593</v>
      </c>
      <c r="G646" s="20" t="s">
        <v>719</v>
      </c>
      <c r="H646" s="20" t="s">
        <v>1352</v>
      </c>
      <c r="I646" t="s">
        <v>697</v>
      </c>
      <c r="J646" s="20" t="s">
        <v>6</v>
      </c>
      <c r="K646" s="20" t="s">
        <v>137</v>
      </c>
      <c r="L646" s="20" t="s">
        <v>137</v>
      </c>
      <c r="M646" s="20" t="s">
        <v>721</v>
      </c>
      <c r="Q646" s="24" t="s">
        <v>680</v>
      </c>
    </row>
    <row r="647" spans="1:17" hidden="1" x14ac:dyDescent="0.3">
      <c r="A647" s="20">
        <f t="shared" si="10"/>
        <v>646</v>
      </c>
      <c r="B647" s="21" t="s">
        <v>87</v>
      </c>
      <c r="C647" s="21" t="s">
        <v>97</v>
      </c>
      <c r="D647" s="22" t="str">
        <f>IF($C647="","",IFERROR(VLOOKUP($C647,Map_Register!$A$2:$C$5,3,FALSE()),""))</f>
        <v>Toponym Labels</v>
      </c>
      <c r="E647" s="21" t="s">
        <v>15</v>
      </c>
      <c r="F647" s="23">
        <v>184594</v>
      </c>
      <c r="G647" s="20" t="s">
        <v>719</v>
      </c>
      <c r="H647" s="20" t="s">
        <v>1353</v>
      </c>
      <c r="I647" t="s">
        <v>697</v>
      </c>
      <c r="J647" s="20" t="s">
        <v>6</v>
      </c>
      <c r="K647" s="20" t="s">
        <v>137</v>
      </c>
      <c r="L647" s="20" t="s">
        <v>137</v>
      </c>
      <c r="M647" s="20" t="s">
        <v>721</v>
      </c>
      <c r="Q647" s="24" t="s">
        <v>680</v>
      </c>
    </row>
    <row r="648" spans="1:17" hidden="1" x14ac:dyDescent="0.3">
      <c r="A648" s="20">
        <f t="shared" si="10"/>
        <v>647</v>
      </c>
      <c r="B648" s="21" t="s">
        <v>87</v>
      </c>
      <c r="C648" s="21" t="s">
        <v>97</v>
      </c>
      <c r="D648" s="22" t="str">
        <f>IF($C648="","",IFERROR(VLOOKUP($C648,Map_Register!$A$2:$C$5,3,FALSE()),""))</f>
        <v>Toponym Labels</v>
      </c>
      <c r="E648" s="21" t="s">
        <v>15</v>
      </c>
      <c r="F648" s="23">
        <v>184595</v>
      </c>
      <c r="G648" s="20" t="s">
        <v>719</v>
      </c>
      <c r="H648" s="20" t="s">
        <v>1354</v>
      </c>
      <c r="I648" t="s">
        <v>697</v>
      </c>
      <c r="J648" s="20" t="s">
        <v>6</v>
      </c>
      <c r="K648" s="20" t="s">
        <v>137</v>
      </c>
      <c r="L648" s="20" t="s">
        <v>137</v>
      </c>
      <c r="M648" s="20" t="s">
        <v>721</v>
      </c>
      <c r="Q648" s="24" t="s">
        <v>680</v>
      </c>
    </row>
    <row r="649" spans="1:17" hidden="1" x14ac:dyDescent="0.3">
      <c r="A649" s="20">
        <f t="shared" si="10"/>
        <v>648</v>
      </c>
      <c r="B649" s="21" t="s">
        <v>87</v>
      </c>
      <c r="C649" s="21" t="s">
        <v>97</v>
      </c>
      <c r="D649" s="22" t="str">
        <f>IF($C649="","",IFERROR(VLOOKUP($C649,Map_Register!$A$2:$C$5,3,FALSE()),""))</f>
        <v>Toponym Labels</v>
      </c>
      <c r="E649" s="21" t="s">
        <v>15</v>
      </c>
      <c r="F649" s="23">
        <v>184596</v>
      </c>
      <c r="G649" s="20" t="s">
        <v>719</v>
      </c>
      <c r="H649" s="20" t="s">
        <v>1355</v>
      </c>
      <c r="I649" t="s">
        <v>697</v>
      </c>
      <c r="J649" s="20" t="s">
        <v>8</v>
      </c>
      <c r="K649" t="s">
        <v>107</v>
      </c>
      <c r="L649" t="s">
        <v>107</v>
      </c>
      <c r="M649" s="20" t="s">
        <v>683</v>
      </c>
      <c r="N649" s="20" t="s">
        <v>108</v>
      </c>
      <c r="Q649" s="24" t="s">
        <v>680</v>
      </c>
    </row>
    <row r="650" spans="1:17" hidden="1" x14ac:dyDescent="0.3">
      <c r="A650" s="20">
        <f t="shared" si="10"/>
        <v>649</v>
      </c>
      <c r="B650" s="21" t="s">
        <v>87</v>
      </c>
      <c r="C650" s="21" t="s">
        <v>97</v>
      </c>
      <c r="D650" s="22" t="str">
        <f>IF($C650="","",IFERROR(VLOOKUP($C650,Map_Register!$A$2:$C$5,3,FALSE()),""))</f>
        <v>Toponym Labels</v>
      </c>
      <c r="E650" s="21" t="s">
        <v>15</v>
      </c>
      <c r="F650" s="23">
        <v>184597</v>
      </c>
      <c r="G650" s="20" t="s">
        <v>719</v>
      </c>
      <c r="H650" s="20" t="s">
        <v>752</v>
      </c>
      <c r="I650" t="s">
        <v>697</v>
      </c>
      <c r="J650" s="20" t="s">
        <v>6</v>
      </c>
      <c r="K650" s="20" t="s">
        <v>137</v>
      </c>
      <c r="L650" s="20" t="s">
        <v>137</v>
      </c>
      <c r="M650" s="20" t="s">
        <v>721</v>
      </c>
      <c r="Q650" s="24" t="s">
        <v>680</v>
      </c>
    </row>
    <row r="651" spans="1:17" hidden="1" x14ac:dyDescent="0.3">
      <c r="A651" s="20">
        <f t="shared" si="10"/>
        <v>650</v>
      </c>
      <c r="B651" s="21" t="s">
        <v>87</v>
      </c>
      <c r="C651" s="21" t="s">
        <v>97</v>
      </c>
      <c r="D651" s="22" t="str">
        <f>IF($C651="","",IFERROR(VLOOKUP($C651,Map_Register!$A$2:$C$5,3,FALSE()),""))</f>
        <v>Toponym Labels</v>
      </c>
      <c r="E651" s="21" t="s">
        <v>15</v>
      </c>
      <c r="F651" s="23">
        <v>184598</v>
      </c>
      <c r="G651" s="20" t="s">
        <v>719</v>
      </c>
      <c r="H651" s="20" t="s">
        <v>1356</v>
      </c>
      <c r="I651" t="s">
        <v>697</v>
      </c>
      <c r="J651" s="20" t="s">
        <v>6</v>
      </c>
      <c r="K651" s="20" t="s">
        <v>137</v>
      </c>
      <c r="L651" s="20" t="s">
        <v>137</v>
      </c>
      <c r="M651" s="20" t="s">
        <v>721</v>
      </c>
      <c r="Q651" s="24" t="s">
        <v>680</v>
      </c>
    </row>
    <row r="652" spans="1:17" hidden="1" x14ac:dyDescent="0.3">
      <c r="A652" s="20">
        <f t="shared" si="10"/>
        <v>651</v>
      </c>
      <c r="B652" s="21" t="s">
        <v>87</v>
      </c>
      <c r="C652" s="21" t="s">
        <v>97</v>
      </c>
      <c r="D652" s="22" t="str">
        <f>IF($C652="","",IFERROR(VLOOKUP($C652,Map_Register!$A$2:$C$5,3,FALSE()),""))</f>
        <v>Toponym Labels</v>
      </c>
      <c r="E652" s="21" t="s">
        <v>15</v>
      </c>
      <c r="F652" s="23">
        <v>184599</v>
      </c>
      <c r="G652" s="20" t="s">
        <v>719</v>
      </c>
      <c r="H652" s="20" t="s">
        <v>1357</v>
      </c>
      <c r="I652" t="s">
        <v>697</v>
      </c>
      <c r="J652" s="20" t="s">
        <v>6</v>
      </c>
      <c r="K652" s="20" t="s">
        <v>137</v>
      </c>
      <c r="L652" s="20" t="s">
        <v>137</v>
      </c>
      <c r="M652" s="20" t="s">
        <v>721</v>
      </c>
      <c r="Q652" s="24" t="s">
        <v>680</v>
      </c>
    </row>
    <row r="653" spans="1:17" hidden="1" x14ac:dyDescent="0.3">
      <c r="A653" s="20">
        <f t="shared" si="10"/>
        <v>652</v>
      </c>
      <c r="B653" s="21" t="s">
        <v>87</v>
      </c>
      <c r="C653" s="21" t="s">
        <v>97</v>
      </c>
      <c r="D653" s="22" t="str">
        <f>IF($C653="","",IFERROR(VLOOKUP($C653,Map_Register!$A$2:$C$5,3,FALSE()),""))</f>
        <v>Toponym Labels</v>
      </c>
      <c r="E653" s="21" t="s">
        <v>15</v>
      </c>
      <c r="F653" s="23">
        <v>184600</v>
      </c>
      <c r="G653" s="20" t="s">
        <v>719</v>
      </c>
      <c r="H653" s="20" t="s">
        <v>1358</v>
      </c>
      <c r="I653" t="s">
        <v>697</v>
      </c>
      <c r="J653" s="20" t="s">
        <v>6</v>
      </c>
      <c r="K653" s="20" t="s">
        <v>137</v>
      </c>
      <c r="L653" s="20" t="s">
        <v>137</v>
      </c>
      <c r="M653" s="20" t="s">
        <v>721</v>
      </c>
      <c r="Q653" s="24" t="s">
        <v>680</v>
      </c>
    </row>
    <row r="654" spans="1:17" hidden="1" x14ac:dyDescent="0.3">
      <c r="A654" s="20">
        <f t="shared" si="10"/>
        <v>653</v>
      </c>
      <c r="B654" s="21" t="s">
        <v>87</v>
      </c>
      <c r="C654" s="21" t="s">
        <v>97</v>
      </c>
      <c r="D654" s="22" t="str">
        <f>IF($C654="","",IFERROR(VLOOKUP($C654,Map_Register!$A$2:$C$5,3,FALSE()),""))</f>
        <v>Toponym Labels</v>
      </c>
      <c r="E654" s="21" t="s">
        <v>15</v>
      </c>
      <c r="F654" s="23">
        <v>184601</v>
      </c>
      <c r="G654" s="20" t="s">
        <v>719</v>
      </c>
      <c r="H654" s="20" t="s">
        <v>1359</v>
      </c>
      <c r="I654" t="s">
        <v>697</v>
      </c>
      <c r="J654" s="20" t="s">
        <v>6</v>
      </c>
      <c r="K654" s="20" t="s">
        <v>137</v>
      </c>
      <c r="L654" s="20" t="s">
        <v>137</v>
      </c>
      <c r="M654" s="20" t="s">
        <v>721</v>
      </c>
      <c r="Q654" s="24" t="s">
        <v>680</v>
      </c>
    </row>
    <row r="655" spans="1:17" x14ac:dyDescent="0.3">
      <c r="A655" s="20">
        <f t="shared" si="10"/>
        <v>654</v>
      </c>
      <c r="B655" s="21" t="s">
        <v>87</v>
      </c>
      <c r="C655" s="21" t="s">
        <v>97</v>
      </c>
      <c r="D655" s="22" t="str">
        <f>IF($C655="","",IFERROR(VLOOKUP($C655,Map_Register!$A$2:$C$5,3,FALSE()),""))</f>
        <v>Toponym Labels</v>
      </c>
      <c r="E655" s="21" t="s">
        <v>15</v>
      </c>
      <c r="F655" s="23">
        <v>184602</v>
      </c>
      <c r="G655" s="20" t="s">
        <v>719</v>
      </c>
      <c r="H655" s="20" t="s">
        <v>1360</v>
      </c>
      <c r="I655" t="s">
        <v>697</v>
      </c>
      <c r="J655" s="20" t="s">
        <v>8</v>
      </c>
      <c r="K655" t="s">
        <v>107</v>
      </c>
      <c r="L655" t="s">
        <v>108</v>
      </c>
      <c r="M655" s="20" t="s">
        <v>1126</v>
      </c>
      <c r="N655" s="20" t="s">
        <v>108</v>
      </c>
      <c r="Q655" s="24" t="s">
        <v>680</v>
      </c>
    </row>
    <row r="656" spans="1:17" hidden="1" x14ac:dyDescent="0.3">
      <c r="A656" s="20">
        <f t="shared" si="10"/>
        <v>655</v>
      </c>
      <c r="B656" s="21" t="s">
        <v>87</v>
      </c>
      <c r="C656" s="21" t="s">
        <v>97</v>
      </c>
      <c r="D656" s="22" t="str">
        <f>IF($C656="","",IFERROR(VLOOKUP($C656,Map_Register!$A$2:$C$5,3,FALSE()),""))</f>
        <v>Toponym Labels</v>
      </c>
      <c r="E656" s="21" t="s">
        <v>15</v>
      </c>
      <c r="F656" s="23">
        <v>184603</v>
      </c>
      <c r="G656" s="20" t="s">
        <v>719</v>
      </c>
      <c r="H656" s="20" t="s">
        <v>1361</v>
      </c>
      <c r="I656" t="s">
        <v>697</v>
      </c>
      <c r="J656" s="20" t="s">
        <v>6</v>
      </c>
      <c r="K656" s="20" t="s">
        <v>137</v>
      </c>
      <c r="L656" s="20" t="s">
        <v>137</v>
      </c>
      <c r="M656" s="20" t="s">
        <v>721</v>
      </c>
      <c r="Q656" s="24" t="s">
        <v>680</v>
      </c>
    </row>
    <row r="657" spans="1:17" hidden="1" x14ac:dyDescent="0.3">
      <c r="A657" s="20">
        <f t="shared" si="10"/>
        <v>656</v>
      </c>
      <c r="B657" s="21" t="s">
        <v>87</v>
      </c>
      <c r="C657" s="21" t="s">
        <v>97</v>
      </c>
      <c r="D657" s="22" t="str">
        <f>IF($C657="","",IFERROR(VLOOKUP($C657,Map_Register!$A$2:$C$5,3,FALSE()),""))</f>
        <v>Toponym Labels</v>
      </c>
      <c r="E657" s="21" t="s">
        <v>15</v>
      </c>
      <c r="F657" s="23">
        <v>184605</v>
      </c>
      <c r="G657" s="20" t="s">
        <v>719</v>
      </c>
      <c r="H657" s="20" t="s">
        <v>1362</v>
      </c>
      <c r="I657" t="s">
        <v>697</v>
      </c>
      <c r="J657" s="20" t="s">
        <v>6</v>
      </c>
      <c r="K657" s="20" t="s">
        <v>137</v>
      </c>
      <c r="L657" s="20" t="s">
        <v>137</v>
      </c>
      <c r="M657" s="20" t="s">
        <v>721</v>
      </c>
      <c r="Q657" s="24" t="s">
        <v>680</v>
      </c>
    </row>
    <row r="658" spans="1:17" hidden="1" x14ac:dyDescent="0.3">
      <c r="A658" s="20">
        <f t="shared" si="10"/>
        <v>657</v>
      </c>
      <c r="B658" s="21" t="s">
        <v>87</v>
      </c>
      <c r="C658" s="21" t="s">
        <v>97</v>
      </c>
      <c r="D658" s="22" t="str">
        <f>IF($C658="","",IFERROR(VLOOKUP($C658,Map_Register!$A$2:$C$5,3,FALSE()),""))</f>
        <v>Toponym Labels</v>
      </c>
      <c r="E658" s="21" t="s">
        <v>15</v>
      </c>
      <c r="F658" s="23">
        <v>184606</v>
      </c>
      <c r="G658" s="20" t="s">
        <v>719</v>
      </c>
      <c r="H658" s="20" t="s">
        <v>1363</v>
      </c>
      <c r="I658" t="s">
        <v>697</v>
      </c>
      <c r="J658" s="20" t="s">
        <v>8</v>
      </c>
      <c r="K658" t="s">
        <v>107</v>
      </c>
      <c r="L658" t="s">
        <v>107</v>
      </c>
      <c r="M658" s="20" t="s">
        <v>683</v>
      </c>
      <c r="N658" s="20" t="s">
        <v>108</v>
      </c>
      <c r="Q658" s="24" t="s">
        <v>680</v>
      </c>
    </row>
    <row r="659" spans="1:17" hidden="1" x14ac:dyDescent="0.3">
      <c r="A659" s="20">
        <f t="shared" si="10"/>
        <v>658</v>
      </c>
      <c r="B659" s="21" t="s">
        <v>87</v>
      </c>
      <c r="C659" s="21" t="s">
        <v>97</v>
      </c>
      <c r="D659" s="22" t="str">
        <f>IF($C659="","",IFERROR(VLOOKUP($C659,Map_Register!$A$2:$C$5,3,FALSE()),""))</f>
        <v>Toponym Labels</v>
      </c>
      <c r="E659" s="21" t="s">
        <v>15</v>
      </c>
      <c r="F659" s="23">
        <v>184774</v>
      </c>
      <c r="G659" s="20" t="s">
        <v>719</v>
      </c>
      <c r="H659" s="20" t="s">
        <v>1364</v>
      </c>
      <c r="I659" t="s">
        <v>697</v>
      </c>
      <c r="J659" s="20" t="s">
        <v>6</v>
      </c>
      <c r="K659" s="20" t="s">
        <v>137</v>
      </c>
      <c r="L659" s="20" t="s">
        <v>137</v>
      </c>
      <c r="M659" s="20" t="s">
        <v>1365</v>
      </c>
      <c r="Q659" s="24" t="s">
        <v>680</v>
      </c>
    </row>
    <row r="660" spans="1:17" x14ac:dyDescent="0.3">
      <c r="A660" s="20">
        <f t="shared" si="10"/>
        <v>659</v>
      </c>
      <c r="B660" s="21" t="s">
        <v>87</v>
      </c>
      <c r="C660" s="21" t="s">
        <v>97</v>
      </c>
      <c r="D660" s="22" t="str">
        <f>IF($C660="","",IFERROR(VLOOKUP($C660,Map_Register!$A$2:$C$5,3,FALSE()),""))</f>
        <v>Toponym Labels</v>
      </c>
      <c r="E660" s="21" t="s">
        <v>15</v>
      </c>
      <c r="F660" s="23">
        <v>193508</v>
      </c>
      <c r="G660" s="20" t="s">
        <v>719</v>
      </c>
      <c r="H660" s="20" t="s">
        <v>1366</v>
      </c>
      <c r="I660" t="s">
        <v>697</v>
      </c>
      <c r="J660" s="20" t="s">
        <v>8</v>
      </c>
      <c r="K660" t="s">
        <v>107</v>
      </c>
      <c r="L660" t="s">
        <v>108</v>
      </c>
      <c r="M660" s="20" t="s">
        <v>1126</v>
      </c>
      <c r="N660" s="20" t="s">
        <v>108</v>
      </c>
      <c r="Q660" s="24" t="s">
        <v>680</v>
      </c>
    </row>
    <row r="661" spans="1:17" hidden="1" x14ac:dyDescent="0.3">
      <c r="A661" s="20">
        <f t="shared" si="10"/>
        <v>660</v>
      </c>
      <c r="B661" s="21" t="s">
        <v>87</v>
      </c>
      <c r="C661" s="21" t="s">
        <v>97</v>
      </c>
      <c r="D661" s="22" t="str">
        <f>IF($C661="","",IFERROR(VLOOKUP($C661,Map_Register!$A$2:$C$5,3,FALSE()),""))</f>
        <v>Toponym Labels</v>
      </c>
      <c r="E661" s="21" t="s">
        <v>15</v>
      </c>
      <c r="F661" s="23">
        <v>193894</v>
      </c>
      <c r="G661" s="20" t="s">
        <v>719</v>
      </c>
      <c r="H661" s="20" t="s">
        <v>1367</v>
      </c>
      <c r="I661" s="20" t="s">
        <v>678</v>
      </c>
      <c r="J661" s="20" t="s">
        <v>6</v>
      </c>
      <c r="K661" s="20" t="s">
        <v>137</v>
      </c>
      <c r="L661" s="20" t="s">
        <v>137</v>
      </c>
      <c r="M661" s="20" t="s">
        <v>721</v>
      </c>
      <c r="Q661" s="24" t="s">
        <v>680</v>
      </c>
    </row>
    <row r="662" spans="1:17" hidden="1" x14ac:dyDescent="0.3">
      <c r="A662" s="20">
        <f t="shared" si="10"/>
        <v>661</v>
      </c>
      <c r="B662" s="21" t="s">
        <v>87</v>
      </c>
      <c r="C662" s="21" t="s">
        <v>97</v>
      </c>
      <c r="D662" s="22" t="str">
        <f>IF($C662="","",IFERROR(VLOOKUP($C662,Map_Register!$A$2:$C$5,3,FALSE()),""))</f>
        <v>Toponym Labels</v>
      </c>
      <c r="E662" s="21" t="s">
        <v>15</v>
      </c>
      <c r="F662" s="23">
        <v>193895</v>
      </c>
      <c r="G662" s="20" t="s">
        <v>719</v>
      </c>
      <c r="H662" s="20" t="s">
        <v>1368</v>
      </c>
      <c r="I662" t="s">
        <v>697</v>
      </c>
      <c r="J662" s="20" t="s">
        <v>6</v>
      </c>
      <c r="K662" s="20" t="s">
        <v>137</v>
      </c>
      <c r="L662" s="20" t="s">
        <v>137</v>
      </c>
      <c r="M662" s="20" t="s">
        <v>721</v>
      </c>
      <c r="Q662" s="24" t="s">
        <v>680</v>
      </c>
    </row>
    <row r="663" spans="1:17" hidden="1" x14ac:dyDescent="0.3">
      <c r="A663" s="20">
        <f t="shared" si="10"/>
        <v>662</v>
      </c>
      <c r="B663" s="21" t="s">
        <v>87</v>
      </c>
      <c r="C663" s="21" t="s">
        <v>97</v>
      </c>
      <c r="D663" s="22" t="str">
        <f>IF($C663="","",IFERROR(VLOOKUP($C663,Map_Register!$A$2:$C$5,3,FALSE()),""))</f>
        <v>Toponym Labels</v>
      </c>
      <c r="E663" s="21" t="s">
        <v>15</v>
      </c>
      <c r="F663" s="23">
        <v>193911</v>
      </c>
      <c r="G663" s="20" t="s">
        <v>719</v>
      </c>
      <c r="H663" s="20" t="s">
        <v>1369</v>
      </c>
      <c r="I663" t="s">
        <v>697</v>
      </c>
      <c r="J663" s="20" t="s">
        <v>6</v>
      </c>
      <c r="K663" s="20" t="s">
        <v>137</v>
      </c>
      <c r="L663" s="20" t="s">
        <v>137</v>
      </c>
      <c r="M663" s="20" t="s">
        <v>721</v>
      </c>
      <c r="Q663" s="24" t="s">
        <v>680</v>
      </c>
    </row>
    <row r="664" spans="1:17" hidden="1" x14ac:dyDescent="0.3">
      <c r="A664" s="20">
        <f t="shared" si="10"/>
        <v>663</v>
      </c>
      <c r="B664" s="21" t="s">
        <v>87</v>
      </c>
      <c r="C664" s="21" t="s">
        <v>97</v>
      </c>
      <c r="D664" s="22" t="str">
        <f>IF($C664="","",IFERROR(VLOOKUP($C664,Map_Register!$A$2:$C$5,3,FALSE()),""))</f>
        <v>Toponym Labels</v>
      </c>
      <c r="E664" s="21" t="s">
        <v>15</v>
      </c>
      <c r="F664" s="23">
        <v>193912</v>
      </c>
      <c r="G664" s="20" t="s">
        <v>719</v>
      </c>
      <c r="H664" s="20" t="s">
        <v>1370</v>
      </c>
      <c r="I664" t="s">
        <v>697</v>
      </c>
      <c r="J664" s="20" t="s">
        <v>6</v>
      </c>
      <c r="K664" s="20" t="s">
        <v>137</v>
      </c>
      <c r="L664" s="20" t="s">
        <v>137</v>
      </c>
      <c r="M664" s="20" t="s">
        <v>721</v>
      </c>
      <c r="Q664" s="24" t="s">
        <v>680</v>
      </c>
    </row>
    <row r="665" spans="1:17" hidden="1" x14ac:dyDescent="0.3">
      <c r="A665" s="20">
        <f t="shared" si="10"/>
        <v>664</v>
      </c>
      <c r="B665" s="21" t="s">
        <v>87</v>
      </c>
      <c r="C665" s="21" t="s">
        <v>97</v>
      </c>
      <c r="D665" s="22" t="str">
        <f>IF($C665="","",IFERROR(VLOOKUP($C665,Map_Register!$A$2:$C$5,3,FALSE()),""))</f>
        <v>Toponym Labels</v>
      </c>
      <c r="E665" s="21" t="s">
        <v>15</v>
      </c>
      <c r="F665" s="23">
        <v>193913</v>
      </c>
      <c r="G665" s="20" t="s">
        <v>719</v>
      </c>
      <c r="H665" s="20" t="s">
        <v>1371</v>
      </c>
      <c r="I665" t="s">
        <v>697</v>
      </c>
      <c r="J665" s="20" t="s">
        <v>6</v>
      </c>
      <c r="K665" s="20" t="s">
        <v>137</v>
      </c>
      <c r="L665" s="20" t="s">
        <v>137</v>
      </c>
      <c r="M665" s="20" t="s">
        <v>980</v>
      </c>
      <c r="Q665" s="24" t="s">
        <v>680</v>
      </c>
    </row>
    <row r="666" spans="1:17" hidden="1" x14ac:dyDescent="0.3">
      <c r="A666" s="20">
        <f t="shared" si="10"/>
        <v>665</v>
      </c>
      <c r="B666" s="21" t="s">
        <v>87</v>
      </c>
      <c r="C666" s="21" t="s">
        <v>97</v>
      </c>
      <c r="D666" s="22" t="str">
        <f>IF($C666="","",IFERROR(VLOOKUP($C666,Map_Register!$A$2:$C$5,3,FALSE()),""))</f>
        <v>Toponym Labels</v>
      </c>
      <c r="E666" s="21" t="s">
        <v>15</v>
      </c>
      <c r="F666" s="23">
        <v>193914</v>
      </c>
      <c r="G666" s="20" t="s">
        <v>719</v>
      </c>
      <c r="H666" s="20" t="s">
        <v>1372</v>
      </c>
      <c r="I666" t="s">
        <v>697</v>
      </c>
      <c r="J666" s="20" t="s">
        <v>6</v>
      </c>
      <c r="K666" s="20" t="s">
        <v>137</v>
      </c>
      <c r="L666" s="20" t="s">
        <v>137</v>
      </c>
      <c r="M666" s="20" t="s">
        <v>980</v>
      </c>
      <c r="Q666" s="24" t="s">
        <v>680</v>
      </c>
    </row>
    <row r="667" spans="1:17" hidden="1" x14ac:dyDescent="0.3">
      <c r="A667" s="20">
        <f t="shared" si="10"/>
        <v>666</v>
      </c>
      <c r="B667" s="21" t="s">
        <v>87</v>
      </c>
      <c r="C667" s="21" t="s">
        <v>97</v>
      </c>
      <c r="D667" s="22" t="str">
        <f>IF($C667="","",IFERROR(VLOOKUP($C667,Map_Register!$A$2:$C$5,3,FALSE()),""))</f>
        <v>Toponym Labels</v>
      </c>
      <c r="E667" s="21" t="s">
        <v>15</v>
      </c>
      <c r="F667" s="23">
        <v>193915</v>
      </c>
      <c r="G667" s="20" t="s">
        <v>719</v>
      </c>
      <c r="H667" s="20" t="s">
        <v>1373</v>
      </c>
      <c r="I667" t="s">
        <v>697</v>
      </c>
      <c r="J667" s="20" t="s">
        <v>6</v>
      </c>
      <c r="K667" s="20" t="s">
        <v>137</v>
      </c>
      <c r="L667" s="20" t="s">
        <v>137</v>
      </c>
      <c r="M667" s="20" t="s">
        <v>721</v>
      </c>
      <c r="Q667" s="24" t="s">
        <v>680</v>
      </c>
    </row>
    <row r="668" spans="1:17" hidden="1" x14ac:dyDescent="0.3">
      <c r="A668" s="20">
        <f t="shared" si="10"/>
        <v>667</v>
      </c>
      <c r="B668" s="21" t="s">
        <v>87</v>
      </c>
      <c r="C668" s="21" t="s">
        <v>97</v>
      </c>
      <c r="D668" s="22" t="str">
        <f>IF($C668="","",IFERROR(VLOOKUP($C668,Map_Register!$A$2:$C$5,3,FALSE()),""))</f>
        <v>Toponym Labels</v>
      </c>
      <c r="E668" s="21" t="s">
        <v>15</v>
      </c>
      <c r="F668" s="23">
        <v>193916</v>
      </c>
      <c r="G668" s="20" t="s">
        <v>719</v>
      </c>
      <c r="H668" s="20" t="s">
        <v>1374</v>
      </c>
      <c r="I668" t="s">
        <v>697</v>
      </c>
      <c r="J668" s="20" t="s">
        <v>6</v>
      </c>
      <c r="K668" s="20" t="s">
        <v>137</v>
      </c>
      <c r="L668" s="20" t="s">
        <v>137</v>
      </c>
      <c r="M668" s="20" t="s">
        <v>721</v>
      </c>
      <c r="Q668" s="24" t="s">
        <v>680</v>
      </c>
    </row>
    <row r="669" spans="1:17" hidden="1" x14ac:dyDescent="0.3">
      <c r="A669" s="20">
        <f t="shared" si="10"/>
        <v>668</v>
      </c>
      <c r="B669" s="21" t="s">
        <v>87</v>
      </c>
      <c r="C669" s="21" t="s">
        <v>97</v>
      </c>
      <c r="D669" s="22" t="str">
        <f>IF($C669="","",IFERROR(VLOOKUP($C669,Map_Register!$A$2:$C$5,3,FALSE()),""))</f>
        <v>Toponym Labels</v>
      </c>
      <c r="E669" s="21" t="s">
        <v>15</v>
      </c>
      <c r="F669" s="23">
        <v>193917</v>
      </c>
      <c r="G669" s="20" t="s">
        <v>719</v>
      </c>
      <c r="H669" s="20" t="s">
        <v>1375</v>
      </c>
      <c r="I669" t="s">
        <v>697</v>
      </c>
      <c r="J669" s="20" t="s">
        <v>6</v>
      </c>
      <c r="K669" s="20" t="s">
        <v>137</v>
      </c>
      <c r="L669" s="20" t="s">
        <v>137</v>
      </c>
      <c r="M669" s="20" t="s">
        <v>721</v>
      </c>
      <c r="Q669" s="24" t="s">
        <v>680</v>
      </c>
    </row>
    <row r="670" spans="1:17" hidden="1" x14ac:dyDescent="0.3">
      <c r="A670" s="20">
        <f t="shared" si="10"/>
        <v>669</v>
      </c>
      <c r="B670" s="21" t="s">
        <v>87</v>
      </c>
      <c r="C670" s="21" t="s">
        <v>97</v>
      </c>
      <c r="D670" s="22" t="str">
        <f>IF($C670="","",IFERROR(VLOOKUP($C670,Map_Register!$A$2:$C$5,3,FALSE()),""))</f>
        <v>Toponym Labels</v>
      </c>
      <c r="E670" s="21" t="s">
        <v>15</v>
      </c>
      <c r="F670" s="23">
        <v>193918</v>
      </c>
      <c r="G670" s="20" t="s">
        <v>719</v>
      </c>
      <c r="H670" s="20" t="s">
        <v>1376</v>
      </c>
      <c r="I670" t="s">
        <v>697</v>
      </c>
      <c r="J670" s="20" t="s">
        <v>6</v>
      </c>
      <c r="K670" s="20" t="s">
        <v>137</v>
      </c>
      <c r="L670" s="20" t="s">
        <v>137</v>
      </c>
      <c r="M670" s="20" t="s">
        <v>721</v>
      </c>
      <c r="Q670" s="24" t="s">
        <v>680</v>
      </c>
    </row>
    <row r="671" spans="1:17" hidden="1" x14ac:dyDescent="0.3">
      <c r="A671" s="20">
        <f t="shared" si="10"/>
        <v>670</v>
      </c>
      <c r="B671" s="21" t="s">
        <v>87</v>
      </c>
      <c r="C671" s="21" t="s">
        <v>97</v>
      </c>
      <c r="D671" s="22" t="str">
        <f>IF($C671="","",IFERROR(VLOOKUP($C671,Map_Register!$A$2:$C$5,3,FALSE()),""))</f>
        <v>Toponym Labels</v>
      </c>
      <c r="E671" s="21" t="s">
        <v>15</v>
      </c>
      <c r="F671" s="23">
        <v>193919</v>
      </c>
      <c r="G671" s="20" t="s">
        <v>719</v>
      </c>
      <c r="H671" s="20" t="s">
        <v>1377</v>
      </c>
      <c r="I671" t="s">
        <v>697</v>
      </c>
      <c r="J671" s="20" t="s">
        <v>6</v>
      </c>
      <c r="K671" s="20" t="s">
        <v>137</v>
      </c>
      <c r="L671" s="20" t="s">
        <v>137</v>
      </c>
      <c r="M671" s="20" t="s">
        <v>721</v>
      </c>
      <c r="Q671" s="24" t="s">
        <v>680</v>
      </c>
    </row>
    <row r="672" spans="1:17" hidden="1" x14ac:dyDescent="0.3">
      <c r="A672" s="20">
        <f t="shared" si="10"/>
        <v>671</v>
      </c>
      <c r="B672" s="21" t="s">
        <v>87</v>
      </c>
      <c r="C672" s="21" t="s">
        <v>97</v>
      </c>
      <c r="D672" s="22" t="str">
        <f>IF($C672="","",IFERROR(VLOOKUP($C672,Map_Register!$A$2:$C$5,3,FALSE()),""))</f>
        <v>Toponym Labels</v>
      </c>
      <c r="E672" s="21" t="s">
        <v>15</v>
      </c>
      <c r="F672" s="23">
        <v>193920</v>
      </c>
      <c r="G672" s="20" t="s">
        <v>719</v>
      </c>
      <c r="H672" s="20" t="s">
        <v>1378</v>
      </c>
      <c r="I672" t="s">
        <v>697</v>
      </c>
      <c r="J672" s="20" t="s">
        <v>6</v>
      </c>
      <c r="K672" s="20" t="s">
        <v>137</v>
      </c>
      <c r="L672" s="20" t="s">
        <v>137</v>
      </c>
      <c r="M672" s="20" t="s">
        <v>721</v>
      </c>
      <c r="Q672" s="24" t="s">
        <v>680</v>
      </c>
    </row>
    <row r="673" spans="1:17" hidden="1" x14ac:dyDescent="0.3">
      <c r="A673" s="20">
        <f t="shared" si="10"/>
        <v>672</v>
      </c>
      <c r="B673" s="21" t="s">
        <v>87</v>
      </c>
      <c r="C673" s="21" t="s">
        <v>97</v>
      </c>
      <c r="D673" s="22" t="str">
        <f>IF($C673="","",IFERROR(VLOOKUP($C673,Map_Register!$A$2:$C$5,3,FALSE()),""))</f>
        <v>Toponym Labels</v>
      </c>
      <c r="E673" s="21" t="s">
        <v>15</v>
      </c>
      <c r="F673" s="23">
        <v>193921</v>
      </c>
      <c r="G673" s="20" t="s">
        <v>719</v>
      </c>
      <c r="H673" s="20" t="s">
        <v>960</v>
      </c>
      <c r="I673" t="s">
        <v>697</v>
      </c>
      <c r="J673" s="20" t="s">
        <v>6</v>
      </c>
      <c r="K673" s="20" t="s">
        <v>137</v>
      </c>
      <c r="L673" s="20" t="s">
        <v>137</v>
      </c>
      <c r="M673" s="20" t="s">
        <v>721</v>
      </c>
      <c r="Q673" s="24" t="s">
        <v>680</v>
      </c>
    </row>
    <row r="674" spans="1:17" hidden="1" x14ac:dyDescent="0.3">
      <c r="A674" s="20">
        <f t="shared" si="10"/>
        <v>673</v>
      </c>
      <c r="B674" s="21" t="s">
        <v>87</v>
      </c>
      <c r="C674" s="21" t="s">
        <v>97</v>
      </c>
      <c r="D674" s="22" t="str">
        <f>IF($C674="","",IFERROR(VLOOKUP($C674,Map_Register!$A$2:$C$5,3,FALSE()),""))</f>
        <v>Toponym Labels</v>
      </c>
      <c r="E674" s="21" t="s">
        <v>15</v>
      </c>
      <c r="F674" s="23">
        <v>193922</v>
      </c>
      <c r="G674" s="20" t="s">
        <v>719</v>
      </c>
      <c r="H674" s="20" t="s">
        <v>1379</v>
      </c>
      <c r="I674" t="s">
        <v>697</v>
      </c>
      <c r="J674" s="20" t="s">
        <v>6</v>
      </c>
      <c r="K674" s="20" t="s">
        <v>137</v>
      </c>
      <c r="L674" s="20" t="s">
        <v>137</v>
      </c>
      <c r="M674" s="20" t="s">
        <v>721</v>
      </c>
      <c r="Q674" s="24" t="s">
        <v>680</v>
      </c>
    </row>
    <row r="675" spans="1:17" hidden="1" x14ac:dyDescent="0.3">
      <c r="A675" s="20">
        <f t="shared" si="10"/>
        <v>674</v>
      </c>
      <c r="B675" s="21" t="s">
        <v>87</v>
      </c>
      <c r="C675" s="21" t="s">
        <v>97</v>
      </c>
      <c r="D675" s="22" t="str">
        <f>IF($C675="","",IFERROR(VLOOKUP($C675,Map_Register!$A$2:$C$5,3,FALSE()),""))</f>
        <v>Toponym Labels</v>
      </c>
      <c r="E675" s="21" t="s">
        <v>15</v>
      </c>
      <c r="F675" s="23">
        <v>193923</v>
      </c>
      <c r="G675" s="20" t="s">
        <v>719</v>
      </c>
      <c r="H675" s="20" t="s">
        <v>1380</v>
      </c>
      <c r="I675" t="s">
        <v>697</v>
      </c>
      <c r="J675" s="20" t="s">
        <v>6</v>
      </c>
      <c r="K675" s="20" t="s">
        <v>137</v>
      </c>
      <c r="L675" s="20" t="s">
        <v>137</v>
      </c>
      <c r="M675" s="20" t="s">
        <v>721</v>
      </c>
      <c r="Q675" s="24" t="s">
        <v>680</v>
      </c>
    </row>
    <row r="676" spans="1:17" hidden="1" x14ac:dyDescent="0.3">
      <c r="A676" s="20">
        <f t="shared" si="10"/>
        <v>675</v>
      </c>
      <c r="B676" s="21" t="s">
        <v>87</v>
      </c>
      <c r="C676" s="21" t="s">
        <v>97</v>
      </c>
      <c r="D676" s="22" t="str">
        <f>IF($C676="","",IFERROR(VLOOKUP($C676,Map_Register!$A$2:$C$5,3,FALSE()),""))</f>
        <v>Toponym Labels</v>
      </c>
      <c r="E676" s="21" t="s">
        <v>15</v>
      </c>
      <c r="F676" s="23">
        <v>193924</v>
      </c>
      <c r="G676" s="20" t="s">
        <v>719</v>
      </c>
      <c r="H676" s="20" t="s">
        <v>1381</v>
      </c>
      <c r="I676" t="s">
        <v>697</v>
      </c>
      <c r="J676" s="20" t="s">
        <v>6</v>
      </c>
      <c r="K676" s="20" t="s">
        <v>137</v>
      </c>
      <c r="L676" s="20" t="s">
        <v>137</v>
      </c>
      <c r="M676" s="20" t="s">
        <v>721</v>
      </c>
      <c r="Q676" s="24" t="s">
        <v>680</v>
      </c>
    </row>
    <row r="677" spans="1:17" hidden="1" x14ac:dyDescent="0.3">
      <c r="A677" s="20">
        <f t="shared" si="10"/>
        <v>676</v>
      </c>
      <c r="B677" s="21" t="s">
        <v>87</v>
      </c>
      <c r="C677" s="21" t="s">
        <v>97</v>
      </c>
      <c r="D677" s="22" t="str">
        <f>IF($C677="","",IFERROR(VLOOKUP($C677,Map_Register!$A$2:$C$5,3,FALSE()),""))</f>
        <v>Toponym Labels</v>
      </c>
      <c r="E677" s="21" t="s">
        <v>15</v>
      </c>
      <c r="F677" s="23">
        <v>193925</v>
      </c>
      <c r="G677" s="20" t="s">
        <v>719</v>
      </c>
      <c r="H677" s="20" t="s">
        <v>1382</v>
      </c>
      <c r="I677" t="s">
        <v>697</v>
      </c>
      <c r="J677" s="20" t="s">
        <v>8</v>
      </c>
      <c r="K677" t="s">
        <v>107</v>
      </c>
      <c r="L677" t="s">
        <v>107</v>
      </c>
      <c r="M677" s="20" t="s">
        <v>683</v>
      </c>
      <c r="N677" s="20" t="s">
        <v>108</v>
      </c>
      <c r="Q677" s="24" t="s">
        <v>680</v>
      </c>
    </row>
    <row r="678" spans="1:17" hidden="1" x14ac:dyDescent="0.3">
      <c r="A678" s="20">
        <f t="shared" si="10"/>
        <v>677</v>
      </c>
      <c r="B678" s="21" t="s">
        <v>87</v>
      </c>
      <c r="C678" s="21" t="s">
        <v>97</v>
      </c>
      <c r="D678" s="22" t="str">
        <f>IF($C678="","",IFERROR(VLOOKUP($C678,Map_Register!$A$2:$C$5,3,FALSE()),""))</f>
        <v>Toponym Labels</v>
      </c>
      <c r="E678" s="21" t="s">
        <v>15</v>
      </c>
      <c r="F678" s="23">
        <v>193926</v>
      </c>
      <c r="G678" s="20" t="s">
        <v>719</v>
      </c>
      <c r="H678" s="20" t="s">
        <v>1312</v>
      </c>
      <c r="I678" t="s">
        <v>697</v>
      </c>
      <c r="J678" s="20" t="s">
        <v>6</v>
      </c>
      <c r="K678" s="20" t="s">
        <v>137</v>
      </c>
      <c r="L678" s="20" t="s">
        <v>137</v>
      </c>
      <c r="M678" s="20" t="s">
        <v>721</v>
      </c>
      <c r="Q678" s="24" t="s">
        <v>680</v>
      </c>
    </row>
    <row r="679" spans="1:17" hidden="1" x14ac:dyDescent="0.3">
      <c r="A679" s="20">
        <f t="shared" si="10"/>
        <v>678</v>
      </c>
      <c r="B679" s="21" t="s">
        <v>87</v>
      </c>
      <c r="C679" s="21" t="s">
        <v>97</v>
      </c>
      <c r="D679" s="22" t="str">
        <f>IF($C679="","",IFERROR(VLOOKUP($C679,Map_Register!$A$2:$C$5,3,FALSE()),""))</f>
        <v>Toponym Labels</v>
      </c>
      <c r="E679" s="21" t="s">
        <v>15</v>
      </c>
      <c r="F679" s="23">
        <v>193927</v>
      </c>
      <c r="G679" s="20" t="s">
        <v>719</v>
      </c>
      <c r="H679" s="20" t="s">
        <v>1383</v>
      </c>
      <c r="I679" s="20" t="s">
        <v>678</v>
      </c>
      <c r="J679" s="20" t="s">
        <v>6</v>
      </c>
      <c r="K679" s="20" t="s">
        <v>137</v>
      </c>
      <c r="L679" s="20" t="s">
        <v>137</v>
      </c>
      <c r="M679" s="20" t="s">
        <v>721</v>
      </c>
      <c r="Q679" s="24" t="s">
        <v>680</v>
      </c>
    </row>
    <row r="680" spans="1:17" hidden="1" x14ac:dyDescent="0.3">
      <c r="A680" s="20">
        <f t="shared" si="10"/>
        <v>679</v>
      </c>
      <c r="B680" s="21" t="s">
        <v>87</v>
      </c>
      <c r="C680" s="21" t="s">
        <v>97</v>
      </c>
      <c r="D680" s="22" t="str">
        <f>IF($C680="","",IFERROR(VLOOKUP($C680,Map_Register!$A$2:$C$5,3,FALSE()),""))</f>
        <v>Toponym Labels</v>
      </c>
      <c r="E680" s="21" t="s">
        <v>15</v>
      </c>
      <c r="F680" s="23">
        <v>194288</v>
      </c>
      <c r="G680" s="20" t="s">
        <v>719</v>
      </c>
      <c r="H680" s="20" t="s">
        <v>1165</v>
      </c>
      <c r="I680" t="s">
        <v>697</v>
      </c>
      <c r="J680" s="20" t="s">
        <v>6</v>
      </c>
      <c r="K680" s="20" t="s">
        <v>137</v>
      </c>
      <c r="L680" s="20" t="s">
        <v>137</v>
      </c>
      <c r="M680" s="20" t="s">
        <v>721</v>
      </c>
      <c r="Q680" s="24" t="s">
        <v>680</v>
      </c>
    </row>
    <row r="681" spans="1:17" x14ac:dyDescent="0.3">
      <c r="A681" s="20">
        <f t="shared" si="10"/>
        <v>680</v>
      </c>
      <c r="B681" s="21" t="s">
        <v>87</v>
      </c>
      <c r="C681" s="21" t="s">
        <v>97</v>
      </c>
      <c r="D681" s="22" t="str">
        <f>IF($C681="","",IFERROR(VLOOKUP($C681,Map_Register!$A$2:$C$5,3,FALSE()),""))</f>
        <v>Toponym Labels</v>
      </c>
      <c r="E681" s="21" t="s">
        <v>15</v>
      </c>
      <c r="F681" s="23">
        <v>194289</v>
      </c>
      <c r="G681" s="20" t="s">
        <v>719</v>
      </c>
      <c r="H681" s="20" t="s">
        <v>1384</v>
      </c>
      <c r="I681" t="s">
        <v>697</v>
      </c>
      <c r="J681" s="20" t="s">
        <v>8</v>
      </c>
      <c r="K681" t="s">
        <v>107</v>
      </c>
      <c r="L681" t="s">
        <v>108</v>
      </c>
      <c r="M681" s="20" t="s">
        <v>1126</v>
      </c>
      <c r="N681" s="20" t="s">
        <v>108</v>
      </c>
      <c r="Q681" s="24" t="s">
        <v>680</v>
      </c>
    </row>
    <row r="682" spans="1:17" hidden="1" x14ac:dyDescent="0.3">
      <c r="A682" s="20">
        <f t="shared" si="10"/>
        <v>681</v>
      </c>
      <c r="B682" s="21" t="s">
        <v>87</v>
      </c>
      <c r="C682" s="21" t="s">
        <v>97</v>
      </c>
      <c r="D682" s="22" t="str">
        <f>IF($C682="","",IFERROR(VLOOKUP($C682,Map_Register!$A$2:$C$5,3,FALSE()),""))</f>
        <v>Toponym Labels</v>
      </c>
      <c r="E682" s="21" t="s">
        <v>15</v>
      </c>
      <c r="F682" s="23">
        <v>364453</v>
      </c>
      <c r="G682" s="20" t="s">
        <v>719</v>
      </c>
      <c r="H682" s="20" t="s">
        <v>1385</v>
      </c>
      <c r="I682" t="s">
        <v>697</v>
      </c>
      <c r="J682" s="20" t="s">
        <v>6</v>
      </c>
      <c r="K682" s="20" t="s">
        <v>137</v>
      </c>
      <c r="L682" s="20" t="s">
        <v>137</v>
      </c>
      <c r="M682" s="20" t="s">
        <v>6</v>
      </c>
      <c r="Q682" s="24" t="s">
        <v>680</v>
      </c>
    </row>
    <row r="683" spans="1:17" hidden="1" x14ac:dyDescent="0.3">
      <c r="A683" s="20">
        <f t="shared" si="10"/>
        <v>682</v>
      </c>
      <c r="B683" s="21" t="s">
        <v>87</v>
      </c>
      <c r="C683" s="21" t="s">
        <v>97</v>
      </c>
      <c r="D683" s="22" t="str">
        <f>IF($C683="","",IFERROR(VLOOKUP($C683,Map_Register!$A$2:$C$5,3,FALSE()),""))</f>
        <v>Toponym Labels</v>
      </c>
      <c r="E683" s="21" t="s">
        <v>15</v>
      </c>
      <c r="F683" s="23">
        <v>364977</v>
      </c>
      <c r="G683" s="20" t="s">
        <v>719</v>
      </c>
      <c r="H683" s="20" t="s">
        <v>1386</v>
      </c>
      <c r="I683" t="s">
        <v>697</v>
      </c>
      <c r="J683" s="20" t="s">
        <v>6</v>
      </c>
      <c r="K683" s="20" t="s">
        <v>137</v>
      </c>
      <c r="L683" s="20" t="s">
        <v>137</v>
      </c>
      <c r="M683" s="20" t="s">
        <v>721</v>
      </c>
      <c r="Q683" s="24" t="s">
        <v>680</v>
      </c>
    </row>
    <row r="684" spans="1:17" hidden="1" x14ac:dyDescent="0.3">
      <c r="A684" s="20">
        <f t="shared" si="10"/>
        <v>683</v>
      </c>
      <c r="B684" s="21" t="s">
        <v>87</v>
      </c>
      <c r="C684" s="21" t="s">
        <v>97</v>
      </c>
      <c r="D684" s="22" t="str">
        <f>IF($C684="","",IFERROR(VLOOKUP($C684,Map_Register!$A$2:$C$5,3,FALSE()),""))</f>
        <v>Toponym Labels</v>
      </c>
      <c r="E684" s="21" t="s">
        <v>15</v>
      </c>
      <c r="F684" s="23">
        <v>365646</v>
      </c>
      <c r="G684" s="20" t="s">
        <v>719</v>
      </c>
      <c r="H684" s="20" t="s">
        <v>1387</v>
      </c>
      <c r="I684" t="s">
        <v>697</v>
      </c>
      <c r="J684" s="20" t="s">
        <v>6</v>
      </c>
      <c r="K684" s="20" t="s">
        <v>137</v>
      </c>
      <c r="L684" s="20" t="s">
        <v>137</v>
      </c>
      <c r="M684" s="20" t="s">
        <v>721</v>
      </c>
      <c r="Q684" s="24" t="s">
        <v>680</v>
      </c>
    </row>
    <row r="685" spans="1:17" hidden="1" x14ac:dyDescent="0.3">
      <c r="A685" s="20">
        <f t="shared" si="10"/>
        <v>684</v>
      </c>
      <c r="B685" s="21" t="s">
        <v>87</v>
      </c>
      <c r="C685" s="21" t="s">
        <v>97</v>
      </c>
      <c r="D685" s="22" t="str">
        <f>IF($C685="","",IFERROR(VLOOKUP($C685,Map_Register!$A$2:$C$5,3,FALSE()),""))</f>
        <v>Toponym Labels</v>
      </c>
      <c r="E685" s="21" t="s">
        <v>15</v>
      </c>
      <c r="F685" s="23">
        <v>394073</v>
      </c>
      <c r="G685" s="20" t="s">
        <v>719</v>
      </c>
      <c r="H685" s="20" t="s">
        <v>1388</v>
      </c>
      <c r="I685" t="s">
        <v>697</v>
      </c>
      <c r="J685" s="20" t="s">
        <v>6</v>
      </c>
      <c r="K685" s="20" t="s">
        <v>137</v>
      </c>
      <c r="L685" s="20" t="s">
        <v>137</v>
      </c>
      <c r="M685" s="20" t="s">
        <v>721</v>
      </c>
      <c r="Q685" s="24" t="s">
        <v>680</v>
      </c>
    </row>
    <row r="686" spans="1:17" hidden="1" x14ac:dyDescent="0.3">
      <c r="A686" s="20">
        <f t="shared" si="10"/>
        <v>685</v>
      </c>
      <c r="B686" s="21" t="s">
        <v>87</v>
      </c>
      <c r="C686" s="21" t="s">
        <v>97</v>
      </c>
      <c r="D686" s="22" t="str">
        <f>IF($C686="","",IFERROR(VLOOKUP($C686,Map_Register!$A$2:$C$5,3,FALSE()),""))</f>
        <v>Toponym Labels</v>
      </c>
      <c r="E686" s="21" t="s">
        <v>15</v>
      </c>
      <c r="F686" s="23">
        <v>519329</v>
      </c>
      <c r="G686" s="20" t="s">
        <v>676</v>
      </c>
      <c r="H686" s="20" t="s">
        <v>1389</v>
      </c>
      <c r="I686" t="s">
        <v>1390</v>
      </c>
      <c r="J686" s="20" t="s">
        <v>220</v>
      </c>
      <c r="K686" s="20" t="s">
        <v>137</v>
      </c>
      <c r="L686" s="20" t="s">
        <v>137</v>
      </c>
      <c r="M686" s="20" t="s">
        <v>1391</v>
      </c>
      <c r="Q686" s="24" t="s">
        <v>680</v>
      </c>
    </row>
    <row r="687" spans="1:17" hidden="1" x14ac:dyDescent="0.3">
      <c r="A687" s="20">
        <f t="shared" si="10"/>
        <v>686</v>
      </c>
      <c r="B687" s="21" t="s">
        <v>87</v>
      </c>
      <c r="C687" s="21" t="s">
        <v>97</v>
      </c>
      <c r="D687" s="22" t="str">
        <f>IF($C687="","",IFERROR(VLOOKUP($C687,Map_Register!$A$2:$C$5,3,FALSE()),""))</f>
        <v>Toponym Labels</v>
      </c>
      <c r="E687" s="21" t="s">
        <v>15</v>
      </c>
      <c r="F687" s="23">
        <v>519798</v>
      </c>
      <c r="G687" s="20" t="s">
        <v>1392</v>
      </c>
      <c r="H687" s="20" t="s">
        <v>1393</v>
      </c>
      <c r="I687" s="20" t="s">
        <v>678</v>
      </c>
      <c r="J687" s="20" t="s">
        <v>6</v>
      </c>
      <c r="K687" s="20" t="s">
        <v>137</v>
      </c>
      <c r="L687" s="20" t="s">
        <v>137</v>
      </c>
      <c r="M687" s="20" t="s">
        <v>1394</v>
      </c>
      <c r="Q687" s="24" t="s">
        <v>680</v>
      </c>
    </row>
    <row r="688" spans="1:17" hidden="1" x14ac:dyDescent="0.3">
      <c r="A688" s="20">
        <f t="shared" si="10"/>
        <v>687</v>
      </c>
      <c r="B688" s="21" t="s">
        <v>87</v>
      </c>
      <c r="C688" s="21" t="s">
        <v>97</v>
      </c>
      <c r="D688" s="22" t="str">
        <f>IF($C688="","",IFERROR(VLOOKUP($C688,Map_Register!$A$2:$C$5,3,FALSE()),""))</f>
        <v>Toponym Labels</v>
      </c>
      <c r="E688" s="21" t="s">
        <v>15</v>
      </c>
      <c r="F688" s="23">
        <v>519832</v>
      </c>
      <c r="G688" s="20" t="s">
        <v>1392</v>
      </c>
      <c r="H688" s="20" t="s">
        <v>1395</v>
      </c>
      <c r="I688" s="20" t="s">
        <v>678</v>
      </c>
      <c r="J688" s="20" t="s">
        <v>6</v>
      </c>
      <c r="K688" s="20" t="s">
        <v>137</v>
      </c>
      <c r="L688" s="20" t="s">
        <v>137</v>
      </c>
      <c r="M688" s="20" t="s">
        <v>1394</v>
      </c>
      <c r="Q688" s="24" t="s">
        <v>680</v>
      </c>
    </row>
    <row r="689" spans="1:17" hidden="1" x14ac:dyDescent="0.3">
      <c r="A689" s="20">
        <f t="shared" si="10"/>
        <v>688</v>
      </c>
      <c r="B689" s="21" t="s">
        <v>87</v>
      </c>
      <c r="C689" s="21" t="s">
        <v>97</v>
      </c>
      <c r="D689" s="22" t="str">
        <f>IF($C689="","",IFERROR(VLOOKUP($C689,Map_Register!$A$2:$C$5,3,FALSE()),""))</f>
        <v>Toponym Labels</v>
      </c>
      <c r="E689" s="21" t="s">
        <v>15</v>
      </c>
      <c r="F689" s="23">
        <v>522486</v>
      </c>
      <c r="G689" s="20" t="s">
        <v>705</v>
      </c>
      <c r="H689" s="20" t="s">
        <v>1396</v>
      </c>
      <c r="I689" t="s">
        <v>697</v>
      </c>
      <c r="J689" s="20" t="s">
        <v>6</v>
      </c>
      <c r="K689" s="20" t="s">
        <v>137</v>
      </c>
      <c r="L689" s="20" t="s">
        <v>137</v>
      </c>
      <c r="M689" s="20" t="s">
        <v>1397</v>
      </c>
      <c r="Q689" s="24" t="s">
        <v>680</v>
      </c>
    </row>
    <row r="690" spans="1:17" x14ac:dyDescent="0.3">
      <c r="A690" s="20">
        <f t="shared" si="10"/>
        <v>689</v>
      </c>
      <c r="B690" s="21" t="s">
        <v>87</v>
      </c>
      <c r="C690" s="21" t="s">
        <v>97</v>
      </c>
      <c r="D690" s="22" t="str">
        <f>IF($C690="","",IFERROR(VLOOKUP($C690,Map_Register!$A$2:$C$5,3,FALSE()),""))</f>
        <v>Toponym Labels</v>
      </c>
      <c r="E690" s="21" t="s">
        <v>15</v>
      </c>
      <c r="F690" s="23">
        <v>526643</v>
      </c>
      <c r="G690" s="20" t="s">
        <v>719</v>
      </c>
      <c r="H690" s="20" t="s">
        <v>1398</v>
      </c>
      <c r="I690" t="s">
        <v>697</v>
      </c>
      <c r="J690" s="20" t="s">
        <v>8</v>
      </c>
      <c r="K690" t="s">
        <v>107</v>
      </c>
      <c r="L690" s="20" t="s">
        <v>1399</v>
      </c>
      <c r="M690" s="20" t="s">
        <v>1400</v>
      </c>
      <c r="N690" s="20" t="s">
        <v>108</v>
      </c>
      <c r="Q690" s="24" t="s">
        <v>680</v>
      </c>
    </row>
    <row r="691" spans="1:17" hidden="1" x14ac:dyDescent="0.3">
      <c r="A691" s="20">
        <f t="shared" si="10"/>
        <v>690</v>
      </c>
      <c r="B691" s="21" t="s">
        <v>87</v>
      </c>
      <c r="C691" s="21" t="s">
        <v>97</v>
      </c>
      <c r="D691" s="22" t="str">
        <f>IF($C691="","",IFERROR(VLOOKUP($C691,Map_Register!$A$2:$C$5,3,FALSE()),""))</f>
        <v>Toponym Labels</v>
      </c>
      <c r="E691" s="21" t="s">
        <v>15</v>
      </c>
      <c r="F691" s="23">
        <v>526651</v>
      </c>
      <c r="G691" s="20" t="s">
        <v>719</v>
      </c>
      <c r="H691" s="20" t="s">
        <v>1401</v>
      </c>
      <c r="I691" t="s">
        <v>697</v>
      </c>
      <c r="J691" s="20" t="s">
        <v>6</v>
      </c>
      <c r="K691" s="20" t="s">
        <v>137</v>
      </c>
      <c r="L691" s="20" t="s">
        <v>137</v>
      </c>
      <c r="M691" s="20" t="s">
        <v>721</v>
      </c>
      <c r="Q691" s="24" t="s">
        <v>680</v>
      </c>
    </row>
    <row r="692" spans="1:17" hidden="1" x14ac:dyDescent="0.3">
      <c r="A692" s="20">
        <f t="shared" si="10"/>
        <v>691</v>
      </c>
      <c r="B692" s="21" t="s">
        <v>87</v>
      </c>
      <c r="C692" s="21" t="s">
        <v>97</v>
      </c>
      <c r="D692" s="22" t="str">
        <f>IF($C692="","",IFERROR(VLOOKUP($C692,Map_Register!$A$2:$C$5,3,FALSE()),""))</f>
        <v>Toponym Labels</v>
      </c>
      <c r="E692" s="21" t="s">
        <v>15</v>
      </c>
      <c r="F692" s="23">
        <v>526652</v>
      </c>
      <c r="G692" s="20" t="s">
        <v>719</v>
      </c>
      <c r="H692" s="20" t="s">
        <v>1402</v>
      </c>
      <c r="I692" t="s">
        <v>697</v>
      </c>
      <c r="J692" s="20" t="s">
        <v>6</v>
      </c>
      <c r="K692" s="20" t="s">
        <v>137</v>
      </c>
      <c r="L692" s="20" t="s">
        <v>137</v>
      </c>
      <c r="M692" s="20" t="s">
        <v>721</v>
      </c>
      <c r="Q692" s="24" t="s">
        <v>680</v>
      </c>
    </row>
    <row r="693" spans="1:17" hidden="1" x14ac:dyDescent="0.3">
      <c r="A693" s="20">
        <f t="shared" si="10"/>
        <v>692</v>
      </c>
      <c r="B693" s="21" t="s">
        <v>87</v>
      </c>
      <c r="C693" s="21" t="s">
        <v>97</v>
      </c>
      <c r="D693" s="22" t="str">
        <f>IF($C693="","",IFERROR(VLOOKUP($C693,Map_Register!$A$2:$C$5,3,FALSE()),""))</f>
        <v>Toponym Labels</v>
      </c>
      <c r="E693" s="21" t="s">
        <v>15</v>
      </c>
      <c r="F693" s="23">
        <v>526653</v>
      </c>
      <c r="G693" s="20" t="s">
        <v>719</v>
      </c>
      <c r="H693" s="20" t="s">
        <v>1403</v>
      </c>
      <c r="I693" t="s">
        <v>697</v>
      </c>
      <c r="J693" s="20" t="s">
        <v>6</v>
      </c>
      <c r="K693" s="20" t="s">
        <v>137</v>
      </c>
      <c r="L693" s="20" t="s">
        <v>137</v>
      </c>
      <c r="M693" s="20" t="s">
        <v>1400</v>
      </c>
      <c r="Q693" s="24" t="s">
        <v>680</v>
      </c>
    </row>
    <row r="694" spans="1:17" hidden="1" x14ac:dyDescent="0.3">
      <c r="A694" s="20">
        <f t="shared" si="10"/>
        <v>693</v>
      </c>
      <c r="B694" s="21" t="s">
        <v>87</v>
      </c>
      <c r="C694" s="21" t="s">
        <v>97</v>
      </c>
      <c r="D694" s="22" t="str">
        <f>IF($C694="","",IFERROR(VLOOKUP($C694,Map_Register!$A$2:$C$5,3,FALSE()),""))</f>
        <v>Toponym Labels</v>
      </c>
      <c r="E694" s="21" t="s">
        <v>15</v>
      </c>
      <c r="F694" s="23">
        <v>526760</v>
      </c>
      <c r="G694" s="20" t="s">
        <v>719</v>
      </c>
      <c r="H694" s="20" t="s">
        <v>1404</v>
      </c>
      <c r="I694" t="s">
        <v>697</v>
      </c>
      <c r="J694" s="20" t="s">
        <v>6</v>
      </c>
      <c r="K694" s="20" t="s">
        <v>137</v>
      </c>
      <c r="L694" s="20" t="s">
        <v>137</v>
      </c>
      <c r="M694" s="20" t="s">
        <v>721</v>
      </c>
      <c r="Q694" s="24" t="s">
        <v>680</v>
      </c>
    </row>
    <row r="695" spans="1:17" hidden="1" x14ac:dyDescent="0.3">
      <c r="A695" s="20">
        <f t="shared" si="10"/>
        <v>694</v>
      </c>
      <c r="B695" s="21" t="s">
        <v>87</v>
      </c>
      <c r="C695" s="21" t="s">
        <v>97</v>
      </c>
      <c r="D695" s="22" t="str">
        <f>IF($C695="","",IFERROR(VLOOKUP($C695,Map_Register!$A$2:$C$5,3,FALSE()),""))</f>
        <v>Toponym Labels</v>
      </c>
      <c r="E695" s="21" t="s">
        <v>15</v>
      </c>
      <c r="F695" s="23">
        <v>526761</v>
      </c>
      <c r="G695" s="20" t="s">
        <v>719</v>
      </c>
      <c r="H695" s="20" t="s">
        <v>1405</v>
      </c>
      <c r="I695" t="s">
        <v>697</v>
      </c>
      <c r="J695" s="20" t="s">
        <v>6</v>
      </c>
      <c r="K695" s="20" t="s">
        <v>137</v>
      </c>
      <c r="L695" s="20" t="s">
        <v>137</v>
      </c>
      <c r="M695" s="20" t="s">
        <v>721</v>
      </c>
      <c r="Q695" s="24" t="s">
        <v>680</v>
      </c>
    </row>
    <row r="696" spans="1:17" hidden="1" x14ac:dyDescent="0.3">
      <c r="A696" s="20">
        <f t="shared" si="10"/>
        <v>695</v>
      </c>
      <c r="B696" s="21" t="s">
        <v>87</v>
      </c>
      <c r="C696" s="21" t="s">
        <v>97</v>
      </c>
      <c r="D696" s="22" t="str">
        <f>IF($C696="","",IFERROR(VLOOKUP($C696,Map_Register!$A$2:$C$5,3,FALSE()),""))</f>
        <v>Toponym Labels</v>
      </c>
      <c r="E696" s="21" t="s">
        <v>15</v>
      </c>
      <c r="F696" s="23">
        <v>528775</v>
      </c>
      <c r="G696" s="20" t="s">
        <v>719</v>
      </c>
      <c r="H696" s="20" t="s">
        <v>1406</v>
      </c>
      <c r="I696" t="s">
        <v>697</v>
      </c>
      <c r="J696" s="20" t="s">
        <v>6</v>
      </c>
      <c r="K696" s="20" t="s">
        <v>137</v>
      </c>
      <c r="L696" s="20" t="s">
        <v>137</v>
      </c>
      <c r="M696" s="20" t="s">
        <v>721</v>
      </c>
      <c r="Q696" s="24" t="s">
        <v>680</v>
      </c>
    </row>
    <row r="697" spans="1:17" hidden="1" x14ac:dyDescent="0.3">
      <c r="A697" s="20">
        <f t="shared" si="10"/>
        <v>696</v>
      </c>
      <c r="B697" s="21" t="s">
        <v>87</v>
      </c>
      <c r="C697" s="21" t="s">
        <v>97</v>
      </c>
      <c r="D697" s="22" t="str">
        <f>IF($C697="","",IFERROR(VLOOKUP($C697,Map_Register!$A$2:$C$5,3,FALSE()),""))</f>
        <v>Toponym Labels</v>
      </c>
      <c r="E697" s="21" t="s">
        <v>15</v>
      </c>
      <c r="F697" s="23">
        <v>528787</v>
      </c>
      <c r="G697" s="20" t="s">
        <v>719</v>
      </c>
      <c r="H697" s="20" t="s">
        <v>922</v>
      </c>
      <c r="I697" t="s">
        <v>697</v>
      </c>
      <c r="J697" s="20" t="s">
        <v>6</v>
      </c>
      <c r="K697" s="20" t="s">
        <v>137</v>
      </c>
      <c r="L697" s="20" t="s">
        <v>137</v>
      </c>
      <c r="M697" s="20" t="s">
        <v>721</v>
      </c>
      <c r="Q697" s="24" t="s">
        <v>680</v>
      </c>
    </row>
    <row r="698" spans="1:17" x14ac:dyDescent="0.3">
      <c r="A698" s="20">
        <f t="shared" si="10"/>
        <v>697</v>
      </c>
      <c r="B698" s="21" t="s">
        <v>87</v>
      </c>
      <c r="C698" s="21" t="s">
        <v>97</v>
      </c>
      <c r="D698" s="22" t="str">
        <f>IF($C698="","",IFERROR(VLOOKUP($C698,Map_Register!$A$2:$C$5,3,FALSE()),""))</f>
        <v>Toponym Labels</v>
      </c>
      <c r="E698" s="21" t="s">
        <v>15</v>
      </c>
      <c r="F698" s="23">
        <v>528788</v>
      </c>
      <c r="G698" s="20" t="s">
        <v>719</v>
      </c>
      <c r="H698" s="20" t="s">
        <v>1407</v>
      </c>
      <c r="I698" t="s">
        <v>697</v>
      </c>
      <c r="J698" s="20" t="s">
        <v>8</v>
      </c>
      <c r="K698" t="s">
        <v>107</v>
      </c>
      <c r="L698" t="s">
        <v>108</v>
      </c>
      <c r="M698" s="20" t="s">
        <v>1126</v>
      </c>
      <c r="N698" s="20" t="s">
        <v>108</v>
      </c>
      <c r="Q698" s="24" t="s">
        <v>680</v>
      </c>
    </row>
    <row r="699" spans="1:17" hidden="1" x14ac:dyDescent="0.3">
      <c r="A699" s="20">
        <f t="shared" si="10"/>
        <v>698</v>
      </c>
      <c r="B699" s="21" t="s">
        <v>87</v>
      </c>
      <c r="C699" s="21" t="s">
        <v>97</v>
      </c>
      <c r="D699" s="22" t="str">
        <f>IF($C699="","",IFERROR(VLOOKUP($C699,Map_Register!$A$2:$C$5,3,FALSE()),""))</f>
        <v>Toponym Labels</v>
      </c>
      <c r="E699" s="21" t="s">
        <v>15</v>
      </c>
      <c r="F699" s="23">
        <v>528790</v>
      </c>
      <c r="G699" s="20" t="s">
        <v>719</v>
      </c>
      <c r="H699" s="20" t="s">
        <v>1408</v>
      </c>
      <c r="I699" t="s">
        <v>697</v>
      </c>
      <c r="J699" s="20" t="s">
        <v>6</v>
      </c>
      <c r="K699" s="20" t="s">
        <v>137</v>
      </c>
      <c r="L699" s="20" t="s">
        <v>137</v>
      </c>
      <c r="M699" s="20" t="s">
        <v>721</v>
      </c>
      <c r="Q699" s="24" t="s">
        <v>680</v>
      </c>
    </row>
    <row r="700" spans="1:17" hidden="1" x14ac:dyDescent="0.3">
      <c r="A700" s="20">
        <f t="shared" si="10"/>
        <v>699</v>
      </c>
      <c r="B700" s="21" t="s">
        <v>87</v>
      </c>
      <c r="C700" s="21" t="s">
        <v>97</v>
      </c>
      <c r="D700" s="22" t="str">
        <f>IF($C700="","",IFERROR(VLOOKUP($C700,Map_Register!$A$2:$C$5,3,FALSE()),""))</f>
        <v>Toponym Labels</v>
      </c>
      <c r="E700" s="21" t="s">
        <v>15</v>
      </c>
      <c r="F700" s="23">
        <v>528791</v>
      </c>
      <c r="G700" s="20" t="s">
        <v>719</v>
      </c>
      <c r="H700" s="20" t="s">
        <v>1409</v>
      </c>
      <c r="I700" t="s">
        <v>697</v>
      </c>
      <c r="J700" s="20" t="s">
        <v>6</v>
      </c>
      <c r="K700" s="20" t="s">
        <v>137</v>
      </c>
      <c r="L700" s="20" t="s">
        <v>137</v>
      </c>
      <c r="M700" s="20" t="s">
        <v>721</v>
      </c>
      <c r="Q700" s="24" t="s">
        <v>680</v>
      </c>
    </row>
    <row r="701" spans="1:17" hidden="1" x14ac:dyDescent="0.3">
      <c r="A701" s="20">
        <f t="shared" si="10"/>
        <v>700</v>
      </c>
      <c r="B701" s="21" t="s">
        <v>87</v>
      </c>
      <c r="C701" s="21" t="s">
        <v>97</v>
      </c>
      <c r="D701" s="22" t="str">
        <f>IF($C701="","",IFERROR(VLOOKUP($C701,Map_Register!$A$2:$C$5,3,FALSE()),""))</f>
        <v>Toponym Labels</v>
      </c>
      <c r="E701" s="21" t="s">
        <v>15</v>
      </c>
      <c r="F701" s="23">
        <v>528792</v>
      </c>
      <c r="G701" s="20" t="s">
        <v>719</v>
      </c>
      <c r="H701" s="20" t="s">
        <v>1410</v>
      </c>
      <c r="I701" t="s">
        <v>697</v>
      </c>
      <c r="J701" s="20" t="s">
        <v>992</v>
      </c>
      <c r="K701" s="20" t="s">
        <v>137</v>
      </c>
      <c r="L701" s="20" t="s">
        <v>137</v>
      </c>
      <c r="M701" s="20" t="s">
        <v>721</v>
      </c>
      <c r="Q701" s="24" t="s">
        <v>680</v>
      </c>
    </row>
    <row r="702" spans="1:17" hidden="1" x14ac:dyDescent="0.3">
      <c r="A702" s="20">
        <f t="shared" si="10"/>
        <v>701</v>
      </c>
      <c r="B702" s="21" t="s">
        <v>87</v>
      </c>
      <c r="C702" s="21" t="s">
        <v>97</v>
      </c>
      <c r="D702" s="22" t="str">
        <f>IF($C702="","",IFERROR(VLOOKUP($C702,Map_Register!$A$2:$C$5,3,FALSE()),""))</f>
        <v>Toponym Labels</v>
      </c>
      <c r="E702" s="21" t="s">
        <v>15</v>
      </c>
      <c r="F702" s="23">
        <v>528794</v>
      </c>
      <c r="G702" s="20" t="s">
        <v>719</v>
      </c>
      <c r="H702" s="20" t="s">
        <v>1411</v>
      </c>
      <c r="I702" t="s">
        <v>697</v>
      </c>
      <c r="J702" s="20" t="s">
        <v>6</v>
      </c>
      <c r="K702" s="20" t="s">
        <v>137</v>
      </c>
      <c r="L702" s="20" t="s">
        <v>137</v>
      </c>
      <c r="M702" s="20" t="s">
        <v>721</v>
      </c>
      <c r="Q702" s="24" t="s">
        <v>680</v>
      </c>
    </row>
    <row r="703" spans="1:17" hidden="1" x14ac:dyDescent="0.3">
      <c r="A703" s="20">
        <f t="shared" si="10"/>
        <v>702</v>
      </c>
      <c r="B703" s="21" t="s">
        <v>87</v>
      </c>
      <c r="C703" s="21" t="s">
        <v>97</v>
      </c>
      <c r="D703" s="22" t="str">
        <f>IF($C703="","",IFERROR(VLOOKUP($C703,Map_Register!$A$2:$C$5,3,FALSE()),""))</f>
        <v>Toponym Labels</v>
      </c>
      <c r="E703" s="21" t="s">
        <v>15</v>
      </c>
      <c r="F703" s="23">
        <v>528831</v>
      </c>
      <c r="G703" s="20" t="s">
        <v>719</v>
      </c>
      <c r="H703" s="20" t="s">
        <v>1412</v>
      </c>
      <c r="I703" t="s">
        <v>697</v>
      </c>
      <c r="J703" s="20" t="s">
        <v>8</v>
      </c>
      <c r="K703" t="s">
        <v>107</v>
      </c>
      <c r="L703" t="s">
        <v>107</v>
      </c>
      <c r="M703" s="20" t="s">
        <v>683</v>
      </c>
      <c r="N703" s="20" t="s">
        <v>108</v>
      </c>
      <c r="Q703" s="24" t="s">
        <v>680</v>
      </c>
    </row>
    <row r="704" spans="1:17" hidden="1" x14ac:dyDescent="0.3">
      <c r="A704" s="20">
        <f t="shared" si="10"/>
        <v>703</v>
      </c>
      <c r="B704" s="21" t="s">
        <v>87</v>
      </c>
      <c r="C704" s="21" t="s">
        <v>97</v>
      </c>
      <c r="D704" s="22" t="str">
        <f>IF($C704="","",IFERROR(VLOOKUP($C704,Map_Register!$A$2:$C$5,3,FALSE()),""))</f>
        <v>Toponym Labels</v>
      </c>
      <c r="E704" s="21" t="s">
        <v>15</v>
      </c>
      <c r="F704" s="23">
        <v>528923</v>
      </c>
      <c r="G704" s="20" t="s">
        <v>719</v>
      </c>
      <c r="H704" s="20" t="s">
        <v>1413</v>
      </c>
      <c r="I704" t="s">
        <v>697</v>
      </c>
      <c r="J704" s="20" t="s">
        <v>6</v>
      </c>
      <c r="K704" s="20" t="s">
        <v>137</v>
      </c>
      <c r="L704" s="20" t="s">
        <v>137</v>
      </c>
      <c r="M704" s="20" t="s">
        <v>721</v>
      </c>
      <c r="Q704" s="24" t="s">
        <v>680</v>
      </c>
    </row>
    <row r="705" spans="1:17" hidden="1" x14ac:dyDescent="0.3">
      <c r="A705" s="20">
        <f t="shared" si="10"/>
        <v>704</v>
      </c>
      <c r="B705" s="21" t="s">
        <v>87</v>
      </c>
      <c r="C705" s="21" t="s">
        <v>97</v>
      </c>
      <c r="D705" s="22" t="str">
        <f>IF($C705="","",IFERROR(VLOOKUP($C705,Map_Register!$A$2:$C$5,3,FALSE()),""))</f>
        <v>Toponym Labels</v>
      </c>
      <c r="E705" s="21" t="s">
        <v>15</v>
      </c>
      <c r="F705" s="23">
        <v>528924</v>
      </c>
      <c r="G705" s="20" t="s">
        <v>719</v>
      </c>
      <c r="H705" s="20" t="s">
        <v>1414</v>
      </c>
      <c r="I705" t="s">
        <v>697</v>
      </c>
      <c r="J705" s="20" t="s">
        <v>6</v>
      </c>
      <c r="K705" s="20" t="s">
        <v>137</v>
      </c>
      <c r="L705" s="20" t="s">
        <v>137</v>
      </c>
      <c r="M705" s="20" t="s">
        <v>721</v>
      </c>
      <c r="Q705" s="24" t="s">
        <v>680</v>
      </c>
    </row>
    <row r="706" spans="1:17" hidden="1" x14ac:dyDescent="0.3">
      <c r="A706" s="20">
        <f t="shared" ref="A706:A769" si="11">IF($B706="","",ROW()-1)</f>
        <v>705</v>
      </c>
      <c r="B706" s="21" t="s">
        <v>87</v>
      </c>
      <c r="C706" s="21" t="s">
        <v>97</v>
      </c>
      <c r="D706" s="22" t="str">
        <f>IF($C706="","",IFERROR(VLOOKUP($C706,Map_Register!$A$2:$C$5,3,FALSE()),""))</f>
        <v>Toponym Labels</v>
      </c>
      <c r="E706" s="21" t="s">
        <v>15</v>
      </c>
      <c r="F706" s="23">
        <v>528928</v>
      </c>
      <c r="G706" s="20" t="s">
        <v>719</v>
      </c>
      <c r="H706" s="20" t="s">
        <v>1415</v>
      </c>
      <c r="I706" t="s">
        <v>697</v>
      </c>
      <c r="J706" s="20" t="s">
        <v>6</v>
      </c>
      <c r="K706" s="20" t="s">
        <v>137</v>
      </c>
      <c r="L706" s="20" t="s">
        <v>137</v>
      </c>
      <c r="M706" s="20" t="s">
        <v>721</v>
      </c>
      <c r="Q706" s="24" t="s">
        <v>680</v>
      </c>
    </row>
    <row r="707" spans="1:17" hidden="1" x14ac:dyDescent="0.3">
      <c r="A707" s="20">
        <f t="shared" si="11"/>
        <v>706</v>
      </c>
      <c r="B707" s="21" t="s">
        <v>87</v>
      </c>
      <c r="C707" s="21" t="s">
        <v>97</v>
      </c>
      <c r="D707" s="22" t="str">
        <f>IF($C707="","",IFERROR(VLOOKUP($C707,Map_Register!$A$2:$C$5,3,FALSE()),""))</f>
        <v>Toponym Labels</v>
      </c>
      <c r="E707" s="21" t="s">
        <v>15</v>
      </c>
      <c r="F707" s="23">
        <v>528940</v>
      </c>
      <c r="G707" s="20" t="s">
        <v>719</v>
      </c>
      <c r="H707" s="20" t="s">
        <v>1416</v>
      </c>
      <c r="I707" t="s">
        <v>697</v>
      </c>
      <c r="J707" s="20" t="s">
        <v>6</v>
      </c>
      <c r="K707" s="20" t="s">
        <v>137</v>
      </c>
      <c r="L707" s="20" t="s">
        <v>137</v>
      </c>
      <c r="M707" s="20" t="s">
        <v>721</v>
      </c>
      <c r="Q707" s="24" t="s">
        <v>680</v>
      </c>
    </row>
    <row r="708" spans="1:17" hidden="1" x14ac:dyDescent="0.3">
      <c r="A708" s="20">
        <f t="shared" si="11"/>
        <v>707</v>
      </c>
      <c r="B708" s="21" t="s">
        <v>87</v>
      </c>
      <c r="C708" s="21" t="s">
        <v>97</v>
      </c>
      <c r="D708" s="22" t="str">
        <f>IF($C708="","",IFERROR(VLOOKUP($C708,Map_Register!$A$2:$C$5,3,FALSE()),""))</f>
        <v>Toponym Labels</v>
      </c>
      <c r="E708" s="21" t="s">
        <v>15</v>
      </c>
      <c r="F708" s="23">
        <v>528956</v>
      </c>
      <c r="G708" s="20" t="s">
        <v>719</v>
      </c>
      <c r="H708" s="20" t="s">
        <v>1417</v>
      </c>
      <c r="I708" t="s">
        <v>697</v>
      </c>
      <c r="J708" s="20" t="s">
        <v>6</v>
      </c>
      <c r="K708" s="20" t="s">
        <v>137</v>
      </c>
      <c r="L708" s="20" t="s">
        <v>137</v>
      </c>
      <c r="M708" s="20" t="s">
        <v>721</v>
      </c>
      <c r="Q708" s="24" t="s">
        <v>680</v>
      </c>
    </row>
    <row r="709" spans="1:17" hidden="1" x14ac:dyDescent="0.3">
      <c r="A709" s="20">
        <f t="shared" si="11"/>
        <v>708</v>
      </c>
      <c r="B709" s="21" t="s">
        <v>87</v>
      </c>
      <c r="C709" s="21" t="s">
        <v>97</v>
      </c>
      <c r="D709" s="22" t="str">
        <f>IF($C709="","",IFERROR(VLOOKUP($C709,Map_Register!$A$2:$C$5,3,FALSE()),""))</f>
        <v>Toponym Labels</v>
      </c>
      <c r="E709" s="21" t="s">
        <v>15</v>
      </c>
      <c r="F709" s="23">
        <v>528960</v>
      </c>
      <c r="G709" s="20" t="s">
        <v>719</v>
      </c>
      <c r="H709" s="20" t="s">
        <v>1418</v>
      </c>
      <c r="I709" t="s">
        <v>697</v>
      </c>
      <c r="J709" s="20" t="s">
        <v>6</v>
      </c>
      <c r="K709" s="20" t="s">
        <v>137</v>
      </c>
      <c r="L709" s="20" t="s">
        <v>137</v>
      </c>
      <c r="M709" s="20" t="s">
        <v>721</v>
      </c>
      <c r="Q709" s="24" t="s">
        <v>680</v>
      </c>
    </row>
    <row r="710" spans="1:17" hidden="1" x14ac:dyDescent="0.3">
      <c r="A710" s="20">
        <f t="shared" si="11"/>
        <v>709</v>
      </c>
      <c r="B710" s="21" t="s">
        <v>87</v>
      </c>
      <c r="C710" s="21" t="s">
        <v>97</v>
      </c>
      <c r="D710" s="22" t="str">
        <f>IF($C710="","",IFERROR(VLOOKUP($C710,Map_Register!$A$2:$C$5,3,FALSE()),""))</f>
        <v>Toponym Labels</v>
      </c>
      <c r="E710" s="21" t="s">
        <v>15</v>
      </c>
      <c r="F710" s="23">
        <v>531487</v>
      </c>
      <c r="G710" s="20" t="s">
        <v>719</v>
      </c>
      <c r="H710" s="20" t="s">
        <v>1419</v>
      </c>
      <c r="I710" t="s">
        <v>697</v>
      </c>
      <c r="J710" s="20" t="s">
        <v>6</v>
      </c>
      <c r="K710" s="20" t="s">
        <v>137</v>
      </c>
      <c r="L710" s="20" t="s">
        <v>137</v>
      </c>
      <c r="M710" s="20" t="s">
        <v>721</v>
      </c>
      <c r="Q710" s="24" t="s">
        <v>680</v>
      </c>
    </row>
    <row r="711" spans="1:17" hidden="1" x14ac:dyDescent="0.3">
      <c r="A711" s="20">
        <f t="shared" si="11"/>
        <v>710</v>
      </c>
      <c r="B711" s="21" t="s">
        <v>87</v>
      </c>
      <c r="C711" s="21" t="s">
        <v>97</v>
      </c>
      <c r="D711" s="22" t="str">
        <f>IF($C711="","",IFERROR(VLOOKUP($C711,Map_Register!$A$2:$C$5,3,FALSE()),""))</f>
        <v>Toponym Labels</v>
      </c>
      <c r="E711" s="21" t="s">
        <v>15</v>
      </c>
      <c r="F711" s="23">
        <v>535547</v>
      </c>
      <c r="G711" s="20" t="s">
        <v>1420</v>
      </c>
      <c r="H711" s="20" t="s">
        <v>1421</v>
      </c>
      <c r="I711" s="20" t="s">
        <v>678</v>
      </c>
      <c r="J711" s="20" t="s">
        <v>8</v>
      </c>
      <c r="K711" t="s">
        <v>107</v>
      </c>
      <c r="L711" t="s">
        <v>107</v>
      </c>
      <c r="M711" s="20" t="s">
        <v>683</v>
      </c>
      <c r="N711" s="20" t="s">
        <v>108</v>
      </c>
      <c r="Q711" s="24" t="s">
        <v>680</v>
      </c>
    </row>
    <row r="712" spans="1:17" hidden="1" x14ac:dyDescent="0.3">
      <c r="A712" s="20">
        <f t="shared" si="11"/>
        <v>711</v>
      </c>
      <c r="B712" s="21" t="s">
        <v>87</v>
      </c>
      <c r="C712" s="21" t="s">
        <v>97</v>
      </c>
      <c r="D712" s="22" t="str">
        <f>IF($C712="","",IFERROR(VLOOKUP($C712,Map_Register!$A$2:$C$5,3,FALSE()),""))</f>
        <v>Toponym Labels</v>
      </c>
      <c r="E712" s="21" t="s">
        <v>15</v>
      </c>
      <c r="F712" s="23">
        <v>535635</v>
      </c>
      <c r="G712" s="20" t="s">
        <v>1420</v>
      </c>
      <c r="H712" s="20" t="s">
        <v>1422</v>
      </c>
      <c r="I712" t="s">
        <v>1390</v>
      </c>
      <c r="J712" s="20" t="s">
        <v>8</v>
      </c>
      <c r="K712" t="s">
        <v>107</v>
      </c>
      <c r="L712" t="s">
        <v>107</v>
      </c>
      <c r="M712" s="20" t="s">
        <v>683</v>
      </c>
      <c r="N712" s="20" t="s">
        <v>108</v>
      </c>
      <c r="Q712" s="24" t="s">
        <v>680</v>
      </c>
    </row>
    <row r="713" spans="1:17" hidden="1" x14ac:dyDescent="0.3">
      <c r="A713" s="20">
        <f t="shared" si="11"/>
        <v>712</v>
      </c>
      <c r="B713" s="21" t="s">
        <v>87</v>
      </c>
      <c r="C713" s="21" t="s">
        <v>97</v>
      </c>
      <c r="D713" s="22" t="str">
        <f>IF($C713="","",IFERROR(VLOOKUP($C713,Map_Register!$A$2:$C$5,3,FALSE()),""))</f>
        <v>Toponym Labels</v>
      </c>
      <c r="E713" s="21" t="s">
        <v>15</v>
      </c>
      <c r="F713" s="23">
        <v>536090</v>
      </c>
      <c r="G713" s="20" t="s">
        <v>713</v>
      </c>
      <c r="H713" s="20" t="s">
        <v>1423</v>
      </c>
      <c r="I713" t="s">
        <v>1390</v>
      </c>
      <c r="J713" s="20" t="s">
        <v>8</v>
      </c>
      <c r="K713" t="s">
        <v>107</v>
      </c>
      <c r="L713" t="s">
        <v>107</v>
      </c>
      <c r="M713" s="20" t="s">
        <v>715</v>
      </c>
      <c r="N713" s="20" t="s">
        <v>108</v>
      </c>
      <c r="Q713" s="24" t="s">
        <v>680</v>
      </c>
    </row>
    <row r="714" spans="1:17" hidden="1" x14ac:dyDescent="0.3">
      <c r="A714" s="20">
        <f t="shared" si="11"/>
        <v>713</v>
      </c>
      <c r="B714" s="21" t="s">
        <v>87</v>
      </c>
      <c r="C714" s="21" t="s">
        <v>97</v>
      </c>
      <c r="D714" s="22" t="str">
        <f>IF($C714="","",IFERROR(VLOOKUP($C714,Map_Register!$A$2:$C$5,3,FALSE()),""))</f>
        <v>Toponym Labels</v>
      </c>
      <c r="E714" s="21" t="s">
        <v>15</v>
      </c>
      <c r="F714" s="23">
        <v>536270</v>
      </c>
      <c r="G714" s="20" t="s">
        <v>1420</v>
      </c>
      <c r="H714" s="20" t="s">
        <v>1424</v>
      </c>
      <c r="I714" s="20" t="s">
        <v>697</v>
      </c>
      <c r="J714" s="20" t="s">
        <v>8</v>
      </c>
      <c r="K714" t="s">
        <v>107</v>
      </c>
      <c r="L714" t="s">
        <v>107</v>
      </c>
      <c r="M714" s="20" t="s">
        <v>683</v>
      </c>
      <c r="N714" s="20" t="s">
        <v>108</v>
      </c>
      <c r="Q714" s="24" t="s">
        <v>680</v>
      </c>
    </row>
    <row r="715" spans="1:17" hidden="1" x14ac:dyDescent="0.3">
      <c r="A715" s="20">
        <f t="shared" si="11"/>
        <v>714</v>
      </c>
      <c r="B715" s="21" t="s">
        <v>87</v>
      </c>
      <c r="C715" s="21" t="s">
        <v>97</v>
      </c>
      <c r="D715" s="22" t="str">
        <f>IF($C715="","",IFERROR(VLOOKUP($C715,Map_Register!$A$2:$C$5,3,FALSE()),""))</f>
        <v>Toponym Labels</v>
      </c>
      <c r="E715" s="21" t="s">
        <v>15</v>
      </c>
      <c r="F715" s="23">
        <v>536336</v>
      </c>
      <c r="G715" s="20" t="s">
        <v>1420</v>
      </c>
      <c r="H715" s="20" t="s">
        <v>1425</v>
      </c>
      <c r="I715" s="20" t="s">
        <v>697</v>
      </c>
      <c r="J715" s="20" t="s">
        <v>8</v>
      </c>
      <c r="K715" t="s">
        <v>107</v>
      </c>
      <c r="L715" t="s">
        <v>107</v>
      </c>
      <c r="M715" s="20" t="s">
        <v>683</v>
      </c>
      <c r="N715" s="20" t="s">
        <v>108</v>
      </c>
      <c r="Q715" s="24" t="s">
        <v>680</v>
      </c>
    </row>
    <row r="716" spans="1:17" hidden="1" x14ac:dyDescent="0.3">
      <c r="A716" s="20">
        <f t="shared" si="11"/>
        <v>715</v>
      </c>
      <c r="B716" s="21" t="s">
        <v>87</v>
      </c>
      <c r="C716" s="21" t="s">
        <v>97</v>
      </c>
      <c r="D716" s="22" t="str">
        <f>IF($C716="","",IFERROR(VLOOKUP($C716,Map_Register!$A$2:$C$5,3,FALSE()),""))</f>
        <v>Toponym Labels</v>
      </c>
      <c r="E716" s="21" t="s">
        <v>15</v>
      </c>
      <c r="F716" s="23">
        <v>536468</v>
      </c>
      <c r="G716" s="20" t="s">
        <v>709</v>
      </c>
      <c r="H716" s="20" t="s">
        <v>1426</v>
      </c>
      <c r="I716" t="s">
        <v>1390</v>
      </c>
      <c r="J716" s="20" t="s">
        <v>8</v>
      </c>
      <c r="K716" t="s">
        <v>107</v>
      </c>
      <c r="L716" t="s">
        <v>107</v>
      </c>
      <c r="M716" s="20" t="s">
        <v>683</v>
      </c>
      <c r="N716" s="20" t="s">
        <v>108</v>
      </c>
      <c r="Q716" s="24" t="s">
        <v>680</v>
      </c>
    </row>
    <row r="717" spans="1:17" hidden="1" x14ac:dyDescent="0.3">
      <c r="A717" s="20">
        <f t="shared" si="11"/>
        <v>716</v>
      </c>
      <c r="B717" s="21" t="s">
        <v>87</v>
      </c>
      <c r="C717" s="21" t="s">
        <v>97</v>
      </c>
      <c r="D717" s="22" t="str">
        <f>IF($C717="","",IFERROR(VLOOKUP($C717,Map_Register!$A$2:$C$5,3,FALSE()),""))</f>
        <v>Toponym Labels</v>
      </c>
      <c r="E717" s="21" t="s">
        <v>15</v>
      </c>
      <c r="F717" s="23">
        <v>536666</v>
      </c>
      <c r="G717" s="20" t="s">
        <v>709</v>
      </c>
      <c r="H717" s="20" t="s">
        <v>1427</v>
      </c>
      <c r="I717" s="20" t="s">
        <v>678</v>
      </c>
      <c r="J717" s="20" t="s">
        <v>8</v>
      </c>
      <c r="K717" t="s">
        <v>107</v>
      </c>
      <c r="L717" t="s">
        <v>107</v>
      </c>
      <c r="M717" s="20" t="s">
        <v>683</v>
      </c>
      <c r="N717" s="20" t="s">
        <v>108</v>
      </c>
      <c r="Q717" s="24" t="s">
        <v>680</v>
      </c>
    </row>
    <row r="718" spans="1:17" hidden="1" x14ac:dyDescent="0.3">
      <c r="A718" s="20">
        <f t="shared" si="11"/>
        <v>717</v>
      </c>
      <c r="B718" s="21" t="s">
        <v>87</v>
      </c>
      <c r="C718" s="21" t="s">
        <v>97</v>
      </c>
      <c r="D718" s="22" t="str">
        <f>IF($C718="","",IFERROR(VLOOKUP($C718,Map_Register!$A$2:$C$5,3,FALSE()),""))</f>
        <v>Toponym Labels</v>
      </c>
      <c r="E718" s="21" t="s">
        <v>15</v>
      </c>
      <c r="F718" s="23">
        <v>537148</v>
      </c>
      <c r="G718" s="20" t="s">
        <v>709</v>
      </c>
      <c r="H718" s="20" t="s">
        <v>1428</v>
      </c>
      <c r="I718" s="20" t="s">
        <v>678</v>
      </c>
      <c r="J718" s="20" t="s">
        <v>8</v>
      </c>
      <c r="K718" t="s">
        <v>107</v>
      </c>
      <c r="L718" t="s">
        <v>107</v>
      </c>
      <c r="M718" s="20" t="s">
        <v>683</v>
      </c>
      <c r="N718" s="20" t="s">
        <v>108</v>
      </c>
      <c r="Q718" s="24" t="s">
        <v>680</v>
      </c>
    </row>
    <row r="719" spans="1:17" hidden="1" x14ac:dyDescent="0.3">
      <c r="A719" s="20">
        <f t="shared" si="11"/>
        <v>718</v>
      </c>
      <c r="B719" s="21" t="s">
        <v>87</v>
      </c>
      <c r="C719" s="21" t="s">
        <v>97</v>
      </c>
      <c r="D719" s="22" t="str">
        <f>IF($C719="","",IFERROR(VLOOKUP($C719,Map_Register!$A$2:$C$5,3,FALSE()),""))</f>
        <v>Toponym Labels</v>
      </c>
      <c r="E719" s="21" t="s">
        <v>15</v>
      </c>
      <c r="F719" s="23">
        <v>537182</v>
      </c>
      <c r="G719" s="20" t="s">
        <v>709</v>
      </c>
      <c r="H719" s="20" t="s">
        <v>1429</v>
      </c>
      <c r="I719" s="20" t="s">
        <v>678</v>
      </c>
      <c r="J719" s="20" t="s">
        <v>8</v>
      </c>
      <c r="K719" t="s">
        <v>107</v>
      </c>
      <c r="L719" t="s">
        <v>107</v>
      </c>
      <c r="M719" s="20" t="s">
        <v>683</v>
      </c>
      <c r="N719" s="20" t="s">
        <v>108</v>
      </c>
      <c r="Q719" s="24" t="s">
        <v>680</v>
      </c>
    </row>
    <row r="720" spans="1:17" x14ac:dyDescent="0.3">
      <c r="A720" s="20">
        <f t="shared" si="11"/>
        <v>719</v>
      </c>
      <c r="B720" s="21" t="s">
        <v>87</v>
      </c>
      <c r="C720" s="21" t="s">
        <v>97</v>
      </c>
      <c r="D720" s="22" t="str">
        <f>IF($C720="","",IFERROR(VLOOKUP($C720,Map_Register!$A$2:$C$5,3,FALSE()),""))</f>
        <v>Toponym Labels</v>
      </c>
      <c r="E720" s="21" t="s">
        <v>15</v>
      </c>
      <c r="F720" s="23">
        <v>537348</v>
      </c>
      <c r="G720" s="20" t="s">
        <v>709</v>
      </c>
      <c r="H720" s="20" t="s">
        <v>1430</v>
      </c>
      <c r="I720" t="s">
        <v>1390</v>
      </c>
      <c r="J720" s="20" t="s">
        <v>8</v>
      </c>
      <c r="K720" t="s">
        <v>107</v>
      </c>
      <c r="L720" t="s">
        <v>108</v>
      </c>
      <c r="M720" s="20" t="s">
        <v>1126</v>
      </c>
      <c r="N720" s="20" t="s">
        <v>108</v>
      </c>
      <c r="Q720" s="24" t="s">
        <v>680</v>
      </c>
    </row>
    <row r="721" spans="1:17" hidden="1" x14ac:dyDescent="0.3">
      <c r="A721" s="20">
        <f t="shared" si="11"/>
        <v>720</v>
      </c>
      <c r="B721" s="21" t="s">
        <v>87</v>
      </c>
      <c r="C721" s="21" t="s">
        <v>97</v>
      </c>
      <c r="D721" s="22" t="str">
        <f>IF($C721="","",IFERROR(VLOOKUP($C721,Map_Register!$A$2:$C$5,3,FALSE()),""))</f>
        <v>Toponym Labels</v>
      </c>
      <c r="E721" s="21" t="s">
        <v>15</v>
      </c>
      <c r="F721" s="23">
        <v>537351</v>
      </c>
      <c r="G721" s="20" t="s">
        <v>709</v>
      </c>
      <c r="H721" s="20" t="s">
        <v>1431</v>
      </c>
      <c r="I721" t="s">
        <v>1390</v>
      </c>
      <c r="J721" s="20" t="s">
        <v>8</v>
      </c>
      <c r="K721" t="s">
        <v>107</v>
      </c>
      <c r="L721" t="s">
        <v>107</v>
      </c>
      <c r="M721" s="20" t="s">
        <v>683</v>
      </c>
      <c r="N721" s="20" t="s">
        <v>108</v>
      </c>
      <c r="Q721" s="24" t="s">
        <v>680</v>
      </c>
    </row>
    <row r="722" spans="1:17" x14ac:dyDescent="0.3">
      <c r="A722" s="20">
        <f t="shared" si="11"/>
        <v>721</v>
      </c>
      <c r="B722" s="21" t="s">
        <v>87</v>
      </c>
      <c r="C722" s="21" t="s">
        <v>97</v>
      </c>
      <c r="D722" s="22" t="str">
        <f>IF($C722="","",IFERROR(VLOOKUP($C722,Map_Register!$A$2:$C$5,3,FALSE()),""))</f>
        <v>Toponym Labels</v>
      </c>
      <c r="E722" s="21" t="s">
        <v>15</v>
      </c>
      <c r="F722" s="23">
        <v>539176</v>
      </c>
      <c r="G722" s="20" t="s">
        <v>711</v>
      </c>
      <c r="H722" s="20" t="s">
        <v>1432</v>
      </c>
      <c r="I722" t="s">
        <v>1390</v>
      </c>
      <c r="J722" s="20" t="s">
        <v>8</v>
      </c>
      <c r="K722" t="s">
        <v>107</v>
      </c>
      <c r="L722" t="s">
        <v>108</v>
      </c>
      <c r="M722" s="20" t="s">
        <v>1126</v>
      </c>
      <c r="N722" s="20" t="s">
        <v>108</v>
      </c>
      <c r="Q722" s="24" t="s">
        <v>680</v>
      </c>
    </row>
    <row r="723" spans="1:17" x14ac:dyDescent="0.3">
      <c r="A723" s="20">
        <f t="shared" si="11"/>
        <v>722</v>
      </c>
      <c r="B723" s="21" t="s">
        <v>87</v>
      </c>
      <c r="C723" s="21" t="s">
        <v>97</v>
      </c>
      <c r="D723" s="22" t="str">
        <f>IF($C723="","",IFERROR(VLOOKUP($C723,Map_Register!$A$2:$C$5,3,FALSE()),""))</f>
        <v>Toponym Labels</v>
      </c>
      <c r="E723" s="21" t="s">
        <v>15</v>
      </c>
      <c r="F723" s="23">
        <v>539273</v>
      </c>
      <c r="G723" s="20" t="s">
        <v>711</v>
      </c>
      <c r="H723" s="20" t="s">
        <v>1433</v>
      </c>
      <c r="I723" s="20" t="s">
        <v>678</v>
      </c>
      <c r="J723" s="20" t="s">
        <v>8</v>
      </c>
      <c r="K723" t="s">
        <v>107</v>
      </c>
      <c r="L723" t="s">
        <v>108</v>
      </c>
      <c r="M723" s="20" t="s">
        <v>1126</v>
      </c>
      <c r="N723" s="20" t="s">
        <v>108</v>
      </c>
      <c r="Q723" s="24" t="s">
        <v>680</v>
      </c>
    </row>
    <row r="724" spans="1:17" hidden="1" x14ac:dyDescent="0.3">
      <c r="A724" s="20">
        <f t="shared" si="11"/>
        <v>723</v>
      </c>
      <c r="B724" s="21" t="s">
        <v>87</v>
      </c>
      <c r="C724" s="21" t="s">
        <v>97</v>
      </c>
      <c r="D724" s="22" t="str">
        <f>IF($C724="","",IFERROR(VLOOKUP($C724,Map_Register!$A$2:$C$5,3,FALSE()),""))</f>
        <v>Toponym Labels</v>
      </c>
      <c r="E724" s="21" t="s">
        <v>15</v>
      </c>
      <c r="F724" s="23">
        <v>543077</v>
      </c>
      <c r="G724" s="20" t="s">
        <v>719</v>
      </c>
      <c r="H724" s="20" t="s">
        <v>1434</v>
      </c>
      <c r="I724" t="s">
        <v>697</v>
      </c>
      <c r="J724" s="20" t="s">
        <v>6</v>
      </c>
      <c r="K724" s="20" t="s">
        <v>137</v>
      </c>
      <c r="L724" s="20" t="s">
        <v>137</v>
      </c>
      <c r="M724" s="20" t="s">
        <v>721</v>
      </c>
      <c r="Q724" s="24" t="s">
        <v>680</v>
      </c>
    </row>
    <row r="725" spans="1:17" hidden="1" x14ac:dyDescent="0.3">
      <c r="A725" s="20">
        <f t="shared" si="11"/>
        <v>724</v>
      </c>
      <c r="B725" s="21" t="s">
        <v>87</v>
      </c>
      <c r="C725" s="21" t="s">
        <v>97</v>
      </c>
      <c r="D725" s="22" t="str">
        <f>IF($C725="","",IFERROR(VLOOKUP($C725,Map_Register!$A$2:$C$5,3,FALSE()),""))</f>
        <v>Toponym Labels</v>
      </c>
      <c r="E725" s="21" t="s">
        <v>15</v>
      </c>
      <c r="F725" s="23">
        <v>543161</v>
      </c>
      <c r="G725" s="20" t="s">
        <v>719</v>
      </c>
      <c r="H725" s="20" t="s">
        <v>1435</v>
      </c>
      <c r="I725" t="s">
        <v>697</v>
      </c>
      <c r="J725" s="20" t="s">
        <v>8</v>
      </c>
      <c r="K725" t="s">
        <v>107</v>
      </c>
      <c r="L725" t="s">
        <v>107</v>
      </c>
      <c r="M725" s="20" t="s">
        <v>683</v>
      </c>
      <c r="N725" s="20" t="s">
        <v>108</v>
      </c>
      <c r="Q725" s="24" t="s">
        <v>680</v>
      </c>
    </row>
    <row r="726" spans="1:17" hidden="1" x14ac:dyDescent="0.3">
      <c r="A726" s="20">
        <f t="shared" si="11"/>
        <v>725</v>
      </c>
      <c r="B726" s="21" t="s">
        <v>87</v>
      </c>
      <c r="C726" s="21" t="s">
        <v>97</v>
      </c>
      <c r="D726" s="22" t="str">
        <f>IF($C726="","",IFERROR(VLOOKUP($C726,Map_Register!$A$2:$C$5,3,FALSE()),""))</f>
        <v>Toponym Labels</v>
      </c>
      <c r="E726" s="21" t="s">
        <v>15</v>
      </c>
      <c r="F726" s="23">
        <v>543336</v>
      </c>
      <c r="G726" s="20" t="s">
        <v>719</v>
      </c>
      <c r="H726" s="20" t="s">
        <v>1436</v>
      </c>
      <c r="I726" t="s">
        <v>697</v>
      </c>
      <c r="J726" s="20" t="s">
        <v>8</v>
      </c>
      <c r="K726" t="s">
        <v>107</v>
      </c>
      <c r="L726" t="s">
        <v>107</v>
      </c>
      <c r="M726" s="20" t="s">
        <v>683</v>
      </c>
      <c r="N726" s="20" t="s">
        <v>108</v>
      </c>
      <c r="Q726" s="24" t="s">
        <v>680</v>
      </c>
    </row>
    <row r="727" spans="1:17" hidden="1" x14ac:dyDescent="0.3">
      <c r="A727" s="20">
        <f t="shared" si="11"/>
        <v>726</v>
      </c>
      <c r="B727" s="21" t="s">
        <v>87</v>
      </c>
      <c r="C727" s="21" t="s">
        <v>97</v>
      </c>
      <c r="D727" s="22" t="str">
        <f>IF($C727="","",IFERROR(VLOOKUP($C727,Map_Register!$A$2:$C$5,3,FALSE()),""))</f>
        <v>Toponym Labels</v>
      </c>
      <c r="E727" s="21" t="s">
        <v>15</v>
      </c>
      <c r="F727" s="23">
        <v>543337</v>
      </c>
      <c r="G727" s="20" t="s">
        <v>719</v>
      </c>
      <c r="H727" s="20" t="s">
        <v>1437</v>
      </c>
      <c r="I727" t="s">
        <v>697</v>
      </c>
      <c r="J727" s="20" t="s">
        <v>6</v>
      </c>
      <c r="K727" s="20" t="s">
        <v>137</v>
      </c>
      <c r="L727" s="20" t="s">
        <v>137</v>
      </c>
      <c r="M727" s="20" t="s">
        <v>721</v>
      </c>
      <c r="Q727" s="24" t="s">
        <v>680</v>
      </c>
    </row>
    <row r="728" spans="1:17" hidden="1" x14ac:dyDescent="0.3">
      <c r="A728" s="20">
        <f t="shared" si="11"/>
        <v>727</v>
      </c>
      <c r="B728" s="21" t="s">
        <v>87</v>
      </c>
      <c r="C728" s="21" t="s">
        <v>97</v>
      </c>
      <c r="D728" s="22" t="str">
        <f>IF($C728="","",IFERROR(VLOOKUP($C728,Map_Register!$A$2:$C$5,3,FALSE()),""))</f>
        <v>Toponym Labels</v>
      </c>
      <c r="E728" s="21" t="s">
        <v>15</v>
      </c>
      <c r="F728" s="23">
        <v>543338</v>
      </c>
      <c r="G728" s="20" t="s">
        <v>719</v>
      </c>
      <c r="H728" s="20" t="s">
        <v>1303</v>
      </c>
      <c r="I728" t="s">
        <v>697</v>
      </c>
      <c r="J728" s="20" t="s">
        <v>6</v>
      </c>
      <c r="K728" s="20" t="s">
        <v>137</v>
      </c>
      <c r="L728" s="20" t="s">
        <v>137</v>
      </c>
      <c r="M728" s="20" t="s">
        <v>721</v>
      </c>
      <c r="Q728" s="24" t="s">
        <v>680</v>
      </c>
    </row>
    <row r="729" spans="1:17" hidden="1" x14ac:dyDescent="0.3">
      <c r="A729" s="20">
        <f t="shared" si="11"/>
        <v>728</v>
      </c>
      <c r="B729" s="21" t="s">
        <v>87</v>
      </c>
      <c r="C729" s="21" t="s">
        <v>97</v>
      </c>
      <c r="D729" s="22" t="str">
        <f>IF($C729="","",IFERROR(VLOOKUP($C729,Map_Register!$A$2:$C$5,3,FALSE()),""))</f>
        <v>Toponym Labels</v>
      </c>
      <c r="E729" s="21" t="s">
        <v>15</v>
      </c>
      <c r="F729" s="23">
        <v>543351</v>
      </c>
      <c r="G729" s="20" t="s">
        <v>719</v>
      </c>
      <c r="H729" s="20" t="s">
        <v>1438</v>
      </c>
      <c r="I729" t="s">
        <v>697</v>
      </c>
      <c r="J729" s="20" t="s">
        <v>992</v>
      </c>
      <c r="K729" s="20" t="s">
        <v>137</v>
      </c>
      <c r="L729" s="20" t="s">
        <v>137</v>
      </c>
      <c r="M729" s="20" t="s">
        <v>721</v>
      </c>
      <c r="Q729" s="24" t="s">
        <v>680</v>
      </c>
    </row>
    <row r="730" spans="1:17" x14ac:dyDescent="0.3">
      <c r="A730" s="20">
        <f t="shared" si="11"/>
        <v>729</v>
      </c>
      <c r="B730" s="21" t="s">
        <v>87</v>
      </c>
      <c r="C730" s="21" t="s">
        <v>97</v>
      </c>
      <c r="D730" s="22" t="str">
        <f>IF($C730="","",IFERROR(VLOOKUP($C730,Map_Register!$A$2:$C$5,3,FALSE()),""))</f>
        <v>Toponym Labels</v>
      </c>
      <c r="E730" s="21" t="s">
        <v>15</v>
      </c>
      <c r="F730" s="23">
        <v>543355</v>
      </c>
      <c r="G730" s="20" t="s">
        <v>719</v>
      </c>
      <c r="H730" s="20" t="s">
        <v>1439</v>
      </c>
      <c r="I730" t="s">
        <v>697</v>
      </c>
      <c r="J730" s="20" t="s">
        <v>8</v>
      </c>
      <c r="K730" t="s">
        <v>107</v>
      </c>
      <c r="L730" t="s">
        <v>108</v>
      </c>
      <c r="M730" s="20" t="s">
        <v>1126</v>
      </c>
      <c r="N730" s="20" t="s">
        <v>108</v>
      </c>
      <c r="Q730" s="24" t="s">
        <v>680</v>
      </c>
    </row>
    <row r="731" spans="1:17" hidden="1" x14ac:dyDescent="0.3">
      <c r="A731" s="20">
        <f t="shared" si="11"/>
        <v>730</v>
      </c>
      <c r="B731" s="21" t="s">
        <v>87</v>
      </c>
      <c r="C731" s="21" t="s">
        <v>97</v>
      </c>
      <c r="D731" s="22" t="str">
        <f>IF($C731="","",IFERROR(VLOOKUP($C731,Map_Register!$A$2:$C$5,3,FALSE()),""))</f>
        <v>Toponym Labels</v>
      </c>
      <c r="E731" s="21" t="s">
        <v>15</v>
      </c>
      <c r="F731" s="23">
        <v>543389</v>
      </c>
      <c r="G731" s="20" t="s">
        <v>719</v>
      </c>
      <c r="H731" s="20" t="s">
        <v>1440</v>
      </c>
      <c r="I731" t="s">
        <v>697</v>
      </c>
      <c r="J731" s="20" t="s">
        <v>6</v>
      </c>
      <c r="K731" s="20" t="s">
        <v>137</v>
      </c>
      <c r="L731" s="20" t="s">
        <v>137</v>
      </c>
      <c r="M731" s="20" t="s">
        <v>721</v>
      </c>
      <c r="Q731" s="24" t="s">
        <v>680</v>
      </c>
    </row>
    <row r="732" spans="1:17" hidden="1" x14ac:dyDescent="0.3">
      <c r="A732" s="20">
        <f t="shared" si="11"/>
        <v>731</v>
      </c>
      <c r="B732" s="21" t="s">
        <v>87</v>
      </c>
      <c r="C732" s="21" t="s">
        <v>97</v>
      </c>
      <c r="D732" s="22" t="str">
        <f>IF($C732="","",IFERROR(VLOOKUP($C732,Map_Register!$A$2:$C$5,3,FALSE()),""))</f>
        <v>Toponym Labels</v>
      </c>
      <c r="E732" s="21" t="s">
        <v>15</v>
      </c>
      <c r="F732" s="23">
        <v>543390</v>
      </c>
      <c r="G732" s="20" t="s">
        <v>719</v>
      </c>
      <c r="H732" s="20" t="s">
        <v>1441</v>
      </c>
      <c r="I732" t="s">
        <v>697</v>
      </c>
      <c r="J732" s="20" t="s">
        <v>8</v>
      </c>
      <c r="K732" t="s">
        <v>107</v>
      </c>
      <c r="L732" t="s">
        <v>107</v>
      </c>
      <c r="M732" s="20" t="s">
        <v>683</v>
      </c>
      <c r="N732" s="20" t="s">
        <v>108</v>
      </c>
      <c r="Q732" s="24" t="s">
        <v>680</v>
      </c>
    </row>
    <row r="733" spans="1:17" hidden="1" x14ac:dyDescent="0.3">
      <c r="A733" s="20">
        <f t="shared" si="11"/>
        <v>732</v>
      </c>
      <c r="B733" s="21" t="s">
        <v>87</v>
      </c>
      <c r="C733" s="21" t="s">
        <v>97</v>
      </c>
      <c r="D733" s="22" t="str">
        <f>IF($C733="","",IFERROR(VLOOKUP($C733,Map_Register!$A$2:$C$5,3,FALSE()),""))</f>
        <v>Toponym Labels</v>
      </c>
      <c r="E733" s="21" t="s">
        <v>15</v>
      </c>
      <c r="F733" s="23">
        <v>543391</v>
      </c>
      <c r="G733" s="20" t="s">
        <v>719</v>
      </c>
      <c r="H733" s="20" t="s">
        <v>1442</v>
      </c>
      <c r="I733" t="s">
        <v>697</v>
      </c>
      <c r="J733" s="20" t="s">
        <v>8</v>
      </c>
      <c r="K733" t="s">
        <v>107</v>
      </c>
      <c r="L733" t="s">
        <v>107</v>
      </c>
      <c r="M733" s="20" t="s">
        <v>683</v>
      </c>
      <c r="N733" s="20" t="s">
        <v>108</v>
      </c>
      <c r="Q733" s="24" t="s">
        <v>680</v>
      </c>
    </row>
    <row r="734" spans="1:17" x14ac:dyDescent="0.3">
      <c r="A734" s="20">
        <f t="shared" si="11"/>
        <v>733</v>
      </c>
      <c r="B734" s="21" t="s">
        <v>87</v>
      </c>
      <c r="C734" s="21" t="s">
        <v>97</v>
      </c>
      <c r="D734" s="22" t="str">
        <f>IF($C734="","",IFERROR(VLOOKUP($C734,Map_Register!$A$2:$C$5,3,FALSE()),""))</f>
        <v>Toponym Labels</v>
      </c>
      <c r="E734" s="21" t="s">
        <v>15</v>
      </c>
      <c r="F734" s="23">
        <v>543670</v>
      </c>
      <c r="G734" s="20" t="s">
        <v>719</v>
      </c>
      <c r="H734" s="20" t="s">
        <v>1443</v>
      </c>
      <c r="I734" t="s">
        <v>697</v>
      </c>
      <c r="J734" s="20" t="s">
        <v>8</v>
      </c>
      <c r="K734" t="s">
        <v>107</v>
      </c>
      <c r="L734" t="s">
        <v>108</v>
      </c>
      <c r="M734" s="20" t="s">
        <v>1126</v>
      </c>
      <c r="N734" s="20" t="s">
        <v>108</v>
      </c>
      <c r="Q734" s="24" t="s">
        <v>680</v>
      </c>
    </row>
    <row r="735" spans="1:17" x14ac:dyDescent="0.3">
      <c r="A735" s="20">
        <f t="shared" si="11"/>
        <v>734</v>
      </c>
      <c r="B735" s="21" t="s">
        <v>87</v>
      </c>
      <c r="C735" s="21" t="s">
        <v>97</v>
      </c>
      <c r="D735" s="22" t="str">
        <f>IF($C735="","",IFERROR(VLOOKUP($C735,Map_Register!$A$2:$C$5,3,FALSE()),""))</f>
        <v>Toponym Labels</v>
      </c>
      <c r="E735" s="21" t="s">
        <v>15</v>
      </c>
      <c r="F735" s="23">
        <v>597704</v>
      </c>
      <c r="G735" s="20" t="s">
        <v>719</v>
      </c>
      <c r="H735" s="20" t="s">
        <v>1444</v>
      </c>
      <c r="I735" t="s">
        <v>1390</v>
      </c>
      <c r="J735" s="20" t="s">
        <v>8</v>
      </c>
      <c r="K735" t="s">
        <v>107</v>
      </c>
      <c r="L735" t="s">
        <v>108</v>
      </c>
      <c r="M735" s="20" t="s">
        <v>1126</v>
      </c>
      <c r="N735" s="20" t="s">
        <v>108</v>
      </c>
      <c r="Q735" s="24" t="s">
        <v>680</v>
      </c>
    </row>
    <row r="736" spans="1:17" hidden="1" x14ac:dyDescent="0.3">
      <c r="A736" s="20">
        <f t="shared" si="11"/>
        <v>735</v>
      </c>
      <c r="B736" s="21" t="s">
        <v>87</v>
      </c>
      <c r="C736" s="21" t="s">
        <v>97</v>
      </c>
      <c r="D736" s="22" t="str">
        <f>IF($C736="","",IFERROR(VLOOKUP($C736,Map_Register!$A$2:$C$5,3,FALSE()),""))</f>
        <v>Toponym Labels</v>
      </c>
      <c r="E736" s="21" t="s">
        <v>15</v>
      </c>
      <c r="F736" s="23">
        <v>597705</v>
      </c>
      <c r="G736" s="20" t="s">
        <v>719</v>
      </c>
      <c r="H736" s="20" t="s">
        <v>1445</v>
      </c>
      <c r="I736" t="s">
        <v>697</v>
      </c>
      <c r="J736" s="20" t="s">
        <v>6</v>
      </c>
      <c r="K736" s="20" t="s">
        <v>137</v>
      </c>
      <c r="L736" s="20" t="s">
        <v>137</v>
      </c>
      <c r="M736" s="20" t="s">
        <v>721</v>
      </c>
      <c r="Q736" s="24" t="s">
        <v>680</v>
      </c>
    </row>
    <row r="737" spans="1:17" x14ac:dyDescent="0.3">
      <c r="A737" s="20">
        <f t="shared" si="11"/>
        <v>736</v>
      </c>
      <c r="B737" s="21" t="s">
        <v>87</v>
      </c>
      <c r="C737" s="21" t="s">
        <v>97</v>
      </c>
      <c r="D737" s="22" t="str">
        <f>IF($C737="","",IFERROR(VLOOKUP($C737,Map_Register!$A$2:$C$5,3,FALSE()),""))</f>
        <v>Toponym Labels</v>
      </c>
      <c r="E737" s="21" t="s">
        <v>15</v>
      </c>
      <c r="F737" s="23">
        <v>597713</v>
      </c>
      <c r="G737" s="20" t="s">
        <v>719</v>
      </c>
      <c r="H737" s="20" t="s">
        <v>1446</v>
      </c>
      <c r="I737" t="s">
        <v>697</v>
      </c>
      <c r="J737" s="20" t="s">
        <v>8</v>
      </c>
      <c r="K737" t="s">
        <v>107</v>
      </c>
      <c r="L737" t="s">
        <v>108</v>
      </c>
      <c r="M737" s="20" t="s">
        <v>1126</v>
      </c>
      <c r="N737" s="20" t="s">
        <v>108</v>
      </c>
      <c r="Q737" s="24" t="s">
        <v>680</v>
      </c>
    </row>
    <row r="738" spans="1:17" hidden="1" x14ac:dyDescent="0.3">
      <c r="A738" s="20">
        <f t="shared" si="11"/>
        <v>737</v>
      </c>
      <c r="B738" s="21" t="s">
        <v>87</v>
      </c>
      <c r="C738" s="21" t="s">
        <v>97</v>
      </c>
      <c r="D738" s="22" t="str">
        <f>IF($C738="","",IFERROR(VLOOKUP($C738,Map_Register!$A$2:$C$5,3,FALSE()),""))</f>
        <v>Toponym Labels</v>
      </c>
      <c r="E738" s="21" t="s">
        <v>15</v>
      </c>
      <c r="F738" s="23">
        <v>597719</v>
      </c>
      <c r="G738" s="20" t="s">
        <v>719</v>
      </c>
      <c r="H738" s="20" t="s">
        <v>1447</v>
      </c>
      <c r="I738" t="s">
        <v>1390</v>
      </c>
      <c r="J738" s="20" t="s">
        <v>6</v>
      </c>
      <c r="K738" s="20" t="s">
        <v>137</v>
      </c>
      <c r="L738" s="20" t="s">
        <v>137</v>
      </c>
      <c r="M738" s="20" t="s">
        <v>1448</v>
      </c>
      <c r="Q738" s="24" t="s">
        <v>680</v>
      </c>
    </row>
    <row r="739" spans="1:17" hidden="1" x14ac:dyDescent="0.3">
      <c r="A739" s="20">
        <f t="shared" si="11"/>
        <v>738</v>
      </c>
      <c r="B739" s="21" t="s">
        <v>87</v>
      </c>
      <c r="C739" s="21" t="s">
        <v>97</v>
      </c>
      <c r="D739" s="22" t="str">
        <f>IF($C739="","",IFERROR(VLOOKUP($C739,Map_Register!$A$2:$C$5,3,FALSE()),""))</f>
        <v>Toponym Labels</v>
      </c>
      <c r="E739" s="21" t="s">
        <v>15</v>
      </c>
      <c r="F739" s="23">
        <v>597721</v>
      </c>
      <c r="G739" s="20" t="s">
        <v>719</v>
      </c>
      <c r="H739" s="20" t="s">
        <v>812</v>
      </c>
      <c r="I739" t="s">
        <v>697</v>
      </c>
      <c r="J739" s="20" t="s">
        <v>6</v>
      </c>
      <c r="K739" s="20" t="s">
        <v>137</v>
      </c>
      <c r="L739" s="20" t="s">
        <v>137</v>
      </c>
      <c r="M739" s="20" t="s">
        <v>721</v>
      </c>
      <c r="Q739" s="24" t="s">
        <v>680</v>
      </c>
    </row>
    <row r="740" spans="1:17" hidden="1" x14ac:dyDescent="0.3">
      <c r="A740" s="20">
        <f t="shared" si="11"/>
        <v>739</v>
      </c>
      <c r="B740" s="21" t="s">
        <v>87</v>
      </c>
      <c r="C740" s="21" t="s">
        <v>97</v>
      </c>
      <c r="D740" s="22" t="str">
        <f>IF($C740="","",IFERROR(VLOOKUP($C740,Map_Register!$A$2:$C$5,3,FALSE()),""))</f>
        <v>Toponym Labels</v>
      </c>
      <c r="E740" s="21" t="s">
        <v>15</v>
      </c>
      <c r="F740" s="23">
        <v>597728</v>
      </c>
      <c r="G740" s="20" t="s">
        <v>719</v>
      </c>
      <c r="H740" s="20" t="s">
        <v>1449</v>
      </c>
      <c r="I740" t="s">
        <v>1390</v>
      </c>
      <c r="J740" s="20" t="s">
        <v>6</v>
      </c>
      <c r="K740" s="20" t="s">
        <v>137</v>
      </c>
      <c r="L740" s="20" t="s">
        <v>137</v>
      </c>
      <c r="M740" s="20" t="s">
        <v>1450</v>
      </c>
      <c r="Q740" s="24" t="s">
        <v>680</v>
      </c>
    </row>
    <row r="741" spans="1:17" hidden="1" x14ac:dyDescent="0.3">
      <c r="A741" s="20">
        <f t="shared" si="11"/>
        <v>740</v>
      </c>
      <c r="B741" s="21" t="s">
        <v>87</v>
      </c>
      <c r="C741" s="21" t="s">
        <v>97</v>
      </c>
      <c r="D741" s="22" t="str">
        <f>IF($C741="","",IFERROR(VLOOKUP($C741,Map_Register!$A$2:$C$5,3,FALSE()),""))</f>
        <v>Toponym Labels</v>
      </c>
      <c r="E741" s="21" t="s">
        <v>15</v>
      </c>
      <c r="F741" s="23">
        <v>597729</v>
      </c>
      <c r="G741" s="20" t="s">
        <v>719</v>
      </c>
      <c r="H741" s="20" t="s">
        <v>1451</v>
      </c>
      <c r="I741" t="s">
        <v>697</v>
      </c>
      <c r="J741" s="20" t="s">
        <v>6</v>
      </c>
      <c r="K741" s="20" t="s">
        <v>137</v>
      </c>
      <c r="L741" s="20" t="s">
        <v>137</v>
      </c>
      <c r="M741" s="20" t="s">
        <v>1452</v>
      </c>
      <c r="Q741" s="24" t="s">
        <v>680</v>
      </c>
    </row>
    <row r="742" spans="1:17" x14ac:dyDescent="0.3">
      <c r="A742" s="20">
        <f t="shared" si="11"/>
        <v>741</v>
      </c>
      <c r="B742" s="21" t="s">
        <v>87</v>
      </c>
      <c r="C742" s="21" t="s">
        <v>97</v>
      </c>
      <c r="D742" s="22" t="str">
        <f>IF($C742="","",IFERROR(VLOOKUP($C742,Map_Register!$A$2:$C$5,3,FALSE()),""))</f>
        <v>Toponym Labels</v>
      </c>
      <c r="E742" s="21" t="s">
        <v>15</v>
      </c>
      <c r="F742" s="23">
        <v>597733</v>
      </c>
      <c r="G742" s="20" t="s">
        <v>719</v>
      </c>
      <c r="H742" s="20" t="s">
        <v>1453</v>
      </c>
      <c r="I742" t="s">
        <v>697</v>
      </c>
      <c r="J742" s="20" t="s">
        <v>8</v>
      </c>
      <c r="K742" t="s">
        <v>107</v>
      </c>
      <c r="L742" t="s">
        <v>108</v>
      </c>
      <c r="M742" s="20" t="s">
        <v>1126</v>
      </c>
      <c r="N742" s="20" t="s">
        <v>108</v>
      </c>
      <c r="Q742" s="24" t="s">
        <v>680</v>
      </c>
    </row>
    <row r="743" spans="1:17" hidden="1" x14ac:dyDescent="0.3">
      <c r="A743" s="20">
        <f t="shared" si="11"/>
        <v>742</v>
      </c>
      <c r="B743" s="21" t="s">
        <v>87</v>
      </c>
      <c r="C743" s="21" t="s">
        <v>97</v>
      </c>
      <c r="D743" s="22" t="str">
        <f>IF($C743="","",IFERROR(VLOOKUP($C743,Map_Register!$A$2:$C$5,3,FALSE()),""))</f>
        <v>Toponym Labels</v>
      </c>
      <c r="E743" s="21" t="s">
        <v>15</v>
      </c>
      <c r="F743" s="23">
        <v>597736</v>
      </c>
      <c r="G743" s="20" t="s">
        <v>719</v>
      </c>
      <c r="H743" s="20" t="s">
        <v>1454</v>
      </c>
      <c r="I743" t="s">
        <v>697</v>
      </c>
      <c r="J743" s="20" t="s">
        <v>6</v>
      </c>
      <c r="K743" s="20" t="s">
        <v>137</v>
      </c>
      <c r="L743" s="20" t="s">
        <v>137</v>
      </c>
      <c r="M743" s="20" t="s">
        <v>1455</v>
      </c>
      <c r="Q743" s="24" t="s">
        <v>680</v>
      </c>
    </row>
    <row r="744" spans="1:17" hidden="1" x14ac:dyDescent="0.3">
      <c r="A744" s="20">
        <f t="shared" si="11"/>
        <v>743</v>
      </c>
      <c r="B744" s="21" t="s">
        <v>87</v>
      </c>
      <c r="C744" s="21" t="s">
        <v>97</v>
      </c>
      <c r="D744" s="22" t="str">
        <f>IF($C744="","",IFERROR(VLOOKUP($C744,Map_Register!$A$2:$C$5,3,FALSE()),""))</f>
        <v>Toponym Labels</v>
      </c>
      <c r="E744" s="21" t="s">
        <v>15</v>
      </c>
      <c r="F744" s="23">
        <v>597737</v>
      </c>
      <c r="G744" s="20" t="s">
        <v>719</v>
      </c>
      <c r="H744" s="20" t="s">
        <v>1456</v>
      </c>
      <c r="I744" t="s">
        <v>697</v>
      </c>
      <c r="J744" s="20" t="s">
        <v>6</v>
      </c>
      <c r="K744" s="20" t="s">
        <v>137</v>
      </c>
      <c r="L744" s="20" t="s">
        <v>137</v>
      </c>
      <c r="M744" s="20" t="s">
        <v>721</v>
      </c>
      <c r="Q744" s="24" t="s">
        <v>680</v>
      </c>
    </row>
    <row r="745" spans="1:17" hidden="1" x14ac:dyDescent="0.3">
      <c r="A745" s="20">
        <f t="shared" si="11"/>
        <v>744</v>
      </c>
      <c r="B745" s="21" t="s">
        <v>87</v>
      </c>
      <c r="C745" s="21" t="s">
        <v>97</v>
      </c>
      <c r="D745" s="22" t="str">
        <f>IF($C745="","",IFERROR(VLOOKUP($C745,Map_Register!$A$2:$C$5,3,FALSE()),""))</f>
        <v>Toponym Labels</v>
      </c>
      <c r="E745" s="21" t="s">
        <v>15</v>
      </c>
      <c r="F745" s="23">
        <v>597738</v>
      </c>
      <c r="G745" s="20" t="s">
        <v>719</v>
      </c>
      <c r="H745" s="20" t="s">
        <v>1457</v>
      </c>
      <c r="I745" t="s">
        <v>697</v>
      </c>
      <c r="J745" s="20" t="s">
        <v>6</v>
      </c>
      <c r="K745" s="20" t="s">
        <v>137</v>
      </c>
      <c r="L745" s="20" t="s">
        <v>137</v>
      </c>
      <c r="M745" s="20" t="s">
        <v>721</v>
      </c>
      <c r="Q745" s="24" t="s">
        <v>680</v>
      </c>
    </row>
    <row r="746" spans="1:17" x14ac:dyDescent="0.3">
      <c r="A746" s="20">
        <f t="shared" si="11"/>
        <v>745</v>
      </c>
      <c r="B746" s="21" t="s">
        <v>87</v>
      </c>
      <c r="C746" s="21" t="s">
        <v>97</v>
      </c>
      <c r="D746" s="22" t="str">
        <f>IF($C746="","",IFERROR(VLOOKUP($C746,Map_Register!$A$2:$C$5,3,FALSE()),""))</f>
        <v>Toponym Labels</v>
      </c>
      <c r="E746" s="21" t="s">
        <v>15</v>
      </c>
      <c r="F746" s="23">
        <v>597742</v>
      </c>
      <c r="G746" s="20" t="s">
        <v>719</v>
      </c>
      <c r="H746" s="20" t="s">
        <v>1458</v>
      </c>
      <c r="I746" t="s">
        <v>697</v>
      </c>
      <c r="J746" s="20" t="s">
        <v>8</v>
      </c>
      <c r="K746" t="s">
        <v>107</v>
      </c>
      <c r="L746" t="s">
        <v>108</v>
      </c>
      <c r="M746" s="20" t="s">
        <v>1126</v>
      </c>
      <c r="N746" s="20" t="s">
        <v>108</v>
      </c>
      <c r="Q746" s="24" t="s">
        <v>680</v>
      </c>
    </row>
    <row r="747" spans="1:17" x14ac:dyDescent="0.3">
      <c r="A747" s="20">
        <f t="shared" si="11"/>
        <v>746</v>
      </c>
      <c r="B747" s="21" t="s">
        <v>87</v>
      </c>
      <c r="C747" s="21" t="s">
        <v>97</v>
      </c>
      <c r="D747" s="22" t="str">
        <f>IF($C747="","",IFERROR(VLOOKUP($C747,Map_Register!$A$2:$C$5,3,FALSE()),""))</f>
        <v>Toponym Labels</v>
      </c>
      <c r="E747" s="21" t="s">
        <v>15</v>
      </c>
      <c r="F747" s="23">
        <v>597744</v>
      </c>
      <c r="G747" s="20" t="s">
        <v>719</v>
      </c>
      <c r="H747" s="20" t="s">
        <v>1459</v>
      </c>
      <c r="I747" t="s">
        <v>697</v>
      </c>
      <c r="J747" s="20" t="s">
        <v>8</v>
      </c>
      <c r="K747" t="s">
        <v>107</v>
      </c>
      <c r="L747" t="s">
        <v>108</v>
      </c>
      <c r="M747" s="20" t="s">
        <v>1126</v>
      </c>
      <c r="N747" s="20" t="s">
        <v>108</v>
      </c>
      <c r="Q747" s="24" t="s">
        <v>680</v>
      </c>
    </row>
    <row r="748" spans="1:17" x14ac:dyDescent="0.3">
      <c r="A748" s="20">
        <f t="shared" si="11"/>
        <v>747</v>
      </c>
      <c r="B748" s="21" t="s">
        <v>87</v>
      </c>
      <c r="C748" s="21" t="s">
        <v>97</v>
      </c>
      <c r="D748" s="22" t="str">
        <f>IF($C748="","",IFERROR(VLOOKUP($C748,Map_Register!$A$2:$C$5,3,FALSE()),""))</f>
        <v>Toponym Labels</v>
      </c>
      <c r="E748" s="21" t="s">
        <v>15</v>
      </c>
      <c r="F748" s="23">
        <v>597745</v>
      </c>
      <c r="G748" s="20" t="s">
        <v>719</v>
      </c>
      <c r="H748" s="20" t="s">
        <v>1460</v>
      </c>
      <c r="I748" t="s">
        <v>697</v>
      </c>
      <c r="J748" s="20" t="s">
        <v>8</v>
      </c>
      <c r="K748" t="s">
        <v>107</v>
      </c>
      <c r="L748" t="s">
        <v>108</v>
      </c>
      <c r="M748" s="20" t="s">
        <v>1126</v>
      </c>
      <c r="N748" s="20" t="s">
        <v>108</v>
      </c>
      <c r="Q748" s="24" t="s">
        <v>680</v>
      </c>
    </row>
    <row r="749" spans="1:17" hidden="1" x14ac:dyDescent="0.3">
      <c r="A749" s="20">
        <f t="shared" si="11"/>
        <v>748</v>
      </c>
      <c r="B749" s="21" t="s">
        <v>87</v>
      </c>
      <c r="C749" s="21" t="s">
        <v>97</v>
      </c>
      <c r="D749" s="22" t="str">
        <f>IF($C749="","",IFERROR(VLOOKUP($C749,Map_Register!$A$2:$C$5,3,FALSE()),""))</f>
        <v>Toponym Labels</v>
      </c>
      <c r="E749" s="21" t="s">
        <v>15</v>
      </c>
      <c r="F749" s="23">
        <v>597755</v>
      </c>
      <c r="G749" s="20" t="s">
        <v>719</v>
      </c>
      <c r="H749" s="20" t="s">
        <v>1461</v>
      </c>
      <c r="I749" t="s">
        <v>697</v>
      </c>
      <c r="J749" s="20" t="s">
        <v>8</v>
      </c>
      <c r="K749" t="s">
        <v>107</v>
      </c>
      <c r="L749" t="s">
        <v>107</v>
      </c>
      <c r="M749" s="20" t="s">
        <v>683</v>
      </c>
      <c r="N749" s="20" t="s">
        <v>108</v>
      </c>
      <c r="Q749" s="24" t="s">
        <v>680</v>
      </c>
    </row>
    <row r="750" spans="1:17" x14ac:dyDescent="0.3">
      <c r="A750" s="20">
        <f t="shared" si="11"/>
        <v>749</v>
      </c>
      <c r="B750" s="21" t="s">
        <v>87</v>
      </c>
      <c r="C750" s="21" t="s">
        <v>97</v>
      </c>
      <c r="D750" s="22" t="str">
        <f>IF($C750="","",IFERROR(VLOOKUP($C750,Map_Register!$A$2:$C$5,3,FALSE()),""))</f>
        <v>Toponym Labels</v>
      </c>
      <c r="E750" s="21" t="s">
        <v>15</v>
      </c>
      <c r="F750" s="23">
        <v>597757</v>
      </c>
      <c r="G750" s="20" t="s">
        <v>719</v>
      </c>
      <c r="H750" s="20" t="s">
        <v>1462</v>
      </c>
      <c r="I750" t="s">
        <v>697</v>
      </c>
      <c r="J750" s="20" t="s">
        <v>8</v>
      </c>
      <c r="K750" t="s">
        <v>107</v>
      </c>
      <c r="L750" t="s">
        <v>108</v>
      </c>
      <c r="M750" s="20" t="s">
        <v>1126</v>
      </c>
      <c r="N750" s="20" t="s">
        <v>108</v>
      </c>
      <c r="Q750" s="24" t="s">
        <v>680</v>
      </c>
    </row>
    <row r="751" spans="1:17" x14ac:dyDescent="0.3">
      <c r="A751" s="20">
        <f t="shared" si="11"/>
        <v>750</v>
      </c>
      <c r="B751" s="21" t="s">
        <v>87</v>
      </c>
      <c r="C751" s="21" t="s">
        <v>97</v>
      </c>
      <c r="D751" s="22" t="str">
        <f>IF($C751="","",IFERROR(VLOOKUP($C751,Map_Register!$A$2:$C$5,3,FALSE()),""))</f>
        <v>Toponym Labels</v>
      </c>
      <c r="E751" s="21" t="s">
        <v>15</v>
      </c>
      <c r="F751" s="23">
        <v>597760</v>
      </c>
      <c r="G751" s="20" t="s">
        <v>719</v>
      </c>
      <c r="H751" s="20" t="s">
        <v>1463</v>
      </c>
      <c r="I751" t="s">
        <v>697</v>
      </c>
      <c r="J751" s="20" t="s">
        <v>8</v>
      </c>
      <c r="K751" t="s">
        <v>107</v>
      </c>
      <c r="L751" t="s">
        <v>108</v>
      </c>
      <c r="M751" s="20" t="s">
        <v>1126</v>
      </c>
      <c r="N751" s="20" t="s">
        <v>108</v>
      </c>
      <c r="Q751" s="24" t="s">
        <v>680</v>
      </c>
    </row>
    <row r="752" spans="1:17" x14ac:dyDescent="0.3">
      <c r="A752" s="20">
        <f t="shared" si="11"/>
        <v>751</v>
      </c>
      <c r="B752" s="21" t="s">
        <v>87</v>
      </c>
      <c r="C752" s="21" t="s">
        <v>97</v>
      </c>
      <c r="D752" s="22" t="str">
        <f>IF($C752="","",IFERROR(VLOOKUP($C752,Map_Register!$A$2:$C$5,3,FALSE()),""))</f>
        <v>Toponym Labels</v>
      </c>
      <c r="E752" s="21" t="s">
        <v>15</v>
      </c>
      <c r="F752" s="23">
        <v>597762</v>
      </c>
      <c r="G752" s="20" t="s">
        <v>719</v>
      </c>
      <c r="H752" s="20" t="s">
        <v>1464</v>
      </c>
      <c r="I752" t="s">
        <v>697</v>
      </c>
      <c r="J752" s="20" t="s">
        <v>8</v>
      </c>
      <c r="K752" t="s">
        <v>107</v>
      </c>
      <c r="L752" t="s">
        <v>108</v>
      </c>
      <c r="M752" s="20" t="s">
        <v>1126</v>
      </c>
      <c r="N752" s="20" t="s">
        <v>108</v>
      </c>
      <c r="Q752" s="24" t="s">
        <v>680</v>
      </c>
    </row>
    <row r="753" spans="1:17" hidden="1" x14ac:dyDescent="0.3">
      <c r="A753" s="20">
        <f t="shared" si="11"/>
        <v>752</v>
      </c>
      <c r="B753" s="21" t="s">
        <v>87</v>
      </c>
      <c r="C753" s="21" t="s">
        <v>97</v>
      </c>
      <c r="D753" s="22" t="str">
        <f>IF($C753="","",IFERROR(VLOOKUP($C753,Map_Register!$A$2:$C$5,3,FALSE()),""))</f>
        <v>Toponym Labels</v>
      </c>
      <c r="E753" s="21" t="s">
        <v>15</v>
      </c>
      <c r="F753" s="23">
        <v>597763</v>
      </c>
      <c r="G753" s="20" t="s">
        <v>719</v>
      </c>
      <c r="H753" s="20" t="s">
        <v>1465</v>
      </c>
      <c r="I753" t="s">
        <v>697</v>
      </c>
      <c r="J753" s="20" t="s">
        <v>6</v>
      </c>
      <c r="K753" s="20" t="s">
        <v>137</v>
      </c>
      <c r="L753" s="20" t="s">
        <v>137</v>
      </c>
      <c r="M753" s="20" t="s">
        <v>1466</v>
      </c>
      <c r="Q753" s="24" t="s">
        <v>680</v>
      </c>
    </row>
    <row r="754" spans="1:17" hidden="1" x14ac:dyDescent="0.3">
      <c r="A754" s="20">
        <f t="shared" si="11"/>
        <v>753</v>
      </c>
      <c r="B754" s="21" t="s">
        <v>87</v>
      </c>
      <c r="C754" s="21" t="s">
        <v>97</v>
      </c>
      <c r="D754" s="22" t="str">
        <f>IF($C754="","",IFERROR(VLOOKUP($C754,Map_Register!$A$2:$C$5,3,FALSE()),""))</f>
        <v>Toponym Labels</v>
      </c>
      <c r="E754" s="21" t="s">
        <v>15</v>
      </c>
      <c r="F754" s="23">
        <v>597766</v>
      </c>
      <c r="G754" s="20" t="s">
        <v>719</v>
      </c>
      <c r="H754" s="20" t="s">
        <v>1467</v>
      </c>
      <c r="I754" t="s">
        <v>1390</v>
      </c>
      <c r="J754" s="20" t="s">
        <v>6</v>
      </c>
      <c r="K754" s="20" t="s">
        <v>137</v>
      </c>
      <c r="L754" s="20" t="s">
        <v>137</v>
      </c>
      <c r="M754" s="20" t="s">
        <v>1468</v>
      </c>
      <c r="Q754" s="24" t="s">
        <v>680</v>
      </c>
    </row>
    <row r="755" spans="1:17" x14ac:dyDescent="0.3">
      <c r="A755" s="20">
        <f t="shared" si="11"/>
        <v>754</v>
      </c>
      <c r="B755" s="21" t="s">
        <v>87</v>
      </c>
      <c r="C755" s="21" t="s">
        <v>97</v>
      </c>
      <c r="D755" s="22" t="str">
        <f>IF($C755="","",IFERROR(VLOOKUP($C755,Map_Register!$A$2:$C$5,3,FALSE()),""))</f>
        <v>Toponym Labels</v>
      </c>
      <c r="E755" s="21" t="s">
        <v>15</v>
      </c>
      <c r="F755" s="23">
        <v>597767</v>
      </c>
      <c r="G755" s="20" t="s">
        <v>719</v>
      </c>
      <c r="H755" s="20" t="s">
        <v>1469</v>
      </c>
      <c r="I755" t="s">
        <v>697</v>
      </c>
      <c r="J755" s="20" t="s">
        <v>8</v>
      </c>
      <c r="K755" t="s">
        <v>107</v>
      </c>
      <c r="L755" t="s">
        <v>108</v>
      </c>
      <c r="M755" s="20" t="s">
        <v>1126</v>
      </c>
      <c r="N755" s="20" t="s">
        <v>108</v>
      </c>
      <c r="Q755" s="24" t="s">
        <v>680</v>
      </c>
    </row>
    <row r="756" spans="1:17" hidden="1" x14ac:dyDescent="0.3">
      <c r="A756" s="20">
        <f t="shared" si="11"/>
        <v>755</v>
      </c>
      <c r="B756" s="21" t="s">
        <v>87</v>
      </c>
      <c r="C756" s="21" t="s">
        <v>97</v>
      </c>
      <c r="D756" s="22" t="str">
        <f>IF($C756="","",IFERROR(VLOOKUP($C756,Map_Register!$A$2:$C$5,3,FALSE()),""))</f>
        <v>Toponym Labels</v>
      </c>
      <c r="E756" s="21" t="s">
        <v>15</v>
      </c>
      <c r="F756" s="23">
        <v>597787</v>
      </c>
      <c r="G756" s="20" t="s">
        <v>719</v>
      </c>
      <c r="H756" s="20" t="s">
        <v>1470</v>
      </c>
      <c r="I756" t="s">
        <v>1390</v>
      </c>
      <c r="J756" s="20" t="s">
        <v>6</v>
      </c>
      <c r="K756" s="20" t="s">
        <v>137</v>
      </c>
      <c r="L756" s="20" t="s">
        <v>137</v>
      </c>
      <c r="M756" s="20" t="s">
        <v>1471</v>
      </c>
      <c r="Q756" s="24" t="s">
        <v>680</v>
      </c>
    </row>
    <row r="757" spans="1:17" hidden="1" x14ac:dyDescent="0.3">
      <c r="A757" s="20">
        <f t="shared" si="11"/>
        <v>756</v>
      </c>
      <c r="B757" s="21" t="s">
        <v>87</v>
      </c>
      <c r="C757" s="21" t="s">
        <v>97</v>
      </c>
      <c r="D757" s="22" t="str">
        <f>IF($C757="","",IFERROR(VLOOKUP($C757,Map_Register!$A$2:$C$5,3,FALSE()),""))</f>
        <v>Toponym Labels</v>
      </c>
      <c r="E757" s="21" t="s">
        <v>15</v>
      </c>
      <c r="F757" s="23">
        <v>597793</v>
      </c>
      <c r="G757" s="20" t="s">
        <v>719</v>
      </c>
      <c r="H757" s="20" t="s">
        <v>1472</v>
      </c>
      <c r="I757" t="s">
        <v>1390</v>
      </c>
      <c r="J757" s="20" t="s">
        <v>8</v>
      </c>
      <c r="K757" t="s">
        <v>107</v>
      </c>
      <c r="L757" t="s">
        <v>107</v>
      </c>
      <c r="M757" s="20" t="s">
        <v>683</v>
      </c>
      <c r="N757" s="20" t="s">
        <v>108</v>
      </c>
      <c r="Q757" s="24" t="s">
        <v>680</v>
      </c>
    </row>
    <row r="758" spans="1:17" hidden="1" x14ac:dyDescent="0.3">
      <c r="A758" s="20">
        <f t="shared" si="11"/>
        <v>757</v>
      </c>
      <c r="B758" s="21" t="s">
        <v>87</v>
      </c>
      <c r="C758" s="21" t="s">
        <v>97</v>
      </c>
      <c r="D758" s="22" t="str">
        <f>IF($C758="","",IFERROR(VLOOKUP($C758,Map_Register!$A$2:$C$5,3,FALSE()),""))</f>
        <v>Toponym Labels</v>
      </c>
      <c r="E758" s="21" t="s">
        <v>15</v>
      </c>
      <c r="F758" s="23">
        <v>597800</v>
      </c>
      <c r="G758" s="20" t="s">
        <v>719</v>
      </c>
      <c r="H758" s="20" t="s">
        <v>1473</v>
      </c>
      <c r="I758" t="s">
        <v>1390</v>
      </c>
      <c r="J758" s="20" t="s">
        <v>8</v>
      </c>
      <c r="K758" t="s">
        <v>107</v>
      </c>
      <c r="L758" t="s">
        <v>107</v>
      </c>
      <c r="M758" s="20" t="s">
        <v>683</v>
      </c>
      <c r="N758" s="20" t="s">
        <v>108</v>
      </c>
      <c r="Q758" s="24" t="s">
        <v>680</v>
      </c>
    </row>
    <row r="759" spans="1:17" hidden="1" x14ac:dyDescent="0.3">
      <c r="A759" s="20">
        <f t="shared" si="11"/>
        <v>758</v>
      </c>
      <c r="B759" s="21" t="s">
        <v>87</v>
      </c>
      <c r="C759" s="21" t="s">
        <v>97</v>
      </c>
      <c r="D759" s="22" t="str">
        <f>IF($C759="","",IFERROR(VLOOKUP($C759,Map_Register!$A$2:$C$5,3,FALSE()),""))</f>
        <v>Toponym Labels</v>
      </c>
      <c r="E759" s="21" t="s">
        <v>15</v>
      </c>
      <c r="F759" s="23">
        <v>597875</v>
      </c>
      <c r="G759" s="20" t="s">
        <v>719</v>
      </c>
      <c r="H759" s="20" t="s">
        <v>1474</v>
      </c>
      <c r="I759" t="s">
        <v>697</v>
      </c>
      <c r="J759" s="20" t="s">
        <v>8</v>
      </c>
      <c r="K759" t="s">
        <v>107</v>
      </c>
      <c r="L759" t="s">
        <v>107</v>
      </c>
      <c r="M759" s="20" t="s">
        <v>683</v>
      </c>
      <c r="N759" s="20" t="s">
        <v>108</v>
      </c>
      <c r="Q759" s="24" t="s">
        <v>680</v>
      </c>
    </row>
    <row r="760" spans="1:17" hidden="1" x14ac:dyDescent="0.3">
      <c r="A760" s="20">
        <f t="shared" si="11"/>
        <v>759</v>
      </c>
      <c r="B760" s="21" t="s">
        <v>87</v>
      </c>
      <c r="C760" s="21" t="s">
        <v>97</v>
      </c>
      <c r="D760" s="22" t="str">
        <f>IF($C760="","",IFERROR(VLOOKUP($C760,Map_Register!$A$2:$C$5,3,FALSE()),""))</f>
        <v>Toponym Labels</v>
      </c>
      <c r="E760" s="21" t="s">
        <v>15</v>
      </c>
      <c r="F760" s="23">
        <v>597909</v>
      </c>
      <c r="G760" s="20" t="s">
        <v>719</v>
      </c>
      <c r="H760" s="20" t="s">
        <v>1475</v>
      </c>
      <c r="I760" t="s">
        <v>697</v>
      </c>
      <c r="J760" s="20" t="s">
        <v>8</v>
      </c>
      <c r="K760" t="s">
        <v>107</v>
      </c>
      <c r="L760" t="s">
        <v>107</v>
      </c>
      <c r="M760" s="20" t="s">
        <v>683</v>
      </c>
      <c r="N760" s="20" t="s">
        <v>108</v>
      </c>
      <c r="Q760" s="24" t="s">
        <v>680</v>
      </c>
    </row>
    <row r="761" spans="1:17" x14ac:dyDescent="0.3">
      <c r="A761" s="20">
        <f t="shared" si="11"/>
        <v>760</v>
      </c>
      <c r="B761" s="21" t="s">
        <v>87</v>
      </c>
      <c r="C761" s="21" t="s">
        <v>97</v>
      </c>
      <c r="D761" s="22" t="str">
        <f>IF($C761="","",IFERROR(VLOOKUP($C761,Map_Register!$A$2:$C$5,3,FALSE()),""))</f>
        <v>Toponym Labels</v>
      </c>
      <c r="E761" s="21" t="s">
        <v>15</v>
      </c>
      <c r="F761" s="23">
        <v>598618</v>
      </c>
      <c r="G761" s="20" t="s">
        <v>719</v>
      </c>
      <c r="H761" s="20" t="s">
        <v>1476</v>
      </c>
      <c r="I761" t="s">
        <v>1390</v>
      </c>
      <c r="J761" s="20" t="s">
        <v>8</v>
      </c>
      <c r="K761" t="s">
        <v>107</v>
      </c>
      <c r="L761" t="s">
        <v>108</v>
      </c>
      <c r="M761" s="20" t="s">
        <v>1126</v>
      </c>
      <c r="N761" s="20" t="s">
        <v>108</v>
      </c>
      <c r="Q761" s="24" t="s">
        <v>680</v>
      </c>
    </row>
    <row r="762" spans="1:17" hidden="1" x14ac:dyDescent="0.3">
      <c r="A762" s="20">
        <f t="shared" si="11"/>
        <v>761</v>
      </c>
      <c r="B762" s="21" t="s">
        <v>87</v>
      </c>
      <c r="C762" s="21" t="s">
        <v>97</v>
      </c>
      <c r="D762" s="22" t="str">
        <f>IF($C762="","",IFERROR(VLOOKUP($C762,Map_Register!$A$2:$C$5,3,FALSE()),""))</f>
        <v>Toponym Labels</v>
      </c>
      <c r="E762" s="21" t="s">
        <v>15</v>
      </c>
      <c r="F762" s="23">
        <v>598690</v>
      </c>
      <c r="G762" s="20" t="s">
        <v>719</v>
      </c>
      <c r="H762" s="20" t="s">
        <v>1477</v>
      </c>
      <c r="I762" t="s">
        <v>697</v>
      </c>
      <c r="J762" s="20" t="s">
        <v>6</v>
      </c>
      <c r="K762" s="20" t="s">
        <v>137</v>
      </c>
      <c r="L762" s="20" t="s">
        <v>137</v>
      </c>
      <c r="M762" s="20" t="s">
        <v>721</v>
      </c>
      <c r="Q762" s="24" t="s">
        <v>680</v>
      </c>
    </row>
    <row r="763" spans="1:17" hidden="1" x14ac:dyDescent="0.3">
      <c r="A763" s="20">
        <f t="shared" si="11"/>
        <v>762</v>
      </c>
      <c r="B763" s="21" t="s">
        <v>87</v>
      </c>
      <c r="C763" s="21" t="s">
        <v>97</v>
      </c>
      <c r="D763" s="22" t="str">
        <f>IF($C763="","",IFERROR(VLOOKUP($C763,Map_Register!$A$2:$C$5,3,FALSE()),""))</f>
        <v>Toponym Labels</v>
      </c>
      <c r="E763" s="21" t="s">
        <v>15</v>
      </c>
      <c r="F763" s="23">
        <v>598713</v>
      </c>
      <c r="G763" s="20" t="s">
        <v>719</v>
      </c>
      <c r="H763" s="20" t="s">
        <v>1478</v>
      </c>
      <c r="I763" t="s">
        <v>697</v>
      </c>
      <c r="J763" s="20" t="s">
        <v>6</v>
      </c>
      <c r="K763" s="20" t="s">
        <v>137</v>
      </c>
      <c r="L763" s="20" t="s">
        <v>137</v>
      </c>
      <c r="M763" s="20" t="s">
        <v>721</v>
      </c>
      <c r="Q763" s="24" t="s">
        <v>680</v>
      </c>
    </row>
    <row r="764" spans="1:17" hidden="1" x14ac:dyDescent="0.3">
      <c r="A764" s="20">
        <f t="shared" si="11"/>
        <v>763</v>
      </c>
      <c r="B764" s="21" t="s">
        <v>87</v>
      </c>
      <c r="C764" s="21" t="s">
        <v>97</v>
      </c>
      <c r="D764" s="22" t="str">
        <f>IF($C764="","",IFERROR(VLOOKUP($C764,Map_Register!$A$2:$C$5,3,FALSE()),""))</f>
        <v>Toponym Labels</v>
      </c>
      <c r="E764" s="21" t="s">
        <v>15</v>
      </c>
      <c r="F764" s="23">
        <v>598726</v>
      </c>
      <c r="G764" s="20" t="s">
        <v>719</v>
      </c>
      <c r="H764" s="20" t="s">
        <v>1479</v>
      </c>
      <c r="I764" t="s">
        <v>1390</v>
      </c>
      <c r="J764" s="20" t="s">
        <v>6</v>
      </c>
      <c r="K764" s="20" t="s">
        <v>137</v>
      </c>
      <c r="L764" s="20" t="s">
        <v>137</v>
      </c>
      <c r="M764" s="20" t="s">
        <v>1480</v>
      </c>
      <c r="Q764" s="24" t="s">
        <v>680</v>
      </c>
    </row>
    <row r="765" spans="1:17" x14ac:dyDescent="0.3">
      <c r="A765" s="20">
        <f t="shared" si="11"/>
        <v>764</v>
      </c>
      <c r="B765" s="21" t="s">
        <v>87</v>
      </c>
      <c r="C765" s="21" t="s">
        <v>97</v>
      </c>
      <c r="D765" s="22" t="str">
        <f>IF($C765="","",IFERROR(VLOOKUP($C765,Map_Register!$A$2:$C$5,3,FALSE()),""))</f>
        <v>Toponym Labels</v>
      </c>
      <c r="E765" s="21" t="s">
        <v>15</v>
      </c>
      <c r="F765" s="23">
        <v>598735</v>
      </c>
      <c r="G765" s="20" t="s">
        <v>719</v>
      </c>
      <c r="H765" s="20" t="s">
        <v>893</v>
      </c>
      <c r="I765" t="s">
        <v>697</v>
      </c>
      <c r="J765" s="20" t="s">
        <v>8</v>
      </c>
      <c r="K765" t="s">
        <v>107</v>
      </c>
      <c r="L765" t="s">
        <v>108</v>
      </c>
      <c r="M765" s="20" t="s">
        <v>1126</v>
      </c>
      <c r="N765" s="20" t="s">
        <v>108</v>
      </c>
      <c r="Q765" s="24" t="s">
        <v>680</v>
      </c>
    </row>
    <row r="766" spans="1:17" hidden="1" x14ac:dyDescent="0.3">
      <c r="A766" s="20">
        <f t="shared" si="11"/>
        <v>765</v>
      </c>
      <c r="B766" s="21" t="s">
        <v>87</v>
      </c>
      <c r="C766" s="21" t="s">
        <v>97</v>
      </c>
      <c r="D766" s="22" t="str">
        <f>IF($C766="","",IFERROR(VLOOKUP($C766,Map_Register!$A$2:$C$5,3,FALSE()),""))</f>
        <v>Toponym Labels</v>
      </c>
      <c r="E766" s="21" t="s">
        <v>15</v>
      </c>
      <c r="F766" s="23">
        <v>598796</v>
      </c>
      <c r="G766" s="20" t="s">
        <v>719</v>
      </c>
      <c r="H766" s="20" t="s">
        <v>1481</v>
      </c>
      <c r="I766" t="s">
        <v>697</v>
      </c>
      <c r="J766" s="20" t="s">
        <v>8</v>
      </c>
      <c r="K766" t="s">
        <v>107</v>
      </c>
      <c r="L766" t="s">
        <v>107</v>
      </c>
      <c r="M766" s="20" t="s">
        <v>683</v>
      </c>
      <c r="N766" s="20" t="s">
        <v>108</v>
      </c>
      <c r="Q766" s="24" t="s">
        <v>680</v>
      </c>
    </row>
    <row r="767" spans="1:17" hidden="1" x14ac:dyDescent="0.3">
      <c r="A767" s="20">
        <f t="shared" si="11"/>
        <v>766</v>
      </c>
      <c r="B767" s="21" t="s">
        <v>87</v>
      </c>
      <c r="C767" s="21" t="s">
        <v>97</v>
      </c>
      <c r="D767" s="22" t="str">
        <f>IF($C767="","",IFERROR(VLOOKUP($C767,Map_Register!$A$2:$C$5,3,FALSE()),""))</f>
        <v>Toponym Labels</v>
      </c>
      <c r="E767" s="21" t="s">
        <v>15</v>
      </c>
      <c r="F767" s="23">
        <v>598798</v>
      </c>
      <c r="G767" s="20" t="s">
        <v>719</v>
      </c>
      <c r="H767" s="20" t="s">
        <v>1482</v>
      </c>
      <c r="I767" t="s">
        <v>697</v>
      </c>
      <c r="J767" s="20" t="s">
        <v>6</v>
      </c>
      <c r="K767" s="20" t="s">
        <v>137</v>
      </c>
      <c r="L767" s="20" t="s">
        <v>137</v>
      </c>
      <c r="M767" s="20" t="s">
        <v>721</v>
      </c>
      <c r="Q767" s="24" t="s">
        <v>680</v>
      </c>
    </row>
    <row r="768" spans="1:17" hidden="1" x14ac:dyDescent="0.3">
      <c r="A768" s="20">
        <f t="shared" si="11"/>
        <v>767</v>
      </c>
      <c r="B768" s="21" t="s">
        <v>87</v>
      </c>
      <c r="C768" s="21" t="s">
        <v>97</v>
      </c>
      <c r="D768" s="22" t="str">
        <f>IF($C768="","",IFERROR(VLOOKUP($C768,Map_Register!$A$2:$C$5,3,FALSE()),""))</f>
        <v>Toponym Labels</v>
      </c>
      <c r="E768" s="21" t="s">
        <v>15</v>
      </c>
      <c r="F768" s="23">
        <v>598802</v>
      </c>
      <c r="G768" s="20" t="s">
        <v>719</v>
      </c>
      <c r="H768" s="20" t="s">
        <v>1483</v>
      </c>
      <c r="I768" t="s">
        <v>697</v>
      </c>
      <c r="J768" s="20" t="s">
        <v>8</v>
      </c>
      <c r="K768" t="s">
        <v>107</v>
      </c>
      <c r="L768" t="s">
        <v>107</v>
      </c>
      <c r="M768" s="20" t="s">
        <v>683</v>
      </c>
      <c r="N768" s="20" t="s">
        <v>108</v>
      </c>
      <c r="Q768" s="24" t="s">
        <v>680</v>
      </c>
    </row>
    <row r="769" spans="1:17" hidden="1" x14ac:dyDescent="0.3">
      <c r="A769" s="20">
        <f t="shared" si="11"/>
        <v>768</v>
      </c>
      <c r="B769" s="21" t="s">
        <v>87</v>
      </c>
      <c r="C769" s="21" t="s">
        <v>97</v>
      </c>
      <c r="D769" s="22" t="str">
        <f>IF($C769="","",IFERROR(VLOOKUP($C769,Map_Register!$A$2:$C$5,3,FALSE()),""))</f>
        <v>Toponym Labels</v>
      </c>
      <c r="E769" s="21" t="s">
        <v>15</v>
      </c>
      <c r="F769" s="23">
        <v>598810</v>
      </c>
      <c r="G769" s="20" t="s">
        <v>719</v>
      </c>
      <c r="H769" s="20" t="s">
        <v>1484</v>
      </c>
      <c r="I769" t="s">
        <v>697</v>
      </c>
      <c r="J769" s="20" t="s">
        <v>8</v>
      </c>
      <c r="K769" t="s">
        <v>107</v>
      </c>
      <c r="L769" t="s">
        <v>107</v>
      </c>
      <c r="M769" s="20" t="s">
        <v>683</v>
      </c>
      <c r="N769" s="20" t="s">
        <v>108</v>
      </c>
      <c r="Q769" s="24" t="s">
        <v>680</v>
      </c>
    </row>
    <row r="770" spans="1:17" x14ac:dyDescent="0.3">
      <c r="A770" s="20">
        <f t="shared" ref="A770:A833" si="12">IF($B770="","",ROW()-1)</f>
        <v>769</v>
      </c>
      <c r="B770" s="21" t="s">
        <v>87</v>
      </c>
      <c r="C770" s="21" t="s">
        <v>97</v>
      </c>
      <c r="D770" s="22" t="str">
        <f>IF($C770="","",IFERROR(VLOOKUP($C770,Map_Register!$A$2:$C$5,3,FALSE()),""))</f>
        <v>Toponym Labels</v>
      </c>
      <c r="E770" s="21" t="s">
        <v>15</v>
      </c>
      <c r="F770" s="23">
        <v>598811</v>
      </c>
      <c r="G770" s="20" t="s">
        <v>719</v>
      </c>
      <c r="H770" s="20" t="s">
        <v>1485</v>
      </c>
      <c r="I770" t="s">
        <v>1390</v>
      </c>
      <c r="J770" s="20" t="s">
        <v>8</v>
      </c>
      <c r="K770" t="s">
        <v>107</v>
      </c>
      <c r="L770" t="s">
        <v>108</v>
      </c>
      <c r="M770" s="20" t="s">
        <v>1126</v>
      </c>
      <c r="N770" s="20" t="s">
        <v>108</v>
      </c>
      <c r="Q770" s="24" t="s">
        <v>680</v>
      </c>
    </row>
    <row r="771" spans="1:17" hidden="1" x14ac:dyDescent="0.3">
      <c r="A771" s="20">
        <f t="shared" si="12"/>
        <v>770</v>
      </c>
      <c r="B771" s="21" t="s">
        <v>87</v>
      </c>
      <c r="C771" s="21" t="s">
        <v>97</v>
      </c>
      <c r="D771" s="22" t="str">
        <f>IF($C771="","",IFERROR(VLOOKUP($C771,Map_Register!$A$2:$C$5,3,FALSE()),""))</f>
        <v>Toponym Labels</v>
      </c>
      <c r="E771" s="21" t="s">
        <v>15</v>
      </c>
      <c r="F771" s="23">
        <v>598813</v>
      </c>
      <c r="G771" s="20" t="s">
        <v>719</v>
      </c>
      <c r="H771" s="20" t="s">
        <v>1486</v>
      </c>
      <c r="I771" t="s">
        <v>697</v>
      </c>
      <c r="J771" s="20" t="s">
        <v>8</v>
      </c>
      <c r="K771" t="s">
        <v>107</v>
      </c>
      <c r="L771" t="s">
        <v>107</v>
      </c>
      <c r="M771" s="20" t="s">
        <v>683</v>
      </c>
      <c r="N771" s="20" t="s">
        <v>108</v>
      </c>
      <c r="Q771" s="24" t="s">
        <v>680</v>
      </c>
    </row>
    <row r="772" spans="1:17" hidden="1" x14ac:dyDescent="0.3">
      <c r="A772" s="20">
        <f t="shared" si="12"/>
        <v>771</v>
      </c>
      <c r="B772" s="21" t="s">
        <v>87</v>
      </c>
      <c r="C772" s="21" t="s">
        <v>97</v>
      </c>
      <c r="D772" s="22" t="str">
        <f>IF($C772="","",IFERROR(VLOOKUP($C772,Map_Register!$A$2:$C$5,3,FALSE()),""))</f>
        <v>Toponym Labels</v>
      </c>
      <c r="E772" s="21" t="s">
        <v>15</v>
      </c>
      <c r="F772" s="23">
        <v>598817</v>
      </c>
      <c r="G772" s="20" t="s">
        <v>719</v>
      </c>
      <c r="H772" s="20" t="s">
        <v>1487</v>
      </c>
      <c r="I772" t="s">
        <v>1390</v>
      </c>
      <c r="J772" s="20" t="s">
        <v>8</v>
      </c>
      <c r="K772" t="s">
        <v>107</v>
      </c>
      <c r="L772" t="s">
        <v>107</v>
      </c>
      <c r="M772" s="20" t="s">
        <v>683</v>
      </c>
      <c r="N772" s="20" t="s">
        <v>108</v>
      </c>
      <c r="Q772" s="24" t="s">
        <v>680</v>
      </c>
    </row>
    <row r="773" spans="1:17" hidden="1" x14ac:dyDescent="0.3">
      <c r="A773" s="20">
        <f t="shared" si="12"/>
        <v>772</v>
      </c>
      <c r="B773" s="21" t="s">
        <v>87</v>
      </c>
      <c r="C773" s="21" t="s">
        <v>97</v>
      </c>
      <c r="D773" s="22" t="str">
        <f>IF($C773="","",IFERROR(VLOOKUP($C773,Map_Register!$A$2:$C$5,3,FALSE()),""))</f>
        <v>Toponym Labels</v>
      </c>
      <c r="E773" s="21" t="s">
        <v>15</v>
      </c>
      <c r="F773" s="23">
        <v>598823</v>
      </c>
      <c r="G773" s="20" t="s">
        <v>719</v>
      </c>
      <c r="H773" s="20" t="s">
        <v>1488</v>
      </c>
      <c r="I773" t="s">
        <v>697</v>
      </c>
      <c r="J773" s="20" t="s">
        <v>6</v>
      </c>
      <c r="K773" s="20" t="s">
        <v>137</v>
      </c>
      <c r="L773" s="20" t="s">
        <v>137</v>
      </c>
      <c r="M773" s="20" t="s">
        <v>1489</v>
      </c>
      <c r="Q773" s="24" t="s">
        <v>680</v>
      </c>
    </row>
    <row r="774" spans="1:17" hidden="1" x14ac:dyDescent="0.3">
      <c r="A774" s="20">
        <f t="shared" si="12"/>
        <v>773</v>
      </c>
      <c r="B774" s="21" t="s">
        <v>87</v>
      </c>
      <c r="C774" s="21" t="s">
        <v>97</v>
      </c>
      <c r="D774" s="22" t="str">
        <f>IF($C774="","",IFERROR(VLOOKUP($C774,Map_Register!$A$2:$C$5,3,FALSE()),""))</f>
        <v>Toponym Labels</v>
      </c>
      <c r="E774" s="21" t="s">
        <v>15</v>
      </c>
      <c r="F774" s="23">
        <v>598828</v>
      </c>
      <c r="G774" s="20" t="s">
        <v>719</v>
      </c>
      <c r="H774" s="20" t="s">
        <v>1490</v>
      </c>
      <c r="I774" t="s">
        <v>1390</v>
      </c>
      <c r="J774" s="20" t="s">
        <v>6</v>
      </c>
      <c r="K774" s="20" t="s">
        <v>137</v>
      </c>
      <c r="L774" s="20" t="s">
        <v>137</v>
      </c>
      <c r="M774" s="20" t="s">
        <v>1491</v>
      </c>
      <c r="Q774" s="24" t="s">
        <v>680</v>
      </c>
    </row>
    <row r="775" spans="1:17" hidden="1" x14ac:dyDescent="0.3">
      <c r="A775" s="20">
        <f t="shared" si="12"/>
        <v>774</v>
      </c>
      <c r="B775" s="21" t="s">
        <v>87</v>
      </c>
      <c r="C775" s="21" t="s">
        <v>97</v>
      </c>
      <c r="D775" s="22" t="str">
        <f>IF($C775="","",IFERROR(VLOOKUP($C775,Map_Register!$A$2:$C$5,3,FALSE()),""))</f>
        <v>Toponym Labels</v>
      </c>
      <c r="E775" s="21" t="s">
        <v>15</v>
      </c>
      <c r="F775" s="23">
        <v>598834</v>
      </c>
      <c r="G775" s="20" t="s">
        <v>719</v>
      </c>
      <c r="H775" s="20" t="s">
        <v>1492</v>
      </c>
      <c r="I775" t="s">
        <v>697</v>
      </c>
      <c r="J775" s="20" t="s">
        <v>6</v>
      </c>
      <c r="K775" s="20" t="s">
        <v>137</v>
      </c>
      <c r="L775" s="20" t="s">
        <v>137</v>
      </c>
      <c r="M775" s="20" t="s">
        <v>721</v>
      </c>
      <c r="Q775" s="24" t="s">
        <v>680</v>
      </c>
    </row>
    <row r="776" spans="1:17" hidden="1" x14ac:dyDescent="0.3">
      <c r="A776" s="20">
        <f t="shared" si="12"/>
        <v>775</v>
      </c>
      <c r="B776" s="21" t="s">
        <v>87</v>
      </c>
      <c r="C776" s="21" t="s">
        <v>97</v>
      </c>
      <c r="D776" s="22" t="str">
        <f>IF($C776="","",IFERROR(VLOOKUP($C776,Map_Register!$A$2:$C$5,3,FALSE()),""))</f>
        <v>Toponym Labels</v>
      </c>
      <c r="E776" s="21" t="s">
        <v>15</v>
      </c>
      <c r="F776" s="23">
        <v>598835</v>
      </c>
      <c r="G776" s="20" t="s">
        <v>719</v>
      </c>
      <c r="H776" s="20" t="s">
        <v>1493</v>
      </c>
      <c r="I776" t="s">
        <v>697</v>
      </c>
      <c r="J776" s="20" t="s">
        <v>992</v>
      </c>
      <c r="K776" s="20" t="s">
        <v>137</v>
      </c>
      <c r="L776" s="20" t="s">
        <v>137</v>
      </c>
      <c r="M776" s="20" t="s">
        <v>721</v>
      </c>
      <c r="Q776" s="24" t="s">
        <v>680</v>
      </c>
    </row>
    <row r="777" spans="1:17" hidden="1" x14ac:dyDescent="0.3">
      <c r="A777" s="20">
        <f t="shared" si="12"/>
        <v>776</v>
      </c>
      <c r="B777" s="21" t="s">
        <v>87</v>
      </c>
      <c r="C777" s="21" t="s">
        <v>97</v>
      </c>
      <c r="D777" s="22" t="str">
        <f>IF($C777="","",IFERROR(VLOOKUP($C777,Map_Register!$A$2:$C$5,3,FALSE()),""))</f>
        <v>Toponym Labels</v>
      </c>
      <c r="E777" s="21" t="s">
        <v>15</v>
      </c>
      <c r="F777" s="23">
        <v>598836</v>
      </c>
      <c r="G777" s="20" t="s">
        <v>719</v>
      </c>
      <c r="H777" s="20" t="s">
        <v>1494</v>
      </c>
      <c r="I777" t="s">
        <v>697</v>
      </c>
      <c r="J777" s="20" t="s">
        <v>6</v>
      </c>
      <c r="K777" s="20" t="s">
        <v>137</v>
      </c>
      <c r="L777" s="20" t="s">
        <v>137</v>
      </c>
      <c r="M777" s="20" t="s">
        <v>1495</v>
      </c>
      <c r="Q777" s="24" t="s">
        <v>680</v>
      </c>
    </row>
    <row r="778" spans="1:17" x14ac:dyDescent="0.3">
      <c r="A778" s="20">
        <f t="shared" si="12"/>
        <v>777</v>
      </c>
      <c r="B778" s="21" t="s">
        <v>87</v>
      </c>
      <c r="C778" s="21" t="s">
        <v>97</v>
      </c>
      <c r="D778" s="22" t="str">
        <f>IF($C778="","",IFERROR(VLOOKUP($C778,Map_Register!$A$2:$C$5,3,FALSE()),""))</f>
        <v>Toponym Labels</v>
      </c>
      <c r="E778" s="21" t="s">
        <v>15</v>
      </c>
      <c r="F778" s="23">
        <v>598837</v>
      </c>
      <c r="G778" s="20" t="s">
        <v>719</v>
      </c>
      <c r="H778" s="20" t="s">
        <v>1496</v>
      </c>
      <c r="I778" t="s">
        <v>697</v>
      </c>
      <c r="J778" s="20" t="s">
        <v>8</v>
      </c>
      <c r="K778" t="s">
        <v>107</v>
      </c>
      <c r="L778" t="s">
        <v>108</v>
      </c>
      <c r="M778" s="20" t="s">
        <v>1126</v>
      </c>
      <c r="N778" s="20" t="s">
        <v>108</v>
      </c>
      <c r="Q778" s="24" t="s">
        <v>680</v>
      </c>
    </row>
    <row r="779" spans="1:17" hidden="1" x14ac:dyDescent="0.3">
      <c r="A779" s="20">
        <f t="shared" si="12"/>
        <v>778</v>
      </c>
      <c r="B779" s="21" t="s">
        <v>87</v>
      </c>
      <c r="C779" s="21" t="s">
        <v>97</v>
      </c>
      <c r="D779" s="22" t="str">
        <f>IF($C779="","",IFERROR(VLOOKUP($C779,Map_Register!$A$2:$C$5,3,FALSE()),""))</f>
        <v>Toponym Labels</v>
      </c>
      <c r="E779" s="21" t="s">
        <v>15</v>
      </c>
      <c r="F779" s="23">
        <v>598838</v>
      </c>
      <c r="G779" s="20" t="s">
        <v>719</v>
      </c>
      <c r="H779" s="20" t="s">
        <v>1497</v>
      </c>
      <c r="I779" t="s">
        <v>697</v>
      </c>
      <c r="J779" s="20" t="s">
        <v>8</v>
      </c>
      <c r="K779" t="s">
        <v>107</v>
      </c>
      <c r="L779" t="s">
        <v>107</v>
      </c>
      <c r="M779" s="20" t="s">
        <v>683</v>
      </c>
      <c r="N779" s="20" t="s">
        <v>108</v>
      </c>
      <c r="Q779" s="24" t="s">
        <v>680</v>
      </c>
    </row>
    <row r="780" spans="1:17" hidden="1" x14ac:dyDescent="0.3">
      <c r="A780" s="20">
        <f t="shared" si="12"/>
        <v>779</v>
      </c>
      <c r="B780" s="21" t="s">
        <v>87</v>
      </c>
      <c r="C780" s="21" t="s">
        <v>97</v>
      </c>
      <c r="D780" s="22" t="str">
        <f>IF($C780="","",IFERROR(VLOOKUP($C780,Map_Register!$A$2:$C$5,3,FALSE()),""))</f>
        <v>Toponym Labels</v>
      </c>
      <c r="E780" s="21" t="s">
        <v>15</v>
      </c>
      <c r="F780" s="23">
        <v>598840</v>
      </c>
      <c r="G780" s="20" t="s">
        <v>719</v>
      </c>
      <c r="H780" s="20" t="s">
        <v>1498</v>
      </c>
      <c r="I780" t="s">
        <v>697</v>
      </c>
      <c r="J780" s="20" t="s">
        <v>6</v>
      </c>
      <c r="K780" s="20" t="s">
        <v>137</v>
      </c>
      <c r="L780" s="20" t="s">
        <v>137</v>
      </c>
      <c r="M780" s="20" t="s">
        <v>1499</v>
      </c>
      <c r="Q780" s="24" t="s">
        <v>680</v>
      </c>
    </row>
    <row r="781" spans="1:17" hidden="1" x14ac:dyDescent="0.3">
      <c r="A781" s="20">
        <f t="shared" si="12"/>
        <v>780</v>
      </c>
      <c r="B781" s="21" t="s">
        <v>87</v>
      </c>
      <c r="C781" s="21" t="s">
        <v>97</v>
      </c>
      <c r="D781" s="22" t="str">
        <f>IF($C781="","",IFERROR(VLOOKUP($C781,Map_Register!$A$2:$C$5,3,FALSE()),""))</f>
        <v>Toponym Labels</v>
      </c>
      <c r="E781" s="21" t="s">
        <v>15</v>
      </c>
      <c r="F781" s="23">
        <v>598841</v>
      </c>
      <c r="G781" s="20" t="s">
        <v>719</v>
      </c>
      <c r="H781" s="20" t="s">
        <v>1500</v>
      </c>
      <c r="I781" t="s">
        <v>1390</v>
      </c>
      <c r="J781" s="20" t="s">
        <v>6</v>
      </c>
      <c r="K781" s="20" t="s">
        <v>137</v>
      </c>
      <c r="L781" s="20" t="s">
        <v>137</v>
      </c>
      <c r="M781" s="20" t="s">
        <v>1501</v>
      </c>
      <c r="Q781" s="24" t="s">
        <v>680</v>
      </c>
    </row>
    <row r="782" spans="1:17" hidden="1" x14ac:dyDescent="0.3">
      <c r="A782" s="20">
        <f t="shared" si="12"/>
        <v>781</v>
      </c>
      <c r="B782" s="21" t="s">
        <v>87</v>
      </c>
      <c r="C782" s="21" t="s">
        <v>97</v>
      </c>
      <c r="D782" s="22" t="str">
        <f>IF($C782="","",IFERROR(VLOOKUP($C782,Map_Register!$A$2:$C$5,3,FALSE()),""))</f>
        <v>Toponym Labels</v>
      </c>
      <c r="E782" s="21" t="s">
        <v>15</v>
      </c>
      <c r="F782" s="23">
        <v>598845</v>
      </c>
      <c r="G782" s="20" t="s">
        <v>719</v>
      </c>
      <c r="H782" s="20" t="s">
        <v>1502</v>
      </c>
      <c r="I782" t="s">
        <v>1390</v>
      </c>
      <c r="J782" s="20" t="s">
        <v>6</v>
      </c>
      <c r="K782" s="20" t="s">
        <v>137</v>
      </c>
      <c r="L782" s="20" t="s">
        <v>137</v>
      </c>
      <c r="M782" s="20" t="s">
        <v>1503</v>
      </c>
      <c r="Q782" s="24" t="s">
        <v>680</v>
      </c>
    </row>
    <row r="783" spans="1:17" hidden="1" x14ac:dyDescent="0.3">
      <c r="A783" s="20">
        <f t="shared" si="12"/>
        <v>782</v>
      </c>
      <c r="B783" s="21" t="s">
        <v>87</v>
      </c>
      <c r="C783" s="21" t="s">
        <v>97</v>
      </c>
      <c r="D783" s="22" t="str">
        <f>IF($C783="","",IFERROR(VLOOKUP($C783,Map_Register!$A$2:$C$5,3,FALSE()),""))</f>
        <v>Toponym Labels</v>
      </c>
      <c r="E783" s="21" t="s">
        <v>15</v>
      </c>
      <c r="F783" s="23">
        <v>598848</v>
      </c>
      <c r="G783" s="20" t="s">
        <v>719</v>
      </c>
      <c r="H783" s="20" t="s">
        <v>1504</v>
      </c>
      <c r="I783" t="s">
        <v>697</v>
      </c>
      <c r="J783" s="20" t="s">
        <v>6</v>
      </c>
      <c r="K783" s="20" t="s">
        <v>137</v>
      </c>
      <c r="L783" s="20" t="s">
        <v>137</v>
      </c>
      <c r="M783" s="20" t="s">
        <v>1264</v>
      </c>
      <c r="Q783" s="24" t="s">
        <v>680</v>
      </c>
    </row>
    <row r="784" spans="1:17" hidden="1" x14ac:dyDescent="0.3">
      <c r="A784" s="20">
        <f t="shared" si="12"/>
        <v>783</v>
      </c>
      <c r="B784" s="21" t="s">
        <v>87</v>
      </c>
      <c r="C784" s="21" t="s">
        <v>97</v>
      </c>
      <c r="D784" s="22" t="str">
        <f>IF($C784="","",IFERROR(VLOOKUP($C784,Map_Register!$A$2:$C$5,3,FALSE()),""))</f>
        <v>Toponym Labels</v>
      </c>
      <c r="E784" s="21" t="s">
        <v>15</v>
      </c>
      <c r="F784" s="23">
        <v>598851</v>
      </c>
      <c r="G784" s="20" t="s">
        <v>719</v>
      </c>
      <c r="H784" s="20" t="s">
        <v>1505</v>
      </c>
      <c r="I784" t="s">
        <v>697</v>
      </c>
      <c r="J784" s="20" t="s">
        <v>8</v>
      </c>
      <c r="K784" t="s">
        <v>107</v>
      </c>
      <c r="L784" t="s">
        <v>107</v>
      </c>
      <c r="M784" s="20" t="s">
        <v>683</v>
      </c>
      <c r="N784" s="20" t="s">
        <v>108</v>
      </c>
      <c r="Q784" s="24" t="s">
        <v>680</v>
      </c>
    </row>
    <row r="785" spans="1:17" hidden="1" x14ac:dyDescent="0.3">
      <c r="A785" s="20">
        <f t="shared" si="12"/>
        <v>784</v>
      </c>
      <c r="B785" s="21" t="s">
        <v>87</v>
      </c>
      <c r="C785" s="21" t="s">
        <v>97</v>
      </c>
      <c r="D785" s="22" t="str">
        <f>IF($C785="","",IFERROR(VLOOKUP($C785,Map_Register!$A$2:$C$5,3,FALSE()),""))</f>
        <v>Toponym Labels</v>
      </c>
      <c r="E785" s="21" t="s">
        <v>15</v>
      </c>
      <c r="F785" s="23">
        <v>598852</v>
      </c>
      <c r="G785" s="20" t="s">
        <v>719</v>
      </c>
      <c r="H785" s="20" t="s">
        <v>1506</v>
      </c>
      <c r="I785" t="s">
        <v>697</v>
      </c>
      <c r="J785" s="20" t="s">
        <v>6</v>
      </c>
      <c r="K785" s="20" t="s">
        <v>137</v>
      </c>
      <c r="L785" s="20" t="s">
        <v>137</v>
      </c>
      <c r="M785" s="20" t="s">
        <v>1507</v>
      </c>
      <c r="Q785" s="24" t="s">
        <v>680</v>
      </c>
    </row>
    <row r="786" spans="1:17" hidden="1" x14ac:dyDescent="0.3">
      <c r="A786" s="20">
        <f t="shared" si="12"/>
        <v>785</v>
      </c>
      <c r="B786" s="21" t="s">
        <v>87</v>
      </c>
      <c r="C786" s="21" t="s">
        <v>97</v>
      </c>
      <c r="D786" s="22" t="str">
        <f>IF($C786="","",IFERROR(VLOOKUP($C786,Map_Register!$A$2:$C$5,3,FALSE()),""))</f>
        <v>Toponym Labels</v>
      </c>
      <c r="E786" s="21" t="s">
        <v>15</v>
      </c>
      <c r="F786" s="23">
        <v>598853</v>
      </c>
      <c r="G786" s="20" t="s">
        <v>719</v>
      </c>
      <c r="H786" s="20" t="s">
        <v>1508</v>
      </c>
      <c r="I786" t="s">
        <v>697</v>
      </c>
      <c r="J786" s="20" t="s">
        <v>6</v>
      </c>
      <c r="K786" s="20" t="s">
        <v>137</v>
      </c>
      <c r="L786" s="20" t="s">
        <v>137</v>
      </c>
      <c r="M786" s="20" t="s">
        <v>721</v>
      </c>
      <c r="Q786" s="24" t="s">
        <v>680</v>
      </c>
    </row>
    <row r="787" spans="1:17" hidden="1" x14ac:dyDescent="0.3">
      <c r="A787" s="20">
        <f t="shared" si="12"/>
        <v>786</v>
      </c>
      <c r="B787" s="21" t="s">
        <v>87</v>
      </c>
      <c r="C787" s="21" t="s">
        <v>97</v>
      </c>
      <c r="D787" s="22" t="str">
        <f>IF($C787="","",IFERROR(VLOOKUP($C787,Map_Register!$A$2:$C$5,3,FALSE()),""))</f>
        <v>Toponym Labels</v>
      </c>
      <c r="E787" s="21" t="s">
        <v>15</v>
      </c>
      <c r="F787" s="23">
        <v>598856</v>
      </c>
      <c r="G787" s="20" t="s">
        <v>719</v>
      </c>
      <c r="H787" s="20" t="s">
        <v>1509</v>
      </c>
      <c r="I787" t="s">
        <v>697</v>
      </c>
      <c r="J787" s="20" t="s">
        <v>6</v>
      </c>
      <c r="K787" s="20" t="s">
        <v>137</v>
      </c>
      <c r="L787" s="20" t="s">
        <v>137</v>
      </c>
      <c r="M787" s="20" t="s">
        <v>721</v>
      </c>
      <c r="Q787" s="24" t="s">
        <v>680</v>
      </c>
    </row>
    <row r="788" spans="1:17" hidden="1" x14ac:dyDescent="0.3">
      <c r="A788" s="20">
        <f t="shared" si="12"/>
        <v>787</v>
      </c>
      <c r="B788" s="21" t="s">
        <v>87</v>
      </c>
      <c r="C788" s="21" t="s">
        <v>97</v>
      </c>
      <c r="D788" s="22" t="str">
        <f>IF($C788="","",IFERROR(VLOOKUP($C788,Map_Register!$A$2:$C$5,3,FALSE()),""))</f>
        <v>Toponym Labels</v>
      </c>
      <c r="E788" s="21" t="s">
        <v>15</v>
      </c>
      <c r="F788" s="23">
        <v>598857</v>
      </c>
      <c r="G788" s="20" t="s">
        <v>719</v>
      </c>
      <c r="H788" s="20" t="s">
        <v>1510</v>
      </c>
      <c r="I788" t="s">
        <v>1390</v>
      </c>
      <c r="J788" s="20" t="s">
        <v>6</v>
      </c>
      <c r="K788" s="20" t="s">
        <v>137</v>
      </c>
      <c r="L788" s="20" t="s">
        <v>137</v>
      </c>
      <c r="M788" s="20" t="s">
        <v>1511</v>
      </c>
      <c r="Q788" s="24" t="s">
        <v>680</v>
      </c>
    </row>
    <row r="789" spans="1:17" hidden="1" x14ac:dyDescent="0.3">
      <c r="A789" s="20">
        <f t="shared" si="12"/>
        <v>788</v>
      </c>
      <c r="B789" s="21" t="s">
        <v>87</v>
      </c>
      <c r="C789" s="21" t="s">
        <v>97</v>
      </c>
      <c r="D789" s="22" t="str">
        <f>IF($C789="","",IFERROR(VLOOKUP($C789,Map_Register!$A$2:$C$5,3,FALSE()),""))</f>
        <v>Toponym Labels</v>
      </c>
      <c r="E789" s="21" t="s">
        <v>15</v>
      </c>
      <c r="F789" s="23">
        <v>598858</v>
      </c>
      <c r="G789" s="20" t="s">
        <v>719</v>
      </c>
      <c r="H789" s="20" t="s">
        <v>1512</v>
      </c>
      <c r="I789" t="s">
        <v>697</v>
      </c>
      <c r="J789" s="20" t="s">
        <v>6</v>
      </c>
      <c r="K789" s="20" t="s">
        <v>137</v>
      </c>
      <c r="L789" s="20" t="s">
        <v>137</v>
      </c>
      <c r="M789" s="20" t="s">
        <v>1513</v>
      </c>
      <c r="Q789" s="24" t="s">
        <v>680</v>
      </c>
    </row>
    <row r="790" spans="1:17" x14ac:dyDescent="0.3">
      <c r="A790" s="20">
        <f t="shared" si="12"/>
        <v>789</v>
      </c>
      <c r="B790" s="21" t="s">
        <v>87</v>
      </c>
      <c r="C790" s="21" t="s">
        <v>97</v>
      </c>
      <c r="D790" s="22" t="str">
        <f>IF($C790="","",IFERROR(VLOOKUP($C790,Map_Register!$A$2:$C$5,3,FALSE()),""))</f>
        <v>Toponym Labels</v>
      </c>
      <c r="E790" s="21" t="s">
        <v>15</v>
      </c>
      <c r="F790" s="23">
        <v>598859</v>
      </c>
      <c r="G790" s="20" t="s">
        <v>719</v>
      </c>
      <c r="H790" s="20" t="s">
        <v>1514</v>
      </c>
      <c r="I790" t="s">
        <v>697</v>
      </c>
      <c r="J790" s="20" t="s">
        <v>8</v>
      </c>
      <c r="K790" t="s">
        <v>107</v>
      </c>
      <c r="L790" t="s">
        <v>108</v>
      </c>
      <c r="M790" s="20" t="s">
        <v>1126</v>
      </c>
      <c r="N790" s="20" t="s">
        <v>108</v>
      </c>
      <c r="Q790" s="24" t="s">
        <v>680</v>
      </c>
    </row>
    <row r="791" spans="1:17" x14ac:dyDescent="0.3">
      <c r="A791" s="20">
        <f t="shared" si="12"/>
        <v>790</v>
      </c>
      <c r="B791" s="21" t="s">
        <v>87</v>
      </c>
      <c r="C791" s="21" t="s">
        <v>97</v>
      </c>
      <c r="D791" s="22" t="str">
        <f>IF($C791="","",IFERROR(VLOOKUP($C791,Map_Register!$A$2:$C$5,3,FALSE()),""))</f>
        <v>Toponym Labels</v>
      </c>
      <c r="E791" s="21" t="s">
        <v>15</v>
      </c>
      <c r="F791" s="23">
        <v>598861</v>
      </c>
      <c r="G791" s="20" t="s">
        <v>719</v>
      </c>
      <c r="H791" s="20" t="s">
        <v>1515</v>
      </c>
      <c r="I791" t="s">
        <v>697</v>
      </c>
      <c r="J791" s="20" t="s">
        <v>8</v>
      </c>
      <c r="K791" t="s">
        <v>107</v>
      </c>
      <c r="L791" t="s">
        <v>108</v>
      </c>
      <c r="M791" s="20" t="s">
        <v>1126</v>
      </c>
      <c r="N791" s="20" t="s">
        <v>108</v>
      </c>
      <c r="Q791" s="24" t="s">
        <v>680</v>
      </c>
    </row>
    <row r="792" spans="1:17" x14ac:dyDescent="0.3">
      <c r="A792" s="20">
        <f t="shared" si="12"/>
        <v>791</v>
      </c>
      <c r="B792" s="21" t="s">
        <v>87</v>
      </c>
      <c r="C792" s="21" t="s">
        <v>97</v>
      </c>
      <c r="D792" s="22" t="str">
        <f>IF($C792="","",IFERROR(VLOOKUP($C792,Map_Register!$A$2:$C$5,3,FALSE()),""))</f>
        <v>Toponym Labels</v>
      </c>
      <c r="E792" s="21" t="s">
        <v>15</v>
      </c>
      <c r="F792" s="23">
        <v>598862</v>
      </c>
      <c r="G792" s="20" t="s">
        <v>719</v>
      </c>
      <c r="H792" s="20" t="s">
        <v>1516</v>
      </c>
      <c r="I792" t="s">
        <v>697</v>
      </c>
      <c r="J792" s="20" t="s">
        <v>8</v>
      </c>
      <c r="K792" t="s">
        <v>107</v>
      </c>
      <c r="L792" t="s">
        <v>108</v>
      </c>
      <c r="M792" s="20" t="s">
        <v>1126</v>
      </c>
      <c r="N792" s="20" t="s">
        <v>108</v>
      </c>
      <c r="Q792" s="24" t="s">
        <v>680</v>
      </c>
    </row>
    <row r="793" spans="1:17" x14ac:dyDescent="0.3">
      <c r="A793" s="20">
        <f t="shared" si="12"/>
        <v>792</v>
      </c>
      <c r="B793" s="21" t="s">
        <v>87</v>
      </c>
      <c r="C793" s="21" t="s">
        <v>97</v>
      </c>
      <c r="D793" s="22" t="str">
        <f>IF($C793="","",IFERROR(VLOOKUP($C793,Map_Register!$A$2:$C$5,3,FALSE()),""))</f>
        <v>Toponym Labels</v>
      </c>
      <c r="E793" s="21" t="s">
        <v>15</v>
      </c>
      <c r="F793" s="23">
        <v>598863</v>
      </c>
      <c r="G793" s="20" t="s">
        <v>719</v>
      </c>
      <c r="H793" s="20" t="s">
        <v>1517</v>
      </c>
      <c r="I793" t="s">
        <v>697</v>
      </c>
      <c r="J793" s="20" t="s">
        <v>8</v>
      </c>
      <c r="K793" t="s">
        <v>107</v>
      </c>
      <c r="L793" t="s">
        <v>108</v>
      </c>
      <c r="M793" s="20" t="s">
        <v>1126</v>
      </c>
      <c r="N793" s="20" t="s">
        <v>108</v>
      </c>
      <c r="Q793" s="24" t="s">
        <v>680</v>
      </c>
    </row>
    <row r="794" spans="1:17" x14ac:dyDescent="0.3">
      <c r="A794" s="20">
        <f t="shared" si="12"/>
        <v>793</v>
      </c>
      <c r="B794" s="21" t="s">
        <v>87</v>
      </c>
      <c r="C794" s="21" t="s">
        <v>97</v>
      </c>
      <c r="D794" s="22" t="str">
        <f>IF($C794="","",IFERROR(VLOOKUP($C794,Map_Register!$A$2:$C$5,3,FALSE()),""))</f>
        <v>Toponym Labels</v>
      </c>
      <c r="E794" s="21" t="s">
        <v>15</v>
      </c>
      <c r="F794" s="23">
        <v>598864</v>
      </c>
      <c r="G794" s="20" t="s">
        <v>719</v>
      </c>
      <c r="H794" s="20" t="s">
        <v>1518</v>
      </c>
      <c r="I794" t="s">
        <v>1390</v>
      </c>
      <c r="J794" s="20" t="s">
        <v>8</v>
      </c>
      <c r="K794" t="s">
        <v>107</v>
      </c>
      <c r="L794" t="s">
        <v>108</v>
      </c>
      <c r="M794" s="20" t="s">
        <v>1126</v>
      </c>
      <c r="N794" s="20" t="s">
        <v>108</v>
      </c>
      <c r="Q794" s="24" t="s">
        <v>680</v>
      </c>
    </row>
    <row r="795" spans="1:17" hidden="1" x14ac:dyDescent="0.3">
      <c r="A795" s="20">
        <f t="shared" si="12"/>
        <v>794</v>
      </c>
      <c r="B795" s="21" t="s">
        <v>87</v>
      </c>
      <c r="C795" s="21" t="s">
        <v>97</v>
      </c>
      <c r="D795" s="22" t="str">
        <f>IF($C795="","",IFERROR(VLOOKUP($C795,Map_Register!$A$2:$C$5,3,FALSE()),""))</f>
        <v>Toponym Labels</v>
      </c>
      <c r="E795" s="21" t="s">
        <v>15</v>
      </c>
      <c r="F795" s="23">
        <v>598865</v>
      </c>
      <c r="G795" s="20" t="s">
        <v>719</v>
      </c>
      <c r="H795" s="20" t="s">
        <v>1519</v>
      </c>
      <c r="I795" t="s">
        <v>697</v>
      </c>
      <c r="J795" s="20" t="s">
        <v>6</v>
      </c>
      <c r="K795" s="20" t="s">
        <v>137</v>
      </c>
      <c r="L795" s="20" t="s">
        <v>137</v>
      </c>
      <c r="M795" s="20" t="s">
        <v>721</v>
      </c>
      <c r="Q795" s="24" t="s">
        <v>680</v>
      </c>
    </row>
    <row r="796" spans="1:17" hidden="1" x14ac:dyDescent="0.3">
      <c r="A796" s="20">
        <f t="shared" si="12"/>
        <v>795</v>
      </c>
      <c r="B796" s="21" t="s">
        <v>87</v>
      </c>
      <c r="C796" s="21" t="s">
        <v>97</v>
      </c>
      <c r="D796" s="22" t="str">
        <f>IF($C796="","",IFERROR(VLOOKUP($C796,Map_Register!$A$2:$C$5,3,FALSE()),""))</f>
        <v>Toponym Labels</v>
      </c>
      <c r="E796" s="21" t="s">
        <v>15</v>
      </c>
      <c r="F796" s="23">
        <v>598866</v>
      </c>
      <c r="G796" s="20" t="s">
        <v>719</v>
      </c>
      <c r="H796" s="20" t="s">
        <v>1520</v>
      </c>
      <c r="I796" t="s">
        <v>1390</v>
      </c>
      <c r="J796" s="20" t="s">
        <v>8</v>
      </c>
      <c r="K796" t="s">
        <v>107</v>
      </c>
      <c r="L796" t="s">
        <v>107</v>
      </c>
      <c r="M796" s="20" t="s">
        <v>683</v>
      </c>
      <c r="N796" s="20" t="s">
        <v>108</v>
      </c>
      <c r="Q796" s="24" t="s">
        <v>680</v>
      </c>
    </row>
    <row r="797" spans="1:17" hidden="1" x14ac:dyDescent="0.3">
      <c r="A797" s="20">
        <f t="shared" si="12"/>
        <v>796</v>
      </c>
      <c r="B797" s="21" t="s">
        <v>87</v>
      </c>
      <c r="C797" s="21" t="s">
        <v>97</v>
      </c>
      <c r="D797" s="22" t="str">
        <f>IF($C797="","",IFERROR(VLOOKUP($C797,Map_Register!$A$2:$C$5,3,FALSE()),""))</f>
        <v>Toponym Labels</v>
      </c>
      <c r="E797" s="21" t="s">
        <v>15</v>
      </c>
      <c r="F797" s="23">
        <v>598867</v>
      </c>
      <c r="G797" s="20" t="s">
        <v>719</v>
      </c>
      <c r="H797" s="20" t="s">
        <v>1521</v>
      </c>
      <c r="I797" t="s">
        <v>697</v>
      </c>
      <c r="J797" s="20" t="s">
        <v>8</v>
      </c>
      <c r="K797" t="s">
        <v>107</v>
      </c>
      <c r="L797" t="s">
        <v>107</v>
      </c>
      <c r="M797" s="20" t="s">
        <v>683</v>
      </c>
      <c r="N797" s="20" t="s">
        <v>108</v>
      </c>
      <c r="Q797" s="24" t="s">
        <v>680</v>
      </c>
    </row>
    <row r="798" spans="1:17" x14ac:dyDescent="0.3">
      <c r="A798" s="20">
        <f t="shared" si="12"/>
        <v>797</v>
      </c>
      <c r="B798" s="21" t="s">
        <v>87</v>
      </c>
      <c r="C798" s="21" t="s">
        <v>97</v>
      </c>
      <c r="D798" s="22" t="str">
        <f>IF($C798="","",IFERROR(VLOOKUP($C798,Map_Register!$A$2:$C$5,3,FALSE()),""))</f>
        <v>Toponym Labels</v>
      </c>
      <c r="E798" s="21" t="s">
        <v>15</v>
      </c>
      <c r="F798" s="23">
        <v>598870</v>
      </c>
      <c r="G798" s="20" t="s">
        <v>719</v>
      </c>
      <c r="H798" s="20" t="s">
        <v>1522</v>
      </c>
      <c r="I798" t="s">
        <v>697</v>
      </c>
      <c r="J798" s="20" t="s">
        <v>8</v>
      </c>
      <c r="K798" t="s">
        <v>107</v>
      </c>
      <c r="L798" t="s">
        <v>108</v>
      </c>
      <c r="M798" s="20" t="s">
        <v>1126</v>
      </c>
      <c r="N798" s="20" t="s">
        <v>108</v>
      </c>
      <c r="Q798" s="24" t="s">
        <v>680</v>
      </c>
    </row>
    <row r="799" spans="1:17" hidden="1" x14ac:dyDescent="0.3">
      <c r="A799" s="20">
        <f t="shared" si="12"/>
        <v>798</v>
      </c>
      <c r="B799" s="21" t="s">
        <v>87</v>
      </c>
      <c r="C799" s="21" t="s">
        <v>97</v>
      </c>
      <c r="D799" s="22" t="str">
        <f>IF($C799="","",IFERROR(VLOOKUP($C799,Map_Register!$A$2:$C$5,3,FALSE()),""))</f>
        <v>Toponym Labels</v>
      </c>
      <c r="E799" s="21" t="s">
        <v>15</v>
      </c>
      <c r="F799" s="23">
        <v>598888</v>
      </c>
      <c r="G799" s="20" t="s">
        <v>719</v>
      </c>
      <c r="H799" s="20" t="s">
        <v>1523</v>
      </c>
      <c r="I799" t="s">
        <v>697</v>
      </c>
      <c r="J799" s="20" t="s">
        <v>992</v>
      </c>
      <c r="K799" s="20" t="s">
        <v>137</v>
      </c>
      <c r="L799" s="20" t="s">
        <v>137</v>
      </c>
      <c r="M799" s="20" t="s">
        <v>1524</v>
      </c>
      <c r="Q799" s="24" t="s">
        <v>680</v>
      </c>
    </row>
    <row r="800" spans="1:17" hidden="1" x14ac:dyDescent="0.3">
      <c r="A800" s="20">
        <f t="shared" si="12"/>
        <v>799</v>
      </c>
      <c r="B800" s="21" t="s">
        <v>87</v>
      </c>
      <c r="C800" s="21" t="s">
        <v>97</v>
      </c>
      <c r="D800" s="22" t="str">
        <f>IF($C800="","",IFERROR(VLOOKUP($C800,Map_Register!$A$2:$C$5,3,FALSE()),""))</f>
        <v>Toponym Labels</v>
      </c>
      <c r="E800" s="21" t="s">
        <v>15</v>
      </c>
      <c r="F800" s="23">
        <v>598897</v>
      </c>
      <c r="G800" s="20" t="s">
        <v>719</v>
      </c>
      <c r="H800" s="20" t="s">
        <v>1525</v>
      </c>
      <c r="I800" t="s">
        <v>1390</v>
      </c>
      <c r="J800" s="20" t="s">
        <v>8</v>
      </c>
      <c r="K800" t="s">
        <v>107</v>
      </c>
      <c r="L800" t="s">
        <v>107</v>
      </c>
      <c r="M800" s="20" t="s">
        <v>683</v>
      </c>
      <c r="N800" s="20" t="s">
        <v>108</v>
      </c>
      <c r="Q800" s="24" t="s">
        <v>680</v>
      </c>
    </row>
    <row r="801" spans="1:17" hidden="1" x14ac:dyDescent="0.3">
      <c r="A801" s="20">
        <f t="shared" si="12"/>
        <v>800</v>
      </c>
      <c r="B801" s="21" t="s">
        <v>87</v>
      </c>
      <c r="C801" s="21" t="s">
        <v>97</v>
      </c>
      <c r="D801" s="22" t="str">
        <f>IF($C801="","",IFERROR(VLOOKUP($C801,Map_Register!$A$2:$C$5,3,FALSE()),""))</f>
        <v>Toponym Labels</v>
      </c>
      <c r="E801" s="21" t="s">
        <v>15</v>
      </c>
      <c r="F801" s="23">
        <v>598898</v>
      </c>
      <c r="G801" s="20" t="s">
        <v>719</v>
      </c>
      <c r="H801" s="20" t="s">
        <v>1526</v>
      </c>
      <c r="I801" t="s">
        <v>1390</v>
      </c>
      <c r="J801" s="20" t="s">
        <v>6</v>
      </c>
      <c r="K801" s="20" t="s">
        <v>137</v>
      </c>
      <c r="L801" s="20" t="s">
        <v>137</v>
      </c>
      <c r="M801" s="20" t="s">
        <v>1527</v>
      </c>
      <c r="Q801" s="24" t="s">
        <v>680</v>
      </c>
    </row>
    <row r="802" spans="1:17" hidden="1" x14ac:dyDescent="0.3">
      <c r="A802" s="20">
        <f t="shared" si="12"/>
        <v>801</v>
      </c>
      <c r="B802" s="21" t="s">
        <v>87</v>
      </c>
      <c r="C802" s="21" t="s">
        <v>97</v>
      </c>
      <c r="D802" s="22" t="str">
        <f>IF($C802="","",IFERROR(VLOOKUP($C802,Map_Register!$A$2:$C$5,3,FALSE()),""))</f>
        <v>Toponym Labels</v>
      </c>
      <c r="E802" s="21" t="s">
        <v>15</v>
      </c>
      <c r="F802" s="23">
        <v>598901</v>
      </c>
      <c r="G802" s="20" t="s">
        <v>719</v>
      </c>
      <c r="H802" s="20" t="s">
        <v>1528</v>
      </c>
      <c r="I802" t="s">
        <v>697</v>
      </c>
      <c r="J802" s="20" t="s">
        <v>8</v>
      </c>
      <c r="K802" t="s">
        <v>107</v>
      </c>
      <c r="L802" t="s">
        <v>107</v>
      </c>
      <c r="M802" s="20" t="s">
        <v>683</v>
      </c>
      <c r="N802" s="20" t="s">
        <v>108</v>
      </c>
      <c r="Q802" s="24" t="s">
        <v>680</v>
      </c>
    </row>
    <row r="803" spans="1:17" hidden="1" x14ac:dyDescent="0.3">
      <c r="A803" s="20">
        <f t="shared" si="12"/>
        <v>802</v>
      </c>
      <c r="B803" s="21" t="s">
        <v>87</v>
      </c>
      <c r="C803" s="21" t="s">
        <v>97</v>
      </c>
      <c r="D803" s="22" t="str">
        <f>IF($C803="","",IFERROR(VLOOKUP($C803,Map_Register!$A$2:$C$5,3,FALSE()),""))</f>
        <v>Toponym Labels</v>
      </c>
      <c r="E803" s="21" t="s">
        <v>15</v>
      </c>
      <c r="F803" s="23">
        <v>609042</v>
      </c>
      <c r="G803" s="20" t="s">
        <v>719</v>
      </c>
      <c r="H803" s="20" t="s">
        <v>1529</v>
      </c>
      <c r="I803" t="s">
        <v>1390</v>
      </c>
      <c r="J803" s="20" t="s">
        <v>6</v>
      </c>
      <c r="K803" s="20" t="s">
        <v>137</v>
      </c>
      <c r="L803" s="20" t="s">
        <v>137</v>
      </c>
      <c r="M803" s="20" t="s">
        <v>1530</v>
      </c>
      <c r="Q803" s="24" t="s">
        <v>680</v>
      </c>
    </row>
    <row r="804" spans="1:17" hidden="1" x14ac:dyDescent="0.3">
      <c r="A804" s="20">
        <f t="shared" si="12"/>
        <v>803</v>
      </c>
      <c r="B804" s="21" t="s">
        <v>87</v>
      </c>
      <c r="C804" s="21" t="s">
        <v>97</v>
      </c>
      <c r="D804" s="22" t="str">
        <f>IF($C804="","",IFERROR(VLOOKUP($C804,Map_Register!$A$2:$C$5,3,FALSE()),""))</f>
        <v>Toponym Labels</v>
      </c>
      <c r="E804" s="21" t="s">
        <v>15</v>
      </c>
      <c r="F804" s="23">
        <v>609086</v>
      </c>
      <c r="G804" s="20" t="s">
        <v>719</v>
      </c>
      <c r="H804" s="20" t="s">
        <v>1531</v>
      </c>
      <c r="I804" t="s">
        <v>697</v>
      </c>
      <c r="J804" s="20" t="s">
        <v>8</v>
      </c>
      <c r="K804" t="s">
        <v>107</v>
      </c>
      <c r="L804" t="s">
        <v>107</v>
      </c>
      <c r="M804" s="20" t="s">
        <v>683</v>
      </c>
      <c r="N804" s="20" t="s">
        <v>108</v>
      </c>
      <c r="Q804" s="24" t="s">
        <v>680</v>
      </c>
    </row>
    <row r="805" spans="1:17" hidden="1" x14ac:dyDescent="0.3">
      <c r="A805" s="20">
        <f t="shared" si="12"/>
        <v>804</v>
      </c>
      <c r="B805" s="21" t="s">
        <v>87</v>
      </c>
      <c r="C805" s="21" t="s">
        <v>97</v>
      </c>
      <c r="D805" s="22" t="str">
        <f>IF($C805="","",IFERROR(VLOOKUP($C805,Map_Register!$A$2:$C$5,3,FALSE()),""))</f>
        <v>Toponym Labels</v>
      </c>
      <c r="E805" s="21" t="s">
        <v>15</v>
      </c>
      <c r="F805" s="23">
        <v>610024</v>
      </c>
      <c r="G805" s="20" t="s">
        <v>719</v>
      </c>
      <c r="H805" s="20" t="s">
        <v>1532</v>
      </c>
      <c r="I805" t="s">
        <v>1390</v>
      </c>
      <c r="J805" s="20" t="s">
        <v>6</v>
      </c>
      <c r="K805" s="20" t="s">
        <v>137</v>
      </c>
      <c r="L805" s="20" t="s">
        <v>137</v>
      </c>
      <c r="M805" s="20" t="s">
        <v>1533</v>
      </c>
      <c r="Q805" s="24" t="s">
        <v>680</v>
      </c>
    </row>
    <row r="806" spans="1:17" x14ac:dyDescent="0.3">
      <c r="A806" s="20">
        <f t="shared" si="12"/>
        <v>805</v>
      </c>
      <c r="B806" s="21" t="s">
        <v>87</v>
      </c>
      <c r="C806" s="21" t="s">
        <v>97</v>
      </c>
      <c r="D806" s="22" t="str">
        <f>IF($C806="","",IFERROR(VLOOKUP($C806,Map_Register!$A$2:$C$5,3,FALSE()),""))</f>
        <v>Toponym Labels</v>
      </c>
      <c r="E806" s="21" t="s">
        <v>15</v>
      </c>
      <c r="F806" s="23">
        <v>610058</v>
      </c>
      <c r="G806" s="20" t="s">
        <v>719</v>
      </c>
      <c r="H806" s="20" t="s">
        <v>1534</v>
      </c>
      <c r="I806" t="s">
        <v>697</v>
      </c>
      <c r="J806" s="20" t="s">
        <v>8</v>
      </c>
      <c r="K806" t="s">
        <v>107</v>
      </c>
      <c r="L806" t="s">
        <v>108</v>
      </c>
      <c r="M806" s="20" t="s">
        <v>1126</v>
      </c>
      <c r="N806" s="20" t="s">
        <v>108</v>
      </c>
      <c r="Q806" s="24" t="s">
        <v>680</v>
      </c>
    </row>
    <row r="807" spans="1:17" hidden="1" x14ac:dyDescent="0.3">
      <c r="A807" s="20">
        <f t="shared" si="12"/>
        <v>806</v>
      </c>
      <c r="B807" s="21" t="s">
        <v>87</v>
      </c>
      <c r="C807" s="21" t="s">
        <v>97</v>
      </c>
      <c r="D807" s="22" t="str">
        <f>IF($C807="","",IFERROR(VLOOKUP($C807,Map_Register!$A$2:$C$5,3,FALSE()),""))</f>
        <v>Toponym Labels</v>
      </c>
      <c r="E807" s="21" t="s">
        <v>15</v>
      </c>
      <c r="F807" s="23">
        <v>610211</v>
      </c>
      <c r="G807" s="20" t="s">
        <v>719</v>
      </c>
      <c r="H807" s="20" t="s">
        <v>1535</v>
      </c>
      <c r="I807" t="s">
        <v>1390</v>
      </c>
      <c r="J807" s="20" t="s">
        <v>6</v>
      </c>
      <c r="K807" s="20" t="s">
        <v>137</v>
      </c>
      <c r="L807" s="20" t="s">
        <v>137</v>
      </c>
      <c r="M807" s="20" t="s">
        <v>1536</v>
      </c>
      <c r="Q807" s="24" t="s">
        <v>680</v>
      </c>
    </row>
    <row r="808" spans="1:17" hidden="1" x14ac:dyDescent="0.3">
      <c r="A808" s="20">
        <f t="shared" si="12"/>
        <v>807</v>
      </c>
      <c r="B808" s="21" t="s">
        <v>87</v>
      </c>
      <c r="C808" s="21" t="s">
        <v>97</v>
      </c>
      <c r="D808" s="22" t="str">
        <f>IF($C808="","",IFERROR(VLOOKUP($C808,Map_Register!$A$2:$C$5,3,FALSE()),""))</f>
        <v>Toponym Labels</v>
      </c>
      <c r="E808" s="21" t="s">
        <v>15</v>
      </c>
      <c r="F808" s="23">
        <v>6975</v>
      </c>
      <c r="G808" s="20" t="s">
        <v>1537</v>
      </c>
      <c r="H808" s="20" t="s">
        <v>1538</v>
      </c>
      <c r="I808" t="s">
        <v>697</v>
      </c>
      <c r="J808" s="20" t="s">
        <v>6</v>
      </c>
      <c r="K808" s="20" t="s">
        <v>137</v>
      </c>
      <c r="L808" s="20" t="s">
        <v>137</v>
      </c>
      <c r="M808" t="s">
        <v>1539</v>
      </c>
      <c r="Q808" s="24" t="s">
        <v>680</v>
      </c>
    </row>
    <row r="809" spans="1:17" hidden="1" x14ac:dyDescent="0.3">
      <c r="A809" s="20">
        <f t="shared" si="12"/>
        <v>808</v>
      </c>
      <c r="B809" s="21" t="s">
        <v>87</v>
      </c>
      <c r="C809" s="21" t="s">
        <v>97</v>
      </c>
      <c r="D809" s="22" t="str">
        <f>IF($C809="","",IFERROR(VLOOKUP($C809,Map_Register!$A$2:$C$5,3,FALSE()),""))</f>
        <v>Toponym Labels</v>
      </c>
      <c r="E809" s="21" t="s">
        <v>15</v>
      </c>
      <c r="F809" s="23">
        <v>9215</v>
      </c>
      <c r="G809" s="20" t="s">
        <v>1537</v>
      </c>
      <c r="H809" s="20" t="s">
        <v>1540</v>
      </c>
      <c r="I809" t="s">
        <v>697</v>
      </c>
      <c r="J809" s="20" t="s">
        <v>6</v>
      </c>
      <c r="K809" s="20" t="s">
        <v>137</v>
      </c>
      <c r="L809" s="20" t="s">
        <v>137</v>
      </c>
      <c r="M809" t="s">
        <v>1539</v>
      </c>
      <c r="Q809" s="24" t="s">
        <v>680</v>
      </c>
    </row>
    <row r="810" spans="1:17" hidden="1" x14ac:dyDescent="0.3">
      <c r="A810" s="20">
        <f t="shared" si="12"/>
        <v>809</v>
      </c>
      <c r="B810" s="21" t="s">
        <v>87</v>
      </c>
      <c r="C810" s="21" t="s">
        <v>97</v>
      </c>
      <c r="D810" s="22" t="str">
        <f>IF($C810="","",IFERROR(VLOOKUP($C810,Map_Register!$A$2:$C$5,3,FALSE()),""))</f>
        <v>Toponym Labels</v>
      </c>
      <c r="E810" s="21" t="s">
        <v>15</v>
      </c>
      <c r="F810" s="23">
        <v>20234</v>
      </c>
      <c r="G810" s="20" t="s">
        <v>1537</v>
      </c>
      <c r="H810" s="20" t="s">
        <v>1019</v>
      </c>
      <c r="I810" t="s">
        <v>697</v>
      </c>
      <c r="J810" s="20" t="s">
        <v>6</v>
      </c>
      <c r="K810" s="20" t="s">
        <v>137</v>
      </c>
      <c r="L810" s="20" t="s">
        <v>137</v>
      </c>
      <c r="M810" t="s">
        <v>1539</v>
      </c>
      <c r="Q810" s="24" t="s">
        <v>680</v>
      </c>
    </row>
    <row r="811" spans="1:17" hidden="1" x14ac:dyDescent="0.3">
      <c r="A811" s="20">
        <f t="shared" si="12"/>
        <v>810</v>
      </c>
      <c r="B811" s="21" t="s">
        <v>87</v>
      </c>
      <c r="C811" s="21" t="s">
        <v>97</v>
      </c>
      <c r="D811" s="22" t="str">
        <f>IF($C811="","",IFERROR(VLOOKUP($C811,Map_Register!$A$2:$C$5,3,FALSE()),""))</f>
        <v>Toponym Labels</v>
      </c>
      <c r="E811" s="21" t="s">
        <v>15</v>
      </c>
      <c r="F811" s="23">
        <v>21912</v>
      </c>
      <c r="G811" s="20" t="s">
        <v>1537</v>
      </c>
      <c r="H811" s="20" t="s">
        <v>1541</v>
      </c>
      <c r="I811" t="s">
        <v>697</v>
      </c>
      <c r="J811" s="20" t="s">
        <v>6</v>
      </c>
      <c r="K811" s="20" t="s">
        <v>137</v>
      </c>
      <c r="L811" s="20" t="s">
        <v>137</v>
      </c>
      <c r="M811" t="s">
        <v>1539</v>
      </c>
      <c r="Q811" s="24" t="s">
        <v>680</v>
      </c>
    </row>
    <row r="812" spans="1:17" hidden="1" x14ac:dyDescent="0.3">
      <c r="A812" s="20">
        <f t="shared" si="12"/>
        <v>811</v>
      </c>
      <c r="B812" s="21" t="s">
        <v>87</v>
      </c>
      <c r="C812" s="21" t="s">
        <v>97</v>
      </c>
      <c r="D812" s="22" t="str">
        <f>IF($C812="","",IFERROR(VLOOKUP($C812,Map_Register!$A$2:$C$5,3,FALSE()),""))</f>
        <v>Toponym Labels</v>
      </c>
      <c r="E812" s="21" t="s">
        <v>15</v>
      </c>
      <c r="F812" s="23">
        <v>25827</v>
      </c>
      <c r="G812" s="20" t="s">
        <v>1537</v>
      </c>
      <c r="H812" s="20" t="s">
        <v>1035</v>
      </c>
      <c r="I812" t="s">
        <v>697</v>
      </c>
      <c r="J812" s="20" t="s">
        <v>6</v>
      </c>
      <c r="K812" s="20" t="s">
        <v>137</v>
      </c>
      <c r="L812" s="20" t="s">
        <v>137</v>
      </c>
      <c r="M812" t="s">
        <v>1539</v>
      </c>
      <c r="Q812" s="24" t="s">
        <v>680</v>
      </c>
    </row>
    <row r="813" spans="1:17" hidden="1" x14ac:dyDescent="0.3">
      <c r="A813" s="20">
        <f t="shared" si="12"/>
        <v>812</v>
      </c>
      <c r="B813" s="21" t="s">
        <v>87</v>
      </c>
      <c r="C813" s="21" t="s">
        <v>97</v>
      </c>
      <c r="D813" s="22" t="str">
        <f>IF($C813="","",IFERROR(VLOOKUP($C813,Map_Register!$A$2:$C$5,3,FALSE()),""))</f>
        <v>Toponym Labels</v>
      </c>
      <c r="E813" s="21" t="s">
        <v>15</v>
      </c>
      <c r="F813" s="23">
        <v>26061</v>
      </c>
      <c r="G813" s="20" t="s">
        <v>1537</v>
      </c>
      <c r="H813" s="20" t="s">
        <v>1542</v>
      </c>
      <c r="I813" t="s">
        <v>697</v>
      </c>
      <c r="J813" s="20" t="s">
        <v>6</v>
      </c>
      <c r="K813" s="20" t="s">
        <v>137</v>
      </c>
      <c r="L813" s="20" t="s">
        <v>137</v>
      </c>
      <c r="M813" t="s">
        <v>1539</v>
      </c>
      <c r="Q813" s="24" t="s">
        <v>680</v>
      </c>
    </row>
    <row r="814" spans="1:17" hidden="1" x14ac:dyDescent="0.3">
      <c r="A814" s="20">
        <f t="shared" si="12"/>
        <v>813</v>
      </c>
      <c r="B814" s="21" t="s">
        <v>87</v>
      </c>
      <c r="C814" s="21" t="s">
        <v>97</v>
      </c>
      <c r="D814" s="22" t="str">
        <f>IF($C814="","",IFERROR(VLOOKUP($C814,Map_Register!$A$2:$C$5,3,FALSE()),""))</f>
        <v>Toponym Labels</v>
      </c>
      <c r="E814" s="21" t="s">
        <v>15</v>
      </c>
      <c r="F814" s="23">
        <v>26593</v>
      </c>
      <c r="G814" s="20" t="s">
        <v>1537</v>
      </c>
      <c r="H814" s="20" t="s">
        <v>1543</v>
      </c>
      <c r="I814" t="s">
        <v>697</v>
      </c>
      <c r="J814" s="20" t="s">
        <v>6</v>
      </c>
      <c r="K814" s="20" t="s">
        <v>137</v>
      </c>
      <c r="L814" s="20" t="s">
        <v>137</v>
      </c>
      <c r="M814" t="s">
        <v>1539</v>
      </c>
      <c r="Q814" s="24" t="s">
        <v>680</v>
      </c>
    </row>
    <row r="815" spans="1:17" hidden="1" x14ac:dyDescent="0.3">
      <c r="A815" s="20">
        <f t="shared" si="12"/>
        <v>814</v>
      </c>
      <c r="B815" s="21" t="s">
        <v>87</v>
      </c>
      <c r="C815" s="21" t="s">
        <v>97</v>
      </c>
      <c r="D815" s="22" t="str">
        <f>IF($C815="","",IFERROR(VLOOKUP($C815,Map_Register!$A$2:$C$5,3,FALSE()),""))</f>
        <v>Toponym Labels</v>
      </c>
      <c r="E815" s="21" t="s">
        <v>15</v>
      </c>
      <c r="F815" s="23">
        <v>27166</v>
      </c>
      <c r="G815" s="20" t="s">
        <v>1537</v>
      </c>
      <c r="H815" s="20" t="s">
        <v>1544</v>
      </c>
      <c r="I815" t="s">
        <v>697</v>
      </c>
      <c r="J815" s="20" t="s">
        <v>6</v>
      </c>
      <c r="K815" s="20" t="s">
        <v>137</v>
      </c>
      <c r="L815" s="20" t="s">
        <v>137</v>
      </c>
      <c r="M815" t="s">
        <v>1539</v>
      </c>
      <c r="Q815" s="24" t="s">
        <v>680</v>
      </c>
    </row>
    <row r="816" spans="1:17" hidden="1" x14ac:dyDescent="0.3">
      <c r="A816" s="20">
        <f t="shared" si="12"/>
        <v>815</v>
      </c>
      <c r="B816" s="21" t="s">
        <v>87</v>
      </c>
      <c r="C816" s="21" t="s">
        <v>97</v>
      </c>
      <c r="D816" s="22" t="str">
        <f>IF($C816="","",IFERROR(VLOOKUP($C816,Map_Register!$A$2:$C$5,3,FALSE()),""))</f>
        <v>Toponym Labels</v>
      </c>
      <c r="E816" s="21" t="s">
        <v>15</v>
      </c>
      <c r="F816" s="23">
        <v>27324</v>
      </c>
      <c r="G816" s="20" t="s">
        <v>1537</v>
      </c>
      <c r="H816" s="20" t="s">
        <v>1545</v>
      </c>
      <c r="I816" t="s">
        <v>697</v>
      </c>
      <c r="J816" s="20" t="s">
        <v>6</v>
      </c>
      <c r="K816" s="20" t="s">
        <v>137</v>
      </c>
      <c r="L816" s="20" t="s">
        <v>137</v>
      </c>
      <c r="M816" t="s">
        <v>1539</v>
      </c>
      <c r="Q816" s="24" t="s">
        <v>680</v>
      </c>
    </row>
    <row r="817" spans="1:17" hidden="1" x14ac:dyDescent="0.3">
      <c r="A817" s="20">
        <f t="shared" si="12"/>
        <v>816</v>
      </c>
      <c r="B817" s="21" t="s">
        <v>87</v>
      </c>
      <c r="C817" s="21" t="s">
        <v>97</v>
      </c>
      <c r="D817" s="22" t="str">
        <f>IF($C817="","",IFERROR(VLOOKUP($C817,Map_Register!$A$2:$C$5,3,FALSE()),""))</f>
        <v>Toponym Labels</v>
      </c>
      <c r="E817" s="21" t="s">
        <v>15</v>
      </c>
      <c r="F817" s="23">
        <v>29929</v>
      </c>
      <c r="G817" s="20" t="s">
        <v>1537</v>
      </c>
      <c r="H817" s="20" t="s">
        <v>1546</v>
      </c>
      <c r="I817" t="s">
        <v>697</v>
      </c>
      <c r="J817" s="20" t="s">
        <v>6</v>
      </c>
      <c r="K817" s="20" t="s">
        <v>137</v>
      </c>
      <c r="L817" s="20" t="s">
        <v>137</v>
      </c>
      <c r="M817" t="s">
        <v>1539</v>
      </c>
      <c r="Q817" s="24" t="s">
        <v>680</v>
      </c>
    </row>
    <row r="818" spans="1:17" hidden="1" x14ac:dyDescent="0.3">
      <c r="A818" s="20">
        <f t="shared" si="12"/>
        <v>817</v>
      </c>
      <c r="B818" s="21" t="s">
        <v>87</v>
      </c>
      <c r="C818" s="21" t="s">
        <v>97</v>
      </c>
      <c r="D818" s="22" t="str">
        <f>IF($C818="","",IFERROR(VLOOKUP($C818,Map_Register!$A$2:$C$5,3,FALSE()),""))</f>
        <v>Toponym Labels</v>
      </c>
      <c r="E818" s="21" t="s">
        <v>15</v>
      </c>
      <c r="F818" s="23">
        <v>30730</v>
      </c>
      <c r="G818" s="20" t="s">
        <v>1537</v>
      </c>
      <c r="H818" s="20" t="s">
        <v>1547</v>
      </c>
      <c r="I818" t="s">
        <v>697</v>
      </c>
      <c r="J818" s="20" t="s">
        <v>6</v>
      </c>
      <c r="K818" s="20" t="s">
        <v>137</v>
      </c>
      <c r="L818" s="20" t="s">
        <v>137</v>
      </c>
      <c r="M818" t="s">
        <v>1539</v>
      </c>
      <c r="Q818" s="24" t="s">
        <v>680</v>
      </c>
    </row>
    <row r="819" spans="1:17" hidden="1" x14ac:dyDescent="0.3">
      <c r="A819" s="20">
        <f t="shared" si="12"/>
        <v>818</v>
      </c>
      <c r="B819" s="21" t="s">
        <v>87</v>
      </c>
      <c r="C819" s="21" t="s">
        <v>97</v>
      </c>
      <c r="D819" s="22" t="str">
        <f>IF($C819="","",IFERROR(VLOOKUP($C819,Map_Register!$A$2:$C$5,3,FALSE()),""))</f>
        <v>Toponym Labels</v>
      </c>
      <c r="E819" s="21" t="s">
        <v>15</v>
      </c>
      <c r="F819" s="23">
        <v>31526</v>
      </c>
      <c r="G819" s="20" t="s">
        <v>1537</v>
      </c>
      <c r="H819" s="20" t="s">
        <v>813</v>
      </c>
      <c r="I819" t="s">
        <v>697</v>
      </c>
      <c r="J819" s="20" t="s">
        <v>6</v>
      </c>
      <c r="K819" s="20" t="s">
        <v>137</v>
      </c>
      <c r="L819" s="20" t="s">
        <v>137</v>
      </c>
      <c r="M819" t="s">
        <v>1539</v>
      </c>
      <c r="Q819" s="24" t="s">
        <v>680</v>
      </c>
    </row>
    <row r="820" spans="1:17" hidden="1" x14ac:dyDescent="0.3">
      <c r="A820" s="20">
        <f t="shared" si="12"/>
        <v>819</v>
      </c>
      <c r="B820" s="21" t="s">
        <v>87</v>
      </c>
      <c r="C820" s="21" t="s">
        <v>97</v>
      </c>
      <c r="D820" s="22" t="str">
        <f>IF($C820="","",IFERROR(VLOOKUP($C820,Map_Register!$A$2:$C$5,3,FALSE()),""))</f>
        <v>Toponym Labels</v>
      </c>
      <c r="E820" s="21" t="s">
        <v>15</v>
      </c>
      <c r="F820" s="23">
        <v>34039</v>
      </c>
      <c r="G820" s="20" t="s">
        <v>1537</v>
      </c>
      <c r="H820" s="20" t="s">
        <v>1548</v>
      </c>
      <c r="I820" t="s">
        <v>697</v>
      </c>
      <c r="J820" s="20" t="s">
        <v>6</v>
      </c>
      <c r="K820" s="20" t="s">
        <v>137</v>
      </c>
      <c r="L820" s="20" t="s">
        <v>137</v>
      </c>
      <c r="M820" t="s">
        <v>1539</v>
      </c>
      <c r="Q820" s="24" t="s">
        <v>680</v>
      </c>
    </row>
    <row r="821" spans="1:17" hidden="1" x14ac:dyDescent="0.3">
      <c r="A821" s="20">
        <f t="shared" si="12"/>
        <v>820</v>
      </c>
      <c r="B821" s="21" t="s">
        <v>87</v>
      </c>
      <c r="C821" s="21" t="s">
        <v>97</v>
      </c>
      <c r="D821" s="22" t="str">
        <f>IF($C821="","",IFERROR(VLOOKUP($C821,Map_Register!$A$2:$C$5,3,FALSE()),""))</f>
        <v>Toponym Labels</v>
      </c>
      <c r="E821" s="21" t="s">
        <v>15</v>
      </c>
      <c r="F821" s="23">
        <v>34432</v>
      </c>
      <c r="G821" s="20" t="s">
        <v>1537</v>
      </c>
      <c r="H821" s="20" t="s">
        <v>1549</v>
      </c>
      <c r="I821" t="s">
        <v>697</v>
      </c>
      <c r="J821" s="20" t="s">
        <v>6</v>
      </c>
      <c r="K821" s="20" t="s">
        <v>137</v>
      </c>
      <c r="L821" s="20" t="s">
        <v>137</v>
      </c>
      <c r="M821" t="s">
        <v>1539</v>
      </c>
      <c r="Q821" s="24" t="s">
        <v>680</v>
      </c>
    </row>
    <row r="822" spans="1:17" hidden="1" x14ac:dyDescent="0.3">
      <c r="A822" s="20">
        <f t="shared" si="12"/>
        <v>821</v>
      </c>
      <c r="B822" s="21" t="s">
        <v>87</v>
      </c>
      <c r="C822" s="21" t="s">
        <v>97</v>
      </c>
      <c r="D822" s="22" t="str">
        <f>IF($C822="","",IFERROR(VLOOKUP($C822,Map_Register!$A$2:$C$5,3,FALSE()),""))</f>
        <v>Toponym Labels</v>
      </c>
      <c r="E822" s="21" t="s">
        <v>15</v>
      </c>
      <c r="F822" s="23">
        <v>40246</v>
      </c>
      <c r="G822" s="20" t="s">
        <v>1537</v>
      </c>
      <c r="H822" s="20" t="s">
        <v>1550</v>
      </c>
      <c r="I822" t="s">
        <v>697</v>
      </c>
      <c r="J822" s="20" t="s">
        <v>6</v>
      </c>
      <c r="K822" s="20" t="s">
        <v>137</v>
      </c>
      <c r="L822" s="20" t="s">
        <v>137</v>
      </c>
      <c r="M822" t="s">
        <v>1539</v>
      </c>
      <c r="Q822" s="24" t="s">
        <v>680</v>
      </c>
    </row>
    <row r="823" spans="1:17" hidden="1" x14ac:dyDescent="0.3">
      <c r="A823" s="20">
        <f t="shared" si="12"/>
        <v>822</v>
      </c>
      <c r="B823" s="21" t="s">
        <v>87</v>
      </c>
      <c r="C823" s="21" t="s">
        <v>97</v>
      </c>
      <c r="D823" s="22" t="str">
        <f>IF($C823="","",IFERROR(VLOOKUP($C823,Map_Register!$A$2:$C$5,3,FALSE()),""))</f>
        <v>Toponym Labels</v>
      </c>
      <c r="E823" s="21" t="s">
        <v>15</v>
      </c>
      <c r="F823" s="23">
        <v>45246</v>
      </c>
      <c r="G823" s="20" t="s">
        <v>1537</v>
      </c>
      <c r="H823" s="20" t="s">
        <v>1551</v>
      </c>
      <c r="I823" t="s">
        <v>697</v>
      </c>
      <c r="J823" s="20" t="s">
        <v>6</v>
      </c>
      <c r="K823" s="20" t="s">
        <v>137</v>
      </c>
      <c r="L823" s="20" t="s">
        <v>137</v>
      </c>
      <c r="M823" t="s">
        <v>1539</v>
      </c>
      <c r="Q823" s="24" t="s">
        <v>680</v>
      </c>
    </row>
    <row r="824" spans="1:17" hidden="1" x14ac:dyDescent="0.3">
      <c r="A824" s="20">
        <f t="shared" si="12"/>
        <v>823</v>
      </c>
      <c r="B824" s="21" t="s">
        <v>87</v>
      </c>
      <c r="C824" s="21" t="s">
        <v>97</v>
      </c>
      <c r="D824" s="22" t="str">
        <f>IF($C824="","",IFERROR(VLOOKUP($C824,Map_Register!$A$2:$C$5,3,FALSE()),""))</f>
        <v>Toponym Labels</v>
      </c>
      <c r="E824" s="21" t="s">
        <v>15</v>
      </c>
      <c r="F824" s="23">
        <v>45477</v>
      </c>
      <c r="G824" s="20" t="s">
        <v>1537</v>
      </c>
      <c r="H824" s="20" t="s">
        <v>1552</v>
      </c>
      <c r="I824" t="s">
        <v>697</v>
      </c>
      <c r="J824" s="20" t="s">
        <v>6</v>
      </c>
      <c r="K824" s="20" t="s">
        <v>137</v>
      </c>
      <c r="L824" s="20" t="s">
        <v>137</v>
      </c>
      <c r="M824" t="s">
        <v>1539</v>
      </c>
      <c r="Q824" s="24" t="s">
        <v>680</v>
      </c>
    </row>
    <row r="825" spans="1:17" hidden="1" x14ac:dyDescent="0.3">
      <c r="A825" s="20">
        <f t="shared" si="12"/>
        <v>824</v>
      </c>
      <c r="B825" s="21" t="s">
        <v>87</v>
      </c>
      <c r="C825" s="21" t="s">
        <v>97</v>
      </c>
      <c r="D825" s="22" t="str">
        <f>IF($C825="","",IFERROR(VLOOKUP($C825,Map_Register!$A$2:$C$5,3,FALSE()),""))</f>
        <v>Toponym Labels</v>
      </c>
      <c r="E825" s="21" t="s">
        <v>15</v>
      </c>
      <c r="F825" s="23">
        <v>45631</v>
      </c>
      <c r="G825" s="20" t="s">
        <v>1537</v>
      </c>
      <c r="H825" s="20" t="s">
        <v>1553</v>
      </c>
      <c r="I825" t="s">
        <v>697</v>
      </c>
      <c r="J825" s="20" t="s">
        <v>6</v>
      </c>
      <c r="K825" s="20" t="s">
        <v>137</v>
      </c>
      <c r="L825" s="20" t="s">
        <v>137</v>
      </c>
      <c r="M825" t="s">
        <v>1539</v>
      </c>
      <c r="Q825" s="24" t="s">
        <v>680</v>
      </c>
    </row>
    <row r="826" spans="1:17" hidden="1" x14ac:dyDescent="0.3">
      <c r="A826" s="20">
        <f t="shared" si="12"/>
        <v>825</v>
      </c>
      <c r="B826" s="21" t="s">
        <v>87</v>
      </c>
      <c r="C826" s="21" t="s">
        <v>97</v>
      </c>
      <c r="D826" s="22" t="str">
        <f>IF($C826="","",IFERROR(VLOOKUP($C826,Map_Register!$A$2:$C$5,3,FALSE()),""))</f>
        <v>Toponym Labels</v>
      </c>
      <c r="E826" s="21" t="s">
        <v>15</v>
      </c>
      <c r="F826" s="23">
        <v>48922</v>
      </c>
      <c r="G826" s="20" t="s">
        <v>1537</v>
      </c>
      <c r="H826" s="20" t="s">
        <v>1554</v>
      </c>
      <c r="I826" t="s">
        <v>697</v>
      </c>
      <c r="J826" s="20" t="s">
        <v>6</v>
      </c>
      <c r="K826" s="20" t="s">
        <v>137</v>
      </c>
      <c r="L826" s="20" t="s">
        <v>137</v>
      </c>
      <c r="M826" t="s">
        <v>1539</v>
      </c>
      <c r="Q826" s="24" t="s">
        <v>680</v>
      </c>
    </row>
    <row r="827" spans="1:17" hidden="1" x14ac:dyDescent="0.3">
      <c r="A827" s="20">
        <f t="shared" si="12"/>
        <v>826</v>
      </c>
      <c r="B827" s="21" t="s">
        <v>87</v>
      </c>
      <c r="C827" s="21" t="s">
        <v>97</v>
      </c>
      <c r="D827" s="22" t="str">
        <f>IF($C827="","",IFERROR(VLOOKUP($C827,Map_Register!$A$2:$C$5,3,FALSE()),""))</f>
        <v>Toponym Labels</v>
      </c>
      <c r="E827" s="21" t="s">
        <v>15</v>
      </c>
      <c r="F827" s="23">
        <v>49653</v>
      </c>
      <c r="G827" s="20" t="s">
        <v>1537</v>
      </c>
      <c r="H827" s="20" t="s">
        <v>1555</v>
      </c>
      <c r="I827" t="s">
        <v>697</v>
      </c>
      <c r="J827" s="20" t="s">
        <v>6</v>
      </c>
      <c r="K827" s="20" t="s">
        <v>137</v>
      </c>
      <c r="L827" s="20" t="s">
        <v>137</v>
      </c>
      <c r="M827" t="s">
        <v>1539</v>
      </c>
      <c r="Q827" s="24" t="s">
        <v>680</v>
      </c>
    </row>
    <row r="828" spans="1:17" hidden="1" x14ac:dyDescent="0.3">
      <c r="A828" s="20">
        <f t="shared" si="12"/>
        <v>827</v>
      </c>
      <c r="B828" s="21" t="s">
        <v>87</v>
      </c>
      <c r="C828" s="21" t="s">
        <v>97</v>
      </c>
      <c r="D828" s="22" t="str">
        <f>IF($C828="","",IFERROR(VLOOKUP($C828,Map_Register!$A$2:$C$5,3,FALSE()),""))</f>
        <v>Toponym Labels</v>
      </c>
      <c r="E828" s="21" t="s">
        <v>15</v>
      </c>
      <c r="F828" s="23">
        <v>51356</v>
      </c>
      <c r="G828" s="20" t="s">
        <v>1537</v>
      </c>
      <c r="H828" s="20" t="s">
        <v>1133</v>
      </c>
      <c r="I828" t="s">
        <v>697</v>
      </c>
      <c r="J828" s="20" t="s">
        <v>6</v>
      </c>
      <c r="K828" s="20" t="s">
        <v>137</v>
      </c>
      <c r="L828" s="20" t="s">
        <v>137</v>
      </c>
      <c r="M828" t="s">
        <v>1539</v>
      </c>
      <c r="Q828" s="24" t="s">
        <v>680</v>
      </c>
    </row>
    <row r="829" spans="1:17" hidden="1" x14ac:dyDescent="0.3">
      <c r="A829" s="20">
        <f t="shared" si="12"/>
        <v>828</v>
      </c>
      <c r="B829" s="21" t="s">
        <v>87</v>
      </c>
      <c r="C829" s="21" t="s">
        <v>97</v>
      </c>
      <c r="D829" s="22" t="str">
        <f>IF($C829="","",IFERROR(VLOOKUP($C829,Map_Register!$A$2:$C$5,3,FALSE()),""))</f>
        <v>Toponym Labels</v>
      </c>
      <c r="E829" s="21" t="s">
        <v>15</v>
      </c>
      <c r="F829" s="23">
        <v>53697</v>
      </c>
      <c r="G829" s="20" t="s">
        <v>1537</v>
      </c>
      <c r="H829" s="20" t="s">
        <v>1556</v>
      </c>
      <c r="I829" t="s">
        <v>697</v>
      </c>
      <c r="J829" s="20" t="s">
        <v>6</v>
      </c>
      <c r="K829" s="20" t="s">
        <v>137</v>
      </c>
      <c r="L829" s="20" t="s">
        <v>137</v>
      </c>
      <c r="M829" t="s">
        <v>1539</v>
      </c>
      <c r="Q829" s="24" t="s">
        <v>680</v>
      </c>
    </row>
    <row r="830" spans="1:17" hidden="1" x14ac:dyDescent="0.3">
      <c r="A830" s="20">
        <f t="shared" si="12"/>
        <v>829</v>
      </c>
      <c r="B830" s="21" t="s">
        <v>87</v>
      </c>
      <c r="C830" s="21" t="s">
        <v>97</v>
      </c>
      <c r="D830" s="22" t="str">
        <f>IF($C830="","",IFERROR(VLOOKUP($C830,Map_Register!$A$2:$C$5,3,FALSE()),""))</f>
        <v>Toponym Labels</v>
      </c>
      <c r="E830" s="21" t="s">
        <v>15</v>
      </c>
      <c r="F830" s="23">
        <v>54419</v>
      </c>
      <c r="G830" s="20" t="s">
        <v>1537</v>
      </c>
      <c r="H830" s="20" t="s">
        <v>1557</v>
      </c>
      <c r="I830" t="s">
        <v>697</v>
      </c>
      <c r="J830" s="20" t="s">
        <v>6</v>
      </c>
      <c r="K830" s="20" t="s">
        <v>137</v>
      </c>
      <c r="L830" s="20" t="s">
        <v>137</v>
      </c>
      <c r="M830" t="s">
        <v>1539</v>
      </c>
      <c r="Q830" s="24" t="s">
        <v>680</v>
      </c>
    </row>
    <row r="831" spans="1:17" hidden="1" x14ac:dyDescent="0.3">
      <c r="A831" s="20">
        <f t="shared" si="12"/>
        <v>830</v>
      </c>
      <c r="B831" s="21" t="s">
        <v>87</v>
      </c>
      <c r="C831" s="21" t="s">
        <v>97</v>
      </c>
      <c r="D831" s="22" t="str">
        <f>IF($C831="","",IFERROR(VLOOKUP($C831,Map_Register!$A$2:$C$5,3,FALSE()),""))</f>
        <v>Toponym Labels</v>
      </c>
      <c r="E831" s="21" t="s">
        <v>15</v>
      </c>
      <c r="F831" s="23">
        <v>55086</v>
      </c>
      <c r="G831" s="20" t="s">
        <v>1537</v>
      </c>
      <c r="H831" s="20" t="s">
        <v>1558</v>
      </c>
      <c r="I831" t="s">
        <v>697</v>
      </c>
      <c r="J831" s="20" t="s">
        <v>6</v>
      </c>
      <c r="K831" s="20" t="s">
        <v>137</v>
      </c>
      <c r="L831" s="20" t="s">
        <v>137</v>
      </c>
      <c r="M831" t="s">
        <v>1539</v>
      </c>
      <c r="Q831" s="24" t="s">
        <v>680</v>
      </c>
    </row>
    <row r="832" spans="1:17" hidden="1" x14ac:dyDescent="0.3">
      <c r="A832" s="20">
        <f t="shared" si="12"/>
        <v>831</v>
      </c>
      <c r="B832" s="21" t="s">
        <v>87</v>
      </c>
      <c r="C832" s="21" t="s">
        <v>97</v>
      </c>
      <c r="D832" s="22" t="str">
        <f>IF($C832="","",IFERROR(VLOOKUP($C832,Map_Register!$A$2:$C$5,3,FALSE()),""))</f>
        <v>Toponym Labels</v>
      </c>
      <c r="E832" s="21" t="s">
        <v>15</v>
      </c>
      <c r="F832" s="23">
        <v>55319</v>
      </c>
      <c r="G832" s="20" t="s">
        <v>1537</v>
      </c>
      <c r="H832" s="20" t="s">
        <v>1559</v>
      </c>
      <c r="I832" t="s">
        <v>697</v>
      </c>
      <c r="J832" s="20" t="s">
        <v>6</v>
      </c>
      <c r="K832" s="20" t="s">
        <v>137</v>
      </c>
      <c r="L832" s="20" t="s">
        <v>137</v>
      </c>
      <c r="M832" t="s">
        <v>1539</v>
      </c>
      <c r="Q832" s="24" t="s">
        <v>680</v>
      </c>
    </row>
    <row r="833" spans="1:17" hidden="1" x14ac:dyDescent="0.3">
      <c r="A833" s="20">
        <f t="shared" si="12"/>
        <v>832</v>
      </c>
      <c r="B833" s="21" t="s">
        <v>87</v>
      </c>
      <c r="C833" s="21" t="s">
        <v>97</v>
      </c>
      <c r="D833" s="22" t="str">
        <f>IF($C833="","",IFERROR(VLOOKUP($C833,Map_Register!$A$2:$C$5,3,FALSE()),""))</f>
        <v>Toponym Labels</v>
      </c>
      <c r="E833" s="21" t="s">
        <v>15</v>
      </c>
      <c r="F833" s="23">
        <v>56044</v>
      </c>
      <c r="G833" s="20" t="s">
        <v>1537</v>
      </c>
      <c r="H833" s="20" t="s">
        <v>1035</v>
      </c>
      <c r="I833" t="s">
        <v>697</v>
      </c>
      <c r="J833" s="20" t="s">
        <v>6</v>
      </c>
      <c r="K833" s="20" t="s">
        <v>137</v>
      </c>
      <c r="L833" s="20" t="s">
        <v>137</v>
      </c>
      <c r="M833" t="s">
        <v>1539</v>
      </c>
      <c r="Q833" s="24" t="s">
        <v>680</v>
      </c>
    </row>
    <row r="834" spans="1:17" hidden="1" x14ac:dyDescent="0.3">
      <c r="A834" s="20">
        <f t="shared" ref="A834:A897" si="13">IF($B834="","",ROW()-1)</f>
        <v>833</v>
      </c>
      <c r="B834" s="21" t="s">
        <v>87</v>
      </c>
      <c r="C834" s="21" t="s">
        <v>97</v>
      </c>
      <c r="D834" s="22" t="str">
        <f>IF($C834="","",IFERROR(VLOOKUP($C834,Map_Register!$A$2:$C$5,3,FALSE()),""))</f>
        <v>Toponym Labels</v>
      </c>
      <c r="E834" s="21" t="s">
        <v>15</v>
      </c>
      <c r="F834" s="23">
        <v>56343</v>
      </c>
      <c r="G834" s="20" t="s">
        <v>1537</v>
      </c>
      <c r="H834" s="20" t="s">
        <v>1547</v>
      </c>
      <c r="I834" t="s">
        <v>697</v>
      </c>
      <c r="J834" s="20" t="s">
        <v>6</v>
      </c>
      <c r="K834" s="20" t="s">
        <v>137</v>
      </c>
      <c r="L834" s="20" t="s">
        <v>137</v>
      </c>
      <c r="M834" t="s">
        <v>1539</v>
      </c>
      <c r="Q834" s="24" t="s">
        <v>680</v>
      </c>
    </row>
    <row r="835" spans="1:17" hidden="1" x14ac:dyDescent="0.3">
      <c r="A835" s="20">
        <f t="shared" si="13"/>
        <v>834</v>
      </c>
      <c r="B835" s="21" t="s">
        <v>87</v>
      </c>
      <c r="C835" s="21" t="s">
        <v>97</v>
      </c>
      <c r="D835" s="22" t="str">
        <f>IF($C835="","",IFERROR(VLOOKUP($C835,Map_Register!$A$2:$C$5,3,FALSE()),""))</f>
        <v>Toponym Labels</v>
      </c>
      <c r="E835" s="21" t="s">
        <v>15</v>
      </c>
      <c r="F835" s="23">
        <v>56922</v>
      </c>
      <c r="G835" s="20" t="s">
        <v>1560</v>
      </c>
      <c r="H835" s="20" t="s">
        <v>1561</v>
      </c>
      <c r="I835" t="s">
        <v>697</v>
      </c>
      <c r="J835" s="20" t="s">
        <v>6</v>
      </c>
      <c r="K835" s="20" t="s">
        <v>137</v>
      </c>
      <c r="L835" s="20" t="s">
        <v>137</v>
      </c>
      <c r="M835" s="20" t="s">
        <v>1562</v>
      </c>
      <c r="Q835" s="24" t="s">
        <v>680</v>
      </c>
    </row>
    <row r="836" spans="1:17" hidden="1" x14ac:dyDescent="0.3">
      <c r="A836" s="20">
        <f t="shared" si="13"/>
        <v>835</v>
      </c>
      <c r="B836" s="21" t="s">
        <v>87</v>
      </c>
      <c r="C836" s="21" t="s">
        <v>97</v>
      </c>
      <c r="D836" s="22" t="str">
        <f>IF($C836="","",IFERROR(VLOOKUP($C836,Map_Register!$A$2:$C$5,3,FALSE()),""))</f>
        <v>Toponym Labels</v>
      </c>
      <c r="E836" s="21" t="s">
        <v>15</v>
      </c>
      <c r="F836" s="23">
        <v>57593</v>
      </c>
      <c r="G836" s="20" t="s">
        <v>1560</v>
      </c>
      <c r="H836" s="20" t="s">
        <v>1563</v>
      </c>
      <c r="I836" t="s">
        <v>697</v>
      </c>
      <c r="J836" s="20" t="s">
        <v>6</v>
      </c>
      <c r="K836" s="20" t="s">
        <v>137</v>
      </c>
      <c r="L836" s="20" t="s">
        <v>137</v>
      </c>
      <c r="M836" s="20" t="s">
        <v>1562</v>
      </c>
      <c r="Q836" s="24" t="s">
        <v>680</v>
      </c>
    </row>
    <row r="837" spans="1:17" hidden="1" x14ac:dyDescent="0.3">
      <c r="A837" s="20">
        <f t="shared" si="13"/>
        <v>836</v>
      </c>
      <c r="B837" s="21" t="s">
        <v>87</v>
      </c>
      <c r="C837" s="21" t="s">
        <v>97</v>
      </c>
      <c r="D837" s="22" t="str">
        <f>IF($C837="","",IFERROR(VLOOKUP($C837,Map_Register!$A$2:$C$5,3,FALSE()),""))</f>
        <v>Toponym Labels</v>
      </c>
      <c r="E837" s="21" t="s">
        <v>15</v>
      </c>
      <c r="F837" s="23">
        <v>59500</v>
      </c>
      <c r="G837" s="20" t="s">
        <v>1537</v>
      </c>
      <c r="H837" s="20" t="s">
        <v>1561</v>
      </c>
      <c r="I837" t="s">
        <v>697</v>
      </c>
      <c r="J837" s="20" t="s">
        <v>6</v>
      </c>
      <c r="K837" s="20" t="s">
        <v>137</v>
      </c>
      <c r="L837" s="20" t="s">
        <v>137</v>
      </c>
      <c r="M837" t="s">
        <v>1539</v>
      </c>
      <c r="Q837" s="24" t="s">
        <v>680</v>
      </c>
    </row>
    <row r="838" spans="1:17" hidden="1" x14ac:dyDescent="0.3">
      <c r="A838" s="20">
        <f t="shared" si="13"/>
        <v>837</v>
      </c>
      <c r="B838" s="21" t="s">
        <v>87</v>
      </c>
      <c r="C838" s="21" t="s">
        <v>97</v>
      </c>
      <c r="D838" s="22" t="str">
        <f>IF($C838="","",IFERROR(VLOOKUP($C838,Map_Register!$A$2:$C$5,3,FALSE()),""))</f>
        <v>Toponym Labels</v>
      </c>
      <c r="E838" s="21" t="s">
        <v>15</v>
      </c>
      <c r="F838" s="23">
        <v>60577</v>
      </c>
      <c r="G838" s="20" t="s">
        <v>1537</v>
      </c>
      <c r="H838" s="20" t="s">
        <v>1564</v>
      </c>
      <c r="I838" t="s">
        <v>697</v>
      </c>
      <c r="J838" s="20" t="s">
        <v>6</v>
      </c>
      <c r="K838" s="20" t="s">
        <v>137</v>
      </c>
      <c r="L838" s="20" t="s">
        <v>137</v>
      </c>
      <c r="M838" t="s">
        <v>1539</v>
      </c>
      <c r="Q838" s="24" t="s">
        <v>680</v>
      </c>
    </row>
    <row r="839" spans="1:17" hidden="1" x14ac:dyDescent="0.3">
      <c r="A839" s="20">
        <f t="shared" si="13"/>
        <v>838</v>
      </c>
      <c r="B839" s="21" t="s">
        <v>87</v>
      </c>
      <c r="C839" s="21" t="s">
        <v>97</v>
      </c>
      <c r="D839" s="22" t="str">
        <f>IF($C839="","",IFERROR(VLOOKUP($C839,Map_Register!$A$2:$C$5,3,FALSE()),""))</f>
        <v>Toponym Labels</v>
      </c>
      <c r="E839" s="21" t="s">
        <v>15</v>
      </c>
      <c r="F839" s="23">
        <v>61023</v>
      </c>
      <c r="G839" s="20" t="s">
        <v>1537</v>
      </c>
      <c r="H839" s="20" t="s">
        <v>1565</v>
      </c>
      <c r="I839" t="s">
        <v>697</v>
      </c>
      <c r="J839" s="20" t="s">
        <v>6</v>
      </c>
      <c r="K839" s="20" t="s">
        <v>137</v>
      </c>
      <c r="L839" s="20" t="s">
        <v>137</v>
      </c>
      <c r="M839" t="s">
        <v>1539</v>
      </c>
      <c r="Q839" s="24" t="s">
        <v>680</v>
      </c>
    </row>
    <row r="840" spans="1:17" hidden="1" x14ac:dyDescent="0.3">
      <c r="A840" s="20">
        <f t="shared" si="13"/>
        <v>839</v>
      </c>
      <c r="B840" s="21" t="s">
        <v>87</v>
      </c>
      <c r="C840" s="21" t="s">
        <v>97</v>
      </c>
      <c r="D840" s="22" t="str">
        <f>IF($C840="","",IFERROR(VLOOKUP($C840,Map_Register!$A$2:$C$5,3,FALSE()),""))</f>
        <v>Toponym Labels</v>
      </c>
      <c r="E840" s="21" t="s">
        <v>15</v>
      </c>
      <c r="F840" s="23">
        <v>61082</v>
      </c>
      <c r="G840" s="20" t="s">
        <v>1537</v>
      </c>
      <c r="H840" s="20" t="s">
        <v>1566</v>
      </c>
      <c r="I840" t="s">
        <v>697</v>
      </c>
      <c r="J840" s="20" t="s">
        <v>6</v>
      </c>
      <c r="K840" s="20" t="s">
        <v>137</v>
      </c>
      <c r="L840" s="20" t="s">
        <v>137</v>
      </c>
      <c r="M840" t="s">
        <v>1539</v>
      </c>
      <c r="Q840" s="24" t="s">
        <v>680</v>
      </c>
    </row>
    <row r="841" spans="1:17" hidden="1" x14ac:dyDescent="0.3">
      <c r="A841" s="20">
        <f t="shared" si="13"/>
        <v>840</v>
      </c>
      <c r="B841" s="21" t="s">
        <v>87</v>
      </c>
      <c r="C841" s="21" t="s">
        <v>97</v>
      </c>
      <c r="D841" s="22" t="str">
        <f>IF($C841="","",IFERROR(VLOOKUP($C841,Map_Register!$A$2:$C$5,3,FALSE()),""))</f>
        <v>Toponym Labels</v>
      </c>
      <c r="E841" s="21" t="s">
        <v>15</v>
      </c>
      <c r="F841" s="23">
        <v>61608</v>
      </c>
      <c r="G841" s="20" t="s">
        <v>1537</v>
      </c>
      <c r="H841" s="20" t="s">
        <v>1567</v>
      </c>
      <c r="I841" t="s">
        <v>697</v>
      </c>
      <c r="J841" s="20" t="s">
        <v>6</v>
      </c>
      <c r="K841" s="20" t="s">
        <v>137</v>
      </c>
      <c r="L841" s="20" t="s">
        <v>137</v>
      </c>
      <c r="M841" t="s">
        <v>1539</v>
      </c>
      <c r="Q841" s="24" t="s">
        <v>680</v>
      </c>
    </row>
    <row r="842" spans="1:17" hidden="1" x14ac:dyDescent="0.3">
      <c r="A842" s="20">
        <f t="shared" si="13"/>
        <v>841</v>
      </c>
      <c r="B842" s="21" t="s">
        <v>87</v>
      </c>
      <c r="C842" s="21" t="s">
        <v>97</v>
      </c>
      <c r="D842" s="22" t="str">
        <f>IF($C842="","",IFERROR(VLOOKUP($C842,Map_Register!$A$2:$C$5,3,FALSE()),""))</f>
        <v>Toponym Labels</v>
      </c>
      <c r="E842" s="21" t="s">
        <v>15</v>
      </c>
      <c r="F842" s="23">
        <v>62413</v>
      </c>
      <c r="G842" s="20" t="s">
        <v>1560</v>
      </c>
      <c r="H842" s="20" t="s">
        <v>1568</v>
      </c>
      <c r="I842" t="s">
        <v>697</v>
      </c>
      <c r="J842" s="20" t="s">
        <v>6</v>
      </c>
      <c r="K842" s="20" t="s">
        <v>137</v>
      </c>
      <c r="L842" s="20" t="s">
        <v>137</v>
      </c>
      <c r="M842" s="20" t="s">
        <v>1562</v>
      </c>
      <c r="Q842" s="24" t="s">
        <v>680</v>
      </c>
    </row>
    <row r="843" spans="1:17" hidden="1" x14ac:dyDescent="0.3">
      <c r="A843" s="20">
        <f t="shared" si="13"/>
        <v>842</v>
      </c>
      <c r="B843" s="21" t="s">
        <v>87</v>
      </c>
      <c r="C843" s="21" t="s">
        <v>97</v>
      </c>
      <c r="D843" s="22" t="str">
        <f>IF($C843="","",IFERROR(VLOOKUP($C843,Map_Register!$A$2:$C$5,3,FALSE()),""))</f>
        <v>Toponym Labels</v>
      </c>
      <c r="E843" s="21" t="s">
        <v>15</v>
      </c>
      <c r="F843" s="23">
        <v>63166</v>
      </c>
      <c r="G843" s="20" t="s">
        <v>1560</v>
      </c>
      <c r="H843" s="20" t="s">
        <v>1554</v>
      </c>
      <c r="I843" t="s">
        <v>697</v>
      </c>
      <c r="J843" s="20" t="s">
        <v>6</v>
      </c>
      <c r="K843" s="20" t="s">
        <v>137</v>
      </c>
      <c r="L843" s="20" t="s">
        <v>137</v>
      </c>
      <c r="M843" s="20" t="s">
        <v>1562</v>
      </c>
      <c r="Q843" s="24" t="s">
        <v>680</v>
      </c>
    </row>
    <row r="844" spans="1:17" hidden="1" x14ac:dyDescent="0.3">
      <c r="A844" s="20">
        <f t="shared" si="13"/>
        <v>843</v>
      </c>
      <c r="B844" s="21" t="s">
        <v>87</v>
      </c>
      <c r="C844" s="21" t="s">
        <v>97</v>
      </c>
      <c r="D844" s="22" t="str">
        <f>IF($C844="","",IFERROR(VLOOKUP($C844,Map_Register!$A$2:$C$5,3,FALSE()),""))</f>
        <v>Toponym Labels</v>
      </c>
      <c r="E844" s="21" t="s">
        <v>15</v>
      </c>
      <c r="F844" s="23">
        <v>63678</v>
      </c>
      <c r="G844" s="20" t="s">
        <v>1537</v>
      </c>
      <c r="H844" s="20" t="s">
        <v>1568</v>
      </c>
      <c r="I844" t="s">
        <v>697</v>
      </c>
      <c r="J844" s="20" t="s">
        <v>6</v>
      </c>
      <c r="K844" s="20" t="s">
        <v>137</v>
      </c>
      <c r="L844" s="20" t="s">
        <v>137</v>
      </c>
      <c r="M844" t="s">
        <v>1539</v>
      </c>
      <c r="Q844" s="24" t="s">
        <v>680</v>
      </c>
    </row>
    <row r="845" spans="1:17" hidden="1" x14ac:dyDescent="0.3">
      <c r="A845" s="20">
        <f t="shared" si="13"/>
        <v>844</v>
      </c>
      <c r="B845" s="21" t="s">
        <v>87</v>
      </c>
      <c r="C845" s="21" t="s">
        <v>97</v>
      </c>
      <c r="D845" s="22" t="str">
        <f>IF($C845="","",IFERROR(VLOOKUP($C845,Map_Register!$A$2:$C$5,3,FALSE()),""))</f>
        <v>Toponym Labels</v>
      </c>
      <c r="E845" s="21" t="s">
        <v>15</v>
      </c>
      <c r="F845" s="23">
        <v>64830</v>
      </c>
      <c r="G845" s="20" t="s">
        <v>1537</v>
      </c>
      <c r="H845" s="20" t="s">
        <v>1569</v>
      </c>
      <c r="I845" t="s">
        <v>697</v>
      </c>
      <c r="J845" s="20" t="s">
        <v>6</v>
      </c>
      <c r="K845" s="20" t="s">
        <v>137</v>
      </c>
      <c r="L845" s="20" t="s">
        <v>137</v>
      </c>
      <c r="M845" t="s">
        <v>1539</v>
      </c>
      <c r="Q845" s="24" t="s">
        <v>680</v>
      </c>
    </row>
    <row r="846" spans="1:17" hidden="1" x14ac:dyDescent="0.3">
      <c r="A846" s="20">
        <f t="shared" si="13"/>
        <v>845</v>
      </c>
      <c r="B846" s="21" t="s">
        <v>87</v>
      </c>
      <c r="C846" s="21" t="s">
        <v>97</v>
      </c>
      <c r="D846" s="22" t="str">
        <f>IF($C846="","",IFERROR(VLOOKUP($C846,Map_Register!$A$2:$C$5,3,FALSE()),""))</f>
        <v>Toponym Labels</v>
      </c>
      <c r="E846" s="21" t="s">
        <v>15</v>
      </c>
      <c r="F846" s="23">
        <v>65251</v>
      </c>
      <c r="G846" s="20" t="s">
        <v>1560</v>
      </c>
      <c r="H846" s="20" t="s">
        <v>1570</v>
      </c>
      <c r="I846" t="s">
        <v>697</v>
      </c>
      <c r="J846" s="20" t="s">
        <v>6</v>
      </c>
      <c r="K846" s="20" t="s">
        <v>137</v>
      </c>
      <c r="L846" s="20" t="s">
        <v>137</v>
      </c>
      <c r="M846" s="20" t="s">
        <v>1562</v>
      </c>
      <c r="Q846" s="24" t="s">
        <v>680</v>
      </c>
    </row>
    <row r="847" spans="1:17" hidden="1" x14ac:dyDescent="0.3">
      <c r="A847" s="20">
        <f t="shared" si="13"/>
        <v>846</v>
      </c>
      <c r="B847" s="21" t="s">
        <v>87</v>
      </c>
      <c r="C847" s="21" t="s">
        <v>97</v>
      </c>
      <c r="D847" s="22" t="str">
        <f>IF($C847="","",IFERROR(VLOOKUP($C847,Map_Register!$A$2:$C$5,3,FALSE()),""))</f>
        <v>Toponym Labels</v>
      </c>
      <c r="E847" s="21" t="s">
        <v>15</v>
      </c>
      <c r="F847" s="23">
        <v>65631</v>
      </c>
      <c r="G847" s="20" t="s">
        <v>1537</v>
      </c>
      <c r="H847" s="20" t="s">
        <v>1546</v>
      </c>
      <c r="I847" t="s">
        <v>697</v>
      </c>
      <c r="J847" s="20" t="s">
        <v>6</v>
      </c>
      <c r="K847" s="20" t="s">
        <v>137</v>
      </c>
      <c r="L847" s="20" t="s">
        <v>137</v>
      </c>
      <c r="M847" t="s">
        <v>1539</v>
      </c>
      <c r="Q847" s="24" t="s">
        <v>680</v>
      </c>
    </row>
    <row r="848" spans="1:17" hidden="1" x14ac:dyDescent="0.3">
      <c r="A848" s="20">
        <f t="shared" si="13"/>
        <v>847</v>
      </c>
      <c r="B848" s="21" t="s">
        <v>87</v>
      </c>
      <c r="C848" s="21" t="s">
        <v>97</v>
      </c>
      <c r="D848" s="22" t="str">
        <f>IF($C848="","",IFERROR(VLOOKUP($C848,Map_Register!$A$2:$C$5,3,FALSE()),""))</f>
        <v>Toponym Labels</v>
      </c>
      <c r="E848" s="21" t="s">
        <v>15</v>
      </c>
      <c r="F848" s="23">
        <v>65972</v>
      </c>
      <c r="G848" s="20" t="s">
        <v>1537</v>
      </c>
      <c r="H848" s="20" t="s">
        <v>1571</v>
      </c>
      <c r="I848" t="s">
        <v>697</v>
      </c>
      <c r="J848" s="20" t="s">
        <v>6</v>
      </c>
      <c r="K848" s="20" t="s">
        <v>137</v>
      </c>
      <c r="L848" s="20" t="s">
        <v>137</v>
      </c>
      <c r="M848" t="s">
        <v>1572</v>
      </c>
      <c r="Q848" s="24" t="s">
        <v>680</v>
      </c>
    </row>
    <row r="849" spans="1:17" hidden="1" x14ac:dyDescent="0.3">
      <c r="A849" s="20">
        <f t="shared" si="13"/>
        <v>848</v>
      </c>
      <c r="B849" s="21" t="s">
        <v>87</v>
      </c>
      <c r="C849" s="21" t="s">
        <v>97</v>
      </c>
      <c r="D849" s="22" t="str">
        <f>IF($C849="","",IFERROR(VLOOKUP($C849,Map_Register!$A$2:$C$5,3,FALSE()),""))</f>
        <v>Toponym Labels</v>
      </c>
      <c r="E849" s="21" t="s">
        <v>15</v>
      </c>
      <c r="F849" s="23">
        <v>66258</v>
      </c>
      <c r="G849" s="20" t="s">
        <v>1537</v>
      </c>
      <c r="H849" s="20" t="s">
        <v>1019</v>
      </c>
      <c r="I849" t="s">
        <v>697</v>
      </c>
      <c r="J849" s="20" t="s">
        <v>6</v>
      </c>
      <c r="K849" s="20" t="s">
        <v>137</v>
      </c>
      <c r="L849" s="20" t="s">
        <v>137</v>
      </c>
      <c r="M849" t="s">
        <v>1539</v>
      </c>
      <c r="Q849" s="24" t="s">
        <v>680</v>
      </c>
    </row>
    <row r="850" spans="1:17" hidden="1" x14ac:dyDescent="0.3">
      <c r="A850" s="20">
        <f t="shared" si="13"/>
        <v>849</v>
      </c>
      <c r="B850" s="21" t="s">
        <v>87</v>
      </c>
      <c r="C850" s="21" t="s">
        <v>97</v>
      </c>
      <c r="D850" s="22" t="str">
        <f>IF($C850="","",IFERROR(VLOOKUP($C850,Map_Register!$A$2:$C$5,3,FALSE()),""))</f>
        <v>Toponym Labels</v>
      </c>
      <c r="E850" s="21" t="s">
        <v>15</v>
      </c>
      <c r="F850" s="23">
        <v>66415</v>
      </c>
      <c r="G850" s="20" t="s">
        <v>1537</v>
      </c>
      <c r="H850" s="20" t="s">
        <v>1573</v>
      </c>
      <c r="I850" t="s">
        <v>697</v>
      </c>
      <c r="J850" s="20" t="s">
        <v>6</v>
      </c>
      <c r="K850" s="20" t="s">
        <v>137</v>
      </c>
      <c r="L850" s="20" t="s">
        <v>137</v>
      </c>
      <c r="M850" t="s">
        <v>1539</v>
      </c>
      <c r="Q850" s="24" t="s">
        <v>680</v>
      </c>
    </row>
    <row r="851" spans="1:17" hidden="1" x14ac:dyDescent="0.3">
      <c r="A851" s="20">
        <f t="shared" si="13"/>
        <v>850</v>
      </c>
      <c r="B851" s="21" t="s">
        <v>87</v>
      </c>
      <c r="C851" s="21" t="s">
        <v>97</v>
      </c>
      <c r="D851" s="22" t="str">
        <f>IF($C851="","",IFERROR(VLOOKUP($C851,Map_Register!$A$2:$C$5,3,FALSE()),""))</f>
        <v>Toponym Labels</v>
      </c>
      <c r="E851" s="21" t="s">
        <v>15</v>
      </c>
      <c r="F851" s="23">
        <v>66957</v>
      </c>
      <c r="G851" s="20" t="s">
        <v>1537</v>
      </c>
      <c r="H851" s="20" t="s">
        <v>1574</v>
      </c>
      <c r="I851" t="s">
        <v>697</v>
      </c>
      <c r="J851" s="20" t="s">
        <v>6</v>
      </c>
      <c r="K851" s="20" t="s">
        <v>137</v>
      </c>
      <c r="L851" s="20" t="s">
        <v>137</v>
      </c>
      <c r="M851" t="s">
        <v>1539</v>
      </c>
      <c r="Q851" s="24" t="s">
        <v>680</v>
      </c>
    </row>
    <row r="852" spans="1:17" hidden="1" x14ac:dyDescent="0.3">
      <c r="A852" s="20">
        <f t="shared" si="13"/>
        <v>851</v>
      </c>
      <c r="B852" s="21" t="s">
        <v>87</v>
      </c>
      <c r="C852" s="21" t="s">
        <v>97</v>
      </c>
      <c r="D852" s="22" t="str">
        <f>IF($C852="","",IFERROR(VLOOKUP($C852,Map_Register!$A$2:$C$5,3,FALSE()),""))</f>
        <v>Toponym Labels</v>
      </c>
      <c r="E852" s="21" t="s">
        <v>15</v>
      </c>
      <c r="F852" s="23">
        <v>67058</v>
      </c>
      <c r="G852" s="20" t="s">
        <v>1537</v>
      </c>
      <c r="H852" s="20" t="s">
        <v>1575</v>
      </c>
      <c r="I852" t="s">
        <v>697</v>
      </c>
      <c r="J852" s="20" t="s">
        <v>6</v>
      </c>
      <c r="K852" s="20" t="s">
        <v>137</v>
      </c>
      <c r="L852" s="20" t="s">
        <v>137</v>
      </c>
      <c r="M852" t="s">
        <v>1539</v>
      </c>
      <c r="Q852" s="24" t="s">
        <v>680</v>
      </c>
    </row>
    <row r="853" spans="1:17" hidden="1" x14ac:dyDescent="0.3">
      <c r="A853" s="20">
        <f t="shared" si="13"/>
        <v>852</v>
      </c>
      <c r="B853" s="21" t="s">
        <v>87</v>
      </c>
      <c r="C853" s="21" t="s">
        <v>97</v>
      </c>
      <c r="D853" s="22" t="str">
        <f>IF($C853="","",IFERROR(VLOOKUP($C853,Map_Register!$A$2:$C$5,3,FALSE()),""))</f>
        <v>Toponym Labels</v>
      </c>
      <c r="E853" s="21" t="s">
        <v>15</v>
      </c>
      <c r="F853" s="23">
        <v>67271</v>
      </c>
      <c r="G853" s="20" t="s">
        <v>1560</v>
      </c>
      <c r="H853" s="20" t="s">
        <v>1557</v>
      </c>
      <c r="I853" t="s">
        <v>697</v>
      </c>
      <c r="J853" s="20" t="s">
        <v>6</v>
      </c>
      <c r="K853" s="20" t="s">
        <v>137</v>
      </c>
      <c r="L853" s="20" t="s">
        <v>137</v>
      </c>
      <c r="M853" s="20" t="s">
        <v>1562</v>
      </c>
      <c r="Q853" s="24" t="s">
        <v>680</v>
      </c>
    </row>
    <row r="854" spans="1:17" hidden="1" x14ac:dyDescent="0.3">
      <c r="A854" s="20">
        <f t="shared" si="13"/>
        <v>853</v>
      </c>
      <c r="B854" s="21" t="s">
        <v>87</v>
      </c>
      <c r="C854" s="21" t="s">
        <v>97</v>
      </c>
      <c r="D854" s="22" t="str">
        <f>IF($C854="","",IFERROR(VLOOKUP($C854,Map_Register!$A$2:$C$5,3,FALSE()),""))</f>
        <v>Toponym Labels</v>
      </c>
      <c r="E854" s="21" t="s">
        <v>15</v>
      </c>
      <c r="F854" s="23">
        <v>67569</v>
      </c>
      <c r="G854" s="20" t="s">
        <v>1560</v>
      </c>
      <c r="H854" s="20" t="s">
        <v>1576</v>
      </c>
      <c r="I854" t="s">
        <v>697</v>
      </c>
      <c r="J854" s="20" t="s">
        <v>6</v>
      </c>
      <c r="K854" s="20" t="s">
        <v>137</v>
      </c>
      <c r="L854" s="20" t="s">
        <v>137</v>
      </c>
      <c r="M854" s="20" t="s">
        <v>1562</v>
      </c>
      <c r="Q854" s="24" t="s">
        <v>680</v>
      </c>
    </row>
    <row r="855" spans="1:17" hidden="1" x14ac:dyDescent="0.3">
      <c r="A855" s="20">
        <f t="shared" si="13"/>
        <v>854</v>
      </c>
      <c r="B855" s="21" t="s">
        <v>87</v>
      </c>
      <c r="C855" s="21" t="s">
        <v>97</v>
      </c>
      <c r="D855" s="22" t="str">
        <f>IF($C855="","",IFERROR(VLOOKUP($C855,Map_Register!$A$2:$C$5,3,FALSE()),""))</f>
        <v>Toponym Labels</v>
      </c>
      <c r="E855" s="21" t="s">
        <v>15</v>
      </c>
      <c r="F855" s="23">
        <v>67996</v>
      </c>
      <c r="G855" s="20" t="s">
        <v>1537</v>
      </c>
      <c r="H855" s="20" t="s">
        <v>1541</v>
      </c>
      <c r="I855" t="s">
        <v>697</v>
      </c>
      <c r="J855" s="20" t="s">
        <v>6</v>
      </c>
      <c r="K855" s="20" t="s">
        <v>137</v>
      </c>
      <c r="L855" s="20" t="s">
        <v>137</v>
      </c>
      <c r="M855" t="s">
        <v>1539</v>
      </c>
      <c r="Q855" s="24" t="s">
        <v>680</v>
      </c>
    </row>
    <row r="856" spans="1:17" hidden="1" x14ac:dyDescent="0.3">
      <c r="A856" s="20">
        <f t="shared" si="13"/>
        <v>855</v>
      </c>
      <c r="B856" s="21" t="s">
        <v>87</v>
      </c>
      <c r="C856" s="21" t="s">
        <v>97</v>
      </c>
      <c r="D856" s="22" t="str">
        <f>IF($C856="","",IFERROR(VLOOKUP($C856,Map_Register!$A$2:$C$5,3,FALSE()),""))</f>
        <v>Toponym Labels</v>
      </c>
      <c r="E856" s="21" t="s">
        <v>15</v>
      </c>
      <c r="F856" s="23">
        <v>68117</v>
      </c>
      <c r="G856" s="20" t="s">
        <v>1537</v>
      </c>
      <c r="H856" s="20" t="s">
        <v>905</v>
      </c>
      <c r="I856" t="s">
        <v>697</v>
      </c>
      <c r="J856" s="20" t="s">
        <v>6</v>
      </c>
      <c r="K856" s="20" t="s">
        <v>137</v>
      </c>
      <c r="L856" s="20" t="s">
        <v>137</v>
      </c>
      <c r="M856" t="s">
        <v>1539</v>
      </c>
      <c r="Q856" s="24" t="s">
        <v>680</v>
      </c>
    </row>
    <row r="857" spans="1:17" hidden="1" x14ac:dyDescent="0.3">
      <c r="A857" s="20">
        <f t="shared" si="13"/>
        <v>856</v>
      </c>
      <c r="B857" s="21" t="s">
        <v>87</v>
      </c>
      <c r="C857" s="21" t="s">
        <v>97</v>
      </c>
      <c r="D857" s="22" t="str">
        <f>IF($C857="","",IFERROR(VLOOKUP($C857,Map_Register!$A$2:$C$5,3,FALSE()),""))</f>
        <v>Toponym Labels</v>
      </c>
      <c r="E857" s="21" t="s">
        <v>15</v>
      </c>
      <c r="F857" s="23">
        <v>68435</v>
      </c>
      <c r="G857" s="20" t="s">
        <v>1537</v>
      </c>
      <c r="H857" s="20" t="s">
        <v>1554</v>
      </c>
      <c r="I857" t="s">
        <v>697</v>
      </c>
      <c r="J857" s="20" t="s">
        <v>6</v>
      </c>
      <c r="K857" s="20" t="s">
        <v>137</v>
      </c>
      <c r="L857" s="20" t="s">
        <v>137</v>
      </c>
      <c r="M857" t="s">
        <v>1539</v>
      </c>
      <c r="Q857" s="24" t="s">
        <v>680</v>
      </c>
    </row>
    <row r="858" spans="1:17" hidden="1" x14ac:dyDescent="0.3">
      <c r="A858" s="20">
        <f t="shared" si="13"/>
        <v>857</v>
      </c>
      <c r="B858" s="21" t="s">
        <v>87</v>
      </c>
      <c r="C858" s="21" t="s">
        <v>97</v>
      </c>
      <c r="D858" s="22" t="str">
        <f>IF($C858="","",IFERROR(VLOOKUP($C858,Map_Register!$A$2:$C$5,3,FALSE()),""))</f>
        <v>Toponym Labels</v>
      </c>
      <c r="E858" s="21" t="s">
        <v>15</v>
      </c>
      <c r="F858" s="23">
        <v>68443</v>
      </c>
      <c r="G858" s="20" t="s">
        <v>1537</v>
      </c>
      <c r="H858" s="20" t="s">
        <v>1576</v>
      </c>
      <c r="I858" t="s">
        <v>697</v>
      </c>
      <c r="J858" s="20" t="s">
        <v>6</v>
      </c>
      <c r="K858" s="20" t="s">
        <v>137</v>
      </c>
      <c r="L858" s="20" t="s">
        <v>137</v>
      </c>
      <c r="M858" t="s">
        <v>1539</v>
      </c>
      <c r="Q858" s="24" t="s">
        <v>680</v>
      </c>
    </row>
    <row r="859" spans="1:17" hidden="1" x14ac:dyDescent="0.3">
      <c r="A859" s="20">
        <f t="shared" si="13"/>
        <v>858</v>
      </c>
      <c r="B859" s="21" t="s">
        <v>87</v>
      </c>
      <c r="C859" s="21" t="s">
        <v>97</v>
      </c>
      <c r="D859" s="22" t="str">
        <f>IF($C859="","",IFERROR(VLOOKUP($C859,Map_Register!$A$2:$C$5,3,FALSE()),""))</f>
        <v>Toponym Labels</v>
      </c>
      <c r="E859" s="21" t="s">
        <v>15</v>
      </c>
      <c r="F859" s="23">
        <v>69321</v>
      </c>
      <c r="G859" s="20" t="s">
        <v>1537</v>
      </c>
      <c r="H859" s="20" t="s">
        <v>1577</v>
      </c>
      <c r="I859" t="s">
        <v>697</v>
      </c>
      <c r="J859" s="20" t="s">
        <v>6</v>
      </c>
      <c r="K859" s="20" t="s">
        <v>137</v>
      </c>
      <c r="L859" s="20" t="s">
        <v>137</v>
      </c>
      <c r="M859" t="s">
        <v>1539</v>
      </c>
      <c r="Q859" s="24" t="s">
        <v>680</v>
      </c>
    </row>
    <row r="860" spans="1:17" hidden="1" x14ac:dyDescent="0.3">
      <c r="A860" s="20">
        <f t="shared" si="13"/>
        <v>859</v>
      </c>
      <c r="B860" s="21" t="s">
        <v>87</v>
      </c>
      <c r="C860" s="21" t="s">
        <v>97</v>
      </c>
      <c r="D860" s="22" t="str">
        <f>IF($C860="","",IFERROR(VLOOKUP($C860,Map_Register!$A$2:$C$5,3,FALSE()),""))</f>
        <v>Toponym Labels</v>
      </c>
      <c r="E860" s="21" t="s">
        <v>15</v>
      </c>
      <c r="F860" s="23">
        <v>69917</v>
      </c>
      <c r="G860" s="20" t="s">
        <v>1560</v>
      </c>
      <c r="H860" s="20" t="s">
        <v>1578</v>
      </c>
      <c r="I860" t="s">
        <v>697</v>
      </c>
      <c r="J860" s="20" t="s">
        <v>6</v>
      </c>
      <c r="K860" s="20" t="s">
        <v>137</v>
      </c>
      <c r="L860" s="20" t="s">
        <v>137</v>
      </c>
      <c r="M860" s="20" t="s">
        <v>1562</v>
      </c>
      <c r="Q860" s="24" t="s">
        <v>680</v>
      </c>
    </row>
    <row r="861" spans="1:17" hidden="1" x14ac:dyDescent="0.3">
      <c r="A861" s="20">
        <f t="shared" si="13"/>
        <v>860</v>
      </c>
      <c r="B861" s="21" t="s">
        <v>87</v>
      </c>
      <c r="C861" s="21" t="s">
        <v>97</v>
      </c>
      <c r="D861" s="22" t="str">
        <f>IF($C861="","",IFERROR(VLOOKUP($C861,Map_Register!$A$2:$C$5,3,FALSE()),""))</f>
        <v>Toponym Labels</v>
      </c>
      <c r="E861" s="21" t="s">
        <v>15</v>
      </c>
      <c r="F861" s="23">
        <v>70828</v>
      </c>
      <c r="G861" s="20" t="s">
        <v>1560</v>
      </c>
      <c r="H861" s="20" t="s">
        <v>1573</v>
      </c>
      <c r="I861" t="s">
        <v>697</v>
      </c>
      <c r="J861" s="20" t="s">
        <v>6</v>
      </c>
      <c r="K861" s="20" t="s">
        <v>137</v>
      </c>
      <c r="L861" s="20" t="s">
        <v>137</v>
      </c>
      <c r="M861" s="20" t="s">
        <v>1562</v>
      </c>
      <c r="Q861" s="24" t="s">
        <v>680</v>
      </c>
    </row>
    <row r="862" spans="1:17" hidden="1" x14ac:dyDescent="0.3">
      <c r="A862" s="20">
        <f t="shared" si="13"/>
        <v>861</v>
      </c>
      <c r="B862" s="21" t="s">
        <v>87</v>
      </c>
      <c r="C862" s="21" t="s">
        <v>97</v>
      </c>
      <c r="D862" s="22" t="str">
        <f>IF($C862="","",IFERROR(VLOOKUP($C862,Map_Register!$A$2:$C$5,3,FALSE()),""))</f>
        <v>Toponym Labels</v>
      </c>
      <c r="E862" s="21" t="s">
        <v>15</v>
      </c>
      <c r="F862" s="23">
        <v>71466</v>
      </c>
      <c r="G862" s="20" t="s">
        <v>1537</v>
      </c>
      <c r="H862" s="20" t="s">
        <v>1579</v>
      </c>
      <c r="I862" t="s">
        <v>697</v>
      </c>
      <c r="J862" s="20" t="s">
        <v>6</v>
      </c>
      <c r="K862" s="20" t="s">
        <v>137</v>
      </c>
      <c r="L862" s="20" t="s">
        <v>137</v>
      </c>
      <c r="M862" t="s">
        <v>1539</v>
      </c>
      <c r="Q862" s="24" t="s">
        <v>680</v>
      </c>
    </row>
    <row r="863" spans="1:17" hidden="1" x14ac:dyDescent="0.3">
      <c r="A863" s="20">
        <f t="shared" si="13"/>
        <v>862</v>
      </c>
      <c r="B863" s="21" t="s">
        <v>87</v>
      </c>
      <c r="C863" s="21" t="s">
        <v>97</v>
      </c>
      <c r="D863" s="22" t="str">
        <f>IF($C863="","",IFERROR(VLOOKUP($C863,Map_Register!$A$2:$C$5,3,FALSE()),""))</f>
        <v>Toponym Labels</v>
      </c>
      <c r="E863" s="21" t="s">
        <v>15</v>
      </c>
      <c r="F863" s="23">
        <v>71507</v>
      </c>
      <c r="G863" s="20" t="s">
        <v>1537</v>
      </c>
      <c r="H863" s="20" t="s">
        <v>1061</v>
      </c>
      <c r="I863" t="s">
        <v>697</v>
      </c>
      <c r="J863" s="20" t="s">
        <v>6</v>
      </c>
      <c r="K863" s="20" t="s">
        <v>137</v>
      </c>
      <c r="L863" s="20" t="s">
        <v>137</v>
      </c>
      <c r="M863" t="s">
        <v>1539</v>
      </c>
      <c r="Q863" s="24" t="s">
        <v>680</v>
      </c>
    </row>
    <row r="864" spans="1:17" hidden="1" x14ac:dyDescent="0.3">
      <c r="A864" s="20">
        <f t="shared" si="13"/>
        <v>863</v>
      </c>
      <c r="B864" s="21" t="s">
        <v>87</v>
      </c>
      <c r="C864" s="21" t="s">
        <v>97</v>
      </c>
      <c r="D864" s="22" t="str">
        <f>IF($C864="","",IFERROR(VLOOKUP($C864,Map_Register!$A$2:$C$5,3,FALSE()),""))</f>
        <v>Toponym Labels</v>
      </c>
      <c r="E864" s="21" t="s">
        <v>15</v>
      </c>
      <c r="F864" s="23">
        <v>71733</v>
      </c>
      <c r="G864" s="20" t="s">
        <v>1537</v>
      </c>
      <c r="H864" s="20" t="s">
        <v>1553</v>
      </c>
      <c r="I864" t="s">
        <v>697</v>
      </c>
      <c r="J864" s="20" t="s">
        <v>6</v>
      </c>
      <c r="K864" s="20" t="s">
        <v>137</v>
      </c>
      <c r="L864" s="20" t="s">
        <v>137</v>
      </c>
      <c r="M864" t="s">
        <v>1539</v>
      </c>
      <c r="Q864" s="24" t="s">
        <v>680</v>
      </c>
    </row>
    <row r="865" spans="1:17" hidden="1" x14ac:dyDescent="0.3">
      <c r="A865" s="20">
        <f t="shared" si="13"/>
        <v>864</v>
      </c>
      <c r="B865" s="21" t="s">
        <v>87</v>
      </c>
      <c r="C865" s="21" t="s">
        <v>97</v>
      </c>
      <c r="D865" s="22" t="str">
        <f>IF($C865="","",IFERROR(VLOOKUP($C865,Map_Register!$A$2:$C$5,3,FALSE()),""))</f>
        <v>Toponym Labels</v>
      </c>
      <c r="E865" s="21" t="s">
        <v>15</v>
      </c>
      <c r="F865" s="23">
        <v>72763</v>
      </c>
      <c r="G865" s="20" t="s">
        <v>1537</v>
      </c>
      <c r="H865" s="20" t="s">
        <v>1580</v>
      </c>
      <c r="I865" t="s">
        <v>697</v>
      </c>
      <c r="J865" s="20" t="s">
        <v>6</v>
      </c>
      <c r="K865" s="20" t="s">
        <v>137</v>
      </c>
      <c r="L865" s="20" t="s">
        <v>137</v>
      </c>
      <c r="M865" t="s">
        <v>1539</v>
      </c>
      <c r="Q865" s="24" t="s">
        <v>680</v>
      </c>
    </row>
    <row r="866" spans="1:17" hidden="1" x14ac:dyDescent="0.3">
      <c r="A866" s="20">
        <f t="shared" si="13"/>
        <v>865</v>
      </c>
      <c r="B866" s="21" t="s">
        <v>87</v>
      </c>
      <c r="C866" s="21" t="s">
        <v>97</v>
      </c>
      <c r="D866" s="22" t="str">
        <f>IF($C866="","",IFERROR(VLOOKUP($C866,Map_Register!$A$2:$C$5,3,FALSE()),""))</f>
        <v>Toponym Labels</v>
      </c>
      <c r="E866" s="21" t="s">
        <v>15</v>
      </c>
      <c r="F866" s="23">
        <v>73493</v>
      </c>
      <c r="G866" s="20" t="s">
        <v>1537</v>
      </c>
      <c r="H866" s="20" t="s">
        <v>1543</v>
      </c>
      <c r="I866" t="s">
        <v>697</v>
      </c>
      <c r="J866" s="20" t="s">
        <v>6</v>
      </c>
      <c r="K866" s="20" t="s">
        <v>137</v>
      </c>
      <c r="L866" s="20" t="s">
        <v>137</v>
      </c>
      <c r="M866" t="s">
        <v>1539</v>
      </c>
      <c r="Q866" s="24" t="s">
        <v>680</v>
      </c>
    </row>
    <row r="867" spans="1:17" hidden="1" x14ac:dyDescent="0.3">
      <c r="A867" s="20">
        <f t="shared" si="13"/>
        <v>866</v>
      </c>
      <c r="B867" s="21" t="s">
        <v>87</v>
      </c>
      <c r="C867" s="21" t="s">
        <v>97</v>
      </c>
      <c r="D867" s="22" t="str">
        <f>IF($C867="","",IFERROR(VLOOKUP($C867,Map_Register!$A$2:$C$5,3,FALSE()),""))</f>
        <v>Toponym Labels</v>
      </c>
      <c r="E867" s="21" t="s">
        <v>15</v>
      </c>
      <c r="F867" s="23">
        <v>73929</v>
      </c>
      <c r="G867" s="20" t="s">
        <v>1537</v>
      </c>
      <c r="H867" s="20" t="s">
        <v>1581</v>
      </c>
      <c r="I867" t="s">
        <v>697</v>
      </c>
      <c r="J867" s="20" t="s">
        <v>6</v>
      </c>
      <c r="K867" s="20" t="s">
        <v>137</v>
      </c>
      <c r="L867" s="20" t="s">
        <v>137</v>
      </c>
      <c r="M867" t="s">
        <v>1539</v>
      </c>
      <c r="Q867" s="24" t="s">
        <v>680</v>
      </c>
    </row>
    <row r="868" spans="1:17" hidden="1" x14ac:dyDescent="0.3">
      <c r="A868" s="20">
        <f t="shared" si="13"/>
        <v>867</v>
      </c>
      <c r="B868" s="21" t="s">
        <v>87</v>
      </c>
      <c r="C868" s="21" t="s">
        <v>97</v>
      </c>
      <c r="D868" s="22" t="str">
        <f>IF($C868="","",IFERROR(VLOOKUP($C868,Map_Register!$A$2:$C$5,3,FALSE()),""))</f>
        <v>Toponym Labels</v>
      </c>
      <c r="E868" s="21" t="s">
        <v>15</v>
      </c>
      <c r="F868" s="23">
        <v>74039</v>
      </c>
      <c r="G868" s="20" t="s">
        <v>1537</v>
      </c>
      <c r="H868" s="20" t="s">
        <v>1544</v>
      </c>
      <c r="I868" t="s">
        <v>697</v>
      </c>
      <c r="J868" s="20" t="s">
        <v>6</v>
      </c>
      <c r="K868" s="20" t="s">
        <v>137</v>
      </c>
      <c r="L868" s="20" t="s">
        <v>137</v>
      </c>
      <c r="M868" t="s">
        <v>1539</v>
      </c>
      <c r="Q868" s="24" t="s">
        <v>680</v>
      </c>
    </row>
    <row r="869" spans="1:17" hidden="1" x14ac:dyDescent="0.3">
      <c r="A869" s="20">
        <f t="shared" si="13"/>
        <v>868</v>
      </c>
      <c r="B869" s="21" t="s">
        <v>87</v>
      </c>
      <c r="C869" s="21" t="s">
        <v>97</v>
      </c>
      <c r="D869" s="22" t="str">
        <f>IF($C869="","",IFERROR(VLOOKUP($C869,Map_Register!$A$2:$C$5,3,FALSE()),""))</f>
        <v>Toponym Labels</v>
      </c>
      <c r="E869" s="21" t="s">
        <v>15</v>
      </c>
      <c r="F869" s="23">
        <v>74751</v>
      </c>
      <c r="G869" s="20" t="s">
        <v>1537</v>
      </c>
      <c r="H869" s="20" t="s">
        <v>1582</v>
      </c>
      <c r="I869" t="s">
        <v>697</v>
      </c>
      <c r="J869" s="20" t="s">
        <v>6</v>
      </c>
      <c r="K869" s="20" t="s">
        <v>137</v>
      </c>
      <c r="L869" s="20" t="s">
        <v>137</v>
      </c>
      <c r="M869" t="s">
        <v>1539</v>
      </c>
      <c r="Q869" s="24" t="s">
        <v>680</v>
      </c>
    </row>
    <row r="870" spans="1:17" hidden="1" x14ac:dyDescent="0.3">
      <c r="A870" s="20">
        <f t="shared" si="13"/>
        <v>869</v>
      </c>
      <c r="B870" s="21" t="s">
        <v>87</v>
      </c>
      <c r="C870" s="21" t="s">
        <v>97</v>
      </c>
      <c r="D870" s="22" t="str">
        <f>IF($C870="","",IFERROR(VLOOKUP($C870,Map_Register!$A$2:$C$5,3,FALSE()),""))</f>
        <v>Toponym Labels</v>
      </c>
      <c r="E870" s="21" t="s">
        <v>15</v>
      </c>
      <c r="F870" s="23">
        <v>76292</v>
      </c>
      <c r="G870" s="20" t="s">
        <v>1560</v>
      </c>
      <c r="H870" s="20" t="s">
        <v>1558</v>
      </c>
      <c r="I870" t="s">
        <v>697</v>
      </c>
      <c r="J870" s="20" t="s">
        <v>6</v>
      </c>
      <c r="K870" s="20" t="s">
        <v>137</v>
      </c>
      <c r="L870" s="20" t="s">
        <v>137</v>
      </c>
      <c r="M870" s="20" t="s">
        <v>1562</v>
      </c>
      <c r="Q870" s="24" t="s">
        <v>680</v>
      </c>
    </row>
    <row r="871" spans="1:17" hidden="1" x14ac:dyDescent="0.3">
      <c r="A871" s="20">
        <f t="shared" si="13"/>
        <v>870</v>
      </c>
      <c r="B871" s="21" t="s">
        <v>87</v>
      </c>
      <c r="C871" s="21" t="s">
        <v>97</v>
      </c>
      <c r="D871" s="22" t="str">
        <f>IF($C871="","",IFERROR(VLOOKUP($C871,Map_Register!$A$2:$C$5,3,FALSE()),""))</f>
        <v>Toponym Labels</v>
      </c>
      <c r="E871" s="21" t="s">
        <v>15</v>
      </c>
      <c r="F871" s="23">
        <v>76890</v>
      </c>
      <c r="G871" s="20" t="s">
        <v>1537</v>
      </c>
      <c r="H871" s="20" t="s">
        <v>1563</v>
      </c>
      <c r="I871" t="s">
        <v>697</v>
      </c>
      <c r="J871" s="20" t="s">
        <v>6</v>
      </c>
      <c r="K871" s="20" t="s">
        <v>137</v>
      </c>
      <c r="L871" s="20" t="s">
        <v>137</v>
      </c>
      <c r="M871" t="s">
        <v>1539</v>
      </c>
      <c r="Q871" s="24" t="s">
        <v>680</v>
      </c>
    </row>
    <row r="872" spans="1:17" hidden="1" x14ac:dyDescent="0.3">
      <c r="A872" s="20">
        <f t="shared" si="13"/>
        <v>871</v>
      </c>
      <c r="B872" s="21" t="s">
        <v>87</v>
      </c>
      <c r="C872" s="21" t="s">
        <v>97</v>
      </c>
      <c r="D872" s="22" t="str">
        <f>IF($C872="","",IFERROR(VLOOKUP($C872,Map_Register!$A$2:$C$5,3,FALSE()),""))</f>
        <v>Toponym Labels</v>
      </c>
      <c r="E872" s="21" t="s">
        <v>15</v>
      </c>
      <c r="F872" s="23">
        <v>77782</v>
      </c>
      <c r="G872" s="20" t="s">
        <v>1537</v>
      </c>
      <c r="H872" s="20" t="s">
        <v>1583</v>
      </c>
      <c r="I872" t="s">
        <v>697</v>
      </c>
      <c r="J872" s="20" t="s">
        <v>6</v>
      </c>
      <c r="K872" s="20" t="s">
        <v>137</v>
      </c>
      <c r="L872" s="20" t="s">
        <v>137</v>
      </c>
      <c r="M872" t="s">
        <v>1539</v>
      </c>
      <c r="Q872" s="24" t="s">
        <v>680</v>
      </c>
    </row>
    <row r="873" spans="1:17" hidden="1" x14ac:dyDescent="0.3">
      <c r="A873" s="20">
        <f t="shared" si="13"/>
        <v>872</v>
      </c>
      <c r="B873" s="21" t="s">
        <v>87</v>
      </c>
      <c r="C873" s="21" t="s">
        <v>97</v>
      </c>
      <c r="D873" s="22" t="str">
        <f>IF($C873="","",IFERROR(VLOOKUP($C873,Map_Register!$A$2:$C$5,3,FALSE()),""))</f>
        <v>Toponym Labels</v>
      </c>
      <c r="E873" s="21" t="s">
        <v>15</v>
      </c>
      <c r="F873" s="23">
        <v>79312</v>
      </c>
      <c r="G873" s="20" t="s">
        <v>1537</v>
      </c>
      <c r="H873" s="20" t="s">
        <v>1268</v>
      </c>
      <c r="I873" t="s">
        <v>697</v>
      </c>
      <c r="J873" s="20" t="s">
        <v>6</v>
      </c>
      <c r="K873" s="20" t="s">
        <v>137</v>
      </c>
      <c r="L873" s="20" t="s">
        <v>137</v>
      </c>
      <c r="M873" t="s">
        <v>1539</v>
      </c>
      <c r="Q873" s="24" t="s">
        <v>680</v>
      </c>
    </row>
    <row r="874" spans="1:17" hidden="1" x14ac:dyDescent="0.3">
      <c r="A874" s="20">
        <f t="shared" si="13"/>
        <v>873</v>
      </c>
      <c r="B874" s="21" t="s">
        <v>87</v>
      </c>
      <c r="C874" s="21" t="s">
        <v>97</v>
      </c>
      <c r="D874" s="22" t="str">
        <f>IF($C874="","",IFERROR(VLOOKUP($C874,Map_Register!$A$2:$C$5,3,FALSE()),""))</f>
        <v>Toponym Labels</v>
      </c>
      <c r="E874" s="21" t="s">
        <v>15</v>
      </c>
      <c r="F874" s="23">
        <v>79507</v>
      </c>
      <c r="G874" s="20" t="s">
        <v>1537</v>
      </c>
      <c r="H874" s="20" t="s">
        <v>1578</v>
      </c>
      <c r="I874" t="s">
        <v>697</v>
      </c>
      <c r="J874" s="20" t="s">
        <v>6</v>
      </c>
      <c r="K874" s="20" t="s">
        <v>137</v>
      </c>
      <c r="L874" s="20" t="s">
        <v>137</v>
      </c>
      <c r="M874" t="s">
        <v>1539</v>
      </c>
      <c r="Q874" s="24" t="s">
        <v>680</v>
      </c>
    </row>
    <row r="875" spans="1:17" hidden="1" x14ac:dyDescent="0.3">
      <c r="A875" s="20">
        <f t="shared" si="13"/>
        <v>874</v>
      </c>
      <c r="B875" s="21" t="s">
        <v>87</v>
      </c>
      <c r="C875" s="21" t="s">
        <v>97</v>
      </c>
      <c r="D875" s="22" t="str">
        <f>IF($C875="","",IFERROR(VLOOKUP($C875,Map_Register!$A$2:$C$5,3,FALSE()),""))</f>
        <v>Toponym Labels</v>
      </c>
      <c r="E875" s="21" t="s">
        <v>15</v>
      </c>
      <c r="F875" s="23">
        <v>79537</v>
      </c>
      <c r="G875" s="20" t="s">
        <v>1537</v>
      </c>
      <c r="H875" s="20" t="s">
        <v>1584</v>
      </c>
      <c r="I875" t="s">
        <v>697</v>
      </c>
      <c r="J875" s="20" t="s">
        <v>6</v>
      </c>
      <c r="K875" s="20" t="s">
        <v>137</v>
      </c>
      <c r="L875" s="20" t="s">
        <v>137</v>
      </c>
      <c r="M875" t="s">
        <v>1539</v>
      </c>
      <c r="Q875" s="24" t="s">
        <v>680</v>
      </c>
    </row>
    <row r="876" spans="1:17" hidden="1" x14ac:dyDescent="0.3">
      <c r="A876" s="20">
        <f t="shared" si="13"/>
        <v>875</v>
      </c>
      <c r="B876" s="21" t="s">
        <v>87</v>
      </c>
      <c r="C876" s="21" t="s">
        <v>97</v>
      </c>
      <c r="D876" s="22" t="str">
        <f>IF($C876="","",IFERROR(VLOOKUP($C876,Map_Register!$A$2:$C$5,3,FALSE()),""))</f>
        <v>Toponym Labels</v>
      </c>
      <c r="E876" s="21" t="s">
        <v>15</v>
      </c>
      <c r="F876" s="23">
        <v>82370</v>
      </c>
      <c r="G876" s="20" t="s">
        <v>1537</v>
      </c>
      <c r="H876" s="20" t="s">
        <v>1550</v>
      </c>
      <c r="I876" t="s">
        <v>697</v>
      </c>
      <c r="J876" s="20" t="s">
        <v>6</v>
      </c>
      <c r="K876" s="20" t="s">
        <v>137</v>
      </c>
      <c r="L876" s="20" t="s">
        <v>137</v>
      </c>
      <c r="M876" t="s">
        <v>1539</v>
      </c>
      <c r="Q876" s="24" t="s">
        <v>680</v>
      </c>
    </row>
    <row r="877" spans="1:17" hidden="1" x14ac:dyDescent="0.3">
      <c r="A877" s="20">
        <f t="shared" si="13"/>
        <v>876</v>
      </c>
      <c r="B877" s="21" t="s">
        <v>87</v>
      </c>
      <c r="C877" s="21" t="s">
        <v>97</v>
      </c>
      <c r="D877" s="22" t="str">
        <f>IF($C877="","",IFERROR(VLOOKUP($C877,Map_Register!$A$2:$C$5,3,FALSE()),""))</f>
        <v>Toponym Labels</v>
      </c>
      <c r="E877" s="21" t="s">
        <v>15</v>
      </c>
      <c r="F877" s="23">
        <v>86895</v>
      </c>
      <c r="G877" s="20" t="s">
        <v>1560</v>
      </c>
      <c r="H877" s="20" t="s">
        <v>1571</v>
      </c>
      <c r="I877" t="s">
        <v>697</v>
      </c>
      <c r="J877" s="20" t="s">
        <v>6</v>
      </c>
      <c r="K877" s="20" t="s">
        <v>137</v>
      </c>
      <c r="L877" s="20" t="s">
        <v>137</v>
      </c>
      <c r="M877" s="20" t="s">
        <v>1562</v>
      </c>
      <c r="Q877" s="24" t="s">
        <v>680</v>
      </c>
    </row>
    <row r="878" spans="1:17" hidden="1" x14ac:dyDescent="0.3">
      <c r="A878" s="20">
        <f t="shared" si="13"/>
        <v>877</v>
      </c>
      <c r="B878" s="21" t="s">
        <v>87</v>
      </c>
      <c r="C878" s="21" t="s">
        <v>97</v>
      </c>
      <c r="D878" s="22" t="str">
        <f>IF($C878="","",IFERROR(VLOOKUP($C878,Map_Register!$A$2:$C$5,3,FALSE()),""))</f>
        <v>Toponym Labels</v>
      </c>
      <c r="E878" s="21" t="s">
        <v>15</v>
      </c>
      <c r="F878" s="23">
        <v>88847</v>
      </c>
      <c r="G878" s="20" t="s">
        <v>1560</v>
      </c>
      <c r="H878" s="20" t="s">
        <v>1545</v>
      </c>
      <c r="I878" t="s">
        <v>697</v>
      </c>
      <c r="J878" s="20" t="s">
        <v>6</v>
      </c>
      <c r="K878" s="20" t="s">
        <v>137</v>
      </c>
      <c r="L878" s="20" t="s">
        <v>137</v>
      </c>
      <c r="M878" s="20" t="s">
        <v>1562</v>
      </c>
      <c r="Q878" s="24" t="s">
        <v>680</v>
      </c>
    </row>
    <row r="879" spans="1:17" hidden="1" x14ac:dyDescent="0.3">
      <c r="A879" s="20">
        <f t="shared" si="13"/>
        <v>878</v>
      </c>
      <c r="B879" s="21" t="s">
        <v>87</v>
      </c>
      <c r="C879" s="21" t="s">
        <v>97</v>
      </c>
      <c r="D879" s="22" t="str">
        <f>IF($C879="","",IFERROR(VLOOKUP($C879,Map_Register!$A$2:$C$5,3,FALSE()),""))</f>
        <v>Toponym Labels</v>
      </c>
      <c r="E879" s="21" t="s">
        <v>15</v>
      </c>
      <c r="F879" s="23">
        <v>93651</v>
      </c>
      <c r="G879" s="20" t="s">
        <v>1537</v>
      </c>
      <c r="H879" s="20" t="s">
        <v>1545</v>
      </c>
      <c r="I879" t="s">
        <v>697</v>
      </c>
      <c r="J879" s="20" t="s">
        <v>6</v>
      </c>
      <c r="K879" s="20" t="s">
        <v>137</v>
      </c>
      <c r="L879" s="20" t="s">
        <v>137</v>
      </c>
      <c r="M879" t="s">
        <v>1539</v>
      </c>
      <c r="Q879" s="24" t="s">
        <v>680</v>
      </c>
    </row>
    <row r="880" spans="1:17" hidden="1" x14ac:dyDescent="0.3">
      <c r="A880" s="20">
        <f t="shared" si="13"/>
        <v>879</v>
      </c>
      <c r="B880" s="21" t="s">
        <v>87</v>
      </c>
      <c r="C880" s="21" t="s">
        <v>97</v>
      </c>
      <c r="D880" s="22" t="str">
        <f>IF($C880="","",IFERROR(VLOOKUP($C880,Map_Register!$A$2:$C$5,3,FALSE()),""))</f>
        <v>Toponym Labels</v>
      </c>
      <c r="E880" s="21" t="s">
        <v>15</v>
      </c>
      <c r="F880" s="23">
        <v>95072</v>
      </c>
      <c r="G880" s="20" t="s">
        <v>1537</v>
      </c>
      <c r="H880" s="20" t="s">
        <v>1585</v>
      </c>
      <c r="I880" t="s">
        <v>697</v>
      </c>
      <c r="J880" s="20" t="s">
        <v>220</v>
      </c>
      <c r="K880" s="20" t="s">
        <v>137</v>
      </c>
      <c r="L880" s="20" t="s">
        <v>137</v>
      </c>
      <c r="M880" t="s">
        <v>1539</v>
      </c>
      <c r="Q880" s="24" t="s">
        <v>680</v>
      </c>
    </row>
    <row r="881" spans="1:17" hidden="1" x14ac:dyDescent="0.3">
      <c r="A881" s="20">
        <f t="shared" si="13"/>
        <v>880</v>
      </c>
      <c r="B881" s="21" t="s">
        <v>87</v>
      </c>
      <c r="C881" s="21" t="s">
        <v>97</v>
      </c>
      <c r="D881" s="22" t="str">
        <f>IF($C881="","",IFERROR(VLOOKUP($C881,Map_Register!$A$2:$C$5,3,FALSE()),""))</f>
        <v>Toponym Labels</v>
      </c>
      <c r="E881" s="21" t="s">
        <v>15</v>
      </c>
      <c r="F881" s="23">
        <v>95812</v>
      </c>
      <c r="G881" s="20" t="s">
        <v>1537</v>
      </c>
      <c r="H881" s="20" t="s">
        <v>1567</v>
      </c>
      <c r="I881" t="s">
        <v>697</v>
      </c>
      <c r="J881" s="20" t="s">
        <v>6</v>
      </c>
      <c r="K881" s="20" t="s">
        <v>137</v>
      </c>
      <c r="L881" s="20" t="s">
        <v>137</v>
      </c>
      <c r="M881" t="s">
        <v>1539</v>
      </c>
      <c r="Q881" s="24" t="s">
        <v>680</v>
      </c>
    </row>
    <row r="882" spans="1:17" hidden="1" x14ac:dyDescent="0.3">
      <c r="A882" s="20">
        <f t="shared" si="13"/>
        <v>881</v>
      </c>
      <c r="B882" s="21" t="s">
        <v>87</v>
      </c>
      <c r="C882" s="21" t="s">
        <v>97</v>
      </c>
      <c r="D882" s="22" t="str">
        <f>IF($C882="","",IFERROR(VLOOKUP($C882,Map_Register!$A$2:$C$5,3,FALSE()),""))</f>
        <v>Toponym Labels</v>
      </c>
      <c r="E882" s="21" t="s">
        <v>15</v>
      </c>
      <c r="F882" s="23">
        <v>96884</v>
      </c>
      <c r="G882" s="20" t="s">
        <v>1537</v>
      </c>
      <c r="H882" s="20" t="s">
        <v>1549</v>
      </c>
      <c r="I882" t="s">
        <v>697</v>
      </c>
      <c r="J882" s="20" t="s">
        <v>6</v>
      </c>
      <c r="K882" s="20" t="s">
        <v>137</v>
      </c>
      <c r="L882" s="20" t="s">
        <v>137</v>
      </c>
      <c r="M882" t="s">
        <v>1539</v>
      </c>
      <c r="Q882" s="24" t="s">
        <v>680</v>
      </c>
    </row>
    <row r="883" spans="1:17" hidden="1" x14ac:dyDescent="0.3">
      <c r="A883" s="20">
        <f t="shared" si="13"/>
        <v>882</v>
      </c>
      <c r="B883" s="21" t="s">
        <v>87</v>
      </c>
      <c r="C883" s="21" t="s">
        <v>97</v>
      </c>
      <c r="D883" s="22" t="str">
        <f>IF($C883="","",IFERROR(VLOOKUP($C883,Map_Register!$A$2:$C$5,3,FALSE()),""))</f>
        <v>Toponym Labels</v>
      </c>
      <c r="E883" s="21" t="s">
        <v>15</v>
      </c>
      <c r="F883" s="23">
        <v>97191</v>
      </c>
      <c r="G883" s="20" t="s">
        <v>1537</v>
      </c>
      <c r="H883" s="20" t="s">
        <v>1570</v>
      </c>
      <c r="I883" t="s">
        <v>697</v>
      </c>
      <c r="J883" s="20" t="s">
        <v>6</v>
      </c>
      <c r="K883" s="20" t="s">
        <v>137</v>
      </c>
      <c r="L883" s="20" t="s">
        <v>137</v>
      </c>
      <c r="M883" t="s">
        <v>1539</v>
      </c>
      <c r="Q883" s="24" t="s">
        <v>680</v>
      </c>
    </row>
    <row r="884" spans="1:17" hidden="1" x14ac:dyDescent="0.3">
      <c r="A884" s="20">
        <f t="shared" si="13"/>
        <v>883</v>
      </c>
      <c r="B884" s="21" t="s">
        <v>87</v>
      </c>
      <c r="C884" s="21" t="s">
        <v>97</v>
      </c>
      <c r="D884" s="22" t="str">
        <f>IF($C884="","",IFERROR(VLOOKUP($C884,Map_Register!$A$2:$C$5,3,FALSE()),""))</f>
        <v>Toponym Labels</v>
      </c>
      <c r="E884" s="21" t="s">
        <v>15</v>
      </c>
      <c r="F884" s="23">
        <v>97584</v>
      </c>
      <c r="G884" s="20" t="s">
        <v>1537</v>
      </c>
      <c r="H884" s="20" t="s">
        <v>1133</v>
      </c>
      <c r="I884" t="s">
        <v>697</v>
      </c>
      <c r="J884" s="20" t="s">
        <v>6</v>
      </c>
      <c r="K884" s="20" t="s">
        <v>137</v>
      </c>
      <c r="L884" s="20" t="s">
        <v>137</v>
      </c>
      <c r="M884" t="s">
        <v>1539</v>
      </c>
      <c r="Q884" s="24" t="s">
        <v>680</v>
      </c>
    </row>
    <row r="885" spans="1:17" hidden="1" x14ac:dyDescent="0.3">
      <c r="A885" s="20">
        <f t="shared" si="13"/>
        <v>884</v>
      </c>
      <c r="B885" s="21" t="s">
        <v>87</v>
      </c>
      <c r="C885" s="21" t="s">
        <v>97</v>
      </c>
      <c r="D885" s="22" t="str">
        <f>IF($C885="","",IFERROR(VLOOKUP($C885,Map_Register!$A$2:$C$5,3,FALSE()),""))</f>
        <v>Toponym Labels</v>
      </c>
      <c r="E885" s="21" t="s">
        <v>15</v>
      </c>
      <c r="F885" s="23">
        <v>99717</v>
      </c>
      <c r="G885" s="20" t="s">
        <v>1560</v>
      </c>
      <c r="H885" s="20" t="s">
        <v>1559</v>
      </c>
      <c r="I885" t="s">
        <v>697</v>
      </c>
      <c r="J885" s="20" t="s">
        <v>6</v>
      </c>
      <c r="K885" s="20" t="s">
        <v>137</v>
      </c>
      <c r="L885" s="20" t="s">
        <v>137</v>
      </c>
      <c r="M885" s="20" t="s">
        <v>1562</v>
      </c>
      <c r="Q885" s="24" t="s">
        <v>680</v>
      </c>
    </row>
    <row r="886" spans="1:17" hidden="1" x14ac:dyDescent="0.3">
      <c r="A886" s="20">
        <f t="shared" si="13"/>
        <v>885</v>
      </c>
      <c r="B886" s="21" t="s">
        <v>87</v>
      </c>
      <c r="C886" s="21" t="s">
        <v>97</v>
      </c>
      <c r="D886" s="22" t="str">
        <f>IF($C886="","",IFERROR(VLOOKUP($C886,Map_Register!$A$2:$C$5,3,FALSE()),""))</f>
        <v>Toponym Labels</v>
      </c>
      <c r="E886" s="21" t="s">
        <v>15</v>
      </c>
      <c r="F886" s="23">
        <v>100911</v>
      </c>
      <c r="G886" s="20" t="s">
        <v>1537</v>
      </c>
      <c r="H886" s="20" t="s">
        <v>1586</v>
      </c>
      <c r="I886" t="s">
        <v>697</v>
      </c>
      <c r="J886" s="20" t="s">
        <v>6</v>
      </c>
      <c r="K886" s="20" t="s">
        <v>137</v>
      </c>
      <c r="L886" s="20" t="s">
        <v>137</v>
      </c>
      <c r="M886" t="s">
        <v>1539</v>
      </c>
      <c r="Q886" s="24" t="s">
        <v>680</v>
      </c>
    </row>
    <row r="887" spans="1:17" hidden="1" x14ac:dyDescent="0.3">
      <c r="A887" s="20">
        <f t="shared" si="13"/>
        <v>886</v>
      </c>
      <c r="B887" s="21" t="s">
        <v>87</v>
      </c>
      <c r="C887" s="21" t="s">
        <v>97</v>
      </c>
      <c r="D887" s="22" t="str">
        <f>IF($C887="","",IFERROR(VLOOKUP($C887,Map_Register!$A$2:$C$5,3,FALSE()),""))</f>
        <v>Toponym Labels</v>
      </c>
      <c r="E887" s="21" t="s">
        <v>15</v>
      </c>
      <c r="F887" s="23">
        <v>104121</v>
      </c>
      <c r="G887" s="20" t="s">
        <v>1537</v>
      </c>
      <c r="H887" s="20" t="s">
        <v>1587</v>
      </c>
      <c r="I887" t="s">
        <v>697</v>
      </c>
      <c r="J887" s="20" t="s">
        <v>6</v>
      </c>
      <c r="K887" s="20" t="s">
        <v>137</v>
      </c>
      <c r="L887" s="20" t="s">
        <v>137</v>
      </c>
      <c r="M887" t="s">
        <v>1539</v>
      </c>
      <c r="Q887" s="24" t="s">
        <v>680</v>
      </c>
    </row>
    <row r="888" spans="1:17" hidden="1" x14ac:dyDescent="0.3">
      <c r="A888" s="20">
        <f t="shared" si="13"/>
        <v>887</v>
      </c>
      <c r="B888" s="21" t="s">
        <v>87</v>
      </c>
      <c r="C888" s="21" t="s">
        <v>97</v>
      </c>
      <c r="D888" s="22" t="str">
        <f>IF($C888="","",IFERROR(VLOOKUP($C888,Map_Register!$A$2:$C$5,3,FALSE()),""))</f>
        <v>Toponym Labels</v>
      </c>
      <c r="E888" s="21" t="s">
        <v>15</v>
      </c>
      <c r="F888" s="23">
        <v>104394</v>
      </c>
      <c r="G888" s="20" t="s">
        <v>1537</v>
      </c>
      <c r="H888" s="20" t="s">
        <v>1588</v>
      </c>
      <c r="I888" t="s">
        <v>697</v>
      </c>
      <c r="J888" s="20" t="s">
        <v>6</v>
      </c>
      <c r="K888" s="20" t="s">
        <v>137</v>
      </c>
      <c r="L888" s="20" t="s">
        <v>137</v>
      </c>
      <c r="M888" t="s">
        <v>1539</v>
      </c>
      <c r="Q888" s="24" t="s">
        <v>680</v>
      </c>
    </row>
    <row r="889" spans="1:17" hidden="1" x14ac:dyDescent="0.3">
      <c r="A889" s="20">
        <f t="shared" si="13"/>
        <v>888</v>
      </c>
      <c r="B889" s="21" t="s">
        <v>87</v>
      </c>
      <c r="C889" s="21" t="s">
        <v>97</v>
      </c>
      <c r="D889" s="22" t="str">
        <f>IF($C889="","",IFERROR(VLOOKUP($C889,Map_Register!$A$2:$C$5,3,FALSE()),""))</f>
        <v>Toponym Labels</v>
      </c>
      <c r="E889" s="21" t="s">
        <v>15</v>
      </c>
      <c r="F889" s="23">
        <v>107361</v>
      </c>
      <c r="G889" s="20" t="s">
        <v>1537</v>
      </c>
      <c r="H889" s="20" t="s">
        <v>1589</v>
      </c>
      <c r="I889" t="s">
        <v>697</v>
      </c>
      <c r="J889" s="20" t="s">
        <v>6</v>
      </c>
      <c r="K889" s="20" t="s">
        <v>137</v>
      </c>
      <c r="L889" s="20" t="s">
        <v>137</v>
      </c>
      <c r="M889" t="s">
        <v>1539</v>
      </c>
      <c r="Q889" s="24" t="s">
        <v>680</v>
      </c>
    </row>
    <row r="890" spans="1:17" hidden="1" x14ac:dyDescent="0.3">
      <c r="A890" s="20">
        <f t="shared" si="13"/>
        <v>889</v>
      </c>
      <c r="B890" s="21" t="s">
        <v>87</v>
      </c>
      <c r="C890" s="21" t="s">
        <v>97</v>
      </c>
      <c r="D890" s="22" t="str">
        <f>IF($C890="","",IFERROR(VLOOKUP($C890,Map_Register!$A$2:$C$5,3,FALSE()),""))</f>
        <v>Toponym Labels</v>
      </c>
      <c r="E890" s="21" t="s">
        <v>15</v>
      </c>
      <c r="F890" s="23">
        <v>109956</v>
      </c>
      <c r="G890" s="20" t="s">
        <v>1537</v>
      </c>
      <c r="H890" s="20" t="s">
        <v>1570</v>
      </c>
      <c r="I890" t="s">
        <v>697</v>
      </c>
      <c r="J890" s="20" t="s">
        <v>6</v>
      </c>
      <c r="K890" s="20" t="s">
        <v>137</v>
      </c>
      <c r="L890" s="20" t="s">
        <v>137</v>
      </c>
      <c r="M890" t="s">
        <v>1539</v>
      </c>
      <c r="Q890" s="24" t="s">
        <v>680</v>
      </c>
    </row>
    <row r="891" spans="1:17" hidden="1" x14ac:dyDescent="0.3">
      <c r="A891" s="20">
        <f t="shared" si="13"/>
        <v>890</v>
      </c>
      <c r="B891" s="21" t="s">
        <v>87</v>
      </c>
      <c r="C891" s="21" t="s">
        <v>97</v>
      </c>
      <c r="D891" s="22" t="str">
        <f>IF($C891="","",IFERROR(VLOOKUP($C891,Map_Register!$A$2:$C$5,3,FALSE()),""))</f>
        <v>Toponym Labels</v>
      </c>
      <c r="E891" s="21" t="s">
        <v>15</v>
      </c>
      <c r="F891" s="23">
        <v>111443</v>
      </c>
      <c r="G891" s="20" t="s">
        <v>1537</v>
      </c>
      <c r="H891" s="20" t="s">
        <v>1590</v>
      </c>
      <c r="I891" t="s">
        <v>697</v>
      </c>
      <c r="J891" s="20" t="s">
        <v>6</v>
      </c>
      <c r="K891" s="20" t="s">
        <v>137</v>
      </c>
      <c r="L891" s="20" t="s">
        <v>137</v>
      </c>
      <c r="M891" t="s">
        <v>1539</v>
      </c>
      <c r="Q891" s="24" t="s">
        <v>680</v>
      </c>
    </row>
    <row r="892" spans="1:17" hidden="1" x14ac:dyDescent="0.3">
      <c r="A892" s="20">
        <f t="shared" si="13"/>
        <v>891</v>
      </c>
      <c r="B892" s="21" t="s">
        <v>87</v>
      </c>
      <c r="C892" s="21" t="s">
        <v>97</v>
      </c>
      <c r="D892" s="22" t="str">
        <f>IF($C892="","",IFERROR(VLOOKUP($C892,Map_Register!$A$2:$C$5,3,FALSE()),""))</f>
        <v>Toponym Labels</v>
      </c>
      <c r="E892" s="21" t="s">
        <v>15</v>
      </c>
      <c r="F892" s="23">
        <v>115323</v>
      </c>
      <c r="G892" s="20" t="s">
        <v>1537</v>
      </c>
      <c r="H892" s="20" t="s">
        <v>1591</v>
      </c>
      <c r="I892" t="s">
        <v>697</v>
      </c>
      <c r="J892" s="20" t="s">
        <v>6</v>
      </c>
      <c r="K892" s="20" t="s">
        <v>137</v>
      </c>
      <c r="L892" s="20" t="s">
        <v>137</v>
      </c>
      <c r="M892" t="s">
        <v>1539</v>
      </c>
      <c r="Q892" s="24" t="s">
        <v>680</v>
      </c>
    </row>
    <row r="893" spans="1:17" hidden="1" x14ac:dyDescent="0.3">
      <c r="A893" s="20">
        <f t="shared" si="13"/>
        <v>892</v>
      </c>
      <c r="B893" s="21" t="s">
        <v>87</v>
      </c>
      <c r="C893" s="21" t="s">
        <v>97</v>
      </c>
      <c r="D893" s="22" t="str">
        <f>IF($C893="","",IFERROR(VLOOKUP($C893,Map_Register!$A$2:$C$5,3,FALSE()),""))</f>
        <v>Toponym Labels</v>
      </c>
      <c r="E893" s="21" t="s">
        <v>15</v>
      </c>
      <c r="F893" s="23">
        <v>115334</v>
      </c>
      <c r="G893" s="20" t="s">
        <v>1537</v>
      </c>
      <c r="H893" s="20" t="s">
        <v>1587</v>
      </c>
      <c r="I893" t="s">
        <v>697</v>
      </c>
      <c r="J893" s="20" t="s">
        <v>6</v>
      </c>
      <c r="K893" s="20" t="s">
        <v>137</v>
      </c>
      <c r="L893" s="20" t="s">
        <v>137</v>
      </c>
      <c r="M893" t="s">
        <v>1539</v>
      </c>
      <c r="Q893" s="24" t="s">
        <v>680</v>
      </c>
    </row>
    <row r="894" spans="1:17" hidden="1" x14ac:dyDescent="0.3">
      <c r="A894" s="20">
        <f t="shared" si="13"/>
        <v>893</v>
      </c>
      <c r="B894" s="21" t="s">
        <v>87</v>
      </c>
      <c r="C894" s="21" t="s">
        <v>97</v>
      </c>
      <c r="D894" s="22" t="str">
        <f>IF($C894="","",IFERROR(VLOOKUP($C894,Map_Register!$A$2:$C$5,3,FALSE()),""))</f>
        <v>Toponym Labels</v>
      </c>
      <c r="E894" s="21" t="s">
        <v>15</v>
      </c>
      <c r="F894" s="23">
        <v>118105</v>
      </c>
      <c r="G894" s="20" t="s">
        <v>1537</v>
      </c>
      <c r="H894" s="20" t="s">
        <v>1588</v>
      </c>
      <c r="I894" t="s">
        <v>697</v>
      </c>
      <c r="J894" s="20" t="s">
        <v>6</v>
      </c>
      <c r="K894" s="20" t="s">
        <v>137</v>
      </c>
      <c r="L894" s="20" t="s">
        <v>137</v>
      </c>
      <c r="M894" t="s">
        <v>1539</v>
      </c>
      <c r="Q894" s="24" t="s">
        <v>680</v>
      </c>
    </row>
    <row r="895" spans="1:17" hidden="1" x14ac:dyDescent="0.3">
      <c r="A895" s="20">
        <f t="shared" si="13"/>
        <v>894</v>
      </c>
      <c r="B895" s="21" t="s">
        <v>87</v>
      </c>
      <c r="C895" s="21" t="s">
        <v>97</v>
      </c>
      <c r="D895" s="22" t="str">
        <f>IF($C895="","",IFERROR(VLOOKUP($C895,Map_Register!$A$2:$C$5,3,FALSE()),""))</f>
        <v>Toponym Labels</v>
      </c>
      <c r="E895" s="21" t="s">
        <v>15</v>
      </c>
      <c r="F895" s="23">
        <v>119845</v>
      </c>
      <c r="G895" s="20" t="s">
        <v>1537</v>
      </c>
      <c r="H895" s="20" t="s">
        <v>1592</v>
      </c>
      <c r="I895" t="s">
        <v>697</v>
      </c>
      <c r="J895" s="20" t="s">
        <v>6</v>
      </c>
      <c r="K895" s="20" t="s">
        <v>137</v>
      </c>
      <c r="L895" s="20" t="s">
        <v>137</v>
      </c>
      <c r="M895" t="s">
        <v>1539</v>
      </c>
      <c r="Q895" s="24" t="s">
        <v>680</v>
      </c>
    </row>
    <row r="896" spans="1:17" hidden="1" x14ac:dyDescent="0.3">
      <c r="A896" s="20">
        <f t="shared" si="13"/>
        <v>895</v>
      </c>
      <c r="B896" s="21" t="s">
        <v>87</v>
      </c>
      <c r="C896" s="21" t="s">
        <v>97</v>
      </c>
      <c r="D896" s="22" t="str">
        <f>IF($C896="","",IFERROR(VLOOKUP($C896,Map_Register!$A$2:$C$5,3,FALSE()),""))</f>
        <v>Toponym Labels</v>
      </c>
      <c r="E896" s="21" t="s">
        <v>15</v>
      </c>
      <c r="F896" s="23">
        <v>120474</v>
      </c>
      <c r="G896" s="20" t="s">
        <v>1537</v>
      </c>
      <c r="H896" s="20" t="s">
        <v>1593</v>
      </c>
      <c r="I896" t="s">
        <v>697</v>
      </c>
      <c r="J896" s="20" t="s">
        <v>6</v>
      </c>
      <c r="K896" s="20" t="s">
        <v>137</v>
      </c>
      <c r="L896" s="20" t="s">
        <v>137</v>
      </c>
      <c r="M896" t="s">
        <v>1539</v>
      </c>
      <c r="Q896" s="24" t="s">
        <v>680</v>
      </c>
    </row>
    <row r="897" spans="1:17" hidden="1" x14ac:dyDescent="0.3">
      <c r="A897" s="20">
        <f t="shared" si="13"/>
        <v>896</v>
      </c>
      <c r="B897" s="21" t="s">
        <v>87</v>
      </c>
      <c r="C897" s="21" t="s">
        <v>97</v>
      </c>
      <c r="D897" s="22" t="str">
        <f>IF($C897="","",IFERROR(VLOOKUP($C897,Map_Register!$A$2:$C$5,3,FALSE()),""))</f>
        <v>Toponym Labels</v>
      </c>
      <c r="E897" s="21" t="s">
        <v>15</v>
      </c>
      <c r="F897" s="23">
        <v>120518</v>
      </c>
      <c r="G897" s="20" t="s">
        <v>1537</v>
      </c>
      <c r="H897" s="20" t="s">
        <v>1594</v>
      </c>
      <c r="I897" t="s">
        <v>697</v>
      </c>
      <c r="J897" s="20" t="s">
        <v>6</v>
      </c>
      <c r="K897" s="20" t="s">
        <v>137</v>
      </c>
      <c r="L897" s="20" t="s">
        <v>137</v>
      </c>
      <c r="M897" t="s">
        <v>1539</v>
      </c>
      <c r="Q897" s="24" t="s">
        <v>680</v>
      </c>
    </row>
    <row r="898" spans="1:17" hidden="1" x14ac:dyDescent="0.3">
      <c r="A898" s="20">
        <f t="shared" ref="A898:A961" si="14">IF($B898="","",ROW()-1)</f>
        <v>897</v>
      </c>
      <c r="B898" s="21" t="s">
        <v>87</v>
      </c>
      <c r="C898" s="21" t="s">
        <v>97</v>
      </c>
      <c r="D898" s="22" t="str">
        <f>IF($C898="","",IFERROR(VLOOKUP($C898,Map_Register!$A$2:$C$5,3,FALSE()),""))</f>
        <v>Toponym Labels</v>
      </c>
      <c r="E898" s="21" t="s">
        <v>15</v>
      </c>
      <c r="F898" s="23">
        <v>120547</v>
      </c>
      <c r="G898" s="20" t="s">
        <v>1537</v>
      </c>
      <c r="H898" s="20" t="s">
        <v>1595</v>
      </c>
      <c r="I898" t="s">
        <v>697</v>
      </c>
      <c r="J898" s="20" t="s">
        <v>6</v>
      </c>
      <c r="K898" s="20" t="s">
        <v>137</v>
      </c>
      <c r="L898" s="20" t="s">
        <v>137</v>
      </c>
      <c r="M898" t="s">
        <v>1539</v>
      </c>
      <c r="Q898" s="24" t="s">
        <v>680</v>
      </c>
    </row>
    <row r="899" spans="1:17" hidden="1" x14ac:dyDescent="0.3">
      <c r="A899" s="20">
        <f t="shared" si="14"/>
        <v>898</v>
      </c>
      <c r="B899" s="21" t="s">
        <v>87</v>
      </c>
      <c r="C899" s="21" t="s">
        <v>97</v>
      </c>
      <c r="D899" s="22" t="str">
        <f>IF($C899="","",IFERROR(VLOOKUP($C899,Map_Register!$A$2:$C$5,3,FALSE()),""))</f>
        <v>Toponym Labels</v>
      </c>
      <c r="E899" s="21" t="s">
        <v>15</v>
      </c>
      <c r="F899" s="23">
        <v>120626</v>
      </c>
      <c r="G899" s="20" t="s">
        <v>1537</v>
      </c>
      <c r="H899" s="20" t="s">
        <v>1596</v>
      </c>
      <c r="I899" t="s">
        <v>697</v>
      </c>
      <c r="J899" s="20" t="s">
        <v>6</v>
      </c>
      <c r="K899" s="20" t="s">
        <v>137</v>
      </c>
      <c r="L899" s="20" t="s">
        <v>137</v>
      </c>
      <c r="M899" t="s">
        <v>1539</v>
      </c>
      <c r="Q899" s="24" t="s">
        <v>680</v>
      </c>
    </row>
    <row r="900" spans="1:17" hidden="1" x14ac:dyDescent="0.3">
      <c r="A900" s="20">
        <f t="shared" si="14"/>
        <v>899</v>
      </c>
      <c r="B900" s="21" t="s">
        <v>87</v>
      </c>
      <c r="C900" s="21" t="s">
        <v>97</v>
      </c>
      <c r="D900" s="22" t="str">
        <f>IF($C900="","",IFERROR(VLOOKUP($C900,Map_Register!$A$2:$C$5,3,FALSE()),""))</f>
        <v>Toponym Labels</v>
      </c>
      <c r="E900" s="21" t="s">
        <v>15</v>
      </c>
      <c r="F900" s="23">
        <v>120632</v>
      </c>
      <c r="G900" s="20" t="s">
        <v>1537</v>
      </c>
      <c r="H900" s="20" t="s">
        <v>1597</v>
      </c>
      <c r="I900" t="s">
        <v>697</v>
      </c>
      <c r="J900" s="20" t="s">
        <v>6</v>
      </c>
      <c r="K900" s="20" t="s">
        <v>137</v>
      </c>
      <c r="L900" s="20" t="s">
        <v>137</v>
      </c>
      <c r="M900" t="s">
        <v>1539</v>
      </c>
      <c r="Q900" s="24" t="s">
        <v>680</v>
      </c>
    </row>
    <row r="901" spans="1:17" hidden="1" x14ac:dyDescent="0.3">
      <c r="A901" s="20">
        <f t="shared" si="14"/>
        <v>900</v>
      </c>
      <c r="B901" s="21" t="s">
        <v>87</v>
      </c>
      <c r="C901" s="21" t="s">
        <v>97</v>
      </c>
      <c r="D901" s="22" t="str">
        <f>IF($C901="","",IFERROR(VLOOKUP($C901,Map_Register!$A$2:$C$5,3,FALSE()),""))</f>
        <v>Toponym Labels</v>
      </c>
      <c r="E901" s="21" t="s">
        <v>15</v>
      </c>
      <c r="F901" s="23">
        <v>121129</v>
      </c>
      <c r="G901" s="20" t="s">
        <v>1537</v>
      </c>
      <c r="H901" s="20" t="s">
        <v>1598</v>
      </c>
      <c r="I901" t="s">
        <v>697</v>
      </c>
      <c r="J901" s="20" t="s">
        <v>6</v>
      </c>
      <c r="K901" s="20" t="s">
        <v>137</v>
      </c>
      <c r="L901" s="20" t="s">
        <v>137</v>
      </c>
      <c r="M901" t="s">
        <v>1539</v>
      </c>
      <c r="Q901" s="24" t="s">
        <v>680</v>
      </c>
    </row>
    <row r="902" spans="1:17" hidden="1" x14ac:dyDescent="0.3">
      <c r="A902" s="20">
        <f t="shared" si="14"/>
        <v>901</v>
      </c>
      <c r="B902" s="21" t="s">
        <v>87</v>
      </c>
      <c r="C902" s="21" t="s">
        <v>97</v>
      </c>
      <c r="D902" s="22" t="str">
        <f>IF($C902="","",IFERROR(VLOOKUP($C902,Map_Register!$A$2:$C$5,3,FALSE()),""))</f>
        <v>Toponym Labels</v>
      </c>
      <c r="E902" s="21" t="s">
        <v>15</v>
      </c>
      <c r="F902" s="23">
        <v>129697</v>
      </c>
      <c r="G902" s="20" t="s">
        <v>1537</v>
      </c>
      <c r="H902" s="20" t="s">
        <v>1599</v>
      </c>
      <c r="I902" t="s">
        <v>697</v>
      </c>
      <c r="J902" s="20" t="s">
        <v>6</v>
      </c>
      <c r="K902" s="20" t="s">
        <v>137</v>
      </c>
      <c r="L902" s="20" t="s">
        <v>137</v>
      </c>
      <c r="M902" t="s">
        <v>1539</v>
      </c>
      <c r="Q902" s="24" t="s">
        <v>680</v>
      </c>
    </row>
    <row r="903" spans="1:17" hidden="1" x14ac:dyDescent="0.3">
      <c r="A903" s="20">
        <f t="shared" si="14"/>
        <v>902</v>
      </c>
      <c r="B903" s="21" t="s">
        <v>87</v>
      </c>
      <c r="C903" s="21" t="s">
        <v>97</v>
      </c>
      <c r="D903" s="22" t="str">
        <f>IF($C903="","",IFERROR(VLOOKUP($C903,Map_Register!$A$2:$C$5,3,FALSE()),""))</f>
        <v>Toponym Labels</v>
      </c>
      <c r="E903" s="21" t="s">
        <v>15</v>
      </c>
      <c r="F903" s="23">
        <v>134011</v>
      </c>
      <c r="G903" s="20" t="s">
        <v>1537</v>
      </c>
      <c r="H903" s="20" t="s">
        <v>1600</v>
      </c>
      <c r="I903" t="s">
        <v>697</v>
      </c>
      <c r="J903" s="20" t="s">
        <v>220</v>
      </c>
      <c r="K903" s="20" t="s">
        <v>137</v>
      </c>
      <c r="L903" s="20" t="s">
        <v>137</v>
      </c>
      <c r="M903" t="s">
        <v>1539</v>
      </c>
      <c r="Q903" s="24" t="s">
        <v>680</v>
      </c>
    </row>
    <row r="904" spans="1:17" hidden="1" x14ac:dyDescent="0.3">
      <c r="A904" s="20">
        <f t="shared" si="14"/>
        <v>903</v>
      </c>
      <c r="B904" s="21" t="s">
        <v>87</v>
      </c>
      <c r="C904" s="21" t="s">
        <v>97</v>
      </c>
      <c r="D904" s="22" t="str">
        <f>IF($C904="","",IFERROR(VLOOKUP($C904,Map_Register!$A$2:$C$5,3,FALSE()),""))</f>
        <v>Toponym Labels</v>
      </c>
      <c r="E904" s="21" t="s">
        <v>15</v>
      </c>
      <c r="F904" s="23">
        <v>135545</v>
      </c>
      <c r="G904" s="20" t="s">
        <v>1537</v>
      </c>
      <c r="H904" s="20" t="s">
        <v>1589</v>
      </c>
      <c r="I904" t="s">
        <v>697</v>
      </c>
      <c r="J904" s="20" t="s">
        <v>6</v>
      </c>
      <c r="K904" s="20" t="s">
        <v>137</v>
      </c>
      <c r="L904" s="20" t="s">
        <v>137</v>
      </c>
      <c r="M904" t="s">
        <v>1539</v>
      </c>
      <c r="Q904" s="24" t="s">
        <v>680</v>
      </c>
    </row>
    <row r="905" spans="1:17" hidden="1" x14ac:dyDescent="0.3">
      <c r="A905" s="20">
        <f t="shared" si="14"/>
        <v>904</v>
      </c>
      <c r="B905" s="21" t="s">
        <v>87</v>
      </c>
      <c r="C905" s="21" t="s">
        <v>97</v>
      </c>
      <c r="D905" s="22" t="str">
        <f>IF($C905="","",IFERROR(VLOOKUP($C905,Map_Register!$A$2:$C$5,3,FALSE()),""))</f>
        <v>Toponym Labels</v>
      </c>
      <c r="E905" s="21" t="s">
        <v>15</v>
      </c>
      <c r="F905" s="23">
        <v>138223</v>
      </c>
      <c r="G905" s="20" t="s">
        <v>1537</v>
      </c>
      <c r="H905" s="20" t="s">
        <v>1601</v>
      </c>
      <c r="I905" t="s">
        <v>697</v>
      </c>
      <c r="J905" s="20" t="s">
        <v>6</v>
      </c>
      <c r="K905" s="20" t="s">
        <v>137</v>
      </c>
      <c r="L905" s="20" t="s">
        <v>137</v>
      </c>
      <c r="M905" t="s">
        <v>1539</v>
      </c>
      <c r="Q905" s="24" t="s">
        <v>680</v>
      </c>
    </row>
    <row r="906" spans="1:17" hidden="1" x14ac:dyDescent="0.3">
      <c r="A906" s="20">
        <f t="shared" si="14"/>
        <v>905</v>
      </c>
      <c r="B906" s="21" t="s">
        <v>87</v>
      </c>
      <c r="C906" s="21" t="s">
        <v>97</v>
      </c>
      <c r="D906" s="22" t="str">
        <f>IF($C906="","",IFERROR(VLOOKUP($C906,Map_Register!$A$2:$C$5,3,FALSE()),""))</f>
        <v>Toponym Labels</v>
      </c>
      <c r="E906" s="21" t="s">
        <v>15</v>
      </c>
      <c r="F906" s="23">
        <v>141156</v>
      </c>
      <c r="G906" s="20" t="s">
        <v>1537</v>
      </c>
      <c r="H906" s="20" t="s">
        <v>1580</v>
      </c>
      <c r="I906" t="s">
        <v>697</v>
      </c>
      <c r="J906" s="20" t="s">
        <v>6</v>
      </c>
      <c r="K906" s="20" t="s">
        <v>137</v>
      </c>
      <c r="L906" s="20" t="s">
        <v>137</v>
      </c>
      <c r="M906" t="s">
        <v>1539</v>
      </c>
      <c r="Q906" s="24" t="s">
        <v>680</v>
      </c>
    </row>
    <row r="907" spans="1:17" hidden="1" x14ac:dyDescent="0.3">
      <c r="A907" s="20">
        <f t="shared" si="14"/>
        <v>906</v>
      </c>
      <c r="B907" s="21" t="s">
        <v>87</v>
      </c>
      <c r="C907" s="21" t="s">
        <v>97</v>
      </c>
      <c r="D907" s="22" t="str">
        <f>IF($C907="","",IFERROR(VLOOKUP($C907,Map_Register!$A$2:$C$5,3,FALSE()),""))</f>
        <v>Toponym Labels</v>
      </c>
      <c r="E907" s="21" t="s">
        <v>15</v>
      </c>
      <c r="F907" s="23">
        <v>141371</v>
      </c>
      <c r="G907" s="20" t="s">
        <v>1537</v>
      </c>
      <c r="H907" s="20" t="s">
        <v>1602</v>
      </c>
      <c r="I907" t="s">
        <v>697</v>
      </c>
      <c r="J907" s="20" t="s">
        <v>6</v>
      </c>
      <c r="K907" s="20" t="s">
        <v>137</v>
      </c>
      <c r="L907" s="20" t="s">
        <v>137</v>
      </c>
      <c r="M907" t="s">
        <v>1539</v>
      </c>
      <c r="Q907" s="24" t="s">
        <v>680</v>
      </c>
    </row>
    <row r="908" spans="1:17" hidden="1" x14ac:dyDescent="0.3">
      <c r="A908" s="20">
        <f t="shared" si="14"/>
        <v>907</v>
      </c>
      <c r="B908" s="21" t="s">
        <v>87</v>
      </c>
      <c r="C908" s="21" t="s">
        <v>97</v>
      </c>
      <c r="D908" s="22" t="str">
        <f>IF($C908="","",IFERROR(VLOOKUP($C908,Map_Register!$A$2:$C$5,3,FALSE()),""))</f>
        <v>Toponym Labels</v>
      </c>
      <c r="E908" s="21" t="s">
        <v>15</v>
      </c>
      <c r="F908" s="23">
        <v>144438</v>
      </c>
      <c r="G908" s="20" t="s">
        <v>1537</v>
      </c>
      <c r="H908" s="20" t="s">
        <v>889</v>
      </c>
      <c r="I908" t="s">
        <v>697</v>
      </c>
      <c r="J908" s="20" t="s">
        <v>6</v>
      </c>
      <c r="K908" s="20" t="s">
        <v>137</v>
      </c>
      <c r="L908" s="20" t="s">
        <v>137</v>
      </c>
      <c r="M908" t="s">
        <v>1539</v>
      </c>
      <c r="Q908" s="24" t="s">
        <v>680</v>
      </c>
    </row>
    <row r="909" spans="1:17" hidden="1" x14ac:dyDescent="0.3">
      <c r="A909" s="20">
        <f t="shared" si="14"/>
        <v>908</v>
      </c>
      <c r="B909" s="21" t="s">
        <v>87</v>
      </c>
      <c r="C909" s="21" t="s">
        <v>97</v>
      </c>
      <c r="D909" s="22" t="str">
        <f>IF($C909="","",IFERROR(VLOOKUP($C909,Map_Register!$A$2:$C$5,3,FALSE()),""))</f>
        <v>Toponym Labels</v>
      </c>
      <c r="E909" s="21" t="s">
        <v>15</v>
      </c>
      <c r="F909" s="23">
        <v>144510</v>
      </c>
      <c r="G909" s="20" t="s">
        <v>1537</v>
      </c>
      <c r="H909" s="20" t="s">
        <v>1603</v>
      </c>
      <c r="I909" t="s">
        <v>697</v>
      </c>
      <c r="J909" s="20" t="s">
        <v>6</v>
      </c>
      <c r="K909" s="20" t="s">
        <v>137</v>
      </c>
      <c r="L909" s="20" t="s">
        <v>137</v>
      </c>
      <c r="M909" t="s">
        <v>1539</v>
      </c>
      <c r="Q909" s="24" t="s">
        <v>680</v>
      </c>
    </row>
    <row r="910" spans="1:17" hidden="1" x14ac:dyDescent="0.3">
      <c r="A910" s="20">
        <f t="shared" si="14"/>
        <v>909</v>
      </c>
      <c r="B910" s="21" t="s">
        <v>87</v>
      </c>
      <c r="C910" s="21" t="s">
        <v>97</v>
      </c>
      <c r="D910" s="22" t="str">
        <f>IF($C910="","",IFERROR(VLOOKUP($C910,Map_Register!$A$2:$C$5,3,FALSE()),""))</f>
        <v>Toponym Labels</v>
      </c>
      <c r="E910" s="21" t="s">
        <v>15</v>
      </c>
      <c r="F910" s="23">
        <v>145048</v>
      </c>
      <c r="G910" s="20" t="s">
        <v>1560</v>
      </c>
      <c r="H910" s="20" t="s">
        <v>1556</v>
      </c>
      <c r="I910" t="s">
        <v>697</v>
      </c>
      <c r="J910" s="20" t="s">
        <v>6</v>
      </c>
      <c r="K910" s="20" t="s">
        <v>137</v>
      </c>
      <c r="L910" s="20" t="s">
        <v>137</v>
      </c>
      <c r="M910" s="20" t="s">
        <v>1562</v>
      </c>
      <c r="Q910" s="24" t="s">
        <v>680</v>
      </c>
    </row>
    <row r="911" spans="1:17" hidden="1" x14ac:dyDescent="0.3">
      <c r="A911" s="20">
        <f t="shared" si="14"/>
        <v>910</v>
      </c>
      <c r="B911" s="21" t="s">
        <v>87</v>
      </c>
      <c r="C911" s="21" t="s">
        <v>97</v>
      </c>
      <c r="D911" s="22" t="str">
        <f>IF($C911="","",IFERROR(VLOOKUP($C911,Map_Register!$A$2:$C$5,3,FALSE()),""))</f>
        <v>Toponym Labels</v>
      </c>
      <c r="E911" s="21" t="s">
        <v>15</v>
      </c>
      <c r="F911" s="23">
        <v>151982</v>
      </c>
      <c r="G911" s="20" t="s">
        <v>1537</v>
      </c>
      <c r="H911" s="20" t="s">
        <v>1604</v>
      </c>
      <c r="I911" t="s">
        <v>697</v>
      </c>
      <c r="J911" s="20" t="s">
        <v>6</v>
      </c>
      <c r="K911" s="20" t="s">
        <v>137</v>
      </c>
      <c r="L911" s="20" t="s">
        <v>137</v>
      </c>
      <c r="M911" t="s">
        <v>1539</v>
      </c>
      <c r="Q911" s="24" t="s">
        <v>680</v>
      </c>
    </row>
    <row r="912" spans="1:17" hidden="1" x14ac:dyDescent="0.3">
      <c r="A912" s="20">
        <f t="shared" si="14"/>
        <v>911</v>
      </c>
      <c r="B912" s="21" t="s">
        <v>87</v>
      </c>
      <c r="C912" s="21" t="s">
        <v>97</v>
      </c>
      <c r="D912" s="22" t="str">
        <f>IF($C912="","",IFERROR(VLOOKUP($C912,Map_Register!$A$2:$C$5,3,FALSE()),""))</f>
        <v>Toponym Labels</v>
      </c>
      <c r="E912" s="21" t="s">
        <v>15</v>
      </c>
      <c r="F912" s="23">
        <v>153746</v>
      </c>
      <c r="G912" s="20" t="s">
        <v>1537</v>
      </c>
      <c r="H912" s="20" t="s">
        <v>1605</v>
      </c>
      <c r="I912" t="s">
        <v>1390</v>
      </c>
      <c r="J912" s="20" t="s">
        <v>6</v>
      </c>
      <c r="K912" s="20" t="s">
        <v>137</v>
      </c>
      <c r="L912" s="20" t="s">
        <v>137</v>
      </c>
      <c r="M912" s="20" t="s">
        <v>1606</v>
      </c>
      <c r="Q912" s="24" t="s">
        <v>680</v>
      </c>
    </row>
    <row r="913" spans="1:17" hidden="1" x14ac:dyDescent="0.3">
      <c r="A913" s="20">
        <f t="shared" si="14"/>
        <v>912</v>
      </c>
      <c r="B913" s="21" t="s">
        <v>87</v>
      </c>
      <c r="C913" s="21" t="s">
        <v>97</v>
      </c>
      <c r="D913" s="22" t="str">
        <f>IF($C913="","",IFERROR(VLOOKUP($C913,Map_Register!$A$2:$C$5,3,FALSE()),""))</f>
        <v>Toponym Labels</v>
      </c>
      <c r="E913" s="21" t="s">
        <v>15</v>
      </c>
      <c r="F913" s="23">
        <v>154031</v>
      </c>
      <c r="G913" s="20" t="s">
        <v>1537</v>
      </c>
      <c r="H913" s="20" t="s">
        <v>1607</v>
      </c>
      <c r="I913" t="s">
        <v>697</v>
      </c>
      <c r="J913" s="20" t="s">
        <v>6</v>
      </c>
      <c r="K913" s="20" t="s">
        <v>137</v>
      </c>
      <c r="L913" s="20" t="s">
        <v>137</v>
      </c>
      <c r="M913" s="20" t="s">
        <v>1608</v>
      </c>
      <c r="Q913" s="24" t="s">
        <v>680</v>
      </c>
    </row>
    <row r="914" spans="1:17" hidden="1" x14ac:dyDescent="0.3">
      <c r="A914" s="20">
        <f t="shared" si="14"/>
        <v>913</v>
      </c>
      <c r="B914" s="21" t="s">
        <v>87</v>
      </c>
      <c r="C914" s="21" t="s">
        <v>97</v>
      </c>
      <c r="D914" s="22" t="str">
        <f>IF($C914="","",IFERROR(VLOOKUP($C914,Map_Register!$A$2:$C$5,3,FALSE()),""))</f>
        <v>Toponym Labels</v>
      </c>
      <c r="E914" s="21" t="s">
        <v>15</v>
      </c>
      <c r="F914" s="23">
        <v>154157</v>
      </c>
      <c r="G914" s="20" t="s">
        <v>1537</v>
      </c>
      <c r="H914" s="20" t="s">
        <v>1609</v>
      </c>
      <c r="I914" t="s">
        <v>697</v>
      </c>
      <c r="J914" s="20" t="s">
        <v>6</v>
      </c>
      <c r="K914" s="20" t="s">
        <v>137</v>
      </c>
      <c r="L914" s="20" t="s">
        <v>137</v>
      </c>
      <c r="M914" s="20" t="s">
        <v>1610</v>
      </c>
      <c r="Q914" s="24" t="s">
        <v>680</v>
      </c>
    </row>
    <row r="915" spans="1:17" hidden="1" x14ac:dyDescent="0.3">
      <c r="A915" s="20">
        <f t="shared" si="14"/>
        <v>914</v>
      </c>
      <c r="B915" s="21" t="s">
        <v>87</v>
      </c>
      <c r="C915" s="21" t="s">
        <v>97</v>
      </c>
      <c r="D915" s="22" t="str">
        <f>IF($C915="","",IFERROR(VLOOKUP($C915,Map_Register!$A$2:$C$5,3,FALSE()),""))</f>
        <v>Toponym Labels</v>
      </c>
      <c r="E915" s="21" t="s">
        <v>15</v>
      </c>
      <c r="F915" s="23">
        <v>154174</v>
      </c>
      <c r="G915" s="20" t="s">
        <v>1537</v>
      </c>
      <c r="H915" s="20" t="s">
        <v>1485</v>
      </c>
      <c r="I915" t="s">
        <v>1390</v>
      </c>
      <c r="J915" s="20" t="s">
        <v>6</v>
      </c>
      <c r="K915" s="20" t="s">
        <v>137</v>
      </c>
      <c r="L915" s="20" t="s">
        <v>137</v>
      </c>
      <c r="M915" t="s">
        <v>1611</v>
      </c>
      <c r="Q915" s="24" t="s">
        <v>680</v>
      </c>
    </row>
    <row r="916" spans="1:17" hidden="1" x14ac:dyDescent="0.3">
      <c r="A916" s="20">
        <f t="shared" si="14"/>
        <v>915</v>
      </c>
      <c r="B916" s="21" t="s">
        <v>87</v>
      </c>
      <c r="C916" s="21" t="s">
        <v>97</v>
      </c>
      <c r="D916" s="22" t="str">
        <f>IF($C916="","",IFERROR(VLOOKUP($C916,Map_Register!$A$2:$C$5,3,FALSE()),""))</f>
        <v>Toponym Labels</v>
      </c>
      <c r="E916" s="21" t="s">
        <v>15</v>
      </c>
      <c r="F916" s="23">
        <v>154307</v>
      </c>
      <c r="G916" s="20" t="s">
        <v>1560</v>
      </c>
      <c r="H916" s="20" t="s">
        <v>1583</v>
      </c>
      <c r="I916" t="s">
        <v>697</v>
      </c>
      <c r="J916" s="20" t="s">
        <v>220</v>
      </c>
      <c r="K916" s="20" t="s">
        <v>137</v>
      </c>
      <c r="L916" s="20" t="s">
        <v>137</v>
      </c>
      <c r="M916" s="20" t="s">
        <v>1562</v>
      </c>
      <c r="Q916" s="24" t="s">
        <v>680</v>
      </c>
    </row>
    <row r="917" spans="1:17" hidden="1" x14ac:dyDescent="0.3">
      <c r="A917" s="20">
        <f t="shared" si="14"/>
        <v>916</v>
      </c>
      <c r="B917" s="21" t="s">
        <v>87</v>
      </c>
      <c r="C917" s="21" t="s">
        <v>97</v>
      </c>
      <c r="D917" s="22" t="str">
        <f>IF($C917="","",IFERROR(VLOOKUP($C917,Map_Register!$A$2:$C$5,3,FALSE()),""))</f>
        <v>Toponym Labels</v>
      </c>
      <c r="E917" s="21" t="s">
        <v>15</v>
      </c>
      <c r="F917" s="23">
        <v>154831</v>
      </c>
      <c r="G917" s="20" t="s">
        <v>1537</v>
      </c>
      <c r="H917" s="20" t="s">
        <v>1612</v>
      </c>
      <c r="I917" t="s">
        <v>697</v>
      </c>
      <c r="J917" s="20" t="s">
        <v>6</v>
      </c>
      <c r="K917" s="20" t="s">
        <v>137</v>
      </c>
      <c r="L917" s="20" t="s">
        <v>137</v>
      </c>
      <c r="M917" s="20" t="s">
        <v>1613</v>
      </c>
      <c r="Q917" s="24" t="s">
        <v>680</v>
      </c>
    </row>
    <row r="918" spans="1:17" hidden="1" x14ac:dyDescent="0.3">
      <c r="A918" s="20">
        <f t="shared" si="14"/>
        <v>917</v>
      </c>
      <c r="B918" s="21" t="s">
        <v>87</v>
      </c>
      <c r="C918" s="21" t="s">
        <v>97</v>
      </c>
      <c r="D918" s="22" t="str">
        <f>IF($C918="","",IFERROR(VLOOKUP($C918,Map_Register!$A$2:$C$5,3,FALSE()),""))</f>
        <v>Toponym Labels</v>
      </c>
      <c r="E918" s="21" t="s">
        <v>15</v>
      </c>
      <c r="F918" s="23">
        <v>155796</v>
      </c>
      <c r="G918" s="20" t="s">
        <v>1537</v>
      </c>
      <c r="H918" s="20" t="s">
        <v>1614</v>
      </c>
      <c r="I918" t="s">
        <v>1390</v>
      </c>
      <c r="J918" s="20" t="s">
        <v>6</v>
      </c>
      <c r="K918" s="20" t="s">
        <v>137</v>
      </c>
      <c r="L918" s="20" t="s">
        <v>137</v>
      </c>
      <c r="M918" t="s">
        <v>1611</v>
      </c>
      <c r="Q918" s="24" t="s">
        <v>680</v>
      </c>
    </row>
    <row r="919" spans="1:17" hidden="1" x14ac:dyDescent="0.3">
      <c r="A919" s="20">
        <f t="shared" si="14"/>
        <v>918</v>
      </c>
      <c r="B919" s="21" t="s">
        <v>87</v>
      </c>
      <c r="C919" s="21" t="s">
        <v>97</v>
      </c>
      <c r="D919" s="22" t="str">
        <f>IF($C919="","",IFERROR(VLOOKUP($C919,Map_Register!$A$2:$C$5,3,FALSE()),""))</f>
        <v>Toponym Labels</v>
      </c>
      <c r="E919" s="21" t="s">
        <v>15</v>
      </c>
      <c r="F919" s="23">
        <v>155939</v>
      </c>
      <c r="G919" s="20" t="s">
        <v>1537</v>
      </c>
      <c r="H919" s="20" t="s">
        <v>1615</v>
      </c>
      <c r="I919" t="s">
        <v>697</v>
      </c>
      <c r="J919" s="20" t="s">
        <v>6</v>
      </c>
      <c r="K919" s="20" t="s">
        <v>137</v>
      </c>
      <c r="L919" s="20" t="s">
        <v>137</v>
      </c>
      <c r="M919" t="s">
        <v>1539</v>
      </c>
      <c r="Q919" s="24" t="s">
        <v>680</v>
      </c>
    </row>
    <row r="920" spans="1:17" hidden="1" x14ac:dyDescent="0.3">
      <c r="A920" s="20">
        <f t="shared" si="14"/>
        <v>919</v>
      </c>
      <c r="B920" s="21" t="s">
        <v>87</v>
      </c>
      <c r="C920" s="21" t="s">
        <v>97</v>
      </c>
      <c r="D920" s="22" t="str">
        <f>IF($C920="","",IFERROR(VLOOKUP($C920,Map_Register!$A$2:$C$5,3,FALSE()),""))</f>
        <v>Toponym Labels</v>
      </c>
      <c r="E920" s="21" t="s">
        <v>15</v>
      </c>
      <c r="F920" s="23">
        <v>156042</v>
      </c>
      <c r="G920" s="20" t="s">
        <v>1537</v>
      </c>
      <c r="H920" s="20" t="s">
        <v>1616</v>
      </c>
      <c r="I920" t="s">
        <v>1390</v>
      </c>
      <c r="J920" s="20" t="s">
        <v>6</v>
      </c>
      <c r="K920" s="20" t="s">
        <v>137</v>
      </c>
      <c r="L920" s="20" t="s">
        <v>137</v>
      </c>
      <c r="M920" s="20" t="s">
        <v>1617</v>
      </c>
      <c r="Q920" s="24" t="s">
        <v>680</v>
      </c>
    </row>
    <row r="921" spans="1:17" hidden="1" x14ac:dyDescent="0.3">
      <c r="A921" s="20">
        <f t="shared" si="14"/>
        <v>920</v>
      </c>
      <c r="B921" s="21" t="s">
        <v>87</v>
      </c>
      <c r="C921" s="21" t="s">
        <v>97</v>
      </c>
      <c r="D921" s="22" t="str">
        <f>IF($C921="","",IFERROR(VLOOKUP($C921,Map_Register!$A$2:$C$5,3,FALSE()),""))</f>
        <v>Toponym Labels</v>
      </c>
      <c r="E921" s="21" t="s">
        <v>15</v>
      </c>
      <c r="F921" s="23">
        <v>156259</v>
      </c>
      <c r="G921" s="20" t="s">
        <v>1537</v>
      </c>
      <c r="H921" s="20" t="s">
        <v>1618</v>
      </c>
      <c r="I921" t="s">
        <v>1390</v>
      </c>
      <c r="J921" s="20" t="s">
        <v>8</v>
      </c>
      <c r="K921" t="s">
        <v>107</v>
      </c>
      <c r="L921" t="s">
        <v>107</v>
      </c>
      <c r="M921" s="20" t="s">
        <v>1619</v>
      </c>
      <c r="N921" s="20" t="s">
        <v>108</v>
      </c>
      <c r="Q921" s="24" t="s">
        <v>680</v>
      </c>
    </row>
    <row r="922" spans="1:17" hidden="1" x14ac:dyDescent="0.3">
      <c r="A922" s="20">
        <f t="shared" si="14"/>
        <v>921</v>
      </c>
      <c r="B922" s="21" t="s">
        <v>87</v>
      </c>
      <c r="C922" s="21" t="s">
        <v>97</v>
      </c>
      <c r="D922" s="22" t="str">
        <f>IF($C922="","",IFERROR(VLOOKUP($C922,Map_Register!$A$2:$C$5,3,FALSE()),""))</f>
        <v>Toponym Labels</v>
      </c>
      <c r="E922" s="21" t="s">
        <v>15</v>
      </c>
      <c r="F922" s="23">
        <v>156814</v>
      </c>
      <c r="G922" s="20" t="s">
        <v>1537</v>
      </c>
      <c r="H922" s="20" t="s">
        <v>1620</v>
      </c>
      <c r="I922" t="s">
        <v>1390</v>
      </c>
      <c r="J922" s="20" t="s">
        <v>6</v>
      </c>
      <c r="K922" s="20" t="s">
        <v>137</v>
      </c>
      <c r="L922" s="20" t="s">
        <v>137</v>
      </c>
      <c r="M922" s="20" t="s">
        <v>1621</v>
      </c>
      <c r="Q922" s="24" t="s">
        <v>680</v>
      </c>
    </row>
    <row r="923" spans="1:17" hidden="1" x14ac:dyDescent="0.3">
      <c r="A923" s="20">
        <f t="shared" si="14"/>
        <v>922</v>
      </c>
      <c r="B923" s="21" t="s">
        <v>87</v>
      </c>
      <c r="C923" s="21" t="s">
        <v>97</v>
      </c>
      <c r="D923" s="22" t="str">
        <f>IF($C923="","",IFERROR(VLOOKUP($C923,Map_Register!$A$2:$C$5,3,FALSE()),""))</f>
        <v>Toponym Labels</v>
      </c>
      <c r="E923" s="21" t="s">
        <v>15</v>
      </c>
      <c r="F923" s="23">
        <v>162788</v>
      </c>
      <c r="G923" s="20" t="s">
        <v>1560</v>
      </c>
      <c r="H923" s="20" t="s">
        <v>1035</v>
      </c>
      <c r="I923" t="s">
        <v>697</v>
      </c>
      <c r="J923" s="20" t="s">
        <v>6</v>
      </c>
      <c r="K923" s="20" t="s">
        <v>137</v>
      </c>
      <c r="L923" s="20" t="s">
        <v>137</v>
      </c>
      <c r="M923" s="20" t="s">
        <v>1562</v>
      </c>
      <c r="Q923" s="24" t="s">
        <v>680</v>
      </c>
    </row>
    <row r="924" spans="1:17" hidden="1" x14ac:dyDescent="0.3">
      <c r="A924" s="20">
        <f t="shared" si="14"/>
        <v>923</v>
      </c>
      <c r="B924" s="21" t="s">
        <v>87</v>
      </c>
      <c r="C924" s="21" t="s">
        <v>97</v>
      </c>
      <c r="D924" s="22" t="str">
        <f>IF($C924="","",IFERROR(VLOOKUP($C924,Map_Register!$A$2:$C$5,3,FALSE()),""))</f>
        <v>Toponym Labels</v>
      </c>
      <c r="E924" s="21" t="s">
        <v>15</v>
      </c>
      <c r="F924" s="23">
        <v>164522</v>
      </c>
      <c r="G924" s="20" t="s">
        <v>1537</v>
      </c>
      <c r="H924" s="20" t="s">
        <v>1575</v>
      </c>
      <c r="I924" t="s">
        <v>697</v>
      </c>
      <c r="J924" s="20" t="s">
        <v>6</v>
      </c>
      <c r="K924" s="20" t="s">
        <v>137</v>
      </c>
      <c r="L924" s="20" t="s">
        <v>137</v>
      </c>
      <c r="M924" t="s">
        <v>1539</v>
      </c>
      <c r="Q924" s="24" t="s">
        <v>680</v>
      </c>
    </row>
    <row r="925" spans="1:17" hidden="1" x14ac:dyDescent="0.3">
      <c r="A925" s="20">
        <f t="shared" si="14"/>
        <v>924</v>
      </c>
      <c r="B925" s="21" t="s">
        <v>87</v>
      </c>
      <c r="C925" s="21" t="s">
        <v>97</v>
      </c>
      <c r="D925" s="22" t="str">
        <f>IF($C925="","",IFERROR(VLOOKUP($C925,Map_Register!$A$2:$C$5,3,FALSE()),""))</f>
        <v>Toponym Labels</v>
      </c>
      <c r="E925" s="21" t="s">
        <v>15</v>
      </c>
      <c r="F925" s="23">
        <v>166015</v>
      </c>
      <c r="G925" s="20" t="s">
        <v>1560</v>
      </c>
      <c r="H925" s="20" t="s">
        <v>1565</v>
      </c>
      <c r="I925" t="s">
        <v>697</v>
      </c>
      <c r="J925" s="20" t="s">
        <v>6</v>
      </c>
      <c r="K925" s="20" t="s">
        <v>137</v>
      </c>
      <c r="L925" s="20" t="s">
        <v>137</v>
      </c>
      <c r="M925" s="20" t="s">
        <v>1562</v>
      </c>
      <c r="Q925" s="24" t="s">
        <v>680</v>
      </c>
    </row>
    <row r="926" spans="1:17" hidden="1" x14ac:dyDescent="0.3">
      <c r="A926" s="20">
        <f t="shared" si="14"/>
        <v>925</v>
      </c>
      <c r="B926" s="21" t="s">
        <v>87</v>
      </c>
      <c r="C926" s="21" t="s">
        <v>97</v>
      </c>
      <c r="D926" s="22" t="str">
        <f>IF($C926="","",IFERROR(VLOOKUP($C926,Map_Register!$A$2:$C$5,3,FALSE()),""))</f>
        <v>Toponym Labels</v>
      </c>
      <c r="E926" s="21" t="s">
        <v>15</v>
      </c>
      <c r="F926" s="23">
        <v>167331</v>
      </c>
      <c r="G926" s="20" t="s">
        <v>1537</v>
      </c>
      <c r="H926" s="20" t="s">
        <v>1251</v>
      </c>
      <c r="I926" t="s">
        <v>697</v>
      </c>
      <c r="J926" s="20" t="s">
        <v>6</v>
      </c>
      <c r="K926" s="20" t="s">
        <v>137</v>
      </c>
      <c r="L926" s="20" t="s">
        <v>137</v>
      </c>
      <c r="M926" t="s">
        <v>1539</v>
      </c>
      <c r="Q926" s="24" t="s">
        <v>680</v>
      </c>
    </row>
    <row r="927" spans="1:17" hidden="1" x14ac:dyDescent="0.3">
      <c r="A927" s="20">
        <f t="shared" si="14"/>
        <v>926</v>
      </c>
      <c r="B927" s="21" t="s">
        <v>87</v>
      </c>
      <c r="C927" s="21" t="s">
        <v>97</v>
      </c>
      <c r="D927" s="22" t="str">
        <f>IF($C927="","",IFERROR(VLOOKUP($C927,Map_Register!$A$2:$C$5,3,FALSE()),""))</f>
        <v>Toponym Labels</v>
      </c>
      <c r="E927" s="21" t="s">
        <v>15</v>
      </c>
      <c r="F927" s="23">
        <v>167525</v>
      </c>
      <c r="G927" s="20" t="s">
        <v>1560</v>
      </c>
      <c r="H927" s="20" t="s">
        <v>889</v>
      </c>
      <c r="I927" t="s">
        <v>697</v>
      </c>
      <c r="J927" s="20" t="s">
        <v>6</v>
      </c>
      <c r="K927" s="20" t="s">
        <v>137</v>
      </c>
      <c r="L927" s="20" t="s">
        <v>137</v>
      </c>
      <c r="M927" s="20" t="s">
        <v>1562</v>
      </c>
      <c r="Q927" s="24" t="s">
        <v>680</v>
      </c>
    </row>
    <row r="928" spans="1:17" hidden="1" x14ac:dyDescent="0.3">
      <c r="A928" s="20">
        <f t="shared" si="14"/>
        <v>927</v>
      </c>
      <c r="B928" s="21" t="s">
        <v>87</v>
      </c>
      <c r="C928" s="21" t="s">
        <v>97</v>
      </c>
      <c r="D928" s="22" t="str">
        <f>IF($C928="","",IFERROR(VLOOKUP($C928,Map_Register!$A$2:$C$5,3,FALSE()),""))</f>
        <v>Toponym Labels</v>
      </c>
      <c r="E928" s="21" t="s">
        <v>15</v>
      </c>
      <c r="F928" s="23">
        <v>168032</v>
      </c>
      <c r="G928" s="20" t="s">
        <v>1560</v>
      </c>
      <c r="H928" s="20" t="s">
        <v>1553</v>
      </c>
      <c r="I928" t="s">
        <v>697</v>
      </c>
      <c r="J928" s="20" t="s">
        <v>6</v>
      </c>
      <c r="K928" s="20" t="s">
        <v>137</v>
      </c>
      <c r="L928" s="20" t="s">
        <v>137</v>
      </c>
      <c r="M928" s="20" t="s">
        <v>1562</v>
      </c>
      <c r="Q928" s="24" t="s">
        <v>680</v>
      </c>
    </row>
    <row r="929" spans="1:17" hidden="1" x14ac:dyDescent="0.3">
      <c r="A929" s="20">
        <f t="shared" si="14"/>
        <v>928</v>
      </c>
      <c r="B929" s="21" t="s">
        <v>87</v>
      </c>
      <c r="C929" s="21" t="s">
        <v>97</v>
      </c>
      <c r="D929" s="22" t="str">
        <f>IF($C929="","",IFERROR(VLOOKUP($C929,Map_Register!$A$2:$C$5,3,FALSE()),""))</f>
        <v>Toponym Labels</v>
      </c>
      <c r="E929" s="21" t="s">
        <v>15</v>
      </c>
      <c r="F929" s="23">
        <v>169148</v>
      </c>
      <c r="G929" s="20" t="s">
        <v>1537</v>
      </c>
      <c r="H929" s="20" t="s">
        <v>1622</v>
      </c>
      <c r="I929" t="s">
        <v>697</v>
      </c>
      <c r="J929" s="20" t="s">
        <v>6</v>
      </c>
      <c r="K929" s="20" t="s">
        <v>137</v>
      </c>
      <c r="L929" s="20" t="s">
        <v>137</v>
      </c>
      <c r="M929" t="s">
        <v>1539</v>
      </c>
      <c r="Q929" s="24" t="s">
        <v>680</v>
      </c>
    </row>
    <row r="930" spans="1:17" hidden="1" x14ac:dyDescent="0.3">
      <c r="A930" s="20">
        <f t="shared" si="14"/>
        <v>929</v>
      </c>
      <c r="B930" s="21" t="s">
        <v>87</v>
      </c>
      <c r="C930" s="21" t="s">
        <v>97</v>
      </c>
      <c r="D930" s="22" t="str">
        <f>IF($C930="","",IFERROR(VLOOKUP($C930,Map_Register!$A$2:$C$5,3,FALSE()),""))</f>
        <v>Toponym Labels</v>
      </c>
      <c r="E930" s="21" t="s">
        <v>15</v>
      </c>
      <c r="F930" s="23">
        <v>171613</v>
      </c>
      <c r="G930" s="20" t="s">
        <v>1560</v>
      </c>
      <c r="H930" s="20" t="s">
        <v>1587</v>
      </c>
      <c r="I930" t="s">
        <v>697</v>
      </c>
      <c r="J930" s="20" t="s">
        <v>6</v>
      </c>
      <c r="K930" s="20" t="s">
        <v>137</v>
      </c>
      <c r="L930" s="20" t="s">
        <v>137</v>
      </c>
      <c r="M930" s="20" t="s">
        <v>1562</v>
      </c>
      <c r="Q930" s="24" t="s">
        <v>680</v>
      </c>
    </row>
    <row r="931" spans="1:17" hidden="1" x14ac:dyDescent="0.3">
      <c r="A931" s="20">
        <f t="shared" si="14"/>
        <v>930</v>
      </c>
      <c r="B931" s="21" t="s">
        <v>87</v>
      </c>
      <c r="C931" s="21" t="s">
        <v>97</v>
      </c>
      <c r="D931" s="22" t="str">
        <f>IF($C931="","",IFERROR(VLOOKUP($C931,Map_Register!$A$2:$C$5,3,FALSE()),""))</f>
        <v>Toponym Labels</v>
      </c>
      <c r="E931" s="21" t="s">
        <v>15</v>
      </c>
      <c r="F931" s="23">
        <v>172606</v>
      </c>
      <c r="G931" s="20" t="s">
        <v>1560</v>
      </c>
      <c r="H931" s="20" t="s">
        <v>1550</v>
      </c>
      <c r="I931" t="s">
        <v>697</v>
      </c>
      <c r="J931" s="20" t="s">
        <v>6</v>
      </c>
      <c r="K931" s="20" t="s">
        <v>137</v>
      </c>
      <c r="L931" s="20" t="s">
        <v>137</v>
      </c>
      <c r="M931" s="20" t="s">
        <v>1562</v>
      </c>
      <c r="Q931" s="24" t="s">
        <v>680</v>
      </c>
    </row>
    <row r="932" spans="1:17" hidden="1" x14ac:dyDescent="0.3">
      <c r="A932" s="20">
        <f t="shared" si="14"/>
        <v>931</v>
      </c>
      <c r="B932" s="21" t="s">
        <v>87</v>
      </c>
      <c r="C932" s="21" t="s">
        <v>97</v>
      </c>
      <c r="D932" s="22" t="str">
        <f>IF($C932="","",IFERROR(VLOOKUP($C932,Map_Register!$A$2:$C$5,3,FALSE()),""))</f>
        <v>Toponym Labels</v>
      </c>
      <c r="E932" s="21" t="s">
        <v>15</v>
      </c>
      <c r="F932" s="23">
        <v>175195</v>
      </c>
      <c r="G932" s="20" t="s">
        <v>1560</v>
      </c>
      <c r="H932" s="20" t="s">
        <v>1567</v>
      </c>
      <c r="I932" t="s">
        <v>697</v>
      </c>
      <c r="J932" s="20" t="s">
        <v>6</v>
      </c>
      <c r="K932" s="20" t="s">
        <v>137</v>
      </c>
      <c r="L932" s="20" t="s">
        <v>137</v>
      </c>
      <c r="M932" s="20" t="s">
        <v>1562</v>
      </c>
      <c r="Q932" s="24" t="s">
        <v>680</v>
      </c>
    </row>
    <row r="933" spans="1:17" hidden="1" x14ac:dyDescent="0.3">
      <c r="A933" s="20">
        <f t="shared" si="14"/>
        <v>932</v>
      </c>
      <c r="B933" s="21" t="s">
        <v>87</v>
      </c>
      <c r="C933" s="21" t="s">
        <v>97</v>
      </c>
      <c r="D933" s="22" t="str">
        <f>IF($C933="","",IFERROR(VLOOKUP($C933,Map_Register!$A$2:$C$5,3,FALSE()),""))</f>
        <v>Toponym Labels</v>
      </c>
      <c r="E933" s="21" t="s">
        <v>15</v>
      </c>
      <c r="F933" s="23">
        <v>176418</v>
      </c>
      <c r="G933" s="20" t="s">
        <v>1560</v>
      </c>
      <c r="H933" s="20" t="s">
        <v>1601</v>
      </c>
      <c r="I933" t="s">
        <v>697</v>
      </c>
      <c r="J933" s="20" t="s">
        <v>6</v>
      </c>
      <c r="K933" s="20" t="s">
        <v>137</v>
      </c>
      <c r="L933" s="20" t="s">
        <v>137</v>
      </c>
      <c r="M933" s="20" t="s">
        <v>1562</v>
      </c>
      <c r="Q933" s="24" t="s">
        <v>680</v>
      </c>
    </row>
    <row r="934" spans="1:17" hidden="1" x14ac:dyDescent="0.3">
      <c r="A934" s="20">
        <f t="shared" si="14"/>
        <v>933</v>
      </c>
      <c r="B934" s="21" t="s">
        <v>87</v>
      </c>
      <c r="C934" s="21" t="s">
        <v>97</v>
      </c>
      <c r="D934" s="22" t="str">
        <f>IF($C934="","",IFERROR(VLOOKUP($C934,Map_Register!$A$2:$C$5,3,FALSE()),""))</f>
        <v>Toponym Labels</v>
      </c>
      <c r="E934" s="21" t="s">
        <v>15</v>
      </c>
      <c r="F934" s="23">
        <v>177592</v>
      </c>
      <c r="G934" s="20" t="s">
        <v>1560</v>
      </c>
      <c r="H934" s="20" t="s">
        <v>1577</v>
      </c>
      <c r="I934" t="s">
        <v>697</v>
      </c>
      <c r="J934" s="20" t="s">
        <v>6</v>
      </c>
      <c r="K934" s="20" t="s">
        <v>137</v>
      </c>
      <c r="L934" s="20" t="s">
        <v>137</v>
      </c>
      <c r="M934" s="20" t="s">
        <v>1562</v>
      </c>
      <c r="Q934" s="24" t="s">
        <v>680</v>
      </c>
    </row>
    <row r="935" spans="1:17" hidden="1" x14ac:dyDescent="0.3">
      <c r="A935" s="20">
        <f t="shared" si="14"/>
        <v>934</v>
      </c>
      <c r="B935" s="21" t="s">
        <v>87</v>
      </c>
      <c r="C935" s="21" t="s">
        <v>97</v>
      </c>
      <c r="D935" s="22" t="str">
        <f>IF($C935="","",IFERROR(VLOOKUP($C935,Map_Register!$A$2:$C$5,3,FALSE()),""))</f>
        <v>Toponym Labels</v>
      </c>
      <c r="E935" s="21" t="s">
        <v>15</v>
      </c>
      <c r="F935" s="23">
        <v>179439</v>
      </c>
      <c r="G935" s="20" t="s">
        <v>1560</v>
      </c>
      <c r="H935" s="20" t="s">
        <v>1574</v>
      </c>
      <c r="I935" t="s">
        <v>697</v>
      </c>
      <c r="J935" s="20" t="s">
        <v>6</v>
      </c>
      <c r="K935" s="20" t="s">
        <v>137</v>
      </c>
      <c r="L935" s="20" t="s">
        <v>137</v>
      </c>
      <c r="M935" s="20" t="s">
        <v>1562</v>
      </c>
      <c r="Q935" s="24" t="s">
        <v>680</v>
      </c>
    </row>
    <row r="936" spans="1:17" hidden="1" x14ac:dyDescent="0.3">
      <c r="A936" s="20">
        <f t="shared" si="14"/>
        <v>935</v>
      </c>
      <c r="B936" s="21" t="s">
        <v>87</v>
      </c>
      <c r="C936" s="21" t="s">
        <v>97</v>
      </c>
      <c r="D936" s="22" t="str">
        <f>IF($C936="","",IFERROR(VLOOKUP($C936,Map_Register!$A$2:$C$5,3,FALSE()),""))</f>
        <v>Toponym Labels</v>
      </c>
      <c r="E936" s="21" t="s">
        <v>15</v>
      </c>
      <c r="F936" s="23">
        <v>181505</v>
      </c>
      <c r="G936" s="20" t="s">
        <v>1560</v>
      </c>
      <c r="H936" s="20" t="s">
        <v>1600</v>
      </c>
      <c r="I936" t="s">
        <v>697</v>
      </c>
      <c r="J936" s="20" t="s">
        <v>6</v>
      </c>
      <c r="K936" s="20" t="s">
        <v>137</v>
      </c>
      <c r="L936" s="20" t="s">
        <v>137</v>
      </c>
      <c r="M936" s="20" t="s">
        <v>1562</v>
      </c>
      <c r="Q936" s="24" t="s">
        <v>680</v>
      </c>
    </row>
    <row r="937" spans="1:17" hidden="1" x14ac:dyDescent="0.3">
      <c r="A937" s="20">
        <f t="shared" si="14"/>
        <v>936</v>
      </c>
      <c r="B937" s="21" t="s">
        <v>87</v>
      </c>
      <c r="C937" s="21" t="s">
        <v>97</v>
      </c>
      <c r="D937" s="22" t="str">
        <f>IF($C937="","",IFERROR(VLOOKUP($C937,Map_Register!$A$2:$C$5,3,FALSE()),""))</f>
        <v>Toponym Labels</v>
      </c>
      <c r="E937" s="21" t="s">
        <v>15</v>
      </c>
      <c r="F937" s="23">
        <v>185982</v>
      </c>
      <c r="G937" s="20" t="s">
        <v>1560</v>
      </c>
      <c r="H937" s="20" t="s">
        <v>1585</v>
      </c>
      <c r="I937" t="s">
        <v>697</v>
      </c>
      <c r="J937" s="20" t="s">
        <v>6</v>
      </c>
      <c r="K937" s="20" t="s">
        <v>137</v>
      </c>
      <c r="L937" s="20" t="s">
        <v>137</v>
      </c>
      <c r="M937" s="20" t="s">
        <v>1562</v>
      </c>
      <c r="Q937" s="24" t="s">
        <v>680</v>
      </c>
    </row>
    <row r="938" spans="1:17" hidden="1" x14ac:dyDescent="0.3">
      <c r="A938" s="20">
        <f t="shared" si="14"/>
        <v>937</v>
      </c>
      <c r="B938" s="21" t="s">
        <v>87</v>
      </c>
      <c r="C938" s="21" t="s">
        <v>97</v>
      </c>
      <c r="D938" s="22" t="str">
        <f>IF($C938="","",IFERROR(VLOOKUP($C938,Map_Register!$A$2:$C$5,3,FALSE()),""))</f>
        <v>Toponym Labels</v>
      </c>
      <c r="E938" s="21" t="s">
        <v>15</v>
      </c>
      <c r="F938" s="23">
        <v>186225</v>
      </c>
      <c r="G938" s="20" t="s">
        <v>1560</v>
      </c>
      <c r="H938" s="20" t="s">
        <v>1586</v>
      </c>
      <c r="I938" t="s">
        <v>697</v>
      </c>
      <c r="J938" s="20" t="s">
        <v>6</v>
      </c>
      <c r="K938" s="20" t="s">
        <v>137</v>
      </c>
      <c r="L938" s="20" t="s">
        <v>137</v>
      </c>
      <c r="M938" s="20" t="s">
        <v>1562</v>
      </c>
      <c r="Q938" s="24" t="s">
        <v>680</v>
      </c>
    </row>
    <row r="939" spans="1:17" hidden="1" x14ac:dyDescent="0.3">
      <c r="A939" s="20">
        <f t="shared" si="14"/>
        <v>938</v>
      </c>
      <c r="B939" s="21" t="s">
        <v>87</v>
      </c>
      <c r="C939" s="21" t="s">
        <v>97</v>
      </c>
      <c r="D939" s="22" t="str">
        <f>IF($C939="","",IFERROR(VLOOKUP($C939,Map_Register!$A$2:$C$5,3,FALSE()),""))</f>
        <v>Toponym Labels</v>
      </c>
      <c r="E939" s="21" t="s">
        <v>15</v>
      </c>
      <c r="F939" s="23">
        <v>187908</v>
      </c>
      <c r="G939" s="20" t="s">
        <v>1560</v>
      </c>
      <c r="H939" s="20" t="s">
        <v>1546</v>
      </c>
      <c r="I939" t="s">
        <v>697</v>
      </c>
      <c r="J939" s="20" t="s">
        <v>6</v>
      </c>
      <c r="K939" s="20" t="s">
        <v>137</v>
      </c>
      <c r="L939" s="20" t="s">
        <v>137</v>
      </c>
      <c r="M939" s="20" t="s">
        <v>1562</v>
      </c>
      <c r="Q939" s="24" t="s">
        <v>680</v>
      </c>
    </row>
    <row r="940" spans="1:17" hidden="1" x14ac:dyDescent="0.3">
      <c r="A940" s="20">
        <f t="shared" si="14"/>
        <v>939</v>
      </c>
      <c r="B940" s="21" t="s">
        <v>87</v>
      </c>
      <c r="C940" s="21" t="s">
        <v>97</v>
      </c>
      <c r="D940" s="22" t="str">
        <f>IF($C940="","",IFERROR(VLOOKUP($C940,Map_Register!$A$2:$C$5,3,FALSE()),""))</f>
        <v>Toponym Labels</v>
      </c>
      <c r="E940" s="21" t="s">
        <v>15</v>
      </c>
      <c r="F940" s="23">
        <v>188244</v>
      </c>
      <c r="G940" s="20" t="s">
        <v>1560</v>
      </c>
      <c r="H940" s="20" t="s">
        <v>1061</v>
      </c>
      <c r="I940" t="s">
        <v>697</v>
      </c>
      <c r="J940" s="20" t="s">
        <v>6</v>
      </c>
      <c r="K940" s="20" t="s">
        <v>137</v>
      </c>
      <c r="L940" s="20" t="s">
        <v>137</v>
      </c>
      <c r="M940" s="20" t="s">
        <v>1562</v>
      </c>
      <c r="Q940" s="24" t="s">
        <v>680</v>
      </c>
    </row>
    <row r="941" spans="1:17" hidden="1" x14ac:dyDescent="0.3">
      <c r="A941" s="20">
        <f t="shared" si="14"/>
        <v>940</v>
      </c>
      <c r="B941" s="21" t="s">
        <v>87</v>
      </c>
      <c r="C941" s="21" t="s">
        <v>97</v>
      </c>
      <c r="D941" s="22" t="str">
        <f>IF($C941="","",IFERROR(VLOOKUP($C941,Map_Register!$A$2:$C$5,3,FALSE()),""))</f>
        <v>Toponym Labels</v>
      </c>
      <c r="E941" s="21" t="s">
        <v>15</v>
      </c>
      <c r="F941" s="23">
        <v>190814</v>
      </c>
      <c r="G941" s="20" t="s">
        <v>1560</v>
      </c>
      <c r="H941" s="20" t="s">
        <v>1584</v>
      </c>
      <c r="I941" t="s">
        <v>697</v>
      </c>
      <c r="J941" s="20" t="s">
        <v>6</v>
      </c>
      <c r="K941" s="20" t="s">
        <v>137</v>
      </c>
      <c r="L941" s="20" t="s">
        <v>137</v>
      </c>
      <c r="M941" s="20" t="s">
        <v>1562</v>
      </c>
      <c r="Q941" s="24" t="s">
        <v>680</v>
      </c>
    </row>
    <row r="942" spans="1:17" hidden="1" x14ac:dyDescent="0.3">
      <c r="A942" s="20">
        <f t="shared" si="14"/>
        <v>941</v>
      </c>
      <c r="B942" s="21" t="s">
        <v>87</v>
      </c>
      <c r="C942" s="21" t="s">
        <v>97</v>
      </c>
      <c r="D942" s="22" t="str">
        <f>IF($C942="","",IFERROR(VLOOKUP($C942,Map_Register!$A$2:$C$5,3,FALSE()),""))</f>
        <v>Toponym Labels</v>
      </c>
      <c r="E942" s="21" t="s">
        <v>15</v>
      </c>
      <c r="F942" s="23">
        <v>191064</v>
      </c>
      <c r="G942" s="20" t="s">
        <v>1560</v>
      </c>
      <c r="H942" s="20" t="s">
        <v>1543</v>
      </c>
      <c r="I942" t="s">
        <v>697</v>
      </c>
      <c r="J942" s="20" t="s">
        <v>6</v>
      </c>
      <c r="K942" s="20" t="s">
        <v>137</v>
      </c>
      <c r="L942" s="20" t="s">
        <v>137</v>
      </c>
      <c r="M942" s="20" t="s">
        <v>1562</v>
      </c>
      <c r="Q942" s="24" t="s">
        <v>680</v>
      </c>
    </row>
    <row r="943" spans="1:17" hidden="1" x14ac:dyDescent="0.3">
      <c r="A943" s="20">
        <f t="shared" si="14"/>
        <v>942</v>
      </c>
      <c r="B943" s="21" t="s">
        <v>87</v>
      </c>
      <c r="C943" s="21" t="s">
        <v>97</v>
      </c>
      <c r="D943" s="22" t="str">
        <f>IF($C943="","",IFERROR(VLOOKUP($C943,Map_Register!$A$2:$C$5,3,FALSE()),""))</f>
        <v>Toponym Labels</v>
      </c>
      <c r="E943" s="21" t="s">
        <v>15</v>
      </c>
      <c r="F943" s="23">
        <v>191473</v>
      </c>
      <c r="G943" s="20" t="s">
        <v>1560</v>
      </c>
      <c r="H943" s="20" t="s">
        <v>1582</v>
      </c>
      <c r="I943" t="s">
        <v>697</v>
      </c>
      <c r="J943" s="20" t="s">
        <v>6</v>
      </c>
      <c r="K943" s="20" t="s">
        <v>137</v>
      </c>
      <c r="L943" s="20" t="s">
        <v>137</v>
      </c>
      <c r="M943" s="20" t="s">
        <v>1562</v>
      </c>
      <c r="Q943" s="24" t="s">
        <v>680</v>
      </c>
    </row>
    <row r="944" spans="1:17" hidden="1" x14ac:dyDescent="0.3">
      <c r="A944" s="20">
        <f t="shared" si="14"/>
        <v>943</v>
      </c>
      <c r="B944" s="21" t="s">
        <v>87</v>
      </c>
      <c r="C944" s="21" t="s">
        <v>97</v>
      </c>
      <c r="D944" s="22" t="str">
        <f>IF($C944="","",IFERROR(VLOOKUP($C944,Map_Register!$A$2:$C$5,3,FALSE()),""))</f>
        <v>Toponym Labels</v>
      </c>
      <c r="E944" s="21" t="s">
        <v>15</v>
      </c>
      <c r="F944" s="23">
        <v>191506</v>
      </c>
      <c r="G944" s="20" t="s">
        <v>1560</v>
      </c>
      <c r="H944" s="20" t="s">
        <v>1589</v>
      </c>
      <c r="I944" t="s">
        <v>697</v>
      </c>
      <c r="J944" s="20" t="s">
        <v>6</v>
      </c>
      <c r="K944" s="20" t="s">
        <v>137</v>
      </c>
      <c r="L944" s="20" t="s">
        <v>137</v>
      </c>
      <c r="M944" s="20" t="s">
        <v>1562</v>
      </c>
      <c r="Q944" s="24" t="s">
        <v>680</v>
      </c>
    </row>
    <row r="945" spans="1:17" hidden="1" x14ac:dyDescent="0.3">
      <c r="A945" s="20">
        <f t="shared" si="14"/>
        <v>944</v>
      </c>
      <c r="B945" s="21" t="s">
        <v>87</v>
      </c>
      <c r="C945" s="21" t="s">
        <v>97</v>
      </c>
      <c r="D945" s="22" t="str">
        <f>IF($C945="","",IFERROR(VLOOKUP($C945,Map_Register!$A$2:$C$5,3,FALSE()),""))</f>
        <v>Toponym Labels</v>
      </c>
      <c r="E945" s="21" t="s">
        <v>15</v>
      </c>
      <c r="F945" s="23">
        <v>192546</v>
      </c>
      <c r="G945" s="20" t="s">
        <v>1560</v>
      </c>
      <c r="H945" s="20" t="s">
        <v>1133</v>
      </c>
      <c r="I945" t="s">
        <v>697</v>
      </c>
      <c r="J945" s="20" t="s">
        <v>6</v>
      </c>
      <c r="K945" s="20" t="s">
        <v>137</v>
      </c>
      <c r="L945" s="20" t="s">
        <v>137</v>
      </c>
      <c r="M945" s="20" t="s">
        <v>1562</v>
      </c>
      <c r="Q945" s="24" t="s">
        <v>680</v>
      </c>
    </row>
    <row r="946" spans="1:17" hidden="1" x14ac:dyDescent="0.3">
      <c r="A946" s="20">
        <f t="shared" si="14"/>
        <v>945</v>
      </c>
      <c r="B946" s="21" t="s">
        <v>87</v>
      </c>
      <c r="C946" s="21" t="s">
        <v>97</v>
      </c>
      <c r="D946" s="22" t="str">
        <f>IF($C946="","",IFERROR(VLOOKUP($C946,Map_Register!$A$2:$C$5,3,FALSE()),""))</f>
        <v>Toponym Labels</v>
      </c>
      <c r="E946" s="21" t="s">
        <v>15</v>
      </c>
      <c r="F946" s="23">
        <v>193482</v>
      </c>
      <c r="G946" s="20" t="s">
        <v>1560</v>
      </c>
      <c r="H946" s="20" t="s">
        <v>1623</v>
      </c>
      <c r="I946" t="s">
        <v>697</v>
      </c>
      <c r="J946" s="20" t="s">
        <v>220</v>
      </c>
      <c r="K946" s="20" t="s">
        <v>137</v>
      </c>
      <c r="L946" s="20" t="s">
        <v>137</v>
      </c>
      <c r="M946" s="20" t="s">
        <v>1562</v>
      </c>
      <c r="Q946" s="24" t="s">
        <v>680</v>
      </c>
    </row>
    <row r="947" spans="1:17" hidden="1" x14ac:dyDescent="0.3">
      <c r="A947" s="20">
        <f t="shared" si="14"/>
        <v>946</v>
      </c>
      <c r="B947" s="21" t="s">
        <v>87</v>
      </c>
      <c r="C947" s="21" t="s">
        <v>97</v>
      </c>
      <c r="D947" s="22" t="str">
        <f>IF($C947="","",IFERROR(VLOOKUP($C947,Map_Register!$A$2:$C$5,3,FALSE()),""))</f>
        <v>Toponym Labels</v>
      </c>
      <c r="E947" s="21" t="s">
        <v>15</v>
      </c>
      <c r="F947" s="23">
        <v>193585</v>
      </c>
      <c r="G947" s="20" t="s">
        <v>1560</v>
      </c>
      <c r="H947" s="20" t="s">
        <v>1547</v>
      </c>
      <c r="I947" t="s">
        <v>697</v>
      </c>
      <c r="J947" s="20" t="s">
        <v>6</v>
      </c>
      <c r="K947" s="20" t="s">
        <v>137</v>
      </c>
      <c r="L947" s="20" t="s">
        <v>137</v>
      </c>
      <c r="M947" s="20" t="s">
        <v>1562</v>
      </c>
      <c r="Q947" s="24" t="s">
        <v>680</v>
      </c>
    </row>
    <row r="948" spans="1:17" hidden="1" x14ac:dyDescent="0.3">
      <c r="A948" s="20">
        <f t="shared" si="14"/>
        <v>947</v>
      </c>
      <c r="B948" s="21" t="s">
        <v>87</v>
      </c>
      <c r="C948" s="21" t="s">
        <v>97</v>
      </c>
      <c r="D948" s="22" t="str">
        <f>IF($C948="","",IFERROR(VLOOKUP($C948,Map_Register!$A$2:$C$5,3,FALSE()),""))</f>
        <v>Toponym Labels</v>
      </c>
      <c r="E948" s="21" t="s">
        <v>15</v>
      </c>
      <c r="F948" s="23">
        <v>194502</v>
      </c>
      <c r="G948" s="20" t="s">
        <v>1560</v>
      </c>
      <c r="H948" s="20" t="s">
        <v>905</v>
      </c>
      <c r="I948" t="s">
        <v>697</v>
      </c>
      <c r="J948" s="20" t="s">
        <v>6</v>
      </c>
      <c r="K948" s="20" t="s">
        <v>137</v>
      </c>
      <c r="L948" s="20" t="s">
        <v>137</v>
      </c>
      <c r="M948" s="20" t="s">
        <v>1562</v>
      </c>
      <c r="Q948" s="24" t="s">
        <v>680</v>
      </c>
    </row>
    <row r="949" spans="1:17" hidden="1" x14ac:dyDescent="0.3">
      <c r="A949" s="20">
        <f t="shared" si="14"/>
        <v>948</v>
      </c>
      <c r="B949" s="21" t="s">
        <v>87</v>
      </c>
      <c r="C949" s="21" t="s">
        <v>97</v>
      </c>
      <c r="D949" s="22" t="str">
        <f>IF($C949="","",IFERROR(VLOOKUP($C949,Map_Register!$A$2:$C$5,3,FALSE()),""))</f>
        <v>Toponym Labels</v>
      </c>
      <c r="E949" s="21" t="s">
        <v>15</v>
      </c>
      <c r="F949" s="23">
        <v>195052</v>
      </c>
      <c r="G949" s="20" t="s">
        <v>1560</v>
      </c>
      <c r="H949" s="20" t="s">
        <v>1588</v>
      </c>
      <c r="I949" t="s">
        <v>697</v>
      </c>
      <c r="J949" s="20" t="s">
        <v>6</v>
      </c>
      <c r="K949" s="20" t="s">
        <v>137</v>
      </c>
      <c r="L949" s="20" t="s">
        <v>137</v>
      </c>
      <c r="M949" s="20" t="s">
        <v>1562</v>
      </c>
      <c r="Q949" s="24" t="s">
        <v>680</v>
      </c>
    </row>
    <row r="950" spans="1:17" hidden="1" x14ac:dyDescent="0.3">
      <c r="A950" s="20">
        <f t="shared" si="14"/>
        <v>949</v>
      </c>
      <c r="B950" s="21" t="s">
        <v>87</v>
      </c>
      <c r="C950" s="21" t="s">
        <v>97</v>
      </c>
      <c r="D950" s="22" t="str">
        <f>IF($C950="","",IFERROR(VLOOKUP($C950,Map_Register!$A$2:$C$5,3,FALSE()),""))</f>
        <v>Toponym Labels</v>
      </c>
      <c r="E950" s="21" t="s">
        <v>15</v>
      </c>
      <c r="F950" s="23">
        <v>195781</v>
      </c>
      <c r="G950" s="20" t="s">
        <v>1560</v>
      </c>
      <c r="H950" s="20" t="s">
        <v>1603</v>
      </c>
      <c r="I950" t="s">
        <v>697</v>
      </c>
      <c r="J950" s="20" t="s">
        <v>6</v>
      </c>
      <c r="K950" s="20" t="s">
        <v>137</v>
      </c>
      <c r="L950" s="20" t="s">
        <v>137</v>
      </c>
      <c r="M950" s="20" t="s">
        <v>1562</v>
      </c>
      <c r="Q950" s="24" t="s">
        <v>680</v>
      </c>
    </row>
    <row r="951" spans="1:17" hidden="1" x14ac:dyDescent="0.3">
      <c r="A951" s="20">
        <f t="shared" si="14"/>
        <v>950</v>
      </c>
      <c r="B951" s="21" t="s">
        <v>87</v>
      </c>
      <c r="C951" s="21" t="s">
        <v>97</v>
      </c>
      <c r="D951" s="22" t="str">
        <f>IF($C951="","",IFERROR(VLOOKUP($C951,Map_Register!$A$2:$C$5,3,FALSE()),""))</f>
        <v>Toponym Labels</v>
      </c>
      <c r="E951" s="21" t="s">
        <v>15</v>
      </c>
      <c r="F951" s="23">
        <v>197921</v>
      </c>
      <c r="G951" s="20" t="s">
        <v>1560</v>
      </c>
      <c r="H951" s="20" t="s">
        <v>1590</v>
      </c>
      <c r="I951" t="s">
        <v>697</v>
      </c>
      <c r="J951" s="20" t="s">
        <v>6</v>
      </c>
      <c r="K951" s="20" t="s">
        <v>137</v>
      </c>
      <c r="L951" s="20" t="s">
        <v>137</v>
      </c>
      <c r="M951" s="20" t="s">
        <v>1562</v>
      </c>
      <c r="Q951" s="24" t="s">
        <v>680</v>
      </c>
    </row>
    <row r="952" spans="1:17" hidden="1" x14ac:dyDescent="0.3">
      <c r="A952" s="20">
        <f t="shared" si="14"/>
        <v>951</v>
      </c>
      <c r="B952" s="21" t="s">
        <v>87</v>
      </c>
      <c r="C952" s="21" t="s">
        <v>97</v>
      </c>
      <c r="D952" s="22" t="str">
        <f>IF($C952="","",IFERROR(VLOOKUP($C952,Map_Register!$A$2:$C$5,3,FALSE()),""))</f>
        <v>Toponym Labels</v>
      </c>
      <c r="E952" s="21" t="s">
        <v>15</v>
      </c>
      <c r="F952" s="23">
        <v>199474</v>
      </c>
      <c r="G952" s="20" t="s">
        <v>1560</v>
      </c>
      <c r="H952" s="20" t="s">
        <v>1019</v>
      </c>
      <c r="I952" t="s">
        <v>697</v>
      </c>
      <c r="J952" s="20" t="s">
        <v>6</v>
      </c>
      <c r="K952" s="20" t="s">
        <v>137</v>
      </c>
      <c r="L952" s="20" t="s">
        <v>137</v>
      </c>
      <c r="M952" s="20" t="s">
        <v>1562</v>
      </c>
      <c r="Q952" s="24" t="s">
        <v>680</v>
      </c>
    </row>
    <row r="953" spans="1:17" hidden="1" x14ac:dyDescent="0.3">
      <c r="A953" s="20">
        <f t="shared" si="14"/>
        <v>952</v>
      </c>
      <c r="B953" s="21" t="s">
        <v>87</v>
      </c>
      <c r="C953" s="21" t="s">
        <v>97</v>
      </c>
      <c r="D953" s="22" t="str">
        <f>IF($C953="","",IFERROR(VLOOKUP($C953,Map_Register!$A$2:$C$5,3,FALSE()),""))</f>
        <v>Toponym Labels</v>
      </c>
      <c r="E953" s="21" t="s">
        <v>15</v>
      </c>
      <c r="F953" s="23">
        <v>204283</v>
      </c>
      <c r="G953" s="20" t="s">
        <v>1560</v>
      </c>
      <c r="H953" s="20" t="s">
        <v>1268</v>
      </c>
      <c r="I953" t="s">
        <v>697</v>
      </c>
      <c r="J953" s="20" t="s">
        <v>6</v>
      </c>
      <c r="K953" s="20" t="s">
        <v>137</v>
      </c>
      <c r="L953" s="20" t="s">
        <v>137</v>
      </c>
      <c r="M953" s="20" t="s">
        <v>1562</v>
      </c>
      <c r="Q953" s="24" t="s">
        <v>680</v>
      </c>
    </row>
    <row r="954" spans="1:17" hidden="1" x14ac:dyDescent="0.3">
      <c r="A954" s="20">
        <f t="shared" si="14"/>
        <v>953</v>
      </c>
      <c r="B954" s="21" t="s">
        <v>87</v>
      </c>
      <c r="C954" s="21" t="s">
        <v>97</v>
      </c>
      <c r="D954" s="22" t="str">
        <f>IF($C954="","",IFERROR(VLOOKUP($C954,Map_Register!$A$2:$C$5,3,FALSE()),""))</f>
        <v>Toponym Labels</v>
      </c>
      <c r="E954" s="21" t="s">
        <v>15</v>
      </c>
      <c r="F954" s="23">
        <v>205086</v>
      </c>
      <c r="G954" s="20" t="s">
        <v>1560</v>
      </c>
      <c r="H954" s="20" t="s">
        <v>1602</v>
      </c>
      <c r="I954" t="s">
        <v>697</v>
      </c>
      <c r="J954" s="20" t="s">
        <v>6</v>
      </c>
      <c r="K954" s="20" t="s">
        <v>137</v>
      </c>
      <c r="L954" s="20" t="s">
        <v>137</v>
      </c>
      <c r="M954" s="20" t="s">
        <v>1562</v>
      </c>
      <c r="Q954" s="24" t="s">
        <v>680</v>
      </c>
    </row>
    <row r="955" spans="1:17" hidden="1" x14ac:dyDescent="0.3">
      <c r="A955" s="20">
        <f t="shared" si="14"/>
        <v>954</v>
      </c>
      <c r="B955" s="21" t="s">
        <v>87</v>
      </c>
      <c r="C955" s="21" t="s">
        <v>97</v>
      </c>
      <c r="D955" s="22" t="str">
        <f>IF($C955="","",IFERROR(VLOOKUP($C955,Map_Register!$A$2:$C$5,3,FALSE()),""))</f>
        <v>Toponym Labels</v>
      </c>
      <c r="E955" s="21" t="s">
        <v>15</v>
      </c>
      <c r="F955" s="23">
        <v>205232</v>
      </c>
      <c r="G955" s="20" t="s">
        <v>1560</v>
      </c>
      <c r="H955" s="20" t="s">
        <v>1575</v>
      </c>
      <c r="I955" t="s">
        <v>697</v>
      </c>
      <c r="J955" s="20" t="s">
        <v>6</v>
      </c>
      <c r="K955" s="20" t="s">
        <v>137</v>
      </c>
      <c r="L955" s="20" t="s">
        <v>137</v>
      </c>
      <c r="M955" s="20" t="s">
        <v>1562</v>
      </c>
      <c r="Q955" s="24" t="s">
        <v>680</v>
      </c>
    </row>
    <row r="956" spans="1:17" hidden="1" x14ac:dyDescent="0.3">
      <c r="A956" s="20">
        <f t="shared" si="14"/>
        <v>955</v>
      </c>
      <c r="B956" s="21" t="s">
        <v>87</v>
      </c>
      <c r="C956" s="21" t="s">
        <v>97</v>
      </c>
      <c r="D956" s="22" t="str">
        <f>IF($C956="","",IFERROR(VLOOKUP($C956,Map_Register!$A$2:$C$5,3,FALSE()),""))</f>
        <v>Toponym Labels</v>
      </c>
      <c r="E956" s="21" t="s">
        <v>15</v>
      </c>
      <c r="F956" s="23">
        <v>205499</v>
      </c>
      <c r="G956" s="20" t="s">
        <v>1560</v>
      </c>
      <c r="H956" s="20" t="s">
        <v>1564</v>
      </c>
      <c r="I956" t="s">
        <v>697</v>
      </c>
      <c r="J956" s="20" t="s">
        <v>6</v>
      </c>
      <c r="K956" s="20" t="s">
        <v>137</v>
      </c>
      <c r="L956" s="20" t="s">
        <v>137</v>
      </c>
      <c r="M956" s="20" t="s">
        <v>1562</v>
      </c>
      <c r="Q956" s="24" t="s">
        <v>680</v>
      </c>
    </row>
    <row r="957" spans="1:17" hidden="1" x14ac:dyDescent="0.3">
      <c r="A957" s="20">
        <f t="shared" si="14"/>
        <v>956</v>
      </c>
      <c r="B957" s="21" t="s">
        <v>87</v>
      </c>
      <c r="C957" s="21" t="s">
        <v>97</v>
      </c>
      <c r="D957" s="22" t="str">
        <f>IF($C957="","",IFERROR(VLOOKUP($C957,Map_Register!$A$2:$C$5,3,FALSE()),""))</f>
        <v>Toponym Labels</v>
      </c>
      <c r="E957" s="21" t="s">
        <v>15</v>
      </c>
      <c r="F957" s="23">
        <v>206032</v>
      </c>
      <c r="G957" s="20" t="s">
        <v>1560</v>
      </c>
      <c r="H957" s="20" t="s">
        <v>1591</v>
      </c>
      <c r="I957" t="s">
        <v>697</v>
      </c>
      <c r="J957" s="20" t="s">
        <v>6</v>
      </c>
      <c r="K957" s="20" t="s">
        <v>137</v>
      </c>
      <c r="L957" s="20" t="s">
        <v>137</v>
      </c>
      <c r="M957" s="20" t="s">
        <v>1562</v>
      </c>
      <c r="Q957" s="24" t="s">
        <v>680</v>
      </c>
    </row>
    <row r="958" spans="1:17" hidden="1" x14ac:dyDescent="0.3">
      <c r="A958" s="20">
        <f t="shared" si="14"/>
        <v>957</v>
      </c>
      <c r="B958" s="21" t="s">
        <v>87</v>
      </c>
      <c r="C958" s="21" t="s">
        <v>97</v>
      </c>
      <c r="D958" s="22" t="str">
        <f>IF($C958="","",IFERROR(VLOOKUP($C958,Map_Register!$A$2:$C$5,3,FALSE()),""))</f>
        <v>Toponym Labels</v>
      </c>
      <c r="E958" s="21" t="s">
        <v>15</v>
      </c>
      <c r="F958" s="23">
        <v>210208</v>
      </c>
      <c r="G958" s="20" t="s">
        <v>1537</v>
      </c>
      <c r="H958" s="20" t="s">
        <v>1564</v>
      </c>
      <c r="I958" t="s">
        <v>697</v>
      </c>
      <c r="J958" s="20" t="s">
        <v>6</v>
      </c>
      <c r="K958" s="20" t="s">
        <v>137</v>
      </c>
      <c r="L958" s="20" t="s">
        <v>137</v>
      </c>
      <c r="M958" t="s">
        <v>1539</v>
      </c>
      <c r="Q958" s="24" t="s">
        <v>680</v>
      </c>
    </row>
    <row r="959" spans="1:17" hidden="1" x14ac:dyDescent="0.3">
      <c r="A959" s="20">
        <f t="shared" si="14"/>
        <v>958</v>
      </c>
      <c r="B959" s="21" t="s">
        <v>87</v>
      </c>
      <c r="C959" s="21" t="s">
        <v>97</v>
      </c>
      <c r="D959" s="22" t="str">
        <f>IF($C959="","",IFERROR(VLOOKUP($C959,Map_Register!$A$2:$C$5,3,FALSE()),""))</f>
        <v>Toponym Labels</v>
      </c>
      <c r="E959" s="21" t="s">
        <v>15</v>
      </c>
      <c r="F959" s="23">
        <v>214246</v>
      </c>
      <c r="G959" s="20" t="s">
        <v>1537</v>
      </c>
      <c r="H959" s="20" t="s">
        <v>1061</v>
      </c>
      <c r="I959" t="s">
        <v>697</v>
      </c>
      <c r="J959" s="20" t="s">
        <v>6</v>
      </c>
      <c r="K959" s="20" t="s">
        <v>137</v>
      </c>
      <c r="L959" s="20" t="s">
        <v>137</v>
      </c>
      <c r="M959" t="s">
        <v>1539</v>
      </c>
      <c r="Q959" s="24" t="s">
        <v>680</v>
      </c>
    </row>
    <row r="960" spans="1:17" hidden="1" x14ac:dyDescent="0.3">
      <c r="A960" s="20">
        <f t="shared" si="14"/>
        <v>959</v>
      </c>
      <c r="B960" s="21" t="s">
        <v>87</v>
      </c>
      <c r="C960" s="21" t="s">
        <v>97</v>
      </c>
      <c r="D960" s="22" t="str">
        <f>IF($C960="","",IFERROR(VLOOKUP($C960,Map_Register!$A$2:$C$5,3,FALSE()),""))</f>
        <v>Toponym Labels</v>
      </c>
      <c r="E960" s="21" t="s">
        <v>15</v>
      </c>
      <c r="F960" s="23">
        <v>215303</v>
      </c>
      <c r="G960" s="20" t="s">
        <v>1537</v>
      </c>
      <c r="H960" s="20" t="s">
        <v>1624</v>
      </c>
      <c r="I960" t="s">
        <v>697</v>
      </c>
      <c r="J960" s="20" t="s">
        <v>6</v>
      </c>
      <c r="K960" s="20" t="s">
        <v>137</v>
      </c>
      <c r="L960" s="20" t="s">
        <v>137</v>
      </c>
      <c r="M960" t="s">
        <v>1539</v>
      </c>
      <c r="Q960" s="24" t="s">
        <v>680</v>
      </c>
    </row>
    <row r="961" spans="1:17" hidden="1" x14ac:dyDescent="0.3">
      <c r="A961" s="20">
        <f t="shared" si="14"/>
        <v>960</v>
      </c>
      <c r="B961" s="21" t="s">
        <v>87</v>
      </c>
      <c r="C961" s="21" t="s">
        <v>97</v>
      </c>
      <c r="D961" s="22" t="str">
        <f>IF($C961="","",IFERROR(VLOOKUP($C961,Map_Register!$A$2:$C$5,3,FALSE()),""))</f>
        <v>Toponym Labels</v>
      </c>
      <c r="E961" s="21" t="s">
        <v>15</v>
      </c>
      <c r="F961" s="23">
        <v>217891</v>
      </c>
      <c r="G961" s="20" t="s">
        <v>1537</v>
      </c>
      <c r="H961" s="20" t="s">
        <v>1625</v>
      </c>
      <c r="I961" t="s">
        <v>697</v>
      </c>
      <c r="J961" s="20" t="s">
        <v>6</v>
      </c>
      <c r="K961" s="20" t="s">
        <v>137</v>
      </c>
      <c r="L961" s="20" t="s">
        <v>137</v>
      </c>
      <c r="M961" t="s">
        <v>1539</v>
      </c>
      <c r="Q961" s="24" t="s">
        <v>680</v>
      </c>
    </row>
    <row r="962" spans="1:17" hidden="1" x14ac:dyDescent="0.3">
      <c r="A962" s="20">
        <f t="shared" ref="A962:A1025" si="15">IF($B962="","",ROW()-1)</f>
        <v>961</v>
      </c>
      <c r="B962" s="21" t="s">
        <v>87</v>
      </c>
      <c r="C962" s="21" t="s">
        <v>97</v>
      </c>
      <c r="D962" s="22" t="str">
        <f>IF($C962="","",IFERROR(VLOOKUP($C962,Map_Register!$A$2:$C$5,3,FALSE()),""))</f>
        <v>Toponym Labels</v>
      </c>
      <c r="E962" s="21" t="s">
        <v>15</v>
      </c>
      <c r="F962" s="23">
        <v>218022</v>
      </c>
      <c r="G962" s="20" t="s">
        <v>1537</v>
      </c>
      <c r="H962" s="20" t="s">
        <v>1626</v>
      </c>
      <c r="I962" t="s">
        <v>697</v>
      </c>
      <c r="J962" s="20" t="s">
        <v>6</v>
      </c>
      <c r="K962" s="20" t="s">
        <v>137</v>
      </c>
      <c r="L962" s="20" t="s">
        <v>137</v>
      </c>
      <c r="M962" t="s">
        <v>1539</v>
      </c>
      <c r="Q962" s="24" t="s">
        <v>680</v>
      </c>
    </row>
    <row r="963" spans="1:17" hidden="1" x14ac:dyDescent="0.3">
      <c r="A963" s="20">
        <f t="shared" si="15"/>
        <v>962</v>
      </c>
      <c r="B963" s="21" t="s">
        <v>87</v>
      </c>
      <c r="C963" s="21" t="s">
        <v>97</v>
      </c>
      <c r="D963" s="22" t="str">
        <f>IF($C963="","",IFERROR(VLOOKUP($C963,Map_Register!$A$2:$C$5,3,FALSE()),""))</f>
        <v>Toponym Labels</v>
      </c>
      <c r="E963" s="21" t="s">
        <v>15</v>
      </c>
      <c r="F963" s="23">
        <v>219668</v>
      </c>
      <c r="G963" s="20" t="s">
        <v>1537</v>
      </c>
      <c r="H963" s="20" t="s">
        <v>1627</v>
      </c>
      <c r="I963" t="s">
        <v>697</v>
      </c>
      <c r="J963" s="20" t="s">
        <v>6</v>
      </c>
      <c r="K963" s="20" t="s">
        <v>137</v>
      </c>
      <c r="L963" s="20" t="s">
        <v>137</v>
      </c>
      <c r="M963" t="s">
        <v>1539</v>
      </c>
      <c r="Q963" s="24" t="s">
        <v>680</v>
      </c>
    </row>
    <row r="964" spans="1:17" hidden="1" x14ac:dyDescent="0.3">
      <c r="A964" s="20">
        <f t="shared" si="15"/>
        <v>963</v>
      </c>
      <c r="B964" s="21" t="s">
        <v>87</v>
      </c>
      <c r="C964" s="21" t="s">
        <v>97</v>
      </c>
      <c r="D964" s="22" t="str">
        <f>IF($C964="","",IFERROR(VLOOKUP($C964,Map_Register!$A$2:$C$5,3,FALSE()),""))</f>
        <v>Toponym Labels</v>
      </c>
      <c r="E964" s="21" t="s">
        <v>15</v>
      </c>
      <c r="F964" s="23">
        <v>225280</v>
      </c>
      <c r="G964" s="20" t="s">
        <v>1537</v>
      </c>
      <c r="H964" s="20" t="s">
        <v>1628</v>
      </c>
      <c r="I964" t="s">
        <v>697</v>
      </c>
      <c r="J964" s="20" t="s">
        <v>6</v>
      </c>
      <c r="K964" s="20" t="s">
        <v>137</v>
      </c>
      <c r="L964" s="20" t="s">
        <v>137</v>
      </c>
      <c r="M964" t="s">
        <v>1539</v>
      </c>
      <c r="Q964" s="24" t="s">
        <v>680</v>
      </c>
    </row>
    <row r="965" spans="1:17" hidden="1" x14ac:dyDescent="0.3">
      <c r="A965" s="20">
        <f t="shared" si="15"/>
        <v>964</v>
      </c>
      <c r="B965" s="21" t="s">
        <v>87</v>
      </c>
      <c r="C965" s="21" t="s">
        <v>97</v>
      </c>
      <c r="D965" s="22" t="str">
        <f>IF($C965="","",IFERROR(VLOOKUP($C965,Map_Register!$A$2:$C$5,3,FALSE()),""))</f>
        <v>Toponym Labels</v>
      </c>
      <c r="E965" s="21" t="s">
        <v>15</v>
      </c>
      <c r="F965" s="23">
        <v>230367</v>
      </c>
      <c r="G965" s="20" t="s">
        <v>1537</v>
      </c>
      <c r="H965" s="20" t="s">
        <v>1601</v>
      </c>
      <c r="I965" t="s">
        <v>697</v>
      </c>
      <c r="J965" s="20" t="s">
        <v>6</v>
      </c>
      <c r="K965" s="20" t="s">
        <v>137</v>
      </c>
      <c r="L965" s="20" t="s">
        <v>137</v>
      </c>
      <c r="M965" t="s">
        <v>1539</v>
      </c>
      <c r="Q965" s="24" t="s">
        <v>680</v>
      </c>
    </row>
    <row r="966" spans="1:17" hidden="1" x14ac:dyDescent="0.3">
      <c r="A966" s="20">
        <f t="shared" si="15"/>
        <v>965</v>
      </c>
      <c r="B966" s="21" t="s">
        <v>87</v>
      </c>
      <c r="C966" s="21" t="s">
        <v>97</v>
      </c>
      <c r="D966" s="22" t="str">
        <f>IF($C966="","",IFERROR(VLOOKUP($C966,Map_Register!$A$2:$C$5,3,FALSE()),""))</f>
        <v>Toponym Labels</v>
      </c>
      <c r="E966" s="21" t="s">
        <v>15</v>
      </c>
      <c r="F966" s="23">
        <v>231751</v>
      </c>
      <c r="G966" s="20" t="s">
        <v>1537</v>
      </c>
      <c r="H966" s="20" t="s">
        <v>1583</v>
      </c>
      <c r="I966" t="s">
        <v>697</v>
      </c>
      <c r="J966" s="20" t="s">
        <v>220</v>
      </c>
      <c r="K966" s="20" t="s">
        <v>137</v>
      </c>
      <c r="L966" s="20" t="s">
        <v>137</v>
      </c>
      <c r="M966" t="s">
        <v>1539</v>
      </c>
      <c r="Q966" s="24" t="s">
        <v>680</v>
      </c>
    </row>
    <row r="967" spans="1:17" hidden="1" x14ac:dyDescent="0.3">
      <c r="A967" s="20">
        <f t="shared" si="15"/>
        <v>966</v>
      </c>
      <c r="B967" s="21" t="s">
        <v>87</v>
      </c>
      <c r="C967" s="21" t="s">
        <v>97</v>
      </c>
      <c r="D967" s="22" t="str">
        <f>IF($C967="","",IFERROR(VLOOKUP($C967,Map_Register!$A$2:$C$5,3,FALSE()),""))</f>
        <v>Toponym Labels</v>
      </c>
      <c r="E967" s="21" t="s">
        <v>15</v>
      </c>
      <c r="F967" s="23">
        <v>232928</v>
      </c>
      <c r="G967" s="20" t="s">
        <v>1560</v>
      </c>
      <c r="H967" s="20" t="s">
        <v>1581</v>
      </c>
      <c r="I967" t="s">
        <v>697</v>
      </c>
      <c r="J967" s="20" t="s">
        <v>6</v>
      </c>
      <c r="K967" s="20" t="s">
        <v>137</v>
      </c>
      <c r="L967" s="20" t="s">
        <v>137</v>
      </c>
      <c r="M967" s="20" t="s">
        <v>1562</v>
      </c>
      <c r="Q967" s="24" t="s">
        <v>680</v>
      </c>
    </row>
    <row r="968" spans="1:17" hidden="1" x14ac:dyDescent="0.3">
      <c r="A968" s="20">
        <f t="shared" si="15"/>
        <v>967</v>
      </c>
      <c r="B968" s="21" t="s">
        <v>87</v>
      </c>
      <c r="C968" s="21" t="s">
        <v>97</v>
      </c>
      <c r="D968" s="22" t="str">
        <f>IF($C968="","",IFERROR(VLOOKUP($C968,Map_Register!$A$2:$C$5,3,FALSE()),""))</f>
        <v>Toponym Labels</v>
      </c>
      <c r="E968" s="21" t="s">
        <v>15</v>
      </c>
      <c r="F968" s="23">
        <v>233051</v>
      </c>
      <c r="G968" s="20" t="s">
        <v>1537</v>
      </c>
      <c r="H968" s="20" t="s">
        <v>1623</v>
      </c>
      <c r="I968" t="s">
        <v>697</v>
      </c>
      <c r="J968" s="20" t="s">
        <v>6</v>
      </c>
      <c r="K968" s="20" t="s">
        <v>137</v>
      </c>
      <c r="L968" s="20" t="s">
        <v>137</v>
      </c>
      <c r="M968" t="s">
        <v>1539</v>
      </c>
      <c r="Q968" s="24" t="s">
        <v>680</v>
      </c>
    </row>
    <row r="969" spans="1:17" hidden="1" x14ac:dyDescent="0.3">
      <c r="A969" s="20">
        <f t="shared" si="15"/>
        <v>968</v>
      </c>
      <c r="B969" s="21" t="s">
        <v>87</v>
      </c>
      <c r="C969" s="21" t="s">
        <v>97</v>
      </c>
      <c r="D969" s="22" t="str">
        <f>IF($C969="","",IFERROR(VLOOKUP($C969,Map_Register!$A$2:$C$5,3,FALSE()),""))</f>
        <v>Toponym Labels</v>
      </c>
      <c r="E969" s="21" t="s">
        <v>15</v>
      </c>
      <c r="F969" s="23">
        <v>234243</v>
      </c>
      <c r="G969" s="20" t="s">
        <v>1560</v>
      </c>
      <c r="H969" s="20" t="s">
        <v>1544</v>
      </c>
      <c r="I969" t="s">
        <v>697</v>
      </c>
      <c r="J969" s="20" t="s">
        <v>6</v>
      </c>
      <c r="K969" s="20" t="s">
        <v>137</v>
      </c>
      <c r="L969" s="20" t="s">
        <v>137</v>
      </c>
      <c r="M969" s="20" t="s">
        <v>1562</v>
      </c>
      <c r="Q969" s="24" t="s">
        <v>680</v>
      </c>
    </row>
    <row r="970" spans="1:17" hidden="1" x14ac:dyDescent="0.3">
      <c r="A970" s="20">
        <f t="shared" si="15"/>
        <v>969</v>
      </c>
      <c r="B970" s="21" t="s">
        <v>87</v>
      </c>
      <c r="C970" s="21" t="s">
        <v>97</v>
      </c>
      <c r="D970" s="22" t="str">
        <f>IF($C970="","",IFERROR(VLOOKUP($C970,Map_Register!$A$2:$C$5,3,FALSE()),""))</f>
        <v>Toponym Labels</v>
      </c>
      <c r="E970" s="21" t="s">
        <v>15</v>
      </c>
      <c r="F970" s="23">
        <v>234353</v>
      </c>
      <c r="G970" s="20" t="s">
        <v>1560</v>
      </c>
      <c r="H970" s="20" t="s">
        <v>1569</v>
      </c>
      <c r="I970" t="s">
        <v>697</v>
      </c>
      <c r="J970" s="20" t="s">
        <v>6</v>
      </c>
      <c r="K970" s="20" t="s">
        <v>137</v>
      </c>
      <c r="L970" s="20" t="s">
        <v>137</v>
      </c>
      <c r="M970" s="20" t="s">
        <v>1562</v>
      </c>
      <c r="Q970" s="24" t="s">
        <v>680</v>
      </c>
    </row>
    <row r="971" spans="1:17" hidden="1" x14ac:dyDescent="0.3">
      <c r="A971" s="20">
        <f t="shared" si="15"/>
        <v>970</v>
      </c>
      <c r="B971" s="21" t="s">
        <v>87</v>
      </c>
      <c r="C971" s="21" t="s">
        <v>97</v>
      </c>
      <c r="D971" s="22" t="str">
        <f>IF($C971="","",IFERROR(VLOOKUP($C971,Map_Register!$A$2:$C$5,3,FALSE()),""))</f>
        <v>Toponym Labels</v>
      </c>
      <c r="E971" s="21" t="s">
        <v>15</v>
      </c>
      <c r="F971" s="23">
        <v>234644</v>
      </c>
      <c r="G971" s="20" t="s">
        <v>1560</v>
      </c>
      <c r="H971" s="20" t="s">
        <v>1549</v>
      </c>
      <c r="I971" t="s">
        <v>697</v>
      </c>
      <c r="J971" s="20" t="s">
        <v>6</v>
      </c>
      <c r="K971" s="20" t="s">
        <v>137</v>
      </c>
      <c r="L971" s="20" t="s">
        <v>137</v>
      </c>
      <c r="M971" s="20" t="s">
        <v>1562</v>
      </c>
      <c r="Q971" s="24" t="s">
        <v>680</v>
      </c>
    </row>
    <row r="972" spans="1:17" hidden="1" x14ac:dyDescent="0.3">
      <c r="A972" s="20">
        <f t="shared" si="15"/>
        <v>971</v>
      </c>
      <c r="B972" s="21" t="s">
        <v>87</v>
      </c>
      <c r="C972" s="21" t="s">
        <v>97</v>
      </c>
      <c r="D972" s="22" t="str">
        <f>IF($C972="","",IFERROR(VLOOKUP($C972,Map_Register!$A$2:$C$5,3,FALSE()),""))</f>
        <v>Toponym Labels</v>
      </c>
      <c r="E972" s="21" t="s">
        <v>15</v>
      </c>
      <c r="F972" s="23">
        <v>235503</v>
      </c>
      <c r="G972" s="20" t="s">
        <v>1560</v>
      </c>
      <c r="H972" s="20" t="s">
        <v>1579</v>
      </c>
      <c r="I972" t="s">
        <v>697</v>
      </c>
      <c r="J972" s="20" t="s">
        <v>6</v>
      </c>
      <c r="K972" s="20" t="s">
        <v>137</v>
      </c>
      <c r="L972" s="20" t="s">
        <v>137</v>
      </c>
      <c r="M972" s="20" t="s">
        <v>1562</v>
      </c>
      <c r="Q972" s="24" t="s">
        <v>680</v>
      </c>
    </row>
    <row r="973" spans="1:17" hidden="1" x14ac:dyDescent="0.3">
      <c r="A973" s="20">
        <f t="shared" si="15"/>
        <v>972</v>
      </c>
      <c r="B973" s="21" t="s">
        <v>87</v>
      </c>
      <c r="C973" s="21" t="s">
        <v>97</v>
      </c>
      <c r="D973" s="22" t="str">
        <f>IF($C973="","",IFERROR(VLOOKUP($C973,Map_Register!$A$2:$C$5,3,FALSE()),""))</f>
        <v>Toponym Labels</v>
      </c>
      <c r="E973" s="21" t="s">
        <v>15</v>
      </c>
      <c r="F973" s="23">
        <v>235574</v>
      </c>
      <c r="G973" s="20" t="s">
        <v>1537</v>
      </c>
      <c r="H973" s="20" t="s">
        <v>1579</v>
      </c>
      <c r="I973" t="s">
        <v>697</v>
      </c>
      <c r="J973" s="20" t="s">
        <v>6</v>
      </c>
      <c r="K973" s="20" t="s">
        <v>137</v>
      </c>
      <c r="L973" s="20" t="s">
        <v>137</v>
      </c>
      <c r="M973" t="s">
        <v>1539</v>
      </c>
      <c r="Q973" s="24" t="s">
        <v>680</v>
      </c>
    </row>
    <row r="974" spans="1:17" hidden="1" x14ac:dyDescent="0.3">
      <c r="A974" s="20">
        <f t="shared" si="15"/>
        <v>973</v>
      </c>
      <c r="B974" s="21" t="s">
        <v>87</v>
      </c>
      <c r="C974" s="21" t="s">
        <v>97</v>
      </c>
      <c r="D974" s="22" t="str">
        <f>IF($C974="","",IFERROR(VLOOKUP($C974,Map_Register!$A$2:$C$5,3,FALSE()),""))</f>
        <v>Toponym Labels</v>
      </c>
      <c r="E974" s="21" t="s">
        <v>15</v>
      </c>
      <c r="F974" s="23">
        <v>236479</v>
      </c>
      <c r="G974" s="20" t="s">
        <v>1537</v>
      </c>
      <c r="H974" s="20" t="s">
        <v>1557</v>
      </c>
      <c r="I974" t="s">
        <v>697</v>
      </c>
      <c r="J974" s="20" t="s">
        <v>6</v>
      </c>
      <c r="K974" s="20" t="s">
        <v>137</v>
      </c>
      <c r="L974" s="20" t="s">
        <v>137</v>
      </c>
      <c r="M974" t="s">
        <v>1539</v>
      </c>
      <c r="Q974" s="24" t="s">
        <v>680</v>
      </c>
    </row>
    <row r="975" spans="1:17" hidden="1" x14ac:dyDescent="0.3">
      <c r="A975" s="20">
        <f t="shared" si="15"/>
        <v>974</v>
      </c>
      <c r="B975" s="21" t="s">
        <v>87</v>
      </c>
      <c r="C975" s="21" t="s">
        <v>97</v>
      </c>
      <c r="D975" s="22" t="str">
        <f>IF($C975="","",IFERROR(VLOOKUP($C975,Map_Register!$A$2:$C$5,3,FALSE()),""))</f>
        <v>Toponym Labels</v>
      </c>
      <c r="E975" s="21" t="s">
        <v>15</v>
      </c>
      <c r="F975" s="23">
        <v>238217</v>
      </c>
      <c r="G975" s="20" t="s">
        <v>1560</v>
      </c>
      <c r="H975" s="20" t="s">
        <v>1580</v>
      </c>
      <c r="I975" t="s">
        <v>697</v>
      </c>
      <c r="J975" s="20" t="s">
        <v>6</v>
      </c>
      <c r="K975" s="20" t="s">
        <v>137</v>
      </c>
      <c r="L975" s="20" t="s">
        <v>137</v>
      </c>
      <c r="M975" s="20" t="s">
        <v>1562</v>
      </c>
      <c r="Q975" s="24" t="s">
        <v>680</v>
      </c>
    </row>
    <row r="976" spans="1:17" hidden="1" x14ac:dyDescent="0.3">
      <c r="A976" s="20">
        <f t="shared" si="15"/>
        <v>975</v>
      </c>
      <c r="B976" s="21" t="s">
        <v>87</v>
      </c>
      <c r="C976" s="21" t="s">
        <v>97</v>
      </c>
      <c r="D976" s="22" t="str">
        <f>IF($C976="","",IFERROR(VLOOKUP($C976,Map_Register!$A$2:$C$5,3,FALSE()),""))</f>
        <v>Toponym Labels</v>
      </c>
      <c r="E976" s="21" t="s">
        <v>15</v>
      </c>
      <c r="F976" s="23">
        <v>239193</v>
      </c>
      <c r="G976" s="20" t="s">
        <v>1560</v>
      </c>
      <c r="H976" s="20" t="s">
        <v>1541</v>
      </c>
      <c r="I976" t="s">
        <v>697</v>
      </c>
      <c r="J976" s="20" t="s">
        <v>6</v>
      </c>
      <c r="K976" s="20" t="s">
        <v>137</v>
      </c>
      <c r="L976" s="20" t="s">
        <v>137</v>
      </c>
      <c r="M976" s="20" t="s">
        <v>1562</v>
      </c>
      <c r="Q976" s="24" t="s">
        <v>680</v>
      </c>
    </row>
    <row r="977" spans="1:17" hidden="1" x14ac:dyDescent="0.3">
      <c r="A977" s="20">
        <f t="shared" si="15"/>
        <v>976</v>
      </c>
      <c r="B977" s="21" t="s">
        <v>87</v>
      </c>
      <c r="C977" s="21" t="s">
        <v>97</v>
      </c>
      <c r="D977" s="22" t="str">
        <f>IF($C977="","",IFERROR(VLOOKUP($C977,Map_Register!$A$2:$C$5,3,FALSE()),""))</f>
        <v>Toponym Labels</v>
      </c>
      <c r="E977" s="21" t="s">
        <v>15</v>
      </c>
      <c r="F977" s="23">
        <v>244497</v>
      </c>
      <c r="G977" s="20" t="s">
        <v>1537</v>
      </c>
      <c r="H977" s="20" t="s">
        <v>1558</v>
      </c>
      <c r="I977" t="s">
        <v>697</v>
      </c>
      <c r="J977" s="20" t="s">
        <v>6</v>
      </c>
      <c r="K977" s="20" t="s">
        <v>137</v>
      </c>
      <c r="L977" s="20" t="s">
        <v>137</v>
      </c>
      <c r="M977" t="s">
        <v>1539</v>
      </c>
      <c r="Q977" s="24" t="s">
        <v>680</v>
      </c>
    </row>
    <row r="978" spans="1:17" x14ac:dyDescent="0.3">
      <c r="A978" s="20">
        <f t="shared" si="15"/>
        <v>977</v>
      </c>
      <c r="B978" s="21" t="s">
        <v>87</v>
      </c>
      <c r="C978" s="21" t="s">
        <v>97</v>
      </c>
      <c r="D978" s="22" t="str">
        <f>IF($C978="","",IFERROR(VLOOKUP($C978,Map_Register!$A$2:$C$5,3,FALSE()),""))</f>
        <v>Toponym Labels</v>
      </c>
      <c r="E978" s="21" t="s">
        <v>15</v>
      </c>
      <c r="F978" s="23">
        <v>244732</v>
      </c>
      <c r="G978" s="20" t="s">
        <v>1537</v>
      </c>
      <c r="H978" s="20" t="s">
        <v>1629</v>
      </c>
      <c r="I978" t="s">
        <v>697</v>
      </c>
      <c r="J978" s="20" t="s">
        <v>8</v>
      </c>
      <c r="K978" t="s">
        <v>107</v>
      </c>
      <c r="L978" s="20" t="s">
        <v>108</v>
      </c>
      <c r="M978" s="20" t="s">
        <v>1630</v>
      </c>
      <c r="N978" s="20" t="s">
        <v>108</v>
      </c>
      <c r="Q978" s="24" t="s">
        <v>680</v>
      </c>
    </row>
    <row r="979" spans="1:17" hidden="1" x14ac:dyDescent="0.3">
      <c r="A979" s="20">
        <f t="shared" si="15"/>
        <v>978</v>
      </c>
      <c r="B979" s="21" t="s">
        <v>87</v>
      </c>
      <c r="C979" s="21" t="s">
        <v>97</v>
      </c>
      <c r="D979" s="22" t="str">
        <f>IF($C979="","",IFERROR(VLOOKUP($C979,Map_Register!$A$2:$C$5,3,FALSE()),""))</f>
        <v>Toponym Labels</v>
      </c>
      <c r="E979" s="21" t="s">
        <v>15</v>
      </c>
      <c r="F979" s="23">
        <v>375</v>
      </c>
      <c r="G979" s="20" t="s">
        <v>1631</v>
      </c>
      <c r="H979" s="20" t="s">
        <v>1632</v>
      </c>
      <c r="I979" t="s">
        <v>697</v>
      </c>
      <c r="J979" s="20" t="s">
        <v>6</v>
      </c>
      <c r="K979" s="20" t="s">
        <v>137</v>
      </c>
      <c r="L979" s="20" t="s">
        <v>137</v>
      </c>
      <c r="M979" s="20" t="s">
        <v>1633</v>
      </c>
      <c r="Q979" s="24" t="s">
        <v>680</v>
      </c>
    </row>
    <row r="980" spans="1:17" hidden="1" x14ac:dyDescent="0.3">
      <c r="A980" s="20">
        <f t="shared" si="15"/>
        <v>979</v>
      </c>
      <c r="B980" s="21" t="s">
        <v>87</v>
      </c>
      <c r="C980" s="21" t="s">
        <v>97</v>
      </c>
      <c r="D980" s="22" t="str">
        <f>IF($C980="","",IFERROR(VLOOKUP($C980,Map_Register!$A$2:$C$5,3,FALSE()),""))</f>
        <v>Toponym Labels</v>
      </c>
      <c r="E980" s="21" t="s">
        <v>15</v>
      </c>
      <c r="F980" s="23">
        <v>451</v>
      </c>
      <c r="G980" s="20" t="s">
        <v>1631</v>
      </c>
      <c r="H980" s="20" t="s">
        <v>1634</v>
      </c>
      <c r="I980" t="s">
        <v>697</v>
      </c>
      <c r="J980" s="20" t="s">
        <v>6</v>
      </c>
      <c r="K980" s="20" t="s">
        <v>137</v>
      </c>
      <c r="L980" s="20" t="s">
        <v>137</v>
      </c>
      <c r="M980" s="20" t="s">
        <v>1633</v>
      </c>
      <c r="Q980" s="24" t="s">
        <v>680</v>
      </c>
    </row>
    <row r="981" spans="1:17" hidden="1" x14ac:dyDescent="0.3">
      <c r="A981" s="20">
        <f t="shared" si="15"/>
        <v>980</v>
      </c>
      <c r="B981" s="21" t="s">
        <v>87</v>
      </c>
      <c r="C981" s="21" t="s">
        <v>97</v>
      </c>
      <c r="D981" s="22" t="str">
        <f>IF($C981="","",IFERROR(VLOOKUP($C981,Map_Register!$A$2:$C$5,3,FALSE()),""))</f>
        <v>Toponym Labels</v>
      </c>
      <c r="E981" s="21" t="s">
        <v>15</v>
      </c>
      <c r="F981" s="23">
        <v>2393</v>
      </c>
      <c r="G981" s="20" t="s">
        <v>1635</v>
      </c>
      <c r="H981" s="20" t="s">
        <v>1636</v>
      </c>
      <c r="I981" t="s">
        <v>697</v>
      </c>
      <c r="J981" s="20" t="s">
        <v>6</v>
      </c>
      <c r="K981" s="20" t="s">
        <v>137</v>
      </c>
      <c r="L981" s="20" t="s">
        <v>137</v>
      </c>
      <c r="M981" s="20" t="s">
        <v>1637</v>
      </c>
      <c r="Q981" s="24" t="s">
        <v>680</v>
      </c>
    </row>
    <row r="982" spans="1:17" hidden="1" x14ac:dyDescent="0.3">
      <c r="A982" s="20">
        <f t="shared" si="15"/>
        <v>981</v>
      </c>
      <c r="B982" s="21" t="s">
        <v>87</v>
      </c>
      <c r="C982" s="21" t="s">
        <v>97</v>
      </c>
      <c r="D982" s="22" t="str">
        <f>IF($C982="","",IFERROR(VLOOKUP($C982,Map_Register!$A$2:$C$5,3,FALSE()),""))</f>
        <v>Toponym Labels</v>
      </c>
      <c r="E982" s="21" t="s">
        <v>15</v>
      </c>
      <c r="F982" s="23">
        <v>5219</v>
      </c>
      <c r="G982" s="20" t="s">
        <v>1631</v>
      </c>
      <c r="H982" s="20" t="s">
        <v>1638</v>
      </c>
      <c r="I982" t="s">
        <v>697</v>
      </c>
      <c r="J982" s="20" t="s">
        <v>6</v>
      </c>
      <c r="K982" s="20" t="s">
        <v>137</v>
      </c>
      <c r="L982" s="20" t="s">
        <v>137</v>
      </c>
      <c r="M982" s="20" t="s">
        <v>1639</v>
      </c>
      <c r="Q982" s="24" t="s">
        <v>680</v>
      </c>
    </row>
    <row r="983" spans="1:17" hidden="1" x14ac:dyDescent="0.3">
      <c r="A983" s="20">
        <f t="shared" si="15"/>
        <v>982</v>
      </c>
      <c r="B983" s="21" t="s">
        <v>87</v>
      </c>
      <c r="C983" s="21" t="s">
        <v>97</v>
      </c>
      <c r="D983" s="22" t="str">
        <f>IF($C983="","",IFERROR(VLOOKUP($C983,Map_Register!$A$2:$C$5,3,FALSE()),""))</f>
        <v>Toponym Labels</v>
      </c>
      <c r="E983" s="21" t="s">
        <v>15</v>
      </c>
      <c r="F983" s="23">
        <v>7947</v>
      </c>
      <c r="G983" s="20" t="s">
        <v>1635</v>
      </c>
      <c r="H983" s="20" t="s">
        <v>1640</v>
      </c>
      <c r="I983" t="s">
        <v>697</v>
      </c>
      <c r="J983" s="20" t="s">
        <v>6</v>
      </c>
      <c r="K983" s="20" t="s">
        <v>137</v>
      </c>
      <c r="L983" s="20" t="s">
        <v>137</v>
      </c>
      <c r="M983" s="20" t="s">
        <v>1641</v>
      </c>
      <c r="Q983" s="24" t="s">
        <v>680</v>
      </c>
    </row>
    <row r="984" spans="1:17" hidden="1" x14ac:dyDescent="0.3">
      <c r="A984" s="20">
        <f t="shared" si="15"/>
        <v>983</v>
      </c>
      <c r="B984" s="21" t="s">
        <v>87</v>
      </c>
      <c r="C984" s="21" t="s">
        <v>97</v>
      </c>
      <c r="D984" s="22" t="str">
        <f>IF($C984="","",IFERROR(VLOOKUP($C984,Map_Register!$A$2:$C$5,3,FALSE()),""))</f>
        <v>Toponym Labels</v>
      </c>
      <c r="E984" s="21" t="s">
        <v>15</v>
      </c>
      <c r="F984" s="23">
        <v>10088</v>
      </c>
      <c r="G984" s="20" t="s">
        <v>1635</v>
      </c>
      <c r="H984" s="20" t="s">
        <v>1642</v>
      </c>
      <c r="I984" t="s">
        <v>1390</v>
      </c>
      <c r="J984" s="20" t="s">
        <v>6</v>
      </c>
      <c r="K984" s="20" t="s">
        <v>137</v>
      </c>
      <c r="L984" s="20" t="s">
        <v>137</v>
      </c>
      <c r="M984" s="20" t="s">
        <v>1643</v>
      </c>
      <c r="Q984" s="24" t="s">
        <v>680</v>
      </c>
    </row>
    <row r="985" spans="1:17" hidden="1" x14ac:dyDescent="0.3">
      <c r="A985" s="20">
        <f t="shared" si="15"/>
        <v>984</v>
      </c>
      <c r="B985" s="21" t="s">
        <v>87</v>
      </c>
      <c r="C985" s="21" t="s">
        <v>97</v>
      </c>
      <c r="D985" s="22" t="str">
        <f>IF($C985="","",IFERROR(VLOOKUP($C985,Map_Register!$A$2:$C$5,3,FALSE()),""))</f>
        <v>Toponym Labels</v>
      </c>
      <c r="E985" s="21" t="s">
        <v>15</v>
      </c>
      <c r="F985" s="23">
        <v>10816</v>
      </c>
      <c r="G985" s="20" t="s">
        <v>1635</v>
      </c>
      <c r="H985" s="20" t="s">
        <v>1644</v>
      </c>
      <c r="I985" s="20" t="s">
        <v>1390</v>
      </c>
      <c r="J985" s="20" t="s">
        <v>6</v>
      </c>
      <c r="K985" s="20" t="s">
        <v>137</v>
      </c>
      <c r="L985" s="20" t="s">
        <v>137</v>
      </c>
      <c r="M985" s="20" t="s">
        <v>1645</v>
      </c>
      <c r="Q985" s="24" t="s">
        <v>680</v>
      </c>
    </row>
    <row r="986" spans="1:17" hidden="1" x14ac:dyDescent="0.3">
      <c r="A986" s="20">
        <f t="shared" si="15"/>
        <v>985</v>
      </c>
      <c r="B986" s="21" t="s">
        <v>87</v>
      </c>
      <c r="C986" s="21" t="s">
        <v>97</v>
      </c>
      <c r="D986" s="22" t="str">
        <f>IF($C986="","",IFERROR(VLOOKUP($C986,Map_Register!$A$2:$C$5,3,FALSE()),""))</f>
        <v>Toponym Labels</v>
      </c>
      <c r="E986" s="21" t="s">
        <v>15</v>
      </c>
      <c r="F986" s="23">
        <v>11649</v>
      </c>
      <c r="G986" s="20" t="s">
        <v>1635</v>
      </c>
      <c r="H986" s="20" t="s">
        <v>1646</v>
      </c>
      <c r="I986" s="20" t="s">
        <v>1390</v>
      </c>
      <c r="J986" s="20" t="s">
        <v>6</v>
      </c>
      <c r="K986" s="20" t="s">
        <v>137</v>
      </c>
      <c r="L986" s="20" t="s">
        <v>137</v>
      </c>
      <c r="M986" s="20" t="s">
        <v>1647</v>
      </c>
      <c r="Q986" s="24" t="s">
        <v>680</v>
      </c>
    </row>
    <row r="987" spans="1:17" hidden="1" x14ac:dyDescent="0.3">
      <c r="A987" s="20">
        <f t="shared" si="15"/>
        <v>986</v>
      </c>
      <c r="B987" s="21" t="s">
        <v>87</v>
      </c>
      <c r="C987" s="21" t="s">
        <v>97</v>
      </c>
      <c r="D987" s="22" t="str">
        <f>IF($C987="","",IFERROR(VLOOKUP($C987,Map_Register!$A$2:$C$5,3,FALSE()),""))</f>
        <v>Toponym Labels</v>
      </c>
      <c r="E987" s="21" t="s">
        <v>15</v>
      </c>
      <c r="F987" s="23">
        <v>12137</v>
      </c>
      <c r="G987" s="20" t="s">
        <v>1631</v>
      </c>
      <c r="H987" s="20" t="s">
        <v>1648</v>
      </c>
      <c r="I987" s="20" t="s">
        <v>697</v>
      </c>
      <c r="J987" s="20" t="s">
        <v>6</v>
      </c>
      <c r="K987" s="20" t="s">
        <v>137</v>
      </c>
      <c r="L987" s="20" t="s">
        <v>137</v>
      </c>
      <c r="M987" s="20" t="s">
        <v>1649</v>
      </c>
      <c r="Q987" s="24" t="s">
        <v>680</v>
      </c>
    </row>
    <row r="988" spans="1:17" x14ac:dyDescent="0.3">
      <c r="A988" s="20">
        <f t="shared" si="15"/>
        <v>987</v>
      </c>
      <c r="B988" s="21" t="s">
        <v>87</v>
      </c>
      <c r="C988" s="21" t="s">
        <v>97</v>
      </c>
      <c r="D988" s="22" t="str">
        <f>IF($C988="","",IFERROR(VLOOKUP($C988,Map_Register!$A$2:$C$5,3,FALSE()),""))</f>
        <v>Toponym Labels</v>
      </c>
      <c r="E988" s="21" t="s">
        <v>15</v>
      </c>
      <c r="F988" s="23">
        <v>12231</v>
      </c>
      <c r="G988" s="20" t="s">
        <v>1631</v>
      </c>
      <c r="H988" s="20" t="s">
        <v>1650</v>
      </c>
      <c r="I988" t="s">
        <v>697</v>
      </c>
      <c r="J988" s="20" t="s">
        <v>8</v>
      </c>
      <c r="K988" t="s">
        <v>107</v>
      </c>
      <c r="L988" t="s">
        <v>108</v>
      </c>
      <c r="M988" s="20" t="s">
        <v>1651</v>
      </c>
      <c r="N988" s="20" t="s">
        <v>108</v>
      </c>
      <c r="Q988" s="24" t="s">
        <v>680</v>
      </c>
    </row>
    <row r="989" spans="1:17" hidden="1" x14ac:dyDescent="0.3">
      <c r="A989" s="20">
        <f t="shared" si="15"/>
        <v>988</v>
      </c>
      <c r="B989" s="21" t="s">
        <v>87</v>
      </c>
      <c r="C989" s="21" t="s">
        <v>97</v>
      </c>
      <c r="D989" s="22" t="str">
        <f>IF($C989="","",IFERROR(VLOOKUP($C989,Map_Register!$A$2:$C$5,3,FALSE()),""))</f>
        <v>Toponym Labels</v>
      </c>
      <c r="E989" s="21" t="s">
        <v>15</v>
      </c>
      <c r="F989" s="23">
        <v>12568</v>
      </c>
      <c r="G989" s="20" t="s">
        <v>1635</v>
      </c>
      <c r="H989" s="20" t="s">
        <v>1652</v>
      </c>
      <c r="I989" s="20" t="s">
        <v>678</v>
      </c>
      <c r="J989" s="20" t="s">
        <v>6</v>
      </c>
      <c r="K989" s="20" t="s">
        <v>137</v>
      </c>
      <c r="L989" s="20" t="s">
        <v>137</v>
      </c>
      <c r="M989" s="20" t="s">
        <v>1653</v>
      </c>
      <c r="Q989" s="24" t="s">
        <v>680</v>
      </c>
    </row>
    <row r="990" spans="1:17" hidden="1" x14ac:dyDescent="0.3">
      <c r="A990" s="20">
        <f t="shared" si="15"/>
        <v>989</v>
      </c>
      <c r="B990" s="21" t="s">
        <v>87</v>
      </c>
      <c r="C990" s="21" t="s">
        <v>97</v>
      </c>
      <c r="D990" s="22" t="str">
        <f>IF($C990="","",IFERROR(VLOOKUP($C990,Map_Register!$A$2:$C$5,3,FALSE()),""))</f>
        <v>Toponym Labels</v>
      </c>
      <c r="E990" s="21" t="s">
        <v>15</v>
      </c>
      <c r="F990" s="23">
        <v>12790</v>
      </c>
      <c r="G990" s="20" t="s">
        <v>1635</v>
      </c>
      <c r="H990" s="20" t="s">
        <v>1654</v>
      </c>
      <c r="I990" s="20" t="s">
        <v>1390</v>
      </c>
      <c r="J990" s="20" t="s">
        <v>6</v>
      </c>
      <c r="K990" s="20" t="s">
        <v>137</v>
      </c>
      <c r="L990" s="20" t="s">
        <v>137</v>
      </c>
      <c r="M990" s="20" t="s">
        <v>1647</v>
      </c>
      <c r="Q990" s="24" t="s">
        <v>680</v>
      </c>
    </row>
    <row r="991" spans="1:17" hidden="1" x14ac:dyDescent="0.3">
      <c r="A991" s="20">
        <f t="shared" si="15"/>
        <v>990</v>
      </c>
      <c r="B991" s="21" t="s">
        <v>87</v>
      </c>
      <c r="C991" s="21" t="s">
        <v>97</v>
      </c>
      <c r="D991" s="22" t="str">
        <f>IF($C991="","",IFERROR(VLOOKUP($C991,Map_Register!$A$2:$C$5,3,FALSE()),""))</f>
        <v>Toponym Labels</v>
      </c>
      <c r="E991" s="21" t="s">
        <v>15</v>
      </c>
      <c r="F991" s="23">
        <v>12822</v>
      </c>
      <c r="G991" s="20" t="s">
        <v>1635</v>
      </c>
      <c r="H991" s="20" t="s">
        <v>1655</v>
      </c>
      <c r="I991" s="20" t="s">
        <v>1390</v>
      </c>
      <c r="J991" s="20" t="s">
        <v>6</v>
      </c>
      <c r="K991" s="20" t="s">
        <v>137</v>
      </c>
      <c r="L991" s="20" t="s">
        <v>137</v>
      </c>
      <c r="M991" s="20" t="s">
        <v>1656</v>
      </c>
      <c r="Q991" s="24" t="s">
        <v>680</v>
      </c>
    </row>
    <row r="992" spans="1:17" hidden="1" x14ac:dyDescent="0.3">
      <c r="A992" s="20">
        <f t="shared" si="15"/>
        <v>991</v>
      </c>
      <c r="B992" s="21" t="s">
        <v>87</v>
      </c>
      <c r="C992" s="21" t="s">
        <v>97</v>
      </c>
      <c r="D992" s="22" t="str">
        <f>IF($C992="","",IFERROR(VLOOKUP($C992,Map_Register!$A$2:$C$5,3,FALSE()),""))</f>
        <v>Toponym Labels</v>
      </c>
      <c r="E992" s="21" t="s">
        <v>15</v>
      </c>
      <c r="F992" s="23">
        <v>16637</v>
      </c>
      <c r="G992" s="20" t="s">
        <v>1631</v>
      </c>
      <c r="H992" s="20" t="s">
        <v>1657</v>
      </c>
      <c r="I992" t="s">
        <v>697</v>
      </c>
      <c r="J992" s="20" t="s">
        <v>6</v>
      </c>
      <c r="K992" s="20" t="s">
        <v>137</v>
      </c>
      <c r="L992" s="20" t="s">
        <v>137</v>
      </c>
      <c r="M992" s="20" t="s">
        <v>1658</v>
      </c>
      <c r="Q992" s="24" t="s">
        <v>680</v>
      </c>
    </row>
    <row r="993" spans="1:17" hidden="1" x14ac:dyDescent="0.3">
      <c r="A993" s="20">
        <f t="shared" si="15"/>
        <v>992</v>
      </c>
      <c r="B993" s="21" t="s">
        <v>87</v>
      </c>
      <c r="C993" s="21" t="s">
        <v>97</v>
      </c>
      <c r="D993" s="22" t="str">
        <f>IF($C993="","",IFERROR(VLOOKUP($C993,Map_Register!$A$2:$C$5,3,FALSE()),""))</f>
        <v>Toponym Labels</v>
      </c>
      <c r="E993" s="21" t="s">
        <v>15</v>
      </c>
      <c r="F993" s="23">
        <v>24462</v>
      </c>
      <c r="G993" s="20" t="s">
        <v>1635</v>
      </c>
      <c r="H993" s="20" t="s">
        <v>1659</v>
      </c>
      <c r="I993" s="20" t="s">
        <v>1390</v>
      </c>
      <c r="J993" s="20" t="s">
        <v>6</v>
      </c>
      <c r="K993" s="20" t="s">
        <v>137</v>
      </c>
      <c r="L993" s="20" t="s">
        <v>137</v>
      </c>
      <c r="M993" s="20" t="s">
        <v>1660</v>
      </c>
      <c r="Q993" s="24" t="s">
        <v>680</v>
      </c>
    </row>
    <row r="994" spans="1:17" hidden="1" x14ac:dyDescent="0.3">
      <c r="A994" s="20">
        <f t="shared" si="15"/>
        <v>993</v>
      </c>
      <c r="B994" s="21" t="s">
        <v>87</v>
      </c>
      <c r="C994" s="21" t="s">
        <v>97</v>
      </c>
      <c r="D994" s="22" t="str">
        <f>IF($C994="","",IFERROR(VLOOKUP($C994,Map_Register!$A$2:$C$5,3,FALSE()),""))</f>
        <v>Toponym Labels</v>
      </c>
      <c r="E994" s="21" t="s">
        <v>15</v>
      </c>
      <c r="F994" s="23">
        <v>24623</v>
      </c>
      <c r="G994" s="20" t="s">
        <v>1635</v>
      </c>
      <c r="H994" s="20" t="s">
        <v>1661</v>
      </c>
      <c r="I994" t="s">
        <v>697</v>
      </c>
      <c r="J994" s="20" t="s">
        <v>6</v>
      </c>
      <c r="K994" s="20" t="s">
        <v>137</v>
      </c>
      <c r="L994" s="20" t="s">
        <v>137</v>
      </c>
      <c r="M994" s="20" t="s">
        <v>1649</v>
      </c>
      <c r="Q994" s="24" t="s">
        <v>680</v>
      </c>
    </row>
    <row r="995" spans="1:17" hidden="1" x14ac:dyDescent="0.3">
      <c r="A995" s="20">
        <f t="shared" si="15"/>
        <v>994</v>
      </c>
      <c r="B995" s="21" t="s">
        <v>87</v>
      </c>
      <c r="C995" s="21" t="s">
        <v>97</v>
      </c>
      <c r="D995" s="22" t="str">
        <f>IF($C995="","",IFERROR(VLOOKUP($C995,Map_Register!$A$2:$C$5,3,FALSE()),""))</f>
        <v>Toponym Labels</v>
      </c>
      <c r="E995" s="21" t="s">
        <v>15</v>
      </c>
      <c r="F995" s="23">
        <v>25766</v>
      </c>
      <c r="G995" s="20" t="s">
        <v>1635</v>
      </c>
      <c r="H995" s="20" t="s">
        <v>1662</v>
      </c>
      <c r="I995" s="20" t="s">
        <v>1390</v>
      </c>
      <c r="J995" s="20" t="s">
        <v>6</v>
      </c>
      <c r="K995" s="20" t="s">
        <v>137</v>
      </c>
      <c r="L995" s="20" t="s">
        <v>137</v>
      </c>
      <c r="M995" s="20" t="s">
        <v>1663</v>
      </c>
      <c r="Q995" s="24" t="s">
        <v>680</v>
      </c>
    </row>
    <row r="996" spans="1:17" hidden="1" x14ac:dyDescent="0.3">
      <c r="A996" s="20">
        <f t="shared" si="15"/>
        <v>995</v>
      </c>
      <c r="B996" s="21" t="s">
        <v>87</v>
      </c>
      <c r="C996" s="21" t="s">
        <v>97</v>
      </c>
      <c r="D996" s="22" t="str">
        <f>IF($C996="","",IFERROR(VLOOKUP($C996,Map_Register!$A$2:$C$5,3,FALSE()),""))</f>
        <v>Toponym Labels</v>
      </c>
      <c r="E996" s="21" t="s">
        <v>15</v>
      </c>
      <c r="F996" s="23">
        <v>25997</v>
      </c>
      <c r="G996" s="20" t="s">
        <v>1635</v>
      </c>
      <c r="H996" s="20" t="s">
        <v>1664</v>
      </c>
      <c r="I996" s="20" t="s">
        <v>1390</v>
      </c>
      <c r="J996" s="20" t="s">
        <v>6</v>
      </c>
      <c r="K996" s="20" t="s">
        <v>137</v>
      </c>
      <c r="L996" s="20" t="s">
        <v>137</v>
      </c>
      <c r="M996" s="20" t="s">
        <v>1663</v>
      </c>
      <c r="Q996" s="24" t="s">
        <v>680</v>
      </c>
    </row>
    <row r="997" spans="1:17" hidden="1" x14ac:dyDescent="0.3">
      <c r="A997" s="20">
        <f t="shared" si="15"/>
        <v>996</v>
      </c>
      <c r="B997" s="21" t="s">
        <v>87</v>
      </c>
      <c r="C997" s="21" t="s">
        <v>97</v>
      </c>
      <c r="D997" s="22" t="str">
        <f>IF($C997="","",IFERROR(VLOOKUP($C997,Map_Register!$A$2:$C$5,3,FALSE()),""))</f>
        <v>Toponym Labels</v>
      </c>
      <c r="E997" s="21" t="s">
        <v>15</v>
      </c>
      <c r="F997" s="23">
        <v>26082</v>
      </c>
      <c r="G997" s="20" t="s">
        <v>1635</v>
      </c>
      <c r="H997" s="20" t="s">
        <v>1665</v>
      </c>
      <c r="I997" s="20" t="s">
        <v>1390</v>
      </c>
      <c r="J997" s="20" t="s">
        <v>6</v>
      </c>
      <c r="K997" s="20" t="s">
        <v>137</v>
      </c>
      <c r="L997" s="20" t="s">
        <v>137</v>
      </c>
      <c r="M997" s="20" t="s">
        <v>1663</v>
      </c>
      <c r="Q997" s="24" t="s">
        <v>680</v>
      </c>
    </row>
    <row r="998" spans="1:17" hidden="1" x14ac:dyDescent="0.3">
      <c r="A998" s="20">
        <f t="shared" si="15"/>
        <v>997</v>
      </c>
      <c r="B998" s="21" t="s">
        <v>87</v>
      </c>
      <c r="C998" s="21" t="s">
        <v>97</v>
      </c>
      <c r="D998" s="22" t="str">
        <f>IF($C998="","",IFERROR(VLOOKUP($C998,Map_Register!$A$2:$C$5,3,FALSE()),""))</f>
        <v>Toponym Labels</v>
      </c>
      <c r="E998" s="21" t="s">
        <v>15</v>
      </c>
      <c r="F998" s="23">
        <v>27847</v>
      </c>
      <c r="G998" s="20" t="s">
        <v>1635</v>
      </c>
      <c r="H998" s="20" t="s">
        <v>1666</v>
      </c>
      <c r="I998" t="s">
        <v>697</v>
      </c>
      <c r="J998" s="20" t="s">
        <v>6</v>
      </c>
      <c r="K998" s="20" t="s">
        <v>137</v>
      </c>
      <c r="L998" s="20" t="s">
        <v>137</v>
      </c>
      <c r="M998" s="20" t="s">
        <v>1653</v>
      </c>
      <c r="Q998" s="24" t="s">
        <v>680</v>
      </c>
    </row>
    <row r="999" spans="1:17" hidden="1" x14ac:dyDescent="0.3">
      <c r="A999" s="20">
        <f t="shared" si="15"/>
        <v>998</v>
      </c>
      <c r="B999" s="21" t="s">
        <v>87</v>
      </c>
      <c r="C999" s="21" t="s">
        <v>97</v>
      </c>
      <c r="D999" s="22" t="str">
        <f>IF($C999="","",IFERROR(VLOOKUP($C999,Map_Register!$A$2:$C$5,3,FALSE()),""))</f>
        <v>Toponym Labels</v>
      </c>
      <c r="E999" s="21" t="s">
        <v>15</v>
      </c>
      <c r="F999" s="23">
        <v>28694</v>
      </c>
      <c r="G999" s="20" t="s">
        <v>1635</v>
      </c>
      <c r="H999" s="20" t="s">
        <v>1667</v>
      </c>
      <c r="I999" t="s">
        <v>697</v>
      </c>
      <c r="J999" s="20" t="s">
        <v>6</v>
      </c>
      <c r="K999" s="20" t="s">
        <v>137</v>
      </c>
      <c r="L999" s="20" t="s">
        <v>137</v>
      </c>
      <c r="M999" s="20" t="s">
        <v>1653</v>
      </c>
      <c r="Q999" s="24" t="s">
        <v>680</v>
      </c>
    </row>
    <row r="1000" spans="1:17" hidden="1" x14ac:dyDescent="0.3">
      <c r="A1000" s="20">
        <f t="shared" si="15"/>
        <v>999</v>
      </c>
      <c r="B1000" s="21" t="s">
        <v>87</v>
      </c>
      <c r="C1000" s="21" t="s">
        <v>97</v>
      </c>
      <c r="D1000" s="22" t="str">
        <f>IF($C1000="","",IFERROR(VLOOKUP($C1000,Map_Register!$A$2:$C$5,3,FALSE()),""))</f>
        <v>Toponym Labels</v>
      </c>
      <c r="E1000" s="21" t="s">
        <v>15</v>
      </c>
      <c r="F1000" s="23">
        <v>28772</v>
      </c>
      <c r="G1000" s="20" t="s">
        <v>1635</v>
      </c>
      <c r="H1000" s="20" t="s">
        <v>1668</v>
      </c>
      <c r="I1000" t="s">
        <v>697</v>
      </c>
      <c r="J1000" s="20" t="s">
        <v>6</v>
      </c>
      <c r="K1000" s="20" t="s">
        <v>137</v>
      </c>
      <c r="L1000" s="20" t="s">
        <v>137</v>
      </c>
      <c r="M1000" s="20" t="s">
        <v>1653</v>
      </c>
      <c r="Q1000" s="24" t="s">
        <v>680</v>
      </c>
    </row>
    <row r="1001" spans="1:17" hidden="1" x14ac:dyDescent="0.3">
      <c r="A1001" s="20">
        <f t="shared" si="15"/>
        <v>1000</v>
      </c>
      <c r="B1001" s="21" t="s">
        <v>87</v>
      </c>
      <c r="C1001" s="21" t="s">
        <v>97</v>
      </c>
      <c r="D1001" s="22" t="str">
        <f>IF($C1001="","",IFERROR(VLOOKUP($C1001,Map_Register!$A$2:$C$5,3,FALSE()),""))</f>
        <v>Toponym Labels</v>
      </c>
      <c r="E1001" s="21" t="s">
        <v>15</v>
      </c>
      <c r="F1001" s="23">
        <v>28964</v>
      </c>
      <c r="G1001" s="20" t="s">
        <v>1635</v>
      </c>
      <c r="H1001" s="20" t="s">
        <v>1669</v>
      </c>
      <c r="I1001" t="s">
        <v>697</v>
      </c>
      <c r="J1001" s="20" t="s">
        <v>6</v>
      </c>
      <c r="K1001" s="20" t="s">
        <v>137</v>
      </c>
      <c r="L1001" s="20" t="s">
        <v>137</v>
      </c>
      <c r="M1001" s="20" t="s">
        <v>1653</v>
      </c>
      <c r="Q1001" s="24" t="s">
        <v>680</v>
      </c>
    </row>
    <row r="1002" spans="1:17" hidden="1" x14ac:dyDescent="0.3">
      <c r="A1002" s="20">
        <f t="shared" si="15"/>
        <v>1001</v>
      </c>
      <c r="B1002" s="21" t="s">
        <v>87</v>
      </c>
      <c r="C1002" s="21" t="s">
        <v>97</v>
      </c>
      <c r="D1002" s="22" t="str">
        <f>IF($C1002="","",IFERROR(VLOOKUP($C1002,Map_Register!$A$2:$C$5,3,FALSE()),""))</f>
        <v>Toponym Labels</v>
      </c>
      <c r="E1002" s="21" t="s">
        <v>15</v>
      </c>
      <c r="F1002" s="23">
        <v>30707</v>
      </c>
      <c r="G1002" s="20" t="s">
        <v>1635</v>
      </c>
      <c r="H1002" s="20" t="s">
        <v>1670</v>
      </c>
      <c r="I1002" t="s">
        <v>697</v>
      </c>
      <c r="J1002" s="20" t="s">
        <v>6</v>
      </c>
      <c r="K1002" s="20" t="s">
        <v>137</v>
      </c>
      <c r="L1002" s="20" t="s">
        <v>137</v>
      </c>
      <c r="M1002" s="20" t="s">
        <v>1653</v>
      </c>
      <c r="Q1002" s="24" t="s">
        <v>680</v>
      </c>
    </row>
    <row r="1003" spans="1:17" hidden="1" x14ac:dyDescent="0.3">
      <c r="A1003" s="20">
        <f t="shared" si="15"/>
        <v>1002</v>
      </c>
      <c r="B1003" s="21" t="s">
        <v>87</v>
      </c>
      <c r="C1003" s="21" t="s">
        <v>97</v>
      </c>
      <c r="D1003" s="22" t="str">
        <f>IF($C1003="","",IFERROR(VLOOKUP($C1003,Map_Register!$A$2:$C$5,3,FALSE()),""))</f>
        <v>Toponym Labels</v>
      </c>
      <c r="E1003" s="21" t="s">
        <v>15</v>
      </c>
      <c r="F1003" s="23">
        <v>30988</v>
      </c>
      <c r="G1003" s="20" t="s">
        <v>1635</v>
      </c>
      <c r="H1003" s="20" t="s">
        <v>1671</v>
      </c>
      <c r="I1003" t="s">
        <v>697</v>
      </c>
      <c r="J1003" s="20" t="s">
        <v>6</v>
      </c>
      <c r="K1003" s="20" t="s">
        <v>137</v>
      </c>
      <c r="L1003" s="20" t="s">
        <v>137</v>
      </c>
      <c r="M1003" s="20" t="s">
        <v>1653</v>
      </c>
      <c r="Q1003" s="24" t="s">
        <v>680</v>
      </c>
    </row>
    <row r="1004" spans="1:17" hidden="1" x14ac:dyDescent="0.3">
      <c r="A1004" s="20">
        <f t="shared" si="15"/>
        <v>1003</v>
      </c>
      <c r="B1004" s="21" t="s">
        <v>87</v>
      </c>
      <c r="C1004" s="21" t="s">
        <v>97</v>
      </c>
      <c r="D1004" s="22" t="str">
        <f>IF($C1004="","",IFERROR(VLOOKUP($C1004,Map_Register!$A$2:$C$5,3,FALSE()),""))</f>
        <v>Toponym Labels</v>
      </c>
      <c r="E1004" s="21" t="s">
        <v>15</v>
      </c>
      <c r="F1004" s="23">
        <v>31199</v>
      </c>
      <c r="G1004" s="20" t="s">
        <v>1635</v>
      </c>
      <c r="H1004" s="20" t="s">
        <v>1672</v>
      </c>
      <c r="I1004" s="20" t="s">
        <v>678</v>
      </c>
      <c r="J1004" s="20" t="s">
        <v>8</v>
      </c>
      <c r="K1004" t="s">
        <v>107</v>
      </c>
      <c r="L1004" t="s">
        <v>107</v>
      </c>
      <c r="M1004" s="20" t="s">
        <v>978</v>
      </c>
      <c r="N1004" s="20" t="s">
        <v>108</v>
      </c>
      <c r="Q1004" s="24" t="s">
        <v>680</v>
      </c>
    </row>
    <row r="1005" spans="1:17" hidden="1" x14ac:dyDescent="0.3">
      <c r="A1005" s="20">
        <f t="shared" si="15"/>
        <v>1004</v>
      </c>
      <c r="B1005" s="21" t="s">
        <v>87</v>
      </c>
      <c r="C1005" s="21" t="s">
        <v>97</v>
      </c>
      <c r="D1005" s="22" t="str">
        <f>IF($C1005="","",IFERROR(VLOOKUP($C1005,Map_Register!$A$2:$C$5,3,FALSE()),""))</f>
        <v>Toponym Labels</v>
      </c>
      <c r="E1005" s="21" t="s">
        <v>15</v>
      </c>
      <c r="F1005" s="23">
        <v>31481</v>
      </c>
      <c r="G1005" s="20" t="s">
        <v>1635</v>
      </c>
      <c r="H1005" s="20" t="s">
        <v>1673</v>
      </c>
      <c r="I1005" t="s">
        <v>697</v>
      </c>
      <c r="J1005" s="20" t="s">
        <v>6</v>
      </c>
      <c r="K1005" s="20" t="s">
        <v>137</v>
      </c>
      <c r="L1005" s="20" t="s">
        <v>137</v>
      </c>
      <c r="M1005" s="20" t="s">
        <v>1653</v>
      </c>
      <c r="Q1005" s="24" t="s">
        <v>680</v>
      </c>
    </row>
    <row r="1006" spans="1:17" hidden="1" x14ac:dyDescent="0.3">
      <c r="A1006" s="20">
        <f t="shared" si="15"/>
        <v>1005</v>
      </c>
      <c r="B1006" s="21" t="s">
        <v>87</v>
      </c>
      <c r="C1006" s="21" t="s">
        <v>97</v>
      </c>
      <c r="D1006" s="22" t="str">
        <f>IF($C1006="","",IFERROR(VLOOKUP($C1006,Map_Register!$A$2:$C$5,3,FALSE()),""))</f>
        <v>Toponym Labels</v>
      </c>
      <c r="E1006" s="21" t="s">
        <v>15</v>
      </c>
      <c r="F1006" s="23">
        <v>36003</v>
      </c>
      <c r="G1006" s="20" t="s">
        <v>1635</v>
      </c>
      <c r="H1006" s="20" t="s">
        <v>1674</v>
      </c>
      <c r="I1006" t="s">
        <v>697</v>
      </c>
      <c r="J1006" s="20" t="s">
        <v>6</v>
      </c>
      <c r="K1006" s="20" t="s">
        <v>137</v>
      </c>
      <c r="L1006" s="20" t="s">
        <v>137</v>
      </c>
      <c r="M1006" s="20" t="s">
        <v>1653</v>
      </c>
      <c r="Q1006" s="24" t="s">
        <v>680</v>
      </c>
    </row>
    <row r="1007" spans="1:17" hidden="1" x14ac:dyDescent="0.3">
      <c r="A1007" s="20">
        <f t="shared" si="15"/>
        <v>1006</v>
      </c>
      <c r="B1007" s="21" t="s">
        <v>87</v>
      </c>
      <c r="C1007" s="21" t="s">
        <v>97</v>
      </c>
      <c r="D1007" s="22" t="str">
        <f>IF($C1007="","",IFERROR(VLOOKUP($C1007,Map_Register!$A$2:$C$5,3,FALSE()),""))</f>
        <v>Toponym Labels</v>
      </c>
      <c r="E1007" s="21" t="s">
        <v>15</v>
      </c>
      <c r="F1007" s="23">
        <v>41999</v>
      </c>
      <c r="G1007" s="20" t="s">
        <v>1635</v>
      </c>
      <c r="H1007" s="20" t="s">
        <v>1675</v>
      </c>
      <c r="I1007" t="s">
        <v>1390</v>
      </c>
      <c r="J1007" s="20" t="s">
        <v>6</v>
      </c>
      <c r="K1007" s="20" t="s">
        <v>137</v>
      </c>
      <c r="L1007" s="20" t="s">
        <v>137</v>
      </c>
      <c r="M1007" s="20" t="s">
        <v>1676</v>
      </c>
      <c r="Q1007" s="24" t="s">
        <v>680</v>
      </c>
    </row>
    <row r="1008" spans="1:17" hidden="1" x14ac:dyDescent="0.3">
      <c r="A1008" s="20">
        <f t="shared" si="15"/>
        <v>1007</v>
      </c>
      <c r="B1008" s="21" t="s">
        <v>87</v>
      </c>
      <c r="C1008" s="21" t="s">
        <v>97</v>
      </c>
      <c r="D1008" s="22" t="str">
        <f>IF($C1008="","",IFERROR(VLOOKUP($C1008,Map_Register!$A$2:$C$5,3,FALSE()),""))</f>
        <v>Toponym Labels</v>
      </c>
      <c r="E1008" s="21" t="s">
        <v>15</v>
      </c>
      <c r="F1008" s="23">
        <v>45565</v>
      </c>
      <c r="G1008" s="20" t="s">
        <v>1635</v>
      </c>
      <c r="H1008" s="20" t="s">
        <v>1677</v>
      </c>
      <c r="I1008" t="s">
        <v>1390</v>
      </c>
      <c r="J1008" s="20" t="s">
        <v>6</v>
      </c>
      <c r="K1008" s="20" t="s">
        <v>137</v>
      </c>
      <c r="L1008" s="20" t="s">
        <v>137</v>
      </c>
      <c r="M1008" s="20" t="s">
        <v>1678</v>
      </c>
      <c r="Q1008" s="24" t="s">
        <v>680</v>
      </c>
    </row>
    <row r="1009" spans="1:17" hidden="1" x14ac:dyDescent="0.3">
      <c r="A1009" s="20">
        <f t="shared" si="15"/>
        <v>1008</v>
      </c>
      <c r="B1009" s="21" t="s">
        <v>87</v>
      </c>
      <c r="C1009" s="21" t="s">
        <v>97</v>
      </c>
      <c r="D1009" s="22" t="str">
        <f>IF($C1009="","",IFERROR(VLOOKUP($C1009,Map_Register!$A$2:$C$5,3,FALSE()),""))</f>
        <v>Toponym Labels</v>
      </c>
      <c r="E1009" s="21" t="s">
        <v>15</v>
      </c>
      <c r="F1009" s="23">
        <v>45729</v>
      </c>
      <c r="G1009" s="20" t="s">
        <v>1635</v>
      </c>
      <c r="H1009" s="20" t="s">
        <v>1679</v>
      </c>
      <c r="I1009" t="s">
        <v>1390</v>
      </c>
      <c r="J1009" s="20" t="s">
        <v>6</v>
      </c>
      <c r="K1009" s="20" t="s">
        <v>137</v>
      </c>
      <c r="L1009" s="20" t="s">
        <v>137</v>
      </c>
      <c r="M1009" s="20" t="s">
        <v>1680</v>
      </c>
      <c r="Q1009" s="24" t="s">
        <v>680</v>
      </c>
    </row>
    <row r="1010" spans="1:17" hidden="1" x14ac:dyDescent="0.3">
      <c r="A1010" s="20">
        <f t="shared" si="15"/>
        <v>1009</v>
      </c>
      <c r="B1010" s="21" t="s">
        <v>87</v>
      </c>
      <c r="C1010" s="21" t="s">
        <v>97</v>
      </c>
      <c r="D1010" s="22" t="str">
        <f>IF($C1010="","",IFERROR(VLOOKUP($C1010,Map_Register!$A$2:$C$5,3,FALSE()),""))</f>
        <v>Toponym Labels</v>
      </c>
      <c r="E1010" s="21" t="s">
        <v>15</v>
      </c>
      <c r="F1010" s="23">
        <v>46161</v>
      </c>
      <c r="G1010" s="20" t="s">
        <v>1631</v>
      </c>
      <c r="H1010" s="20" t="s">
        <v>1681</v>
      </c>
      <c r="I1010" t="s">
        <v>697</v>
      </c>
      <c r="J1010" s="20" t="s">
        <v>6</v>
      </c>
      <c r="K1010" s="20" t="s">
        <v>137</v>
      </c>
      <c r="L1010" s="20" t="s">
        <v>137</v>
      </c>
      <c r="M1010" s="20" t="s">
        <v>1682</v>
      </c>
      <c r="Q1010" s="24" t="s">
        <v>680</v>
      </c>
    </row>
    <row r="1011" spans="1:17" hidden="1" x14ac:dyDescent="0.3">
      <c r="A1011" s="20">
        <f t="shared" si="15"/>
        <v>1010</v>
      </c>
      <c r="B1011" s="21" t="s">
        <v>87</v>
      </c>
      <c r="C1011" s="21" t="s">
        <v>97</v>
      </c>
      <c r="D1011" s="22" t="str">
        <f>IF($C1011="","",IFERROR(VLOOKUP($C1011,Map_Register!$A$2:$C$5,3,FALSE()),""))</f>
        <v>Toponym Labels</v>
      </c>
      <c r="E1011" s="21" t="s">
        <v>15</v>
      </c>
      <c r="F1011" s="23">
        <v>46845</v>
      </c>
      <c r="G1011" s="20" t="s">
        <v>1635</v>
      </c>
      <c r="H1011" s="20" t="s">
        <v>1683</v>
      </c>
      <c r="I1011" t="s">
        <v>1390</v>
      </c>
      <c r="J1011" s="20" t="s">
        <v>6</v>
      </c>
      <c r="K1011" s="20" t="s">
        <v>137</v>
      </c>
      <c r="L1011" s="20" t="s">
        <v>137</v>
      </c>
      <c r="M1011" s="20" t="s">
        <v>1684</v>
      </c>
      <c r="Q1011" s="24" t="s">
        <v>680</v>
      </c>
    </row>
    <row r="1012" spans="1:17" hidden="1" x14ac:dyDescent="0.3">
      <c r="A1012" s="20">
        <f t="shared" si="15"/>
        <v>1011</v>
      </c>
      <c r="B1012" s="21" t="s">
        <v>87</v>
      </c>
      <c r="C1012" s="21" t="s">
        <v>97</v>
      </c>
      <c r="D1012" s="22" t="str">
        <f>IF($C1012="","",IFERROR(VLOOKUP($C1012,Map_Register!$A$2:$C$5,3,FALSE()),""))</f>
        <v>Toponym Labels</v>
      </c>
      <c r="E1012" s="21" t="s">
        <v>15</v>
      </c>
      <c r="F1012" s="23">
        <v>47746</v>
      </c>
      <c r="G1012" s="20" t="s">
        <v>1685</v>
      </c>
      <c r="H1012" s="20" t="s">
        <v>1686</v>
      </c>
      <c r="I1012" t="s">
        <v>697</v>
      </c>
      <c r="J1012" s="20" t="s">
        <v>6</v>
      </c>
      <c r="K1012" s="20" t="s">
        <v>137</v>
      </c>
      <c r="L1012" s="20" t="s">
        <v>137</v>
      </c>
      <c r="M1012" s="20" t="s">
        <v>1687</v>
      </c>
      <c r="Q1012" s="24" t="s">
        <v>680</v>
      </c>
    </row>
    <row r="1013" spans="1:17" hidden="1" x14ac:dyDescent="0.3">
      <c r="A1013" s="20">
        <f t="shared" si="15"/>
        <v>1012</v>
      </c>
      <c r="B1013" s="21" t="s">
        <v>87</v>
      </c>
      <c r="C1013" s="21" t="s">
        <v>97</v>
      </c>
      <c r="D1013" s="22" t="str">
        <f>IF($C1013="","",IFERROR(VLOOKUP($C1013,Map_Register!$A$2:$C$5,3,FALSE()),""))</f>
        <v>Toponym Labels</v>
      </c>
      <c r="E1013" s="21" t="s">
        <v>15</v>
      </c>
      <c r="F1013" s="23">
        <v>50538</v>
      </c>
      <c r="G1013" s="20" t="s">
        <v>1685</v>
      </c>
      <c r="H1013" s="20" t="s">
        <v>1688</v>
      </c>
      <c r="I1013" s="20" t="s">
        <v>678</v>
      </c>
      <c r="J1013" s="20" t="s">
        <v>6</v>
      </c>
      <c r="K1013" s="20" t="s">
        <v>137</v>
      </c>
      <c r="L1013" s="20" t="s">
        <v>137</v>
      </c>
      <c r="M1013" s="20" t="s">
        <v>1687</v>
      </c>
      <c r="Q1013" s="24" t="s">
        <v>680</v>
      </c>
    </row>
    <row r="1014" spans="1:17" hidden="1" x14ac:dyDescent="0.3">
      <c r="A1014" s="20">
        <f t="shared" si="15"/>
        <v>1013</v>
      </c>
      <c r="B1014" s="21" t="s">
        <v>87</v>
      </c>
      <c r="C1014" s="21" t="s">
        <v>97</v>
      </c>
      <c r="D1014" s="22" t="str">
        <f>IF($C1014="","",IFERROR(VLOOKUP($C1014,Map_Register!$A$2:$C$5,3,FALSE()),""))</f>
        <v>Toponym Labels</v>
      </c>
      <c r="E1014" s="21" t="s">
        <v>15</v>
      </c>
      <c r="F1014" s="23">
        <v>51085</v>
      </c>
      <c r="G1014" s="20" t="s">
        <v>1631</v>
      </c>
      <c r="H1014" s="20" t="s">
        <v>1689</v>
      </c>
      <c r="I1014" t="s">
        <v>697</v>
      </c>
      <c r="J1014" s="20" t="s">
        <v>8</v>
      </c>
      <c r="K1014" t="s">
        <v>107</v>
      </c>
      <c r="L1014" s="20" t="s">
        <v>107</v>
      </c>
      <c r="M1014" s="20" t="s">
        <v>1690</v>
      </c>
      <c r="N1014" s="20" t="s">
        <v>108</v>
      </c>
      <c r="Q1014" s="24" t="s">
        <v>680</v>
      </c>
    </row>
    <row r="1015" spans="1:17" hidden="1" x14ac:dyDescent="0.3">
      <c r="A1015" s="20">
        <f t="shared" si="15"/>
        <v>1014</v>
      </c>
      <c r="B1015" s="21" t="s">
        <v>87</v>
      </c>
      <c r="C1015" s="21" t="s">
        <v>97</v>
      </c>
      <c r="D1015" s="22" t="str">
        <f>IF($C1015="","",IFERROR(VLOOKUP($C1015,Map_Register!$A$2:$C$5,3,FALSE()),""))</f>
        <v>Toponym Labels</v>
      </c>
      <c r="E1015" s="21" t="s">
        <v>15</v>
      </c>
      <c r="F1015" s="23">
        <v>57466</v>
      </c>
      <c r="G1015" s="20" t="s">
        <v>1635</v>
      </c>
      <c r="H1015" s="20" t="s">
        <v>1691</v>
      </c>
      <c r="I1015" t="s">
        <v>1390</v>
      </c>
      <c r="J1015" s="20" t="s">
        <v>6</v>
      </c>
      <c r="K1015" s="20" t="s">
        <v>137</v>
      </c>
      <c r="L1015" s="20" t="s">
        <v>137</v>
      </c>
      <c r="M1015" s="20" t="s">
        <v>1692</v>
      </c>
      <c r="Q1015" s="24" t="s">
        <v>680</v>
      </c>
    </row>
    <row r="1016" spans="1:17" hidden="1" x14ac:dyDescent="0.3">
      <c r="A1016" s="20">
        <f t="shared" si="15"/>
        <v>1015</v>
      </c>
      <c r="B1016" s="21" t="s">
        <v>87</v>
      </c>
      <c r="C1016" s="21" t="s">
        <v>91</v>
      </c>
      <c r="D1016" s="22" t="str">
        <f>IF($C1016="","",IFERROR(VLOOKUP($C1016,Map_Register!$A$2:$C$5,3,FALSE()),""))</f>
        <v>Cultural Heritage Area</v>
      </c>
      <c r="E1016" s="21" t="s">
        <v>15</v>
      </c>
      <c r="F1016" s="23">
        <v>1766</v>
      </c>
      <c r="G1016" s="20" t="s">
        <v>1537</v>
      </c>
      <c r="H1016" s="20" t="s">
        <v>1693</v>
      </c>
      <c r="I1016" s="20" t="s">
        <v>678</v>
      </c>
      <c r="J1016" s="20" t="s">
        <v>6</v>
      </c>
      <c r="K1016" s="20" t="s">
        <v>137</v>
      </c>
      <c r="L1016" s="20" t="s">
        <v>137</v>
      </c>
      <c r="M1016" s="20" t="s">
        <v>1694</v>
      </c>
      <c r="Q1016" s="24" t="s">
        <v>680</v>
      </c>
    </row>
    <row r="1017" spans="1:17" hidden="1" x14ac:dyDescent="0.3">
      <c r="A1017" s="20">
        <f t="shared" si="15"/>
        <v>1016</v>
      </c>
      <c r="B1017" s="21" t="s">
        <v>87</v>
      </c>
      <c r="C1017" s="21" t="s">
        <v>91</v>
      </c>
      <c r="D1017" s="22" t="str">
        <f>IF($C1017="","",IFERROR(VLOOKUP($C1017,Map_Register!$A$2:$C$5,3,FALSE()),""))</f>
        <v>Cultural Heritage Area</v>
      </c>
      <c r="E1017" s="21" t="s">
        <v>15</v>
      </c>
      <c r="F1017" s="23">
        <v>1769</v>
      </c>
      <c r="G1017" s="20" t="s">
        <v>1537</v>
      </c>
      <c r="H1017" s="20" t="s">
        <v>1695</v>
      </c>
      <c r="I1017" s="20" t="s">
        <v>678</v>
      </c>
      <c r="J1017" s="20" t="s">
        <v>8</v>
      </c>
      <c r="K1017" s="20" t="s">
        <v>107</v>
      </c>
      <c r="L1017" s="20" t="s">
        <v>107</v>
      </c>
      <c r="M1017" s="20" t="s">
        <v>1696</v>
      </c>
      <c r="N1017" s="20" t="s">
        <v>108</v>
      </c>
      <c r="Q1017" s="24" t="s">
        <v>680</v>
      </c>
    </row>
    <row r="1018" spans="1:17" hidden="1" x14ac:dyDescent="0.3">
      <c r="A1018" s="20">
        <f t="shared" si="15"/>
        <v>1017</v>
      </c>
      <c r="B1018" s="21" t="s">
        <v>87</v>
      </c>
      <c r="C1018" s="21" t="s">
        <v>91</v>
      </c>
      <c r="D1018" s="22" t="str">
        <f>IF($C1018="","",IFERROR(VLOOKUP($C1018,Map_Register!$A$2:$C$5,3,FALSE()),""))</f>
        <v>Cultural Heritage Area</v>
      </c>
      <c r="E1018" s="21" t="s">
        <v>15</v>
      </c>
      <c r="F1018" s="23">
        <v>1770</v>
      </c>
      <c r="G1018" s="20" t="s">
        <v>1537</v>
      </c>
      <c r="H1018" s="20" t="s">
        <v>1697</v>
      </c>
      <c r="I1018" s="20" t="s">
        <v>678</v>
      </c>
      <c r="J1018" s="20" t="s">
        <v>8</v>
      </c>
      <c r="K1018" s="20" t="s">
        <v>107</v>
      </c>
      <c r="L1018" s="20" t="s">
        <v>107</v>
      </c>
      <c r="M1018" s="20" t="s">
        <v>1698</v>
      </c>
      <c r="N1018" s="20" t="s">
        <v>108</v>
      </c>
      <c r="Q1018" s="24" t="s">
        <v>680</v>
      </c>
    </row>
    <row r="1019" spans="1:17" x14ac:dyDescent="0.3">
      <c r="A1019" s="20">
        <f t="shared" si="15"/>
        <v>1018</v>
      </c>
      <c r="B1019" s="21" t="s">
        <v>87</v>
      </c>
      <c r="C1019" s="21" t="s">
        <v>91</v>
      </c>
      <c r="D1019" s="22" t="str">
        <f>IF($C1019="","",IFERROR(VLOOKUP($C1019,Map_Register!$A$2:$C$5,3,FALSE()),""))</f>
        <v>Cultural Heritage Area</v>
      </c>
      <c r="E1019" s="21" t="s">
        <v>15</v>
      </c>
      <c r="F1019" s="23">
        <v>1773</v>
      </c>
      <c r="G1019" s="20" t="s">
        <v>1537</v>
      </c>
      <c r="H1019" s="20" t="s">
        <v>1699</v>
      </c>
      <c r="I1019" s="20" t="s">
        <v>678</v>
      </c>
      <c r="J1019" s="20" t="s">
        <v>8</v>
      </c>
      <c r="K1019" s="20" t="s">
        <v>107</v>
      </c>
      <c r="L1019" t="s">
        <v>108</v>
      </c>
      <c r="M1019" s="20" t="s">
        <v>1700</v>
      </c>
      <c r="N1019" s="20" t="s">
        <v>108</v>
      </c>
      <c r="Q1019" s="24" t="s">
        <v>680</v>
      </c>
    </row>
    <row r="1020" spans="1:17" x14ac:dyDescent="0.3">
      <c r="A1020" s="20">
        <f t="shared" si="15"/>
        <v>1019</v>
      </c>
      <c r="B1020" s="21" t="s">
        <v>87</v>
      </c>
      <c r="C1020" s="21" t="s">
        <v>91</v>
      </c>
      <c r="D1020" s="22" t="str">
        <f>IF($C1020="","",IFERROR(VLOOKUP($C1020,Map_Register!$A$2:$C$5,3,FALSE()),""))</f>
        <v>Cultural Heritage Area</v>
      </c>
      <c r="E1020" s="21" t="s">
        <v>15</v>
      </c>
      <c r="F1020" s="23">
        <v>1775</v>
      </c>
      <c r="G1020" s="20" t="s">
        <v>1537</v>
      </c>
      <c r="H1020" s="20" t="s">
        <v>1701</v>
      </c>
      <c r="I1020" s="20" t="s">
        <v>678</v>
      </c>
      <c r="J1020" s="20" t="s">
        <v>8</v>
      </c>
      <c r="K1020" s="20" t="s">
        <v>107</v>
      </c>
      <c r="L1020" t="s">
        <v>108</v>
      </c>
      <c r="M1020" s="20" t="s">
        <v>1700</v>
      </c>
      <c r="N1020" s="20" t="s">
        <v>108</v>
      </c>
      <c r="Q1020" s="24" t="s">
        <v>680</v>
      </c>
    </row>
    <row r="1021" spans="1:17" x14ac:dyDescent="0.3">
      <c r="A1021" s="20">
        <f t="shared" si="15"/>
        <v>1020</v>
      </c>
      <c r="B1021" s="21" t="s">
        <v>87</v>
      </c>
      <c r="C1021" s="21" t="s">
        <v>91</v>
      </c>
      <c r="D1021" s="22" t="str">
        <f>IF($C1021="","",IFERROR(VLOOKUP($C1021,Map_Register!$A$2:$C$5,3,FALSE()),""))</f>
        <v>Cultural Heritage Area</v>
      </c>
      <c r="E1021" s="21" t="s">
        <v>15</v>
      </c>
      <c r="F1021" s="23">
        <v>1776</v>
      </c>
      <c r="G1021" s="20" t="s">
        <v>1537</v>
      </c>
      <c r="H1021" s="20" t="s">
        <v>1702</v>
      </c>
      <c r="I1021" s="20" t="s">
        <v>678</v>
      </c>
      <c r="J1021" s="20" t="s">
        <v>8</v>
      </c>
      <c r="K1021" s="20" t="s">
        <v>107</v>
      </c>
      <c r="L1021" t="s">
        <v>108</v>
      </c>
      <c r="M1021" s="20" t="s">
        <v>1700</v>
      </c>
      <c r="N1021" s="20" t="s">
        <v>108</v>
      </c>
      <c r="Q1021" s="24" t="s">
        <v>680</v>
      </c>
    </row>
    <row r="1022" spans="1:17" x14ac:dyDescent="0.3">
      <c r="A1022" s="20">
        <f t="shared" si="15"/>
        <v>1021</v>
      </c>
      <c r="B1022" s="21" t="s">
        <v>87</v>
      </c>
      <c r="C1022" s="21" t="s">
        <v>91</v>
      </c>
      <c r="D1022" s="22" t="str">
        <f>IF($C1022="","",IFERROR(VLOOKUP($C1022,Map_Register!$A$2:$C$5,3,FALSE()),""))</f>
        <v>Cultural Heritage Area</v>
      </c>
      <c r="E1022" s="21" t="s">
        <v>15</v>
      </c>
      <c r="F1022" s="23">
        <v>1778</v>
      </c>
      <c r="G1022" s="20" t="s">
        <v>1537</v>
      </c>
      <c r="H1022" s="20" t="s">
        <v>1703</v>
      </c>
      <c r="I1022" s="20" t="s">
        <v>678</v>
      </c>
      <c r="J1022" s="20" t="s">
        <v>8</v>
      </c>
      <c r="K1022" s="20" t="s">
        <v>107</v>
      </c>
      <c r="L1022" t="s">
        <v>108</v>
      </c>
      <c r="M1022" s="20" t="s">
        <v>1700</v>
      </c>
      <c r="N1022" s="20" t="s">
        <v>108</v>
      </c>
      <c r="Q1022" s="24" t="s">
        <v>680</v>
      </c>
    </row>
    <row r="1023" spans="1:17" hidden="1" x14ac:dyDescent="0.3">
      <c r="A1023" s="20">
        <f t="shared" si="15"/>
        <v>1022</v>
      </c>
      <c r="B1023" s="21" t="s">
        <v>87</v>
      </c>
      <c r="C1023" s="21" t="s">
        <v>91</v>
      </c>
      <c r="D1023" s="22" t="str">
        <f>IF($C1023="","",IFERROR(VLOOKUP($C1023,Map_Register!$A$2:$C$5,3,FALSE()),""))</f>
        <v>Cultural Heritage Area</v>
      </c>
      <c r="E1023" s="21" t="s">
        <v>15</v>
      </c>
      <c r="F1023" s="23">
        <v>1780</v>
      </c>
      <c r="G1023" s="20" t="s">
        <v>1537</v>
      </c>
      <c r="H1023" s="20" t="s">
        <v>1704</v>
      </c>
      <c r="I1023" s="20" t="s">
        <v>678</v>
      </c>
      <c r="J1023" s="20" t="s">
        <v>8</v>
      </c>
      <c r="K1023" s="20" t="s">
        <v>107</v>
      </c>
      <c r="L1023" s="20" t="s">
        <v>107</v>
      </c>
      <c r="M1023" s="20" t="s">
        <v>1705</v>
      </c>
      <c r="N1023" s="20" t="s">
        <v>108</v>
      </c>
      <c r="Q1023" s="24" t="s">
        <v>680</v>
      </c>
    </row>
    <row r="1024" spans="1:17" hidden="1" x14ac:dyDescent="0.3">
      <c r="A1024" s="20">
        <f t="shared" si="15"/>
        <v>1023</v>
      </c>
      <c r="B1024" s="21" t="s">
        <v>87</v>
      </c>
      <c r="C1024" s="21" t="s">
        <v>91</v>
      </c>
      <c r="D1024" s="22" t="str">
        <f>IF($C1024="","",IFERROR(VLOOKUP($C1024,Map_Register!$A$2:$C$5,3,FALSE()),""))</f>
        <v>Cultural Heritage Area</v>
      </c>
      <c r="E1024" s="21" t="s">
        <v>15</v>
      </c>
      <c r="F1024" s="23">
        <v>1782</v>
      </c>
      <c r="G1024" s="20" t="s">
        <v>1537</v>
      </c>
      <c r="H1024" s="20" t="s">
        <v>1706</v>
      </c>
      <c r="I1024" s="20" t="s">
        <v>678</v>
      </c>
      <c r="J1024" s="20" t="s">
        <v>8</v>
      </c>
      <c r="K1024" s="20" t="s">
        <v>107</v>
      </c>
      <c r="L1024" s="20" t="s">
        <v>107</v>
      </c>
      <c r="M1024" s="20" t="s">
        <v>1705</v>
      </c>
      <c r="N1024" s="20" t="s">
        <v>108</v>
      </c>
      <c r="Q1024" s="24" t="s">
        <v>680</v>
      </c>
    </row>
    <row r="1025" spans="1:17" hidden="1" x14ac:dyDescent="0.3">
      <c r="A1025" s="20">
        <f t="shared" si="15"/>
        <v>1024</v>
      </c>
      <c r="B1025" s="21" t="s">
        <v>87</v>
      </c>
      <c r="C1025" s="21" t="s">
        <v>91</v>
      </c>
      <c r="D1025" s="22" t="str">
        <f>IF($C1025="","",IFERROR(VLOOKUP($C1025,Map_Register!$A$2:$C$5,3,FALSE()),""))</f>
        <v>Cultural Heritage Area</v>
      </c>
      <c r="E1025" s="21" t="s">
        <v>15</v>
      </c>
      <c r="F1025" s="23">
        <v>1783</v>
      </c>
      <c r="G1025" s="20" t="s">
        <v>1537</v>
      </c>
      <c r="H1025" s="20" t="s">
        <v>1707</v>
      </c>
      <c r="I1025" s="20" t="s">
        <v>678</v>
      </c>
      <c r="J1025" s="20" t="s">
        <v>6</v>
      </c>
      <c r="K1025" s="20" t="s">
        <v>137</v>
      </c>
      <c r="L1025" s="20" t="s">
        <v>137</v>
      </c>
      <c r="M1025" s="20" t="s">
        <v>1694</v>
      </c>
      <c r="Q1025" s="24" t="s">
        <v>680</v>
      </c>
    </row>
    <row r="1026" spans="1:17" x14ac:dyDescent="0.3">
      <c r="A1026" s="20">
        <f t="shared" ref="A1026:A1089" si="16">IF($B1026="","",ROW()-1)</f>
        <v>1025</v>
      </c>
      <c r="B1026" s="21" t="s">
        <v>87</v>
      </c>
      <c r="C1026" s="21" t="s">
        <v>91</v>
      </c>
      <c r="D1026" s="22" t="str">
        <f>IF($C1026="","",IFERROR(VLOOKUP($C1026,Map_Register!$A$2:$C$5,3,FALSE()),""))</f>
        <v>Cultural Heritage Area</v>
      </c>
      <c r="E1026" s="21" t="s">
        <v>15</v>
      </c>
      <c r="F1026" s="23">
        <v>1785</v>
      </c>
      <c r="G1026" s="20" t="s">
        <v>1537</v>
      </c>
      <c r="H1026" s="20" t="s">
        <v>1708</v>
      </c>
      <c r="I1026" s="20" t="s">
        <v>678</v>
      </c>
      <c r="J1026" s="20" t="s">
        <v>8</v>
      </c>
      <c r="K1026" t="s">
        <v>107</v>
      </c>
      <c r="L1026" t="s">
        <v>108</v>
      </c>
      <c r="M1026" s="20" t="s">
        <v>1700</v>
      </c>
      <c r="N1026" s="20" t="s">
        <v>108</v>
      </c>
      <c r="Q1026" s="24" t="s">
        <v>680</v>
      </c>
    </row>
    <row r="1027" spans="1:17" x14ac:dyDescent="0.3">
      <c r="A1027" s="20">
        <f t="shared" si="16"/>
        <v>1026</v>
      </c>
      <c r="B1027" s="21" t="s">
        <v>87</v>
      </c>
      <c r="C1027" s="21" t="s">
        <v>91</v>
      </c>
      <c r="D1027" s="22" t="str">
        <f>IF($C1027="","",IFERROR(VLOOKUP($C1027,Map_Register!$A$2:$C$5,3,FALSE()),""))</f>
        <v>Cultural Heritage Area</v>
      </c>
      <c r="E1027" s="21" t="s">
        <v>15</v>
      </c>
      <c r="F1027" s="23">
        <v>1786</v>
      </c>
      <c r="G1027" s="20" t="s">
        <v>1537</v>
      </c>
      <c r="H1027" s="20" t="s">
        <v>1709</v>
      </c>
      <c r="I1027" s="20" t="s">
        <v>678</v>
      </c>
      <c r="J1027" s="20" t="s">
        <v>8</v>
      </c>
      <c r="K1027" s="20" t="s">
        <v>107</v>
      </c>
      <c r="L1027" t="s">
        <v>108</v>
      </c>
      <c r="M1027" s="20" t="s">
        <v>1700</v>
      </c>
      <c r="N1027" s="20" t="s">
        <v>108</v>
      </c>
      <c r="Q1027" s="24" t="s">
        <v>680</v>
      </c>
    </row>
    <row r="1028" spans="1:17" hidden="1" x14ac:dyDescent="0.3">
      <c r="A1028" s="20">
        <f t="shared" si="16"/>
        <v>1027</v>
      </c>
      <c r="B1028" s="21" t="s">
        <v>87</v>
      </c>
      <c r="C1028" s="21" t="s">
        <v>91</v>
      </c>
      <c r="D1028" s="22" t="str">
        <f>IF($C1028="","",IFERROR(VLOOKUP($C1028,Map_Register!$A$2:$C$5,3,FALSE()),""))</f>
        <v>Cultural Heritage Area</v>
      </c>
      <c r="E1028" s="21" t="s">
        <v>15</v>
      </c>
      <c r="F1028" s="23">
        <v>1788</v>
      </c>
      <c r="G1028" s="20" t="s">
        <v>1537</v>
      </c>
      <c r="H1028" s="20" t="s">
        <v>1710</v>
      </c>
      <c r="I1028" s="20" t="s">
        <v>678</v>
      </c>
      <c r="J1028" s="20" t="s">
        <v>8</v>
      </c>
      <c r="K1028" s="20" t="s">
        <v>107</v>
      </c>
      <c r="L1028" s="20" t="s">
        <v>107</v>
      </c>
      <c r="M1028" s="20" t="s">
        <v>1705</v>
      </c>
      <c r="N1028" s="20" t="s">
        <v>108</v>
      </c>
      <c r="Q1028" s="24" t="s">
        <v>680</v>
      </c>
    </row>
    <row r="1029" spans="1:17" hidden="1" x14ac:dyDescent="0.3">
      <c r="A1029" s="20">
        <f t="shared" si="16"/>
        <v>1028</v>
      </c>
      <c r="B1029" s="21" t="s">
        <v>87</v>
      </c>
      <c r="C1029" s="21" t="s">
        <v>91</v>
      </c>
      <c r="D1029" s="22" t="str">
        <f>IF($C1029="","",IFERROR(VLOOKUP($C1029,Map_Register!$A$2:$C$5,3,FALSE()),""))</f>
        <v>Cultural Heritage Area</v>
      </c>
      <c r="E1029" s="21" t="s">
        <v>15</v>
      </c>
      <c r="F1029" s="23">
        <v>1789</v>
      </c>
      <c r="G1029" s="20" t="s">
        <v>1537</v>
      </c>
      <c r="H1029" s="20" t="s">
        <v>1711</v>
      </c>
      <c r="I1029" s="20" t="s">
        <v>678</v>
      </c>
      <c r="J1029" s="20" t="s">
        <v>8</v>
      </c>
      <c r="K1029" s="20" t="s">
        <v>107</v>
      </c>
      <c r="L1029" s="20" t="s">
        <v>107</v>
      </c>
      <c r="M1029" s="20" t="s">
        <v>1705</v>
      </c>
      <c r="N1029" s="20" t="s">
        <v>108</v>
      </c>
      <c r="Q1029" s="24" t="s">
        <v>680</v>
      </c>
    </row>
    <row r="1030" spans="1:17" hidden="1" x14ac:dyDescent="0.3">
      <c r="A1030" s="20">
        <f t="shared" si="16"/>
        <v>1029</v>
      </c>
      <c r="B1030" s="21" t="s">
        <v>87</v>
      </c>
      <c r="C1030" s="21" t="s">
        <v>91</v>
      </c>
      <c r="D1030" s="22" t="str">
        <f>IF($C1030="","",IFERROR(VLOOKUP($C1030,Map_Register!$A$2:$C$5,3,FALSE()),""))</f>
        <v>Cultural Heritage Area</v>
      </c>
      <c r="E1030" s="21" t="s">
        <v>15</v>
      </c>
      <c r="F1030" s="23">
        <v>1790</v>
      </c>
      <c r="G1030" s="20" t="s">
        <v>1537</v>
      </c>
      <c r="H1030" s="20" t="s">
        <v>1712</v>
      </c>
      <c r="I1030" s="20" t="s">
        <v>678</v>
      </c>
      <c r="J1030" s="20" t="s">
        <v>6</v>
      </c>
      <c r="K1030" s="20" t="s">
        <v>137</v>
      </c>
      <c r="L1030" s="20" t="s">
        <v>137</v>
      </c>
      <c r="M1030" s="20" t="s">
        <v>1713</v>
      </c>
      <c r="Q1030" s="24" t="s">
        <v>680</v>
      </c>
    </row>
    <row r="1031" spans="1:17" hidden="1" x14ac:dyDescent="0.3">
      <c r="A1031" s="20">
        <f t="shared" si="16"/>
        <v>1030</v>
      </c>
      <c r="B1031" s="21" t="s">
        <v>87</v>
      </c>
      <c r="C1031" s="21" t="s">
        <v>91</v>
      </c>
      <c r="D1031" s="22" t="str">
        <f>IF($C1031="","",IFERROR(VLOOKUP($C1031,Map_Register!$A$2:$C$5,3,FALSE()),""))</f>
        <v>Cultural Heritage Area</v>
      </c>
      <c r="E1031" s="21" t="s">
        <v>15</v>
      </c>
      <c r="F1031" s="23">
        <v>1791</v>
      </c>
      <c r="G1031" s="20" t="s">
        <v>1537</v>
      </c>
      <c r="H1031" s="20" t="s">
        <v>1714</v>
      </c>
      <c r="I1031" s="20" t="s">
        <v>678</v>
      </c>
      <c r="J1031" s="20" t="s">
        <v>8</v>
      </c>
      <c r="K1031" s="20" t="s">
        <v>107</v>
      </c>
      <c r="L1031" s="20" t="s">
        <v>107</v>
      </c>
      <c r="M1031" s="20" t="s">
        <v>1705</v>
      </c>
      <c r="N1031" s="20" t="s">
        <v>108</v>
      </c>
      <c r="Q1031" s="24" t="s">
        <v>680</v>
      </c>
    </row>
    <row r="1032" spans="1:17" hidden="1" x14ac:dyDescent="0.3">
      <c r="A1032" s="20">
        <f t="shared" si="16"/>
        <v>1031</v>
      </c>
      <c r="B1032" s="21" t="s">
        <v>87</v>
      </c>
      <c r="C1032" s="21" t="s">
        <v>91</v>
      </c>
      <c r="D1032" s="22" t="str">
        <f>IF($C1032="","",IFERROR(VLOOKUP($C1032,Map_Register!$A$2:$C$5,3,FALSE()),""))</f>
        <v>Cultural Heritage Area</v>
      </c>
      <c r="E1032" s="21" t="s">
        <v>15</v>
      </c>
      <c r="F1032" s="23">
        <v>1792</v>
      </c>
      <c r="G1032" s="20" t="s">
        <v>1537</v>
      </c>
      <c r="H1032" s="20" t="s">
        <v>1715</v>
      </c>
      <c r="I1032" s="20" t="s">
        <v>678</v>
      </c>
      <c r="J1032" s="20" t="s">
        <v>8</v>
      </c>
      <c r="K1032" s="20" t="s">
        <v>107</v>
      </c>
      <c r="L1032" s="20" t="s">
        <v>107</v>
      </c>
      <c r="M1032" s="20" t="s">
        <v>1716</v>
      </c>
      <c r="N1032" s="20" t="s">
        <v>108</v>
      </c>
      <c r="Q1032" s="24" t="s">
        <v>680</v>
      </c>
    </row>
    <row r="1033" spans="1:17" hidden="1" x14ac:dyDescent="0.3">
      <c r="A1033" s="20">
        <f t="shared" si="16"/>
        <v>1032</v>
      </c>
      <c r="B1033" s="21" t="s">
        <v>87</v>
      </c>
      <c r="C1033" s="21" t="s">
        <v>91</v>
      </c>
      <c r="D1033" s="22" t="str">
        <f>IF($C1033="","",IFERROR(VLOOKUP($C1033,Map_Register!$A$2:$C$5,3,FALSE()),""))</f>
        <v>Cultural Heritage Area</v>
      </c>
      <c r="E1033" s="21" t="s">
        <v>15</v>
      </c>
      <c r="F1033" s="23">
        <v>1794</v>
      </c>
      <c r="G1033" s="20" t="s">
        <v>1537</v>
      </c>
      <c r="H1033" s="20" t="s">
        <v>1717</v>
      </c>
      <c r="I1033" s="20" t="s">
        <v>678</v>
      </c>
      <c r="J1033" s="20" t="s">
        <v>8</v>
      </c>
      <c r="K1033" s="20" t="s">
        <v>107</v>
      </c>
      <c r="L1033" s="20" t="s">
        <v>107</v>
      </c>
      <c r="M1033" s="20" t="s">
        <v>1705</v>
      </c>
      <c r="N1033" s="20" t="s">
        <v>108</v>
      </c>
      <c r="Q1033" s="24" t="s">
        <v>680</v>
      </c>
    </row>
    <row r="1034" spans="1:17" hidden="1" x14ac:dyDescent="0.3">
      <c r="A1034" s="20">
        <f t="shared" si="16"/>
        <v>1033</v>
      </c>
      <c r="B1034" s="21" t="s">
        <v>87</v>
      </c>
      <c r="C1034" s="21" t="s">
        <v>91</v>
      </c>
      <c r="D1034" s="22" t="str">
        <f>IF($C1034="","",IFERROR(VLOOKUP($C1034,Map_Register!$A$2:$C$5,3,FALSE()),""))</f>
        <v>Cultural Heritage Area</v>
      </c>
      <c r="E1034" s="21" t="s">
        <v>15</v>
      </c>
      <c r="F1034" s="23">
        <v>1796</v>
      </c>
      <c r="G1034" s="20" t="s">
        <v>1537</v>
      </c>
      <c r="H1034" s="20" t="s">
        <v>1718</v>
      </c>
      <c r="I1034" s="20" t="s">
        <v>678</v>
      </c>
      <c r="J1034" s="20" t="s">
        <v>8</v>
      </c>
      <c r="K1034" s="20" t="s">
        <v>107</v>
      </c>
      <c r="L1034" s="20" t="s">
        <v>107</v>
      </c>
      <c r="M1034" s="20" t="s">
        <v>1696</v>
      </c>
      <c r="N1034" s="20" t="s">
        <v>108</v>
      </c>
      <c r="Q1034" s="24" t="s">
        <v>680</v>
      </c>
    </row>
    <row r="1035" spans="1:17" hidden="1" x14ac:dyDescent="0.3">
      <c r="A1035" s="20">
        <f t="shared" si="16"/>
        <v>1034</v>
      </c>
      <c r="B1035" s="21" t="s">
        <v>87</v>
      </c>
      <c r="C1035" s="21" t="s">
        <v>91</v>
      </c>
      <c r="D1035" s="22" t="str">
        <f>IF($C1035="","",IFERROR(VLOOKUP($C1035,Map_Register!$A$2:$C$5,3,FALSE()),""))</f>
        <v>Cultural Heritage Area</v>
      </c>
      <c r="E1035" s="21" t="s">
        <v>15</v>
      </c>
      <c r="F1035" s="23">
        <v>1798</v>
      </c>
      <c r="G1035" s="20" t="s">
        <v>1537</v>
      </c>
      <c r="H1035" s="20" t="s">
        <v>1719</v>
      </c>
      <c r="I1035" s="20" t="s">
        <v>678</v>
      </c>
      <c r="J1035" s="20" t="s">
        <v>8</v>
      </c>
      <c r="K1035" s="20" t="s">
        <v>107</v>
      </c>
      <c r="L1035" s="20" t="s">
        <v>107</v>
      </c>
      <c r="M1035" s="20" t="s">
        <v>1705</v>
      </c>
      <c r="N1035" s="20" t="s">
        <v>108</v>
      </c>
      <c r="Q1035" s="24" t="s">
        <v>680</v>
      </c>
    </row>
    <row r="1036" spans="1:17" x14ac:dyDescent="0.3">
      <c r="A1036" s="20">
        <f t="shared" si="16"/>
        <v>1035</v>
      </c>
      <c r="B1036" s="21" t="s">
        <v>87</v>
      </c>
      <c r="C1036" s="21" t="s">
        <v>91</v>
      </c>
      <c r="D1036" s="22" t="str">
        <f>IF($C1036="","",IFERROR(VLOOKUP($C1036,Map_Register!$A$2:$C$5,3,FALSE()),""))</f>
        <v>Cultural Heritage Area</v>
      </c>
      <c r="E1036" s="21" t="s">
        <v>15</v>
      </c>
      <c r="F1036" s="23">
        <v>1800</v>
      </c>
      <c r="G1036" s="20" t="s">
        <v>1537</v>
      </c>
      <c r="H1036" s="20" t="s">
        <v>1720</v>
      </c>
      <c r="I1036" s="20" t="s">
        <v>678</v>
      </c>
      <c r="J1036" s="20" t="s">
        <v>8</v>
      </c>
      <c r="K1036" s="20" t="s">
        <v>107</v>
      </c>
      <c r="L1036" t="s">
        <v>108</v>
      </c>
      <c r="M1036" s="20" t="s">
        <v>1700</v>
      </c>
      <c r="N1036" s="20" t="s">
        <v>108</v>
      </c>
      <c r="Q1036" s="24" t="s">
        <v>680</v>
      </c>
    </row>
    <row r="1037" spans="1:17" x14ac:dyDescent="0.3">
      <c r="A1037" s="20">
        <f t="shared" si="16"/>
        <v>1036</v>
      </c>
      <c r="B1037" s="21" t="s">
        <v>87</v>
      </c>
      <c r="C1037" s="21" t="s">
        <v>91</v>
      </c>
      <c r="D1037" s="22" t="str">
        <f>IF($C1037="","",IFERROR(VLOOKUP($C1037,Map_Register!$A$2:$C$5,3,FALSE()),""))</f>
        <v>Cultural Heritage Area</v>
      </c>
      <c r="E1037" s="21" t="s">
        <v>15</v>
      </c>
      <c r="F1037" s="23">
        <v>1801</v>
      </c>
      <c r="G1037" s="20" t="s">
        <v>1537</v>
      </c>
      <c r="H1037" s="20" t="s">
        <v>1721</v>
      </c>
      <c r="I1037" s="20" t="s">
        <v>678</v>
      </c>
      <c r="J1037" s="20" t="s">
        <v>8</v>
      </c>
      <c r="K1037" s="20" t="s">
        <v>107</v>
      </c>
      <c r="L1037" t="s">
        <v>108</v>
      </c>
      <c r="M1037" s="20" t="s">
        <v>1722</v>
      </c>
      <c r="N1037" s="20" t="s">
        <v>108</v>
      </c>
      <c r="Q1037" s="24" t="s">
        <v>680</v>
      </c>
    </row>
    <row r="1038" spans="1:17" hidden="1" x14ac:dyDescent="0.3">
      <c r="A1038" s="20">
        <f t="shared" si="16"/>
        <v>1037</v>
      </c>
      <c r="B1038" s="21" t="s">
        <v>87</v>
      </c>
      <c r="C1038" s="21" t="s">
        <v>91</v>
      </c>
      <c r="D1038" s="22" t="str">
        <f>IF($C1038="","",IFERROR(VLOOKUP($C1038,Map_Register!$A$2:$C$5,3,FALSE()),""))</f>
        <v>Cultural Heritage Area</v>
      </c>
      <c r="E1038" s="21" t="s">
        <v>15</v>
      </c>
      <c r="F1038" s="23">
        <v>1802</v>
      </c>
      <c r="G1038" s="20" t="s">
        <v>1537</v>
      </c>
      <c r="H1038" s="20" t="s">
        <v>1723</v>
      </c>
      <c r="I1038" s="20" t="s">
        <v>678</v>
      </c>
      <c r="J1038" s="20" t="s">
        <v>6</v>
      </c>
      <c r="K1038" s="20" t="s">
        <v>137</v>
      </c>
      <c r="L1038" s="20" t="s">
        <v>137</v>
      </c>
      <c r="M1038" s="20" t="s">
        <v>1724</v>
      </c>
      <c r="Q1038" s="24" t="s">
        <v>680</v>
      </c>
    </row>
    <row r="1039" spans="1:17" x14ac:dyDescent="0.3">
      <c r="A1039" s="20">
        <f t="shared" si="16"/>
        <v>1038</v>
      </c>
      <c r="B1039" s="21" t="s">
        <v>87</v>
      </c>
      <c r="C1039" s="21" t="s">
        <v>91</v>
      </c>
      <c r="D1039" s="22" t="str">
        <f>IF($C1039="","",IFERROR(VLOOKUP($C1039,Map_Register!$A$2:$C$5,3,FALSE()),""))</f>
        <v>Cultural Heritage Area</v>
      </c>
      <c r="E1039" s="21" t="s">
        <v>15</v>
      </c>
      <c r="F1039" s="23">
        <v>1803</v>
      </c>
      <c r="G1039" s="20" t="s">
        <v>1537</v>
      </c>
      <c r="H1039" s="20" t="s">
        <v>1725</v>
      </c>
      <c r="I1039" s="20" t="s">
        <v>678</v>
      </c>
      <c r="J1039" s="20" t="s">
        <v>8</v>
      </c>
      <c r="K1039" s="20" t="s">
        <v>107</v>
      </c>
      <c r="L1039" t="s">
        <v>108</v>
      </c>
      <c r="M1039" s="20" t="s">
        <v>1700</v>
      </c>
      <c r="N1039" s="20" t="s">
        <v>108</v>
      </c>
      <c r="Q1039" s="24" t="s">
        <v>680</v>
      </c>
    </row>
    <row r="1040" spans="1:17" hidden="1" x14ac:dyDescent="0.3">
      <c r="A1040" s="20">
        <f t="shared" si="16"/>
        <v>1039</v>
      </c>
      <c r="B1040" s="21" t="s">
        <v>87</v>
      </c>
      <c r="C1040" s="21" t="s">
        <v>91</v>
      </c>
      <c r="D1040" s="22" t="str">
        <f>IF($C1040="","",IFERROR(VLOOKUP($C1040,Map_Register!$A$2:$C$5,3,FALSE()),""))</f>
        <v>Cultural Heritage Area</v>
      </c>
      <c r="E1040" s="21" t="s">
        <v>15</v>
      </c>
      <c r="F1040" s="23">
        <v>1805</v>
      </c>
      <c r="G1040" s="20" t="s">
        <v>1537</v>
      </c>
      <c r="H1040" s="20" t="s">
        <v>1726</v>
      </c>
      <c r="I1040" s="20" t="s">
        <v>678</v>
      </c>
      <c r="J1040" s="20" t="s">
        <v>6</v>
      </c>
      <c r="K1040" s="20" t="s">
        <v>137</v>
      </c>
      <c r="L1040" s="20" t="s">
        <v>137</v>
      </c>
      <c r="M1040" s="20" t="s">
        <v>1724</v>
      </c>
      <c r="Q1040" s="24" t="s">
        <v>680</v>
      </c>
    </row>
    <row r="1041" spans="1:17" hidden="1" x14ac:dyDescent="0.3">
      <c r="A1041" s="20">
        <f t="shared" si="16"/>
        <v>1040</v>
      </c>
      <c r="B1041" s="21" t="s">
        <v>87</v>
      </c>
      <c r="C1041" s="21" t="s">
        <v>91</v>
      </c>
      <c r="D1041" s="22" t="str">
        <f>IF($C1041="","",IFERROR(VLOOKUP($C1041,Map_Register!$A$2:$C$5,3,FALSE()),""))</f>
        <v>Cultural Heritage Area</v>
      </c>
      <c r="E1041" s="21" t="s">
        <v>15</v>
      </c>
      <c r="F1041" s="23">
        <v>1806</v>
      </c>
      <c r="G1041" s="20" t="s">
        <v>1537</v>
      </c>
      <c r="H1041" s="20" t="s">
        <v>1727</v>
      </c>
      <c r="I1041" s="20" t="s">
        <v>678</v>
      </c>
      <c r="J1041" s="20" t="s">
        <v>6</v>
      </c>
      <c r="K1041" s="20" t="s">
        <v>137</v>
      </c>
      <c r="L1041" s="20" t="s">
        <v>137</v>
      </c>
      <c r="M1041" s="20" t="s">
        <v>1713</v>
      </c>
      <c r="Q1041" s="24" t="s">
        <v>680</v>
      </c>
    </row>
    <row r="1042" spans="1:17" x14ac:dyDescent="0.3">
      <c r="A1042" s="20">
        <f t="shared" si="16"/>
        <v>1041</v>
      </c>
      <c r="B1042" s="21" t="s">
        <v>87</v>
      </c>
      <c r="C1042" s="21" t="s">
        <v>91</v>
      </c>
      <c r="D1042" s="22" t="str">
        <f>IF($C1042="","",IFERROR(VLOOKUP($C1042,Map_Register!$A$2:$C$5,3,FALSE()),""))</f>
        <v>Cultural Heritage Area</v>
      </c>
      <c r="E1042" s="21" t="s">
        <v>15</v>
      </c>
      <c r="F1042" s="23">
        <v>1807</v>
      </c>
      <c r="G1042" s="20" t="s">
        <v>1537</v>
      </c>
      <c r="H1042" s="20" t="s">
        <v>1728</v>
      </c>
      <c r="I1042" s="20" t="s">
        <v>678</v>
      </c>
      <c r="J1042" s="20" t="s">
        <v>8</v>
      </c>
      <c r="K1042" s="20" t="s">
        <v>107</v>
      </c>
      <c r="L1042" t="s">
        <v>108</v>
      </c>
      <c r="M1042" s="20" t="s">
        <v>1700</v>
      </c>
      <c r="N1042" s="20" t="s">
        <v>108</v>
      </c>
      <c r="Q1042" s="24" t="s">
        <v>680</v>
      </c>
    </row>
    <row r="1043" spans="1:17" x14ac:dyDescent="0.3">
      <c r="A1043" s="20">
        <f t="shared" si="16"/>
        <v>1042</v>
      </c>
      <c r="B1043" s="21" t="s">
        <v>87</v>
      </c>
      <c r="C1043" s="21" t="s">
        <v>91</v>
      </c>
      <c r="D1043" s="22" t="str">
        <f>IF($C1043="","",IFERROR(VLOOKUP($C1043,Map_Register!$A$2:$C$5,3,FALSE()),""))</f>
        <v>Cultural Heritage Area</v>
      </c>
      <c r="E1043" s="21" t="s">
        <v>15</v>
      </c>
      <c r="F1043" s="23">
        <v>1808</v>
      </c>
      <c r="G1043" s="20" t="s">
        <v>1537</v>
      </c>
      <c r="H1043" s="20" t="s">
        <v>1729</v>
      </c>
      <c r="I1043" s="20" t="s">
        <v>678</v>
      </c>
      <c r="J1043" s="20" t="s">
        <v>8</v>
      </c>
      <c r="K1043" s="20" t="s">
        <v>107</v>
      </c>
      <c r="L1043" t="s">
        <v>108</v>
      </c>
      <c r="M1043" s="20" t="s">
        <v>1700</v>
      </c>
      <c r="N1043" s="20" t="s">
        <v>108</v>
      </c>
      <c r="Q1043" s="24" t="s">
        <v>680</v>
      </c>
    </row>
    <row r="1044" spans="1:17" x14ac:dyDescent="0.3">
      <c r="A1044" s="20">
        <f t="shared" si="16"/>
        <v>1043</v>
      </c>
      <c r="B1044" s="21" t="s">
        <v>87</v>
      </c>
      <c r="C1044" s="21" t="s">
        <v>91</v>
      </c>
      <c r="D1044" s="22" t="str">
        <f>IF($C1044="","",IFERROR(VLOOKUP($C1044,Map_Register!$A$2:$C$5,3,FALSE()),""))</f>
        <v>Cultural Heritage Area</v>
      </c>
      <c r="E1044" s="21" t="s">
        <v>15</v>
      </c>
      <c r="F1044" s="23">
        <v>1809</v>
      </c>
      <c r="G1044" s="20" t="s">
        <v>1537</v>
      </c>
      <c r="H1044" s="20" t="s">
        <v>1730</v>
      </c>
      <c r="I1044" s="20" t="s">
        <v>678</v>
      </c>
      <c r="J1044" s="20" t="s">
        <v>8</v>
      </c>
      <c r="K1044" s="20" t="s">
        <v>107</v>
      </c>
      <c r="L1044" t="s">
        <v>108</v>
      </c>
      <c r="M1044" s="20" t="s">
        <v>1700</v>
      </c>
      <c r="N1044" s="20" t="s">
        <v>108</v>
      </c>
      <c r="Q1044" s="24" t="s">
        <v>680</v>
      </c>
    </row>
    <row r="1045" spans="1:17" hidden="1" x14ac:dyDescent="0.3">
      <c r="A1045" s="20">
        <f t="shared" si="16"/>
        <v>1044</v>
      </c>
      <c r="B1045" s="21" t="s">
        <v>87</v>
      </c>
      <c r="C1045" s="21" t="s">
        <v>91</v>
      </c>
      <c r="D1045" s="22" t="str">
        <f>IF($C1045="","",IFERROR(VLOOKUP($C1045,Map_Register!$A$2:$C$5,3,FALSE()),""))</f>
        <v>Cultural Heritage Area</v>
      </c>
      <c r="E1045" s="21" t="s">
        <v>15</v>
      </c>
      <c r="F1045" s="23">
        <v>1810</v>
      </c>
      <c r="G1045" s="20" t="s">
        <v>1537</v>
      </c>
      <c r="H1045" s="20" t="s">
        <v>1731</v>
      </c>
      <c r="I1045" s="20" t="s">
        <v>678</v>
      </c>
      <c r="J1045" s="20" t="s">
        <v>6</v>
      </c>
      <c r="K1045" s="20" t="s">
        <v>137</v>
      </c>
      <c r="L1045" s="20" t="s">
        <v>137</v>
      </c>
      <c r="M1045" s="20" t="s">
        <v>1724</v>
      </c>
      <c r="Q1045" s="24" t="s">
        <v>680</v>
      </c>
    </row>
    <row r="1046" spans="1:17" x14ac:dyDescent="0.3">
      <c r="A1046" s="20">
        <f t="shared" si="16"/>
        <v>1045</v>
      </c>
      <c r="B1046" s="21" t="s">
        <v>87</v>
      </c>
      <c r="C1046" s="21" t="s">
        <v>91</v>
      </c>
      <c r="D1046" s="22" t="str">
        <f>IF($C1046="","",IFERROR(VLOOKUP($C1046,Map_Register!$A$2:$C$5,3,FALSE()),""))</f>
        <v>Cultural Heritage Area</v>
      </c>
      <c r="E1046" s="21" t="s">
        <v>15</v>
      </c>
      <c r="F1046" s="23">
        <v>1811</v>
      </c>
      <c r="G1046" s="20" t="s">
        <v>1537</v>
      </c>
      <c r="H1046" s="20" t="s">
        <v>1732</v>
      </c>
      <c r="I1046" s="20" t="s">
        <v>678</v>
      </c>
      <c r="J1046" s="20" t="s">
        <v>8</v>
      </c>
      <c r="K1046" s="20" t="s">
        <v>107</v>
      </c>
      <c r="L1046" t="s">
        <v>108</v>
      </c>
      <c r="M1046" s="20" t="s">
        <v>1700</v>
      </c>
      <c r="N1046" s="20" t="s">
        <v>108</v>
      </c>
      <c r="Q1046" s="24" t="s">
        <v>680</v>
      </c>
    </row>
    <row r="1047" spans="1:17" hidden="1" x14ac:dyDescent="0.3">
      <c r="A1047" s="20">
        <f t="shared" si="16"/>
        <v>1046</v>
      </c>
      <c r="B1047" s="21" t="s">
        <v>87</v>
      </c>
      <c r="C1047" s="21" t="s">
        <v>91</v>
      </c>
      <c r="D1047" s="22" t="str">
        <f>IF($C1047="","",IFERROR(VLOOKUP($C1047,Map_Register!$A$2:$C$5,3,FALSE()),""))</f>
        <v>Cultural Heritage Area</v>
      </c>
      <c r="E1047" s="21" t="s">
        <v>15</v>
      </c>
      <c r="F1047" s="23">
        <v>1812</v>
      </c>
      <c r="G1047" s="20" t="s">
        <v>1537</v>
      </c>
      <c r="H1047" s="20" t="s">
        <v>1733</v>
      </c>
      <c r="I1047" s="20" t="s">
        <v>678</v>
      </c>
      <c r="J1047" s="20" t="s">
        <v>6</v>
      </c>
      <c r="K1047" s="20" t="s">
        <v>137</v>
      </c>
      <c r="L1047" s="20" t="s">
        <v>137</v>
      </c>
      <c r="M1047" s="20" t="s">
        <v>1724</v>
      </c>
      <c r="Q1047" s="24" t="s">
        <v>680</v>
      </c>
    </row>
    <row r="1048" spans="1:17" x14ac:dyDescent="0.3">
      <c r="A1048" s="20">
        <f t="shared" si="16"/>
        <v>1047</v>
      </c>
      <c r="B1048" s="21" t="s">
        <v>87</v>
      </c>
      <c r="C1048" s="21" t="s">
        <v>91</v>
      </c>
      <c r="D1048" s="22" t="str">
        <f>IF($C1048="","",IFERROR(VLOOKUP($C1048,Map_Register!$A$2:$C$5,3,FALSE()),""))</f>
        <v>Cultural Heritage Area</v>
      </c>
      <c r="E1048" s="21" t="s">
        <v>15</v>
      </c>
      <c r="F1048" s="23">
        <v>1813</v>
      </c>
      <c r="G1048" s="20" t="s">
        <v>1537</v>
      </c>
      <c r="H1048" s="20" t="s">
        <v>1734</v>
      </c>
      <c r="I1048" s="20" t="s">
        <v>678</v>
      </c>
      <c r="J1048" s="20" t="s">
        <v>8</v>
      </c>
      <c r="K1048" s="20" t="s">
        <v>107</v>
      </c>
      <c r="L1048" t="s">
        <v>108</v>
      </c>
      <c r="M1048" s="20" t="s">
        <v>1700</v>
      </c>
      <c r="N1048" s="20" t="s">
        <v>108</v>
      </c>
      <c r="Q1048" s="24" t="s">
        <v>680</v>
      </c>
    </row>
    <row r="1049" spans="1:17" hidden="1" x14ac:dyDescent="0.3">
      <c r="A1049" s="20">
        <f t="shared" si="16"/>
        <v>1048</v>
      </c>
      <c r="B1049" s="21" t="s">
        <v>87</v>
      </c>
      <c r="C1049" s="21" t="s">
        <v>91</v>
      </c>
      <c r="D1049" s="22" t="str">
        <f>IF($C1049="","",IFERROR(VLOOKUP($C1049,Map_Register!$A$2:$C$5,3,FALSE()),""))</f>
        <v>Cultural Heritage Area</v>
      </c>
      <c r="E1049" s="21" t="s">
        <v>15</v>
      </c>
      <c r="F1049" s="23">
        <v>1814</v>
      </c>
      <c r="G1049" s="20" t="s">
        <v>1537</v>
      </c>
      <c r="H1049" s="20" t="s">
        <v>1735</v>
      </c>
      <c r="I1049" s="20" t="s">
        <v>678</v>
      </c>
      <c r="J1049" s="20" t="s">
        <v>8</v>
      </c>
      <c r="K1049" s="20" t="s">
        <v>107</v>
      </c>
      <c r="L1049" s="20" t="s">
        <v>107</v>
      </c>
      <c r="M1049" s="20" t="s">
        <v>1696</v>
      </c>
      <c r="N1049" s="20" t="s">
        <v>108</v>
      </c>
      <c r="Q1049" s="24" t="s">
        <v>680</v>
      </c>
    </row>
    <row r="1050" spans="1:17" hidden="1" x14ac:dyDescent="0.3">
      <c r="A1050" s="20">
        <f t="shared" si="16"/>
        <v>1049</v>
      </c>
      <c r="B1050" s="21" t="s">
        <v>87</v>
      </c>
      <c r="C1050" s="21" t="s">
        <v>91</v>
      </c>
      <c r="D1050" s="22" t="str">
        <f>IF($C1050="","",IFERROR(VLOOKUP($C1050,Map_Register!$A$2:$C$5,3,FALSE()),""))</f>
        <v>Cultural Heritage Area</v>
      </c>
      <c r="E1050" s="21" t="s">
        <v>15</v>
      </c>
      <c r="F1050" s="23">
        <v>1815</v>
      </c>
      <c r="G1050" s="20" t="s">
        <v>1537</v>
      </c>
      <c r="H1050" s="20" t="s">
        <v>1736</v>
      </c>
      <c r="I1050" s="20" t="s">
        <v>678</v>
      </c>
      <c r="J1050" s="20" t="s">
        <v>6</v>
      </c>
      <c r="K1050" s="20" t="s">
        <v>137</v>
      </c>
      <c r="L1050" s="20" t="s">
        <v>137</v>
      </c>
      <c r="M1050" s="20" t="s">
        <v>1724</v>
      </c>
      <c r="Q1050" s="24" t="s">
        <v>680</v>
      </c>
    </row>
    <row r="1051" spans="1:17" x14ac:dyDescent="0.3">
      <c r="A1051" s="20">
        <f t="shared" si="16"/>
        <v>1050</v>
      </c>
      <c r="B1051" s="21" t="s">
        <v>87</v>
      </c>
      <c r="C1051" s="21" t="s">
        <v>91</v>
      </c>
      <c r="D1051" s="22" t="str">
        <f>IF($C1051="","",IFERROR(VLOOKUP($C1051,Map_Register!$A$2:$C$5,3,FALSE()),""))</f>
        <v>Cultural Heritage Area</v>
      </c>
      <c r="E1051" s="21" t="s">
        <v>15</v>
      </c>
      <c r="F1051" s="23">
        <v>1816</v>
      </c>
      <c r="G1051" s="20" t="s">
        <v>1537</v>
      </c>
      <c r="H1051" s="20" t="s">
        <v>1737</v>
      </c>
      <c r="I1051" s="20" t="s">
        <v>678</v>
      </c>
      <c r="J1051" s="20" t="s">
        <v>8</v>
      </c>
      <c r="K1051" s="20" t="s">
        <v>107</v>
      </c>
      <c r="L1051" t="s">
        <v>108</v>
      </c>
      <c r="M1051" s="20" t="s">
        <v>1700</v>
      </c>
      <c r="N1051" s="20" t="s">
        <v>108</v>
      </c>
      <c r="Q1051" s="24" t="s">
        <v>680</v>
      </c>
    </row>
    <row r="1052" spans="1:17" hidden="1" x14ac:dyDescent="0.3">
      <c r="A1052" s="20">
        <f t="shared" si="16"/>
        <v>1051</v>
      </c>
      <c r="B1052" s="21" t="s">
        <v>87</v>
      </c>
      <c r="C1052" s="21" t="s">
        <v>91</v>
      </c>
      <c r="D1052" s="22" t="str">
        <f>IF($C1052="","",IFERROR(VLOOKUP($C1052,Map_Register!$A$2:$C$5,3,FALSE()),""))</f>
        <v>Cultural Heritage Area</v>
      </c>
      <c r="E1052" s="21" t="s">
        <v>15</v>
      </c>
      <c r="F1052" s="23">
        <v>1817</v>
      </c>
      <c r="G1052" s="20" t="s">
        <v>1537</v>
      </c>
      <c r="H1052" s="20" t="s">
        <v>1738</v>
      </c>
      <c r="I1052" s="20" t="s">
        <v>678</v>
      </c>
      <c r="J1052" s="20" t="s">
        <v>8</v>
      </c>
      <c r="K1052" s="20" t="s">
        <v>107</v>
      </c>
      <c r="L1052" s="20" t="s">
        <v>107</v>
      </c>
      <c r="M1052" s="20" t="s">
        <v>1696</v>
      </c>
      <c r="N1052" s="20" t="s">
        <v>108</v>
      </c>
      <c r="Q1052" s="24" t="s">
        <v>680</v>
      </c>
    </row>
    <row r="1053" spans="1:17" x14ac:dyDescent="0.3">
      <c r="A1053" s="20">
        <f t="shared" si="16"/>
        <v>1052</v>
      </c>
      <c r="B1053" s="21" t="s">
        <v>87</v>
      </c>
      <c r="C1053" s="21" t="s">
        <v>91</v>
      </c>
      <c r="D1053" s="22" t="str">
        <f>IF($C1053="","",IFERROR(VLOOKUP($C1053,Map_Register!$A$2:$C$5,3,FALSE()),""))</f>
        <v>Cultural Heritage Area</v>
      </c>
      <c r="E1053" s="21" t="s">
        <v>15</v>
      </c>
      <c r="F1053" s="23">
        <v>1818</v>
      </c>
      <c r="G1053" s="20" t="s">
        <v>1537</v>
      </c>
      <c r="H1053" s="20" t="s">
        <v>1739</v>
      </c>
      <c r="I1053" s="20" t="s">
        <v>678</v>
      </c>
      <c r="J1053" s="20" t="s">
        <v>8</v>
      </c>
      <c r="K1053" s="20" t="s">
        <v>107</v>
      </c>
      <c r="L1053" t="s">
        <v>108</v>
      </c>
      <c r="M1053" s="20" t="s">
        <v>1700</v>
      </c>
      <c r="N1053" s="20" t="s">
        <v>108</v>
      </c>
      <c r="Q1053" s="24" t="s">
        <v>680</v>
      </c>
    </row>
    <row r="1054" spans="1:17" hidden="1" x14ac:dyDescent="0.3">
      <c r="A1054" s="20">
        <f t="shared" si="16"/>
        <v>1053</v>
      </c>
      <c r="B1054" s="21" t="s">
        <v>87</v>
      </c>
      <c r="C1054" s="21" t="s">
        <v>91</v>
      </c>
      <c r="D1054" s="22" t="str">
        <f>IF($C1054="","",IFERROR(VLOOKUP($C1054,Map_Register!$A$2:$C$5,3,FALSE()),""))</f>
        <v>Cultural Heritage Area</v>
      </c>
      <c r="E1054" s="21" t="s">
        <v>15</v>
      </c>
      <c r="F1054" s="23">
        <v>1819</v>
      </c>
      <c r="G1054" s="20" t="s">
        <v>1537</v>
      </c>
      <c r="H1054" s="20" t="s">
        <v>1555</v>
      </c>
      <c r="I1054" s="20" t="s">
        <v>678</v>
      </c>
      <c r="J1054" s="20" t="s">
        <v>6</v>
      </c>
      <c r="K1054" s="20" t="s">
        <v>137</v>
      </c>
      <c r="L1054" s="20" t="s">
        <v>137</v>
      </c>
      <c r="M1054" s="20" t="s">
        <v>1713</v>
      </c>
      <c r="Q1054" s="24" t="s">
        <v>680</v>
      </c>
    </row>
    <row r="1055" spans="1:17" x14ac:dyDescent="0.3">
      <c r="A1055" s="20">
        <f t="shared" si="16"/>
        <v>1054</v>
      </c>
      <c r="B1055" s="21" t="s">
        <v>87</v>
      </c>
      <c r="C1055" s="21" t="s">
        <v>91</v>
      </c>
      <c r="D1055" s="22" t="str">
        <f>IF($C1055="","",IFERROR(VLOOKUP($C1055,Map_Register!$A$2:$C$5,3,FALSE()),""))</f>
        <v>Cultural Heritage Area</v>
      </c>
      <c r="E1055" s="21" t="s">
        <v>15</v>
      </c>
      <c r="F1055" s="23">
        <v>1820</v>
      </c>
      <c r="G1055" s="20" t="s">
        <v>1537</v>
      </c>
      <c r="H1055" s="20" t="s">
        <v>1740</v>
      </c>
      <c r="I1055" s="20" t="s">
        <v>678</v>
      </c>
      <c r="J1055" s="20" t="s">
        <v>8</v>
      </c>
      <c r="K1055" s="20" t="s">
        <v>107</v>
      </c>
      <c r="L1055" t="s">
        <v>108</v>
      </c>
      <c r="M1055" s="20" t="s">
        <v>1700</v>
      </c>
      <c r="N1055" s="20" t="s">
        <v>108</v>
      </c>
      <c r="Q1055" s="24" t="s">
        <v>680</v>
      </c>
    </row>
    <row r="1056" spans="1:17" hidden="1" x14ac:dyDescent="0.3">
      <c r="A1056" s="20">
        <f t="shared" si="16"/>
        <v>1055</v>
      </c>
      <c r="B1056" s="21" t="s">
        <v>87</v>
      </c>
      <c r="C1056" s="21" t="s">
        <v>91</v>
      </c>
      <c r="D1056" s="22" t="str">
        <f>IF($C1056="","",IFERROR(VLOOKUP($C1056,Map_Register!$A$2:$C$5,3,FALSE()),""))</f>
        <v>Cultural Heritage Area</v>
      </c>
      <c r="E1056" s="21" t="s">
        <v>15</v>
      </c>
      <c r="F1056" s="23">
        <v>1821</v>
      </c>
      <c r="G1056" s="20" t="s">
        <v>1537</v>
      </c>
      <c r="H1056" s="20" t="s">
        <v>1741</v>
      </c>
      <c r="I1056" s="20" t="s">
        <v>678</v>
      </c>
      <c r="J1056" s="20" t="s">
        <v>6</v>
      </c>
      <c r="K1056" s="20" t="s">
        <v>137</v>
      </c>
      <c r="L1056" s="20" t="s">
        <v>137</v>
      </c>
      <c r="M1056" s="20" t="s">
        <v>1716</v>
      </c>
      <c r="Q1056" s="24" t="s">
        <v>680</v>
      </c>
    </row>
    <row r="1057" spans="1:17" hidden="1" x14ac:dyDescent="0.3">
      <c r="A1057" s="20">
        <f t="shared" si="16"/>
        <v>1056</v>
      </c>
      <c r="B1057" s="21" t="s">
        <v>87</v>
      </c>
      <c r="C1057" s="21" t="s">
        <v>91</v>
      </c>
      <c r="D1057" s="22" t="str">
        <f>IF($C1057="","",IFERROR(VLOOKUP($C1057,Map_Register!$A$2:$C$5,3,FALSE()),""))</f>
        <v>Cultural Heritage Area</v>
      </c>
      <c r="E1057" s="21" t="s">
        <v>15</v>
      </c>
      <c r="F1057" s="23">
        <v>1822</v>
      </c>
      <c r="G1057" s="20" t="s">
        <v>1537</v>
      </c>
      <c r="H1057" s="20" t="s">
        <v>1742</v>
      </c>
      <c r="I1057" s="20" t="s">
        <v>678</v>
      </c>
      <c r="J1057" s="20" t="s">
        <v>8</v>
      </c>
      <c r="K1057" s="20" t="s">
        <v>107</v>
      </c>
      <c r="L1057" s="20" t="s">
        <v>107</v>
      </c>
      <c r="M1057" s="20" t="s">
        <v>1705</v>
      </c>
      <c r="N1057" s="20" t="s">
        <v>108</v>
      </c>
      <c r="Q1057" s="24" t="s">
        <v>680</v>
      </c>
    </row>
    <row r="1058" spans="1:17" hidden="1" x14ac:dyDescent="0.3">
      <c r="A1058" s="20">
        <f t="shared" si="16"/>
        <v>1057</v>
      </c>
      <c r="B1058" s="21" t="s">
        <v>87</v>
      </c>
      <c r="C1058" s="21" t="s">
        <v>91</v>
      </c>
      <c r="D1058" s="22" t="str">
        <f>IF($C1058="","",IFERROR(VLOOKUP($C1058,Map_Register!$A$2:$C$5,3,FALSE()),""))</f>
        <v>Cultural Heritage Area</v>
      </c>
      <c r="E1058" s="21" t="s">
        <v>15</v>
      </c>
      <c r="F1058" s="23">
        <v>1823</v>
      </c>
      <c r="G1058" s="20" t="s">
        <v>1537</v>
      </c>
      <c r="H1058" s="20" t="s">
        <v>1743</v>
      </c>
      <c r="I1058" s="20" t="s">
        <v>678</v>
      </c>
      <c r="J1058" s="20" t="s">
        <v>6</v>
      </c>
      <c r="K1058" s="20" t="s">
        <v>137</v>
      </c>
      <c r="L1058" s="20" t="s">
        <v>137</v>
      </c>
      <c r="M1058" s="20" t="s">
        <v>1724</v>
      </c>
      <c r="Q1058" s="24" t="s">
        <v>680</v>
      </c>
    </row>
    <row r="1059" spans="1:17" x14ac:dyDescent="0.3">
      <c r="A1059" s="20">
        <f t="shared" si="16"/>
        <v>1058</v>
      </c>
      <c r="B1059" s="21" t="s">
        <v>87</v>
      </c>
      <c r="C1059" s="21" t="s">
        <v>91</v>
      </c>
      <c r="D1059" s="22" t="str">
        <f>IF($C1059="","",IFERROR(VLOOKUP($C1059,Map_Register!$A$2:$C$5,3,FALSE()),""))</f>
        <v>Cultural Heritage Area</v>
      </c>
      <c r="E1059" s="21" t="s">
        <v>15</v>
      </c>
      <c r="F1059" s="23">
        <v>1824</v>
      </c>
      <c r="G1059" s="20" t="s">
        <v>1537</v>
      </c>
      <c r="H1059" s="20" t="s">
        <v>1744</v>
      </c>
      <c r="I1059" s="20" t="s">
        <v>678</v>
      </c>
      <c r="J1059" s="20" t="s">
        <v>8</v>
      </c>
      <c r="K1059" s="20" t="s">
        <v>107</v>
      </c>
      <c r="L1059" t="s">
        <v>108</v>
      </c>
      <c r="M1059" s="20" t="s">
        <v>1700</v>
      </c>
      <c r="N1059" s="20" t="s">
        <v>108</v>
      </c>
      <c r="Q1059" s="24" t="s">
        <v>680</v>
      </c>
    </row>
    <row r="1060" spans="1:17" hidden="1" x14ac:dyDescent="0.3">
      <c r="A1060" s="20">
        <f t="shared" si="16"/>
        <v>1059</v>
      </c>
      <c r="B1060" s="21" t="s">
        <v>87</v>
      </c>
      <c r="C1060" s="21" t="s">
        <v>91</v>
      </c>
      <c r="D1060" s="22" t="str">
        <f>IF($C1060="","",IFERROR(VLOOKUP($C1060,Map_Register!$A$2:$C$5,3,FALSE()),""))</f>
        <v>Cultural Heritage Area</v>
      </c>
      <c r="E1060" s="21" t="s">
        <v>15</v>
      </c>
      <c r="F1060" s="23">
        <v>1825</v>
      </c>
      <c r="G1060" s="20" t="s">
        <v>1537</v>
      </c>
      <c r="H1060" s="20" t="s">
        <v>1745</v>
      </c>
      <c r="I1060" s="20" t="s">
        <v>678</v>
      </c>
      <c r="J1060" s="20" t="s">
        <v>6</v>
      </c>
      <c r="K1060" s="20" t="s">
        <v>137</v>
      </c>
      <c r="L1060" s="20" t="s">
        <v>137</v>
      </c>
      <c r="M1060" s="20" t="s">
        <v>1713</v>
      </c>
      <c r="Q1060" s="24" t="s">
        <v>680</v>
      </c>
    </row>
    <row r="1061" spans="1:17" hidden="1" x14ac:dyDescent="0.3">
      <c r="A1061" s="20">
        <f t="shared" si="16"/>
        <v>1060</v>
      </c>
      <c r="B1061" s="21" t="s">
        <v>87</v>
      </c>
      <c r="C1061" s="21" t="s">
        <v>91</v>
      </c>
      <c r="D1061" s="22" t="str">
        <f>IF($C1061="","",IFERROR(VLOOKUP($C1061,Map_Register!$A$2:$C$5,3,FALSE()),""))</f>
        <v>Cultural Heritage Area</v>
      </c>
      <c r="E1061" s="21" t="s">
        <v>15</v>
      </c>
      <c r="F1061" s="23">
        <v>1827</v>
      </c>
      <c r="G1061" s="20" t="s">
        <v>1537</v>
      </c>
      <c r="H1061" s="20" t="s">
        <v>1746</v>
      </c>
      <c r="I1061" s="20" t="s">
        <v>678</v>
      </c>
      <c r="J1061" s="20" t="s">
        <v>6</v>
      </c>
      <c r="K1061" s="20" t="s">
        <v>137</v>
      </c>
      <c r="L1061" s="20" t="s">
        <v>137</v>
      </c>
      <c r="M1061" s="20" t="s">
        <v>1713</v>
      </c>
      <c r="Q1061" s="24" t="s">
        <v>680</v>
      </c>
    </row>
    <row r="1062" spans="1:17" x14ac:dyDescent="0.3">
      <c r="A1062" s="20">
        <f t="shared" si="16"/>
        <v>1061</v>
      </c>
      <c r="B1062" s="21" t="s">
        <v>87</v>
      </c>
      <c r="C1062" s="21" t="s">
        <v>91</v>
      </c>
      <c r="D1062" s="22" t="str">
        <f>IF($C1062="","",IFERROR(VLOOKUP($C1062,Map_Register!$A$2:$C$5,3,FALSE()),""))</f>
        <v>Cultural Heritage Area</v>
      </c>
      <c r="E1062" s="21" t="s">
        <v>15</v>
      </c>
      <c r="F1062" s="23">
        <v>1828</v>
      </c>
      <c r="G1062" s="20" t="s">
        <v>1537</v>
      </c>
      <c r="H1062" s="20" t="s">
        <v>1747</v>
      </c>
      <c r="I1062" s="20" t="s">
        <v>678</v>
      </c>
      <c r="J1062" s="20" t="s">
        <v>8</v>
      </c>
      <c r="K1062" s="20" t="s">
        <v>107</v>
      </c>
      <c r="L1062" t="s">
        <v>108</v>
      </c>
      <c r="M1062" s="20" t="s">
        <v>1700</v>
      </c>
      <c r="N1062" s="20" t="s">
        <v>108</v>
      </c>
      <c r="Q1062" s="24" t="s">
        <v>680</v>
      </c>
    </row>
    <row r="1063" spans="1:17" x14ac:dyDescent="0.3">
      <c r="A1063" s="20">
        <f t="shared" si="16"/>
        <v>1062</v>
      </c>
      <c r="B1063" s="21" t="s">
        <v>87</v>
      </c>
      <c r="C1063" s="21" t="s">
        <v>91</v>
      </c>
      <c r="D1063" s="22" t="str">
        <f>IF($C1063="","",IFERROR(VLOOKUP($C1063,Map_Register!$A$2:$C$5,3,FALSE()),""))</f>
        <v>Cultural Heritage Area</v>
      </c>
      <c r="E1063" s="21" t="s">
        <v>15</v>
      </c>
      <c r="F1063" s="23">
        <v>1829</v>
      </c>
      <c r="G1063" s="20" t="s">
        <v>1537</v>
      </c>
      <c r="H1063" s="20" t="s">
        <v>1748</v>
      </c>
      <c r="I1063" s="20" t="s">
        <v>678</v>
      </c>
      <c r="J1063" s="20" t="s">
        <v>8</v>
      </c>
      <c r="K1063" s="20" t="s">
        <v>107</v>
      </c>
      <c r="L1063" t="s">
        <v>108</v>
      </c>
      <c r="M1063" s="20" t="s">
        <v>1700</v>
      </c>
      <c r="N1063" s="20" t="s">
        <v>108</v>
      </c>
      <c r="Q1063" s="24" t="s">
        <v>680</v>
      </c>
    </row>
    <row r="1064" spans="1:17" hidden="1" x14ac:dyDescent="0.3">
      <c r="A1064" s="20">
        <f t="shared" si="16"/>
        <v>1063</v>
      </c>
      <c r="B1064" s="21" t="s">
        <v>87</v>
      </c>
      <c r="C1064" s="21" t="s">
        <v>91</v>
      </c>
      <c r="D1064" s="22" t="str">
        <f>IF($C1064="","",IFERROR(VLOOKUP($C1064,Map_Register!$A$2:$C$5,3,FALSE()),""))</f>
        <v>Cultural Heritage Area</v>
      </c>
      <c r="E1064" s="21" t="s">
        <v>15</v>
      </c>
      <c r="F1064" s="23">
        <v>1830</v>
      </c>
      <c r="G1064" s="20" t="s">
        <v>1537</v>
      </c>
      <c r="H1064" s="20" t="s">
        <v>1749</v>
      </c>
      <c r="I1064" s="20" t="s">
        <v>678</v>
      </c>
      <c r="J1064" s="20" t="s">
        <v>6</v>
      </c>
      <c r="K1064" s="20" t="s">
        <v>137</v>
      </c>
      <c r="L1064" s="20" t="s">
        <v>137</v>
      </c>
      <c r="M1064" s="20" t="s">
        <v>1724</v>
      </c>
      <c r="Q1064" s="24" t="s">
        <v>680</v>
      </c>
    </row>
    <row r="1065" spans="1:17" hidden="1" x14ac:dyDescent="0.3">
      <c r="A1065" s="20">
        <f t="shared" si="16"/>
        <v>1064</v>
      </c>
      <c r="B1065" s="21" t="s">
        <v>87</v>
      </c>
      <c r="C1065" s="21" t="s">
        <v>91</v>
      </c>
      <c r="D1065" s="22" t="str">
        <f>IF($C1065="","",IFERROR(VLOOKUP($C1065,Map_Register!$A$2:$C$5,3,FALSE()),""))</f>
        <v>Cultural Heritage Area</v>
      </c>
      <c r="E1065" s="21" t="s">
        <v>15</v>
      </c>
      <c r="F1065" s="23">
        <v>1831</v>
      </c>
      <c r="G1065" s="20" t="s">
        <v>1537</v>
      </c>
      <c r="H1065" s="20" t="s">
        <v>1750</v>
      </c>
      <c r="I1065" s="20" t="s">
        <v>678</v>
      </c>
      <c r="J1065" s="20" t="s">
        <v>6</v>
      </c>
      <c r="K1065" s="20" t="s">
        <v>137</v>
      </c>
      <c r="L1065" s="20" t="s">
        <v>137</v>
      </c>
      <c r="M1065" s="20" t="s">
        <v>1713</v>
      </c>
      <c r="Q1065" s="24" t="s">
        <v>680</v>
      </c>
    </row>
    <row r="1066" spans="1:17" hidden="1" x14ac:dyDescent="0.3">
      <c r="A1066" s="20">
        <f t="shared" si="16"/>
        <v>1065</v>
      </c>
      <c r="B1066" s="21" t="s">
        <v>87</v>
      </c>
      <c r="C1066" s="21" t="s">
        <v>91</v>
      </c>
      <c r="D1066" s="22" t="str">
        <f>IF($C1066="","",IFERROR(VLOOKUP($C1066,Map_Register!$A$2:$C$5,3,FALSE()),""))</f>
        <v>Cultural Heritage Area</v>
      </c>
      <c r="E1066" s="21" t="s">
        <v>15</v>
      </c>
      <c r="F1066" s="23">
        <v>1832</v>
      </c>
      <c r="G1066" s="20" t="s">
        <v>1537</v>
      </c>
      <c r="H1066" s="20" t="s">
        <v>1751</v>
      </c>
      <c r="I1066" s="20" t="s">
        <v>678</v>
      </c>
      <c r="J1066" s="20" t="s">
        <v>6</v>
      </c>
      <c r="K1066" s="20" t="s">
        <v>137</v>
      </c>
      <c r="L1066" s="20" t="s">
        <v>137</v>
      </c>
      <c r="M1066" s="20" t="s">
        <v>1724</v>
      </c>
      <c r="Q1066" s="24" t="s">
        <v>680</v>
      </c>
    </row>
    <row r="1067" spans="1:17" x14ac:dyDescent="0.3">
      <c r="A1067" s="20">
        <f t="shared" si="16"/>
        <v>1066</v>
      </c>
      <c r="B1067" s="21" t="s">
        <v>87</v>
      </c>
      <c r="C1067" s="21" t="s">
        <v>91</v>
      </c>
      <c r="D1067" s="22" t="str">
        <f>IF($C1067="","",IFERROR(VLOOKUP($C1067,Map_Register!$A$2:$C$5,3,FALSE()),""))</f>
        <v>Cultural Heritage Area</v>
      </c>
      <c r="E1067" s="21" t="s">
        <v>15</v>
      </c>
      <c r="F1067" s="23">
        <v>1833</v>
      </c>
      <c r="G1067" s="20" t="s">
        <v>1537</v>
      </c>
      <c r="H1067" s="20" t="s">
        <v>1752</v>
      </c>
      <c r="I1067" s="20" t="s">
        <v>678</v>
      </c>
      <c r="J1067" s="20" t="s">
        <v>8</v>
      </c>
      <c r="K1067" s="20" t="s">
        <v>107</v>
      </c>
      <c r="L1067" t="s">
        <v>108</v>
      </c>
      <c r="M1067" s="20" t="s">
        <v>1700</v>
      </c>
      <c r="N1067" s="20" t="s">
        <v>108</v>
      </c>
      <c r="Q1067" s="24" t="s">
        <v>680</v>
      </c>
    </row>
    <row r="1068" spans="1:17" x14ac:dyDescent="0.3">
      <c r="A1068" s="20">
        <f t="shared" si="16"/>
        <v>1067</v>
      </c>
      <c r="B1068" s="21" t="s">
        <v>87</v>
      </c>
      <c r="C1068" s="21" t="s">
        <v>91</v>
      </c>
      <c r="D1068" s="22" t="str">
        <f>IF($C1068="","",IFERROR(VLOOKUP($C1068,Map_Register!$A$2:$C$5,3,FALSE()),""))</f>
        <v>Cultural Heritage Area</v>
      </c>
      <c r="E1068" s="21" t="s">
        <v>15</v>
      </c>
      <c r="F1068" s="23">
        <v>1834</v>
      </c>
      <c r="G1068" s="20" t="s">
        <v>1537</v>
      </c>
      <c r="H1068" s="20" t="s">
        <v>1753</v>
      </c>
      <c r="I1068" s="20" t="s">
        <v>678</v>
      </c>
      <c r="J1068" s="20" t="s">
        <v>8</v>
      </c>
      <c r="K1068" s="20" t="s">
        <v>107</v>
      </c>
      <c r="L1068" t="s">
        <v>108</v>
      </c>
      <c r="M1068" s="20" t="s">
        <v>1700</v>
      </c>
      <c r="N1068" s="20" t="s">
        <v>108</v>
      </c>
      <c r="Q1068" s="24" t="s">
        <v>680</v>
      </c>
    </row>
    <row r="1069" spans="1:17" hidden="1" x14ac:dyDescent="0.3">
      <c r="A1069" s="20">
        <f t="shared" si="16"/>
        <v>1068</v>
      </c>
      <c r="B1069" s="21" t="s">
        <v>87</v>
      </c>
      <c r="C1069" s="21" t="s">
        <v>91</v>
      </c>
      <c r="D1069" s="22" t="str">
        <f>IF($C1069="","",IFERROR(VLOOKUP($C1069,Map_Register!$A$2:$C$5,3,FALSE()),""))</f>
        <v>Cultural Heritage Area</v>
      </c>
      <c r="E1069" s="21" t="s">
        <v>15</v>
      </c>
      <c r="F1069" s="23">
        <v>1835</v>
      </c>
      <c r="G1069" s="20" t="s">
        <v>1537</v>
      </c>
      <c r="H1069" s="20" t="s">
        <v>1754</v>
      </c>
      <c r="I1069" s="20" t="s">
        <v>678</v>
      </c>
      <c r="J1069" s="20" t="s">
        <v>6</v>
      </c>
      <c r="K1069" s="20" t="s">
        <v>137</v>
      </c>
      <c r="L1069" s="20" t="s">
        <v>137</v>
      </c>
      <c r="M1069" s="20" t="s">
        <v>1713</v>
      </c>
      <c r="Q1069" s="24" t="s">
        <v>680</v>
      </c>
    </row>
    <row r="1070" spans="1:17" hidden="1" x14ac:dyDescent="0.3">
      <c r="A1070" s="20">
        <f t="shared" si="16"/>
        <v>1069</v>
      </c>
      <c r="B1070" s="21" t="s">
        <v>87</v>
      </c>
      <c r="C1070" s="21" t="s">
        <v>91</v>
      </c>
      <c r="D1070" s="22" t="str">
        <f>IF($C1070="","",IFERROR(VLOOKUP($C1070,Map_Register!$A$2:$C$5,3,FALSE()),""))</f>
        <v>Cultural Heritage Area</v>
      </c>
      <c r="E1070" s="21" t="s">
        <v>15</v>
      </c>
      <c r="F1070" s="23">
        <v>1836</v>
      </c>
      <c r="G1070" s="20" t="s">
        <v>1537</v>
      </c>
      <c r="H1070" s="20" t="s">
        <v>1755</v>
      </c>
      <c r="I1070" s="20" t="s">
        <v>678</v>
      </c>
      <c r="J1070" s="20" t="s">
        <v>8</v>
      </c>
      <c r="K1070" s="20" t="s">
        <v>107</v>
      </c>
      <c r="L1070" s="20" t="s">
        <v>107</v>
      </c>
      <c r="M1070" s="20" t="s">
        <v>1696</v>
      </c>
      <c r="N1070" s="20" t="s">
        <v>108</v>
      </c>
      <c r="Q1070" s="24" t="s">
        <v>680</v>
      </c>
    </row>
    <row r="1071" spans="1:17" x14ac:dyDescent="0.3">
      <c r="A1071" s="20">
        <f t="shared" si="16"/>
        <v>1070</v>
      </c>
      <c r="B1071" s="21" t="s">
        <v>87</v>
      </c>
      <c r="C1071" s="21" t="s">
        <v>91</v>
      </c>
      <c r="D1071" s="22" t="str">
        <f>IF($C1071="","",IFERROR(VLOOKUP($C1071,Map_Register!$A$2:$C$5,3,FALSE()),""))</f>
        <v>Cultural Heritage Area</v>
      </c>
      <c r="E1071" s="21" t="s">
        <v>15</v>
      </c>
      <c r="F1071" s="23">
        <v>1844</v>
      </c>
      <c r="G1071" s="20" t="s">
        <v>1537</v>
      </c>
      <c r="H1071" s="20" t="s">
        <v>1756</v>
      </c>
      <c r="I1071" s="20" t="s">
        <v>678</v>
      </c>
      <c r="J1071" s="20" t="s">
        <v>8</v>
      </c>
      <c r="K1071" s="20" t="s">
        <v>107</v>
      </c>
      <c r="L1071" t="s">
        <v>108</v>
      </c>
      <c r="M1071" s="20" t="s">
        <v>1700</v>
      </c>
      <c r="N1071" s="20" t="s">
        <v>108</v>
      </c>
      <c r="Q1071" s="24" t="s">
        <v>680</v>
      </c>
    </row>
    <row r="1072" spans="1:17" x14ac:dyDescent="0.3">
      <c r="A1072" s="20">
        <f t="shared" si="16"/>
        <v>1071</v>
      </c>
      <c r="B1072" s="21" t="s">
        <v>87</v>
      </c>
      <c r="C1072" s="21" t="s">
        <v>91</v>
      </c>
      <c r="D1072" s="22" t="str">
        <f>IF($C1072="","",IFERROR(VLOOKUP($C1072,Map_Register!$A$2:$C$5,3,FALSE()),""))</f>
        <v>Cultural Heritage Area</v>
      </c>
      <c r="E1072" s="21" t="s">
        <v>15</v>
      </c>
      <c r="F1072" s="23">
        <v>1849</v>
      </c>
      <c r="G1072" s="20" t="s">
        <v>1537</v>
      </c>
      <c r="H1072" s="20" t="s">
        <v>1757</v>
      </c>
      <c r="I1072" s="20" t="s">
        <v>678</v>
      </c>
      <c r="J1072" s="20" t="s">
        <v>8</v>
      </c>
      <c r="K1072" s="20" t="s">
        <v>107</v>
      </c>
      <c r="L1072" t="s">
        <v>108</v>
      </c>
      <c r="M1072" s="20" t="s">
        <v>1700</v>
      </c>
      <c r="N1072" s="20" t="s">
        <v>108</v>
      </c>
      <c r="Q1072" s="24" t="s">
        <v>680</v>
      </c>
    </row>
    <row r="1073" spans="1:17" hidden="1" x14ac:dyDescent="0.3">
      <c r="A1073" s="20">
        <f t="shared" si="16"/>
        <v>1072</v>
      </c>
      <c r="B1073" s="21" t="s">
        <v>87</v>
      </c>
      <c r="C1073" s="21" t="s">
        <v>91</v>
      </c>
      <c r="D1073" s="22" t="str">
        <f>IF($C1073="","",IFERROR(VLOOKUP($C1073,Map_Register!$A$2:$C$5,3,FALSE()),""))</f>
        <v>Cultural Heritage Area</v>
      </c>
      <c r="E1073" s="21" t="s">
        <v>15</v>
      </c>
      <c r="F1073" s="23">
        <v>1851</v>
      </c>
      <c r="G1073" s="20" t="s">
        <v>1537</v>
      </c>
      <c r="H1073" s="20" t="s">
        <v>1758</v>
      </c>
      <c r="I1073" s="20" t="s">
        <v>678</v>
      </c>
      <c r="J1073" s="20" t="s">
        <v>6</v>
      </c>
      <c r="K1073" s="20" t="s">
        <v>137</v>
      </c>
      <c r="L1073" s="20" t="s">
        <v>137</v>
      </c>
      <c r="M1073" s="20" t="s">
        <v>1713</v>
      </c>
      <c r="Q1073" s="24" t="s">
        <v>680</v>
      </c>
    </row>
    <row r="1074" spans="1:17" hidden="1" x14ac:dyDescent="0.3">
      <c r="A1074" s="20">
        <f t="shared" si="16"/>
        <v>1073</v>
      </c>
      <c r="B1074" s="21" t="s">
        <v>87</v>
      </c>
      <c r="C1074" s="21" t="s">
        <v>91</v>
      </c>
      <c r="D1074" s="22" t="str">
        <f>IF($C1074="","",IFERROR(VLOOKUP($C1074,Map_Register!$A$2:$C$5,3,FALSE()),""))</f>
        <v>Cultural Heritage Area</v>
      </c>
      <c r="E1074" s="21" t="s">
        <v>15</v>
      </c>
      <c r="F1074" s="23">
        <v>1852</v>
      </c>
      <c r="G1074" s="20" t="s">
        <v>1537</v>
      </c>
      <c r="H1074" s="20" t="s">
        <v>1759</v>
      </c>
      <c r="I1074" s="20" t="s">
        <v>678</v>
      </c>
      <c r="J1074" s="20" t="s">
        <v>6</v>
      </c>
      <c r="K1074" s="20" t="s">
        <v>137</v>
      </c>
      <c r="L1074" s="20" t="s">
        <v>137</v>
      </c>
      <c r="M1074" s="20" t="s">
        <v>1713</v>
      </c>
      <c r="Q1074" s="24" t="s">
        <v>680</v>
      </c>
    </row>
    <row r="1075" spans="1:17" x14ac:dyDescent="0.3">
      <c r="A1075" s="20">
        <f t="shared" si="16"/>
        <v>1074</v>
      </c>
      <c r="B1075" s="21" t="s">
        <v>87</v>
      </c>
      <c r="C1075" s="21" t="s">
        <v>91</v>
      </c>
      <c r="D1075" s="22" t="str">
        <f>IF($C1075="","",IFERROR(VLOOKUP($C1075,Map_Register!$A$2:$C$5,3,FALSE()),""))</f>
        <v>Cultural Heritage Area</v>
      </c>
      <c r="E1075" s="21" t="s">
        <v>15</v>
      </c>
      <c r="F1075" s="23">
        <v>1853</v>
      </c>
      <c r="G1075" s="20" t="s">
        <v>1537</v>
      </c>
      <c r="H1075" s="20" t="s">
        <v>1555</v>
      </c>
      <c r="I1075" s="20" t="s">
        <v>678</v>
      </c>
      <c r="J1075" s="20" t="s">
        <v>8</v>
      </c>
      <c r="K1075" s="20" t="s">
        <v>107</v>
      </c>
      <c r="L1075" t="s">
        <v>108</v>
      </c>
      <c r="M1075" s="20" t="s">
        <v>1722</v>
      </c>
      <c r="N1075" s="20" t="s">
        <v>108</v>
      </c>
      <c r="Q1075" s="24" t="s">
        <v>680</v>
      </c>
    </row>
    <row r="1076" spans="1:17" hidden="1" x14ac:dyDescent="0.3">
      <c r="A1076" s="20">
        <f t="shared" si="16"/>
        <v>1075</v>
      </c>
      <c r="B1076" s="21" t="s">
        <v>87</v>
      </c>
      <c r="C1076" s="21" t="s">
        <v>91</v>
      </c>
      <c r="D1076" s="22" t="str">
        <f>IF($C1076="","",IFERROR(VLOOKUP($C1076,Map_Register!$A$2:$C$5,3,FALSE()),""))</f>
        <v>Cultural Heritage Area</v>
      </c>
      <c r="E1076" s="21" t="s">
        <v>15</v>
      </c>
      <c r="F1076" s="23">
        <v>1856</v>
      </c>
      <c r="G1076" s="20" t="s">
        <v>1537</v>
      </c>
      <c r="H1076" s="20" t="s">
        <v>1760</v>
      </c>
      <c r="I1076" s="20" t="s">
        <v>678</v>
      </c>
      <c r="J1076" s="20" t="s">
        <v>6</v>
      </c>
      <c r="K1076" s="20" t="s">
        <v>137</v>
      </c>
      <c r="L1076" s="20" t="s">
        <v>137</v>
      </c>
      <c r="M1076" s="20" t="s">
        <v>1713</v>
      </c>
      <c r="Q1076" s="24" t="s">
        <v>680</v>
      </c>
    </row>
    <row r="1077" spans="1:17" hidden="1" x14ac:dyDescent="0.3">
      <c r="A1077" s="20">
        <f t="shared" si="16"/>
        <v>1076</v>
      </c>
      <c r="B1077" s="21" t="s">
        <v>87</v>
      </c>
      <c r="C1077" s="21" t="s">
        <v>91</v>
      </c>
      <c r="D1077" s="22" t="str">
        <f>IF($C1077="","",IFERROR(VLOOKUP($C1077,Map_Register!$A$2:$C$5,3,FALSE()),""))</f>
        <v>Cultural Heritage Area</v>
      </c>
      <c r="E1077" s="21" t="s">
        <v>15</v>
      </c>
      <c r="F1077" s="23">
        <v>1857</v>
      </c>
      <c r="G1077" s="20" t="s">
        <v>1537</v>
      </c>
      <c r="H1077" s="20" t="s">
        <v>1761</v>
      </c>
      <c r="I1077" s="20" t="s">
        <v>678</v>
      </c>
      <c r="J1077" s="20" t="s">
        <v>8</v>
      </c>
      <c r="K1077" s="20" t="s">
        <v>107</v>
      </c>
      <c r="L1077" s="20" t="s">
        <v>107</v>
      </c>
      <c r="M1077" s="20" t="s">
        <v>1696</v>
      </c>
      <c r="N1077" s="20" t="s">
        <v>108</v>
      </c>
      <c r="Q1077" s="24" t="s">
        <v>680</v>
      </c>
    </row>
    <row r="1078" spans="1:17" hidden="1" x14ac:dyDescent="0.3">
      <c r="A1078" s="20">
        <f t="shared" si="16"/>
        <v>1077</v>
      </c>
      <c r="B1078" s="21" t="s">
        <v>87</v>
      </c>
      <c r="C1078" s="21" t="s">
        <v>91</v>
      </c>
      <c r="D1078" s="22" t="str">
        <f>IF($C1078="","",IFERROR(VLOOKUP($C1078,Map_Register!$A$2:$C$5,3,FALSE()),""))</f>
        <v>Cultural Heritage Area</v>
      </c>
      <c r="E1078" s="21" t="s">
        <v>15</v>
      </c>
      <c r="F1078" s="23">
        <v>1861</v>
      </c>
      <c r="G1078" s="20" t="s">
        <v>1537</v>
      </c>
      <c r="H1078" s="20" t="s">
        <v>1762</v>
      </c>
      <c r="I1078" s="20" t="s">
        <v>678</v>
      </c>
      <c r="J1078" s="20" t="s">
        <v>8</v>
      </c>
      <c r="K1078" s="20" t="s">
        <v>107</v>
      </c>
      <c r="L1078" s="20" t="s">
        <v>107</v>
      </c>
      <c r="M1078" s="20" t="s">
        <v>1705</v>
      </c>
      <c r="N1078" s="20" t="s">
        <v>108</v>
      </c>
      <c r="Q1078" s="24" t="s">
        <v>680</v>
      </c>
    </row>
    <row r="1079" spans="1:17" x14ac:dyDescent="0.3">
      <c r="A1079" s="20">
        <f t="shared" si="16"/>
        <v>1078</v>
      </c>
      <c r="B1079" s="21" t="s">
        <v>87</v>
      </c>
      <c r="C1079" s="21" t="s">
        <v>91</v>
      </c>
      <c r="D1079" s="22" t="str">
        <f>IF($C1079="","",IFERROR(VLOOKUP($C1079,Map_Register!$A$2:$C$5,3,FALSE()),""))</f>
        <v>Cultural Heritage Area</v>
      </c>
      <c r="E1079" s="21" t="s">
        <v>15</v>
      </c>
      <c r="F1079" s="23">
        <v>1862</v>
      </c>
      <c r="G1079" s="20" t="s">
        <v>1537</v>
      </c>
      <c r="H1079" s="20" t="s">
        <v>1763</v>
      </c>
      <c r="I1079" s="20" t="s">
        <v>678</v>
      </c>
      <c r="J1079" s="20" t="s">
        <v>8</v>
      </c>
      <c r="K1079" s="20" t="s">
        <v>107</v>
      </c>
      <c r="L1079" t="s">
        <v>108</v>
      </c>
      <c r="M1079" s="20" t="s">
        <v>1722</v>
      </c>
      <c r="N1079" s="20" t="s">
        <v>108</v>
      </c>
      <c r="Q1079" s="24" t="s">
        <v>680</v>
      </c>
    </row>
    <row r="1080" spans="1:17" hidden="1" x14ac:dyDescent="0.3">
      <c r="A1080" s="20">
        <f t="shared" si="16"/>
        <v>1079</v>
      </c>
      <c r="B1080" s="21" t="s">
        <v>87</v>
      </c>
      <c r="C1080" s="21" t="s">
        <v>91</v>
      </c>
      <c r="D1080" s="22" t="str">
        <f>IF($C1080="","",IFERROR(VLOOKUP($C1080,Map_Register!$A$2:$C$5,3,FALSE()),""))</f>
        <v>Cultural Heritage Area</v>
      </c>
      <c r="E1080" s="21" t="s">
        <v>15</v>
      </c>
      <c r="F1080" s="23">
        <v>1866</v>
      </c>
      <c r="G1080" s="20" t="s">
        <v>1537</v>
      </c>
      <c r="H1080" s="20" t="s">
        <v>1764</v>
      </c>
      <c r="I1080" s="20" t="s">
        <v>678</v>
      </c>
      <c r="J1080" s="20" t="s">
        <v>6</v>
      </c>
      <c r="K1080" s="20" t="s">
        <v>137</v>
      </c>
      <c r="L1080" s="20" t="s">
        <v>137</v>
      </c>
      <c r="M1080" s="20" t="s">
        <v>1724</v>
      </c>
      <c r="Q1080" s="24" t="s">
        <v>680</v>
      </c>
    </row>
    <row r="1081" spans="1:17" x14ac:dyDescent="0.3">
      <c r="A1081" s="20">
        <f t="shared" si="16"/>
        <v>1080</v>
      </c>
      <c r="B1081" s="21" t="s">
        <v>87</v>
      </c>
      <c r="C1081" s="21" t="s">
        <v>91</v>
      </c>
      <c r="D1081" s="22" t="str">
        <f>IF($C1081="","",IFERROR(VLOOKUP($C1081,Map_Register!$A$2:$C$5,3,FALSE()),""))</f>
        <v>Cultural Heritage Area</v>
      </c>
      <c r="E1081" s="21" t="s">
        <v>15</v>
      </c>
      <c r="F1081" s="23">
        <v>1867</v>
      </c>
      <c r="G1081" s="20" t="s">
        <v>1537</v>
      </c>
      <c r="H1081" s="20" t="s">
        <v>1761</v>
      </c>
      <c r="I1081" s="20" t="s">
        <v>678</v>
      </c>
      <c r="J1081" s="20" t="s">
        <v>8</v>
      </c>
      <c r="K1081" s="20" t="s">
        <v>107</v>
      </c>
      <c r="L1081" t="s">
        <v>108</v>
      </c>
      <c r="M1081" s="20" t="s">
        <v>1700</v>
      </c>
      <c r="N1081" s="20" t="s">
        <v>108</v>
      </c>
      <c r="Q1081" s="24" t="s">
        <v>680</v>
      </c>
    </row>
    <row r="1082" spans="1:17" hidden="1" x14ac:dyDescent="0.3">
      <c r="A1082" s="20">
        <f t="shared" si="16"/>
        <v>1081</v>
      </c>
      <c r="B1082" s="21" t="s">
        <v>87</v>
      </c>
      <c r="C1082" s="21" t="s">
        <v>91</v>
      </c>
      <c r="D1082" s="22" t="str">
        <f>IF($C1082="","",IFERROR(VLOOKUP($C1082,Map_Register!$A$2:$C$5,3,FALSE()),""))</f>
        <v>Cultural Heritage Area</v>
      </c>
      <c r="E1082" s="21" t="s">
        <v>15</v>
      </c>
      <c r="F1082" s="23">
        <v>1869</v>
      </c>
      <c r="G1082" s="20" t="s">
        <v>1537</v>
      </c>
      <c r="H1082" s="20" t="s">
        <v>1763</v>
      </c>
      <c r="I1082" s="20" t="s">
        <v>678</v>
      </c>
      <c r="J1082" s="20" t="s">
        <v>8</v>
      </c>
      <c r="K1082" s="20" t="s">
        <v>107</v>
      </c>
      <c r="L1082" s="20" t="s">
        <v>107</v>
      </c>
      <c r="M1082" s="20" t="s">
        <v>1696</v>
      </c>
      <c r="N1082" s="20" t="s">
        <v>108</v>
      </c>
      <c r="Q1082" s="24" t="s">
        <v>680</v>
      </c>
    </row>
    <row r="1083" spans="1:17" hidden="1" x14ac:dyDescent="0.3">
      <c r="A1083" s="20">
        <f t="shared" si="16"/>
        <v>1082</v>
      </c>
      <c r="B1083" s="21" t="s">
        <v>87</v>
      </c>
      <c r="C1083" s="21" t="s">
        <v>91</v>
      </c>
      <c r="D1083" s="22" t="str">
        <f>IF($C1083="","",IFERROR(VLOOKUP($C1083,Map_Register!$A$2:$C$5,3,FALSE()),""))</f>
        <v>Cultural Heritage Area</v>
      </c>
      <c r="E1083" s="21" t="s">
        <v>15</v>
      </c>
      <c r="F1083" s="23">
        <v>1870</v>
      </c>
      <c r="G1083" s="20" t="s">
        <v>1537</v>
      </c>
      <c r="H1083" s="20" t="s">
        <v>1765</v>
      </c>
      <c r="I1083" s="20" t="s">
        <v>678</v>
      </c>
      <c r="J1083" s="20" t="s">
        <v>8</v>
      </c>
      <c r="K1083" s="20" t="s">
        <v>107</v>
      </c>
      <c r="L1083" s="20" t="s">
        <v>107</v>
      </c>
      <c r="M1083" s="20" t="s">
        <v>1696</v>
      </c>
      <c r="N1083" s="20" t="s">
        <v>108</v>
      </c>
      <c r="Q1083" s="24" t="s">
        <v>680</v>
      </c>
    </row>
    <row r="1084" spans="1:17" hidden="1" x14ac:dyDescent="0.3">
      <c r="A1084" s="20">
        <f t="shared" si="16"/>
        <v>1083</v>
      </c>
      <c r="B1084" s="21" t="s">
        <v>87</v>
      </c>
      <c r="C1084" s="21" t="s">
        <v>91</v>
      </c>
      <c r="D1084" s="22" t="str">
        <f>IF($C1084="","",IFERROR(VLOOKUP($C1084,Map_Register!$A$2:$C$5,3,FALSE()),""))</f>
        <v>Cultural Heritage Area</v>
      </c>
      <c r="E1084" s="21" t="s">
        <v>15</v>
      </c>
      <c r="F1084" s="23">
        <v>7444</v>
      </c>
      <c r="G1084" s="20" t="s">
        <v>1766</v>
      </c>
      <c r="H1084" s="20" t="s">
        <v>1767</v>
      </c>
      <c r="I1084" s="20" t="s">
        <v>678</v>
      </c>
      <c r="J1084" s="20" t="s">
        <v>6</v>
      </c>
      <c r="K1084" s="20" t="s">
        <v>137</v>
      </c>
      <c r="L1084" s="20" t="s">
        <v>137</v>
      </c>
      <c r="M1084" s="20" t="s">
        <v>1768</v>
      </c>
      <c r="Q1084" s="24" t="s">
        <v>680</v>
      </c>
    </row>
    <row r="1085" spans="1:17" hidden="1" x14ac:dyDescent="0.3">
      <c r="A1085" s="20">
        <f t="shared" si="16"/>
        <v>1084</v>
      </c>
      <c r="B1085" s="21" t="s">
        <v>87</v>
      </c>
      <c r="C1085" s="21" t="s">
        <v>91</v>
      </c>
      <c r="D1085" s="22" t="str">
        <f>IF($C1085="","",IFERROR(VLOOKUP($C1085,Map_Register!$A$2:$C$5,3,FALSE()),""))</f>
        <v>Cultural Heritage Area</v>
      </c>
      <c r="E1085" s="21" t="s">
        <v>15</v>
      </c>
      <c r="F1085" s="23">
        <v>8029</v>
      </c>
      <c r="G1085" s="20" t="s">
        <v>1769</v>
      </c>
      <c r="H1085" s="20" t="s">
        <v>1770</v>
      </c>
      <c r="I1085" s="20" t="s">
        <v>678</v>
      </c>
      <c r="J1085" s="20" t="s">
        <v>8</v>
      </c>
      <c r="K1085" s="20" t="s">
        <v>107</v>
      </c>
      <c r="L1085" s="20" t="s">
        <v>107</v>
      </c>
      <c r="M1085" s="20" t="s">
        <v>1705</v>
      </c>
      <c r="N1085" s="20" t="s">
        <v>108</v>
      </c>
      <c r="Q1085" s="24" t="s">
        <v>680</v>
      </c>
    </row>
    <row r="1086" spans="1:17" hidden="1" x14ac:dyDescent="0.3">
      <c r="A1086" s="20">
        <f t="shared" si="16"/>
        <v>1085</v>
      </c>
      <c r="B1086" s="21" t="s">
        <v>87</v>
      </c>
      <c r="C1086" s="21" t="s">
        <v>91</v>
      </c>
      <c r="D1086" s="22" t="str">
        <f>IF($C1086="","",IFERROR(VLOOKUP($C1086,Map_Register!$A$2:$C$5,3,FALSE()),""))</f>
        <v>Cultural Heritage Area</v>
      </c>
      <c r="E1086" s="21" t="s">
        <v>15</v>
      </c>
      <c r="F1086" s="23">
        <v>8031</v>
      </c>
      <c r="G1086" s="20" t="s">
        <v>1769</v>
      </c>
      <c r="H1086" s="20" t="s">
        <v>1771</v>
      </c>
      <c r="I1086" s="20" t="s">
        <v>678</v>
      </c>
      <c r="J1086" s="20" t="s">
        <v>8</v>
      </c>
      <c r="K1086" s="20" t="s">
        <v>107</v>
      </c>
      <c r="L1086" s="20" t="s">
        <v>107</v>
      </c>
      <c r="M1086" s="20" t="s">
        <v>1772</v>
      </c>
      <c r="N1086" s="20" t="s">
        <v>108</v>
      </c>
      <c r="Q1086" s="24" t="s">
        <v>680</v>
      </c>
    </row>
    <row r="1087" spans="1:17" hidden="1" x14ac:dyDescent="0.3">
      <c r="A1087" s="20">
        <f t="shared" si="16"/>
        <v>1086</v>
      </c>
      <c r="B1087" s="21" t="s">
        <v>87</v>
      </c>
      <c r="C1087" s="21" t="s">
        <v>91</v>
      </c>
      <c r="D1087" s="22" t="str">
        <f>IF($C1087="","",IFERROR(VLOOKUP($C1087,Map_Register!$A$2:$C$5,3,FALSE()),""))</f>
        <v>Cultural Heritage Area</v>
      </c>
      <c r="E1087" s="21" t="s">
        <v>15</v>
      </c>
      <c r="F1087" s="23">
        <v>8034</v>
      </c>
      <c r="G1087" s="20" t="s">
        <v>1769</v>
      </c>
      <c r="H1087" s="20" t="s">
        <v>1773</v>
      </c>
      <c r="I1087" s="20" t="s">
        <v>678</v>
      </c>
      <c r="J1087" s="20" t="s">
        <v>6</v>
      </c>
      <c r="K1087" s="20" t="s">
        <v>137</v>
      </c>
      <c r="L1087" s="20" t="s">
        <v>137</v>
      </c>
      <c r="M1087" s="20" t="s">
        <v>1774</v>
      </c>
      <c r="Q1087" s="24" t="s">
        <v>680</v>
      </c>
    </row>
    <row r="1088" spans="1:17" hidden="1" x14ac:dyDescent="0.3">
      <c r="A1088" s="20">
        <f t="shared" si="16"/>
        <v>1087</v>
      </c>
      <c r="B1088" s="21" t="s">
        <v>87</v>
      </c>
      <c r="C1088" s="21" t="s">
        <v>91</v>
      </c>
      <c r="D1088" s="22" t="str">
        <f>IF($C1088="","",IFERROR(VLOOKUP($C1088,Map_Register!$A$2:$C$5,3,FALSE()),""))</f>
        <v>Cultural Heritage Area</v>
      </c>
      <c r="E1088" s="21" t="s">
        <v>15</v>
      </c>
      <c r="F1088" s="23">
        <v>8037</v>
      </c>
      <c r="G1088" s="20" t="s">
        <v>1769</v>
      </c>
      <c r="H1088" s="20" t="s">
        <v>1775</v>
      </c>
      <c r="I1088" s="20" t="s">
        <v>678</v>
      </c>
      <c r="J1088" s="20" t="s">
        <v>8</v>
      </c>
      <c r="K1088" s="20" t="s">
        <v>107</v>
      </c>
      <c r="L1088" t="s">
        <v>107</v>
      </c>
      <c r="M1088" s="20" t="s">
        <v>1776</v>
      </c>
      <c r="N1088" s="20" t="s">
        <v>108</v>
      </c>
      <c r="Q1088" s="24" t="s">
        <v>680</v>
      </c>
    </row>
    <row r="1089" spans="1:17" hidden="1" x14ac:dyDescent="0.3">
      <c r="A1089" s="20">
        <f t="shared" si="16"/>
        <v>1088</v>
      </c>
      <c r="B1089" s="21" t="s">
        <v>87</v>
      </c>
      <c r="C1089" s="21" t="s">
        <v>91</v>
      </c>
      <c r="D1089" s="22" t="str">
        <f>IF($C1089="","",IFERROR(VLOOKUP($C1089,Map_Register!$A$2:$C$5,3,FALSE()),""))</f>
        <v>Cultural Heritage Area</v>
      </c>
      <c r="E1089" s="21" t="s">
        <v>15</v>
      </c>
      <c r="F1089" s="23">
        <v>8038</v>
      </c>
      <c r="G1089" s="20" t="s">
        <v>1769</v>
      </c>
      <c r="H1089" s="20" t="s">
        <v>1777</v>
      </c>
      <c r="I1089" s="20" t="s">
        <v>678</v>
      </c>
      <c r="J1089" s="20" t="s">
        <v>6</v>
      </c>
      <c r="K1089" s="20" t="s">
        <v>137</v>
      </c>
      <c r="L1089" s="20" t="s">
        <v>137</v>
      </c>
      <c r="M1089" s="20" t="s">
        <v>1774</v>
      </c>
      <c r="Q1089" s="24" t="s">
        <v>680</v>
      </c>
    </row>
    <row r="1090" spans="1:17" hidden="1" x14ac:dyDescent="0.3">
      <c r="A1090" s="20">
        <f t="shared" ref="A1090:A1153" si="17">IF($B1090="","",ROW()-1)</f>
        <v>1089</v>
      </c>
      <c r="B1090" s="21" t="s">
        <v>87</v>
      </c>
      <c r="C1090" s="21" t="s">
        <v>91</v>
      </c>
      <c r="D1090" s="22" t="str">
        <f>IF($C1090="","",IFERROR(VLOOKUP($C1090,Map_Register!$A$2:$C$5,3,FALSE()),""))</f>
        <v>Cultural Heritage Area</v>
      </c>
      <c r="E1090" s="21" t="s">
        <v>15</v>
      </c>
      <c r="F1090" s="23">
        <v>8040</v>
      </c>
      <c r="G1090" s="20" t="s">
        <v>1769</v>
      </c>
      <c r="H1090" s="20" t="s">
        <v>1778</v>
      </c>
      <c r="I1090" s="20" t="s">
        <v>678</v>
      </c>
      <c r="J1090" s="20" t="s">
        <v>8</v>
      </c>
      <c r="K1090" t="s">
        <v>107</v>
      </c>
      <c r="L1090" s="20" t="s">
        <v>107</v>
      </c>
      <c r="M1090" s="20" t="s">
        <v>1779</v>
      </c>
      <c r="N1090" s="20" t="s">
        <v>108</v>
      </c>
      <c r="Q1090" s="24" t="s">
        <v>680</v>
      </c>
    </row>
    <row r="1091" spans="1:17" hidden="1" x14ac:dyDescent="0.3">
      <c r="A1091" s="20">
        <f t="shared" si="17"/>
        <v>1090</v>
      </c>
      <c r="B1091" s="21" t="s">
        <v>87</v>
      </c>
      <c r="C1091" s="21" t="s">
        <v>91</v>
      </c>
      <c r="D1091" s="22" t="str">
        <f>IF($C1091="","",IFERROR(VLOOKUP($C1091,Map_Register!$A$2:$C$5,3,FALSE()),""))</f>
        <v>Cultural Heritage Area</v>
      </c>
      <c r="E1091" s="21" t="s">
        <v>15</v>
      </c>
      <c r="F1091" s="23">
        <v>8043</v>
      </c>
      <c r="G1091" s="20" t="s">
        <v>1769</v>
      </c>
      <c r="H1091" s="20" t="s">
        <v>1780</v>
      </c>
      <c r="I1091" s="20" t="s">
        <v>678</v>
      </c>
      <c r="J1091" s="20" t="s">
        <v>8</v>
      </c>
      <c r="K1091" t="s">
        <v>107</v>
      </c>
      <c r="L1091" s="20" t="s">
        <v>107</v>
      </c>
      <c r="M1091" s="20" t="s">
        <v>1781</v>
      </c>
      <c r="N1091" s="20" t="s">
        <v>108</v>
      </c>
      <c r="Q1091" s="24" t="s">
        <v>680</v>
      </c>
    </row>
    <row r="1092" spans="1:17" hidden="1" x14ac:dyDescent="0.3">
      <c r="A1092" s="20">
        <f t="shared" si="17"/>
        <v>1091</v>
      </c>
      <c r="B1092" s="21" t="s">
        <v>87</v>
      </c>
      <c r="C1092" s="21" t="s">
        <v>91</v>
      </c>
      <c r="D1092" s="22" t="str">
        <f>IF($C1092="","",IFERROR(VLOOKUP($C1092,Map_Register!$A$2:$C$5,3,FALSE()),""))</f>
        <v>Cultural Heritage Area</v>
      </c>
      <c r="E1092" s="21" t="s">
        <v>15</v>
      </c>
      <c r="F1092" s="23">
        <v>8044</v>
      </c>
      <c r="G1092" s="20" t="s">
        <v>1769</v>
      </c>
      <c r="H1092" s="20" t="s">
        <v>1782</v>
      </c>
      <c r="I1092" s="20" t="s">
        <v>678</v>
      </c>
      <c r="J1092" s="20" t="s">
        <v>6</v>
      </c>
      <c r="K1092" s="20" t="s">
        <v>137</v>
      </c>
      <c r="L1092" s="20" t="s">
        <v>137</v>
      </c>
      <c r="M1092" s="20" t="s">
        <v>1774</v>
      </c>
      <c r="Q1092" s="24" t="s">
        <v>680</v>
      </c>
    </row>
    <row r="1093" spans="1:17" hidden="1" x14ac:dyDescent="0.3">
      <c r="A1093" s="20">
        <f t="shared" si="17"/>
        <v>1092</v>
      </c>
      <c r="B1093" s="21" t="s">
        <v>87</v>
      </c>
      <c r="C1093" s="21" t="s">
        <v>91</v>
      </c>
      <c r="D1093" s="22" t="str">
        <f>IF($C1093="","",IFERROR(VLOOKUP($C1093,Map_Register!$A$2:$C$5,3,FALSE()),""))</f>
        <v>Cultural Heritage Area</v>
      </c>
      <c r="E1093" s="21" t="s">
        <v>15</v>
      </c>
      <c r="F1093" s="23">
        <v>8047</v>
      </c>
      <c r="G1093" s="20" t="s">
        <v>1769</v>
      </c>
      <c r="H1093" s="20" t="s">
        <v>1783</v>
      </c>
      <c r="I1093" s="20" t="s">
        <v>678</v>
      </c>
      <c r="J1093" s="20" t="s">
        <v>6</v>
      </c>
      <c r="K1093" s="20" t="s">
        <v>137</v>
      </c>
      <c r="L1093" s="20" t="s">
        <v>137</v>
      </c>
      <c r="M1093" s="20" t="s">
        <v>1774</v>
      </c>
      <c r="Q1093" s="24" t="s">
        <v>680</v>
      </c>
    </row>
    <row r="1094" spans="1:17" hidden="1" x14ac:dyDescent="0.3">
      <c r="A1094" s="20">
        <f t="shared" si="17"/>
        <v>1093</v>
      </c>
      <c r="B1094" s="21" t="s">
        <v>87</v>
      </c>
      <c r="C1094" s="21" t="s">
        <v>91</v>
      </c>
      <c r="D1094" s="22" t="str">
        <f>IF($C1094="","",IFERROR(VLOOKUP($C1094,Map_Register!$A$2:$C$5,3,FALSE()),""))</f>
        <v>Cultural Heritage Area</v>
      </c>
      <c r="E1094" s="21" t="s">
        <v>15</v>
      </c>
      <c r="F1094" s="23">
        <v>8048</v>
      </c>
      <c r="G1094" s="20" t="s">
        <v>1769</v>
      </c>
      <c r="H1094" s="20" t="s">
        <v>1784</v>
      </c>
      <c r="I1094" s="20" t="s">
        <v>678</v>
      </c>
      <c r="J1094" s="20" t="s">
        <v>6</v>
      </c>
      <c r="K1094" s="20" t="s">
        <v>137</v>
      </c>
      <c r="L1094" s="20" t="s">
        <v>137</v>
      </c>
      <c r="M1094" s="20" t="s">
        <v>1724</v>
      </c>
      <c r="Q1094" s="24" t="s">
        <v>680</v>
      </c>
    </row>
    <row r="1095" spans="1:17" hidden="1" x14ac:dyDescent="0.3">
      <c r="A1095" s="20">
        <f t="shared" si="17"/>
        <v>1094</v>
      </c>
      <c r="B1095" s="21" t="s">
        <v>87</v>
      </c>
      <c r="C1095" s="21" t="s">
        <v>91</v>
      </c>
      <c r="D1095" s="22" t="str">
        <f>IF($C1095="","",IFERROR(VLOOKUP($C1095,Map_Register!$A$2:$C$5,3,FALSE()),""))</f>
        <v>Cultural Heritage Area</v>
      </c>
      <c r="E1095" s="21" t="s">
        <v>15</v>
      </c>
      <c r="F1095" s="23">
        <v>8052</v>
      </c>
      <c r="G1095" s="20" t="s">
        <v>1769</v>
      </c>
      <c r="H1095" s="20" t="s">
        <v>1785</v>
      </c>
      <c r="I1095" s="20" t="s">
        <v>678</v>
      </c>
      <c r="J1095" s="20" t="s">
        <v>6</v>
      </c>
      <c r="K1095" s="20" t="s">
        <v>137</v>
      </c>
      <c r="L1095" s="20" t="s">
        <v>137</v>
      </c>
      <c r="M1095" s="20" t="s">
        <v>1724</v>
      </c>
      <c r="Q1095" s="24" t="s">
        <v>680</v>
      </c>
    </row>
    <row r="1096" spans="1:17" hidden="1" x14ac:dyDescent="0.3">
      <c r="A1096" s="20">
        <f t="shared" si="17"/>
        <v>1095</v>
      </c>
      <c r="B1096" s="21" t="s">
        <v>87</v>
      </c>
      <c r="C1096" s="21" t="s">
        <v>91</v>
      </c>
      <c r="D1096" s="22" t="str">
        <f>IF($C1096="","",IFERROR(VLOOKUP($C1096,Map_Register!$A$2:$C$5,3,FALSE()),""))</f>
        <v>Cultural Heritage Area</v>
      </c>
      <c r="E1096" s="21" t="s">
        <v>15</v>
      </c>
      <c r="F1096" s="23">
        <v>8055</v>
      </c>
      <c r="G1096" s="20" t="s">
        <v>1769</v>
      </c>
      <c r="H1096" s="20" t="s">
        <v>1786</v>
      </c>
      <c r="I1096" s="20" t="s">
        <v>678</v>
      </c>
      <c r="J1096" s="20" t="s">
        <v>6</v>
      </c>
      <c r="K1096" s="20" t="s">
        <v>137</v>
      </c>
      <c r="L1096" s="20" t="s">
        <v>137</v>
      </c>
      <c r="M1096" s="20" t="s">
        <v>1774</v>
      </c>
      <c r="Q1096" s="24" t="s">
        <v>680</v>
      </c>
    </row>
    <row r="1097" spans="1:17" hidden="1" x14ac:dyDescent="0.3">
      <c r="A1097" s="20">
        <f t="shared" si="17"/>
        <v>1096</v>
      </c>
      <c r="B1097" s="21" t="s">
        <v>87</v>
      </c>
      <c r="C1097" s="21" t="s">
        <v>91</v>
      </c>
      <c r="D1097" s="22" t="str">
        <f>IF($C1097="","",IFERROR(VLOOKUP($C1097,Map_Register!$A$2:$C$5,3,FALSE()),""))</f>
        <v>Cultural Heritage Area</v>
      </c>
      <c r="E1097" s="21" t="s">
        <v>15</v>
      </c>
      <c r="F1097" s="23">
        <v>8898</v>
      </c>
      <c r="G1097" s="20" t="s">
        <v>1537</v>
      </c>
      <c r="H1097" s="20" t="s">
        <v>1787</v>
      </c>
      <c r="I1097" s="20" t="s">
        <v>678</v>
      </c>
      <c r="J1097" s="20" t="s">
        <v>6</v>
      </c>
      <c r="K1097" s="20" t="s">
        <v>137</v>
      </c>
      <c r="L1097" s="20" t="s">
        <v>137</v>
      </c>
      <c r="M1097" s="20" t="s">
        <v>1713</v>
      </c>
      <c r="Q1097" s="24" t="s">
        <v>680</v>
      </c>
    </row>
    <row r="1098" spans="1:17" hidden="1" x14ac:dyDescent="0.3">
      <c r="A1098" s="20">
        <f t="shared" si="17"/>
        <v>1097</v>
      </c>
      <c r="B1098" s="21" t="s">
        <v>87</v>
      </c>
      <c r="C1098" s="21" t="s">
        <v>91</v>
      </c>
      <c r="D1098" s="22" t="str">
        <f>IF($C1098="","",IFERROR(VLOOKUP($C1098,Map_Register!$A$2:$C$5,3,FALSE()),""))</f>
        <v>Cultural Heritage Area</v>
      </c>
      <c r="E1098" s="21" t="s">
        <v>15</v>
      </c>
      <c r="F1098" s="23">
        <v>9182</v>
      </c>
      <c r="G1098" s="20" t="s">
        <v>1537</v>
      </c>
      <c r="H1098" s="20" t="s">
        <v>1788</v>
      </c>
      <c r="I1098" s="20" t="s">
        <v>678</v>
      </c>
      <c r="J1098" s="20" t="s">
        <v>8</v>
      </c>
      <c r="K1098" s="20" t="s">
        <v>107</v>
      </c>
      <c r="L1098" s="20" t="s">
        <v>107</v>
      </c>
      <c r="M1098" s="20" t="s">
        <v>1789</v>
      </c>
      <c r="N1098" s="20" t="s">
        <v>108</v>
      </c>
      <c r="Q1098" s="24" t="s">
        <v>680</v>
      </c>
    </row>
    <row r="1099" spans="1:17" hidden="1" x14ac:dyDescent="0.3">
      <c r="A1099" s="20">
        <f t="shared" si="17"/>
        <v>1098</v>
      </c>
      <c r="B1099" s="21" t="s">
        <v>87</v>
      </c>
      <c r="C1099" s="21" t="s">
        <v>91</v>
      </c>
      <c r="D1099" s="22" t="str">
        <f>IF($C1099="","",IFERROR(VLOOKUP($C1099,Map_Register!$A$2:$C$5,3,FALSE()),""))</f>
        <v>Cultural Heritage Area</v>
      </c>
      <c r="E1099" s="21" t="s">
        <v>15</v>
      </c>
      <c r="F1099" s="23">
        <v>9353</v>
      </c>
      <c r="G1099" s="20" t="s">
        <v>1537</v>
      </c>
      <c r="H1099" s="20" t="s">
        <v>1790</v>
      </c>
      <c r="I1099" s="20" t="s">
        <v>678</v>
      </c>
      <c r="J1099" s="20" t="s">
        <v>6</v>
      </c>
      <c r="K1099" s="20" t="s">
        <v>137</v>
      </c>
      <c r="L1099" s="20" t="s">
        <v>137</v>
      </c>
      <c r="M1099" s="20" t="s">
        <v>1713</v>
      </c>
      <c r="Q1099" s="24" t="s">
        <v>680</v>
      </c>
    </row>
    <row r="1100" spans="1:17" hidden="1" x14ac:dyDescent="0.3">
      <c r="A1100" s="20">
        <f t="shared" si="17"/>
        <v>1099</v>
      </c>
      <c r="B1100" s="21" t="s">
        <v>87</v>
      </c>
      <c r="C1100" s="21" t="s">
        <v>91</v>
      </c>
      <c r="D1100" s="22" t="str">
        <f>IF($C1100="","",IFERROR(VLOOKUP($C1100,Map_Register!$A$2:$C$5,3,FALSE()),""))</f>
        <v>Cultural Heritage Area</v>
      </c>
      <c r="E1100" s="21" t="s">
        <v>15</v>
      </c>
      <c r="F1100" s="23">
        <v>9985</v>
      </c>
      <c r="G1100" s="20" t="s">
        <v>1537</v>
      </c>
      <c r="H1100" s="20" t="s">
        <v>1791</v>
      </c>
      <c r="I1100" s="20" t="s">
        <v>678</v>
      </c>
      <c r="J1100" s="20" t="s">
        <v>8</v>
      </c>
      <c r="K1100" s="20" t="s">
        <v>107</v>
      </c>
      <c r="L1100" s="20" t="s">
        <v>107</v>
      </c>
      <c r="M1100" s="20" t="s">
        <v>1696</v>
      </c>
      <c r="N1100" s="20" t="s">
        <v>108</v>
      </c>
      <c r="Q1100" s="24" t="s">
        <v>680</v>
      </c>
    </row>
    <row r="1101" spans="1:17" hidden="1" x14ac:dyDescent="0.3">
      <c r="A1101" s="20">
        <f t="shared" si="17"/>
        <v>1100</v>
      </c>
      <c r="B1101" s="21" t="s">
        <v>87</v>
      </c>
      <c r="C1101" s="21" t="s">
        <v>91</v>
      </c>
      <c r="D1101" s="22" t="str">
        <f>IF($C1101="","",IFERROR(VLOOKUP($C1101,Map_Register!$A$2:$C$5,3,FALSE()),""))</f>
        <v>Cultural Heritage Area</v>
      </c>
      <c r="E1101" s="21" t="s">
        <v>15</v>
      </c>
      <c r="F1101" s="23">
        <v>10214</v>
      </c>
      <c r="G1101" s="20" t="s">
        <v>1537</v>
      </c>
      <c r="H1101" s="20" t="s">
        <v>1792</v>
      </c>
      <c r="I1101" s="20" t="s">
        <v>678</v>
      </c>
      <c r="J1101" s="20" t="s">
        <v>6</v>
      </c>
      <c r="K1101" s="20" t="s">
        <v>137</v>
      </c>
      <c r="L1101" s="20" t="s">
        <v>137</v>
      </c>
      <c r="M1101" s="20" t="s">
        <v>1713</v>
      </c>
      <c r="Q1101" s="24" t="s">
        <v>680</v>
      </c>
    </row>
    <row r="1102" spans="1:17" hidden="1" x14ac:dyDescent="0.3">
      <c r="A1102" s="20">
        <f t="shared" si="17"/>
        <v>1101</v>
      </c>
      <c r="B1102" s="21" t="s">
        <v>87</v>
      </c>
      <c r="C1102" s="21" t="s">
        <v>91</v>
      </c>
      <c r="D1102" s="22" t="str">
        <f>IF($C1102="","",IFERROR(VLOOKUP($C1102,Map_Register!$A$2:$C$5,3,FALSE()),""))</f>
        <v>Cultural Heritage Area</v>
      </c>
      <c r="E1102" s="21" t="s">
        <v>15</v>
      </c>
      <c r="F1102" s="23">
        <v>10358</v>
      </c>
      <c r="G1102" s="20" t="s">
        <v>1537</v>
      </c>
      <c r="H1102" s="20" t="s">
        <v>1793</v>
      </c>
      <c r="I1102" s="20" t="s">
        <v>678</v>
      </c>
      <c r="J1102" s="20" t="s">
        <v>6</v>
      </c>
      <c r="K1102" s="20" t="s">
        <v>137</v>
      </c>
      <c r="L1102" s="20" t="s">
        <v>137</v>
      </c>
      <c r="M1102" s="20" t="s">
        <v>1713</v>
      </c>
      <c r="Q1102" s="24" t="s">
        <v>680</v>
      </c>
    </row>
    <row r="1103" spans="1:17" hidden="1" x14ac:dyDescent="0.3">
      <c r="A1103" s="20">
        <f t="shared" si="17"/>
        <v>1102</v>
      </c>
      <c r="B1103" s="21" t="s">
        <v>87</v>
      </c>
      <c r="C1103" s="21" t="s">
        <v>91</v>
      </c>
      <c r="D1103" s="22" t="str">
        <f>IF($C1103="","",IFERROR(VLOOKUP($C1103,Map_Register!$A$2:$C$5,3,FALSE()),""))</f>
        <v>Cultural Heritage Area</v>
      </c>
      <c r="E1103" s="21" t="s">
        <v>15</v>
      </c>
      <c r="F1103" s="23">
        <v>11232</v>
      </c>
      <c r="G1103" s="20" t="s">
        <v>1537</v>
      </c>
      <c r="H1103" s="20" t="s">
        <v>1794</v>
      </c>
      <c r="I1103" s="20" t="s">
        <v>678</v>
      </c>
      <c r="J1103" s="20" t="s">
        <v>6</v>
      </c>
      <c r="K1103" s="20" t="s">
        <v>137</v>
      </c>
      <c r="L1103" s="20" t="s">
        <v>137</v>
      </c>
      <c r="M1103" s="20" t="s">
        <v>1713</v>
      </c>
      <c r="Q1103" s="24" t="s">
        <v>680</v>
      </c>
    </row>
    <row r="1104" spans="1:17" hidden="1" x14ac:dyDescent="0.3">
      <c r="A1104" s="20">
        <f t="shared" si="17"/>
        <v>1103</v>
      </c>
      <c r="B1104" s="21" t="s">
        <v>87</v>
      </c>
      <c r="C1104" s="21" t="s">
        <v>91</v>
      </c>
      <c r="D1104" s="22" t="str">
        <f>IF($C1104="","",IFERROR(VLOOKUP($C1104,Map_Register!$A$2:$C$5,3,FALSE()),""))</f>
        <v>Cultural Heritage Area</v>
      </c>
      <c r="E1104" s="21" t="s">
        <v>15</v>
      </c>
      <c r="F1104" s="23">
        <v>11310</v>
      </c>
      <c r="G1104" s="20" t="s">
        <v>1537</v>
      </c>
      <c r="H1104" s="20" t="s">
        <v>1739</v>
      </c>
      <c r="I1104" s="20" t="s">
        <v>678</v>
      </c>
      <c r="J1104" s="20" t="s">
        <v>6</v>
      </c>
      <c r="K1104" s="20" t="s">
        <v>137</v>
      </c>
      <c r="L1104" s="20" t="s">
        <v>137</v>
      </c>
      <c r="M1104" s="20" t="s">
        <v>1713</v>
      </c>
      <c r="Q1104" s="24" t="s">
        <v>680</v>
      </c>
    </row>
    <row r="1105" spans="1:17" hidden="1" x14ac:dyDescent="0.3">
      <c r="A1105" s="20">
        <f t="shared" si="17"/>
        <v>1104</v>
      </c>
      <c r="B1105" s="21" t="s">
        <v>87</v>
      </c>
      <c r="C1105" s="21" t="s">
        <v>91</v>
      </c>
      <c r="D1105" s="22" t="str">
        <f>IF($C1105="","",IFERROR(VLOOKUP($C1105,Map_Register!$A$2:$C$5,3,FALSE()),""))</f>
        <v>Cultural Heritage Area</v>
      </c>
      <c r="E1105" s="21" t="s">
        <v>15</v>
      </c>
      <c r="F1105" s="23">
        <v>11340</v>
      </c>
      <c r="G1105" s="20" t="s">
        <v>1537</v>
      </c>
      <c r="H1105" s="20" t="s">
        <v>1795</v>
      </c>
      <c r="I1105" s="20" t="s">
        <v>678</v>
      </c>
      <c r="J1105" s="20" t="s">
        <v>6</v>
      </c>
      <c r="K1105" s="20" t="s">
        <v>137</v>
      </c>
      <c r="L1105" s="20" t="s">
        <v>137</v>
      </c>
      <c r="M1105" s="20" t="s">
        <v>1713</v>
      </c>
      <c r="Q1105" s="24" t="s">
        <v>680</v>
      </c>
    </row>
    <row r="1106" spans="1:17" hidden="1" x14ac:dyDescent="0.3">
      <c r="A1106" s="20">
        <f t="shared" si="17"/>
        <v>1105</v>
      </c>
      <c r="B1106" s="21" t="s">
        <v>87</v>
      </c>
      <c r="C1106" s="21" t="s">
        <v>91</v>
      </c>
      <c r="D1106" s="22" t="str">
        <f>IF($C1106="","",IFERROR(VLOOKUP($C1106,Map_Register!$A$2:$C$5,3,FALSE()),""))</f>
        <v>Cultural Heritage Area</v>
      </c>
      <c r="E1106" s="21" t="s">
        <v>15</v>
      </c>
      <c r="F1106" s="23">
        <v>13271</v>
      </c>
      <c r="G1106" s="20" t="s">
        <v>1537</v>
      </c>
      <c r="H1106" s="20" t="s">
        <v>1796</v>
      </c>
      <c r="I1106" s="20" t="s">
        <v>678</v>
      </c>
      <c r="J1106" s="20" t="s">
        <v>6</v>
      </c>
      <c r="K1106" s="20" t="s">
        <v>137</v>
      </c>
      <c r="L1106" s="20" t="s">
        <v>137</v>
      </c>
      <c r="M1106" s="20" t="s">
        <v>1713</v>
      </c>
      <c r="Q1106" s="24" t="s">
        <v>680</v>
      </c>
    </row>
    <row r="1107" spans="1:17" x14ac:dyDescent="0.3">
      <c r="A1107" s="20">
        <f t="shared" si="17"/>
        <v>1106</v>
      </c>
      <c r="B1107" s="21" t="s">
        <v>87</v>
      </c>
      <c r="C1107" s="21" t="s">
        <v>91</v>
      </c>
      <c r="D1107" s="22" t="str">
        <f>IF($C1107="","",IFERROR(VLOOKUP($C1107,Map_Register!$A$2:$C$5,3,FALSE()),""))</f>
        <v>Cultural Heritage Area</v>
      </c>
      <c r="E1107" s="21" t="s">
        <v>15</v>
      </c>
      <c r="F1107" s="23">
        <v>13281</v>
      </c>
      <c r="G1107" s="20" t="s">
        <v>1537</v>
      </c>
      <c r="H1107" s="20" t="s">
        <v>1797</v>
      </c>
      <c r="I1107" s="20" t="s">
        <v>678</v>
      </c>
      <c r="J1107" s="20" t="s">
        <v>8</v>
      </c>
      <c r="K1107" s="20" t="s">
        <v>107</v>
      </c>
      <c r="L1107" t="s">
        <v>108</v>
      </c>
      <c r="M1107" s="20" t="s">
        <v>1798</v>
      </c>
      <c r="N1107" s="20" t="s">
        <v>108</v>
      </c>
      <c r="Q1107" s="24" t="s">
        <v>680</v>
      </c>
    </row>
    <row r="1108" spans="1:17" hidden="1" x14ac:dyDescent="0.3">
      <c r="A1108" s="20">
        <f t="shared" si="17"/>
        <v>1107</v>
      </c>
      <c r="B1108" s="21" t="s">
        <v>87</v>
      </c>
      <c r="C1108" s="21" t="s">
        <v>91</v>
      </c>
      <c r="D1108" s="22" t="str">
        <f>IF($C1108="","",IFERROR(VLOOKUP($C1108,Map_Register!$A$2:$C$5,3,FALSE()),""))</f>
        <v>Cultural Heritage Area</v>
      </c>
      <c r="E1108" s="21" t="s">
        <v>15</v>
      </c>
      <c r="F1108" s="23">
        <v>13626</v>
      </c>
      <c r="G1108" s="20" t="s">
        <v>1537</v>
      </c>
      <c r="H1108" s="20" t="s">
        <v>1799</v>
      </c>
      <c r="I1108" s="20" t="s">
        <v>678</v>
      </c>
      <c r="J1108" s="20" t="s">
        <v>6</v>
      </c>
      <c r="K1108" s="20" t="s">
        <v>137</v>
      </c>
      <c r="L1108" s="20" t="s">
        <v>137</v>
      </c>
      <c r="M1108" s="20" t="s">
        <v>1713</v>
      </c>
      <c r="Q1108" s="24" t="s">
        <v>680</v>
      </c>
    </row>
    <row r="1109" spans="1:17" hidden="1" x14ac:dyDescent="0.3">
      <c r="A1109" s="20">
        <f t="shared" si="17"/>
        <v>1108</v>
      </c>
      <c r="B1109" s="21" t="s">
        <v>87</v>
      </c>
      <c r="C1109" s="21" t="s">
        <v>91</v>
      </c>
      <c r="D1109" s="22" t="str">
        <f>IF($C1109="","",IFERROR(VLOOKUP($C1109,Map_Register!$A$2:$C$5,3,FALSE()),""))</f>
        <v>Cultural Heritage Area</v>
      </c>
      <c r="E1109" s="21" t="s">
        <v>15</v>
      </c>
      <c r="F1109" s="23">
        <v>14007</v>
      </c>
      <c r="G1109" s="20" t="s">
        <v>1537</v>
      </c>
      <c r="H1109" s="20" t="s">
        <v>1800</v>
      </c>
      <c r="I1109" s="20" t="s">
        <v>678</v>
      </c>
      <c r="J1109" s="20" t="s">
        <v>6</v>
      </c>
      <c r="K1109" s="20" t="s">
        <v>137</v>
      </c>
      <c r="L1109" s="20" t="s">
        <v>137</v>
      </c>
      <c r="M1109" s="20" t="s">
        <v>1713</v>
      </c>
      <c r="Q1109" s="24" t="s">
        <v>680</v>
      </c>
    </row>
    <row r="1110" spans="1:17" hidden="1" x14ac:dyDescent="0.3">
      <c r="A1110" s="20">
        <f t="shared" si="17"/>
        <v>1109</v>
      </c>
      <c r="B1110" s="21" t="s">
        <v>87</v>
      </c>
      <c r="C1110" s="21" t="s">
        <v>91</v>
      </c>
      <c r="D1110" s="22" t="str">
        <f>IF($C1110="","",IFERROR(VLOOKUP($C1110,Map_Register!$A$2:$C$5,3,FALSE()),""))</f>
        <v>Cultural Heritage Area</v>
      </c>
      <c r="E1110" s="21" t="s">
        <v>15</v>
      </c>
      <c r="F1110" s="23">
        <v>14595</v>
      </c>
      <c r="G1110" s="20" t="s">
        <v>1537</v>
      </c>
      <c r="H1110" s="20" t="s">
        <v>1801</v>
      </c>
      <c r="I1110" s="20" t="s">
        <v>678</v>
      </c>
      <c r="J1110" s="20" t="s">
        <v>6</v>
      </c>
      <c r="K1110" s="20" t="s">
        <v>137</v>
      </c>
      <c r="L1110" s="20" t="s">
        <v>137</v>
      </c>
      <c r="M1110" s="20" t="s">
        <v>1713</v>
      </c>
      <c r="Q1110" s="24" t="s">
        <v>680</v>
      </c>
    </row>
    <row r="1111" spans="1:17" hidden="1" x14ac:dyDescent="0.3">
      <c r="A1111" s="20">
        <f t="shared" si="17"/>
        <v>1110</v>
      </c>
      <c r="B1111" s="21" t="s">
        <v>87</v>
      </c>
      <c r="C1111" s="21" t="s">
        <v>91</v>
      </c>
      <c r="D1111" s="22" t="str">
        <f>IF($C1111="","",IFERROR(VLOOKUP($C1111,Map_Register!$A$2:$C$5,3,FALSE()),""))</f>
        <v>Cultural Heritage Area</v>
      </c>
      <c r="E1111" s="21" t="s">
        <v>15</v>
      </c>
      <c r="F1111" s="23">
        <v>14835</v>
      </c>
      <c r="G1111" s="20" t="s">
        <v>1537</v>
      </c>
      <c r="H1111" s="20" t="s">
        <v>1802</v>
      </c>
      <c r="I1111" s="20" t="s">
        <v>678</v>
      </c>
      <c r="J1111" s="20" t="s">
        <v>6</v>
      </c>
      <c r="K1111" s="20" t="s">
        <v>137</v>
      </c>
      <c r="L1111" s="20" t="s">
        <v>137</v>
      </c>
      <c r="M1111" s="20" t="s">
        <v>1713</v>
      </c>
      <c r="Q1111" s="24" t="s">
        <v>680</v>
      </c>
    </row>
    <row r="1112" spans="1:17" hidden="1" x14ac:dyDescent="0.3">
      <c r="A1112" s="20">
        <f t="shared" si="17"/>
        <v>1111</v>
      </c>
      <c r="B1112" s="21" t="s">
        <v>87</v>
      </c>
      <c r="C1112" s="21" t="s">
        <v>91</v>
      </c>
      <c r="D1112" s="22" t="str">
        <f>IF($C1112="","",IFERROR(VLOOKUP($C1112,Map_Register!$A$2:$C$5,3,FALSE()),""))</f>
        <v>Cultural Heritage Area</v>
      </c>
      <c r="E1112" s="21" t="s">
        <v>15</v>
      </c>
      <c r="F1112" s="23">
        <v>15056</v>
      </c>
      <c r="G1112" s="20" t="s">
        <v>1537</v>
      </c>
      <c r="H1112" s="20" t="s">
        <v>1803</v>
      </c>
      <c r="I1112" s="20" t="s">
        <v>678</v>
      </c>
      <c r="J1112" s="20" t="s">
        <v>6</v>
      </c>
      <c r="K1112" s="20" t="s">
        <v>137</v>
      </c>
      <c r="L1112" s="20" t="s">
        <v>137</v>
      </c>
      <c r="M1112" s="20" t="s">
        <v>1713</v>
      </c>
      <c r="Q1112" s="24" t="s">
        <v>680</v>
      </c>
    </row>
    <row r="1113" spans="1:17" hidden="1" x14ac:dyDescent="0.3">
      <c r="A1113" s="20">
        <f t="shared" si="17"/>
        <v>1112</v>
      </c>
      <c r="B1113" s="21" t="s">
        <v>87</v>
      </c>
      <c r="C1113" s="21" t="s">
        <v>91</v>
      </c>
      <c r="D1113" s="22" t="str">
        <f>IF($C1113="","",IFERROR(VLOOKUP($C1113,Map_Register!$A$2:$C$5,3,FALSE()),""))</f>
        <v>Cultural Heritage Area</v>
      </c>
      <c r="E1113" s="21" t="s">
        <v>15</v>
      </c>
      <c r="F1113" s="23">
        <v>15102</v>
      </c>
      <c r="G1113" s="20" t="s">
        <v>1537</v>
      </c>
      <c r="H1113" s="20" t="s">
        <v>1804</v>
      </c>
      <c r="I1113" s="20" t="s">
        <v>678</v>
      </c>
      <c r="J1113" s="20" t="s">
        <v>6</v>
      </c>
      <c r="K1113" s="20" t="s">
        <v>137</v>
      </c>
      <c r="L1113" s="20" t="s">
        <v>137</v>
      </c>
      <c r="M1113" s="20" t="s">
        <v>1713</v>
      </c>
      <c r="Q1113" s="24" t="s">
        <v>680</v>
      </c>
    </row>
    <row r="1114" spans="1:17" hidden="1" x14ac:dyDescent="0.3">
      <c r="A1114" s="20">
        <f t="shared" si="17"/>
        <v>1113</v>
      </c>
      <c r="B1114" s="21" t="s">
        <v>87</v>
      </c>
      <c r="C1114" s="21" t="s">
        <v>91</v>
      </c>
      <c r="D1114" s="22" t="str">
        <f>IF($C1114="","",IFERROR(VLOOKUP($C1114,Map_Register!$A$2:$C$5,3,FALSE()),""))</f>
        <v>Cultural Heritage Area</v>
      </c>
      <c r="E1114" s="21" t="s">
        <v>15</v>
      </c>
      <c r="F1114" s="23">
        <v>15546</v>
      </c>
      <c r="G1114" s="20" t="s">
        <v>1537</v>
      </c>
      <c r="H1114" s="20" t="s">
        <v>1805</v>
      </c>
      <c r="I1114" s="20" t="s">
        <v>678</v>
      </c>
      <c r="J1114" s="20" t="s">
        <v>6</v>
      </c>
      <c r="K1114" s="20" t="s">
        <v>137</v>
      </c>
      <c r="L1114" s="20" t="s">
        <v>137</v>
      </c>
      <c r="M1114" s="20" t="s">
        <v>1694</v>
      </c>
      <c r="Q1114" s="24" t="s">
        <v>680</v>
      </c>
    </row>
    <row r="1115" spans="1:17" x14ac:dyDescent="0.3">
      <c r="A1115" s="20">
        <f t="shared" si="17"/>
        <v>1114</v>
      </c>
      <c r="B1115" s="21" t="s">
        <v>87</v>
      </c>
      <c r="C1115" s="21" t="s">
        <v>91</v>
      </c>
      <c r="D1115" s="22" t="str">
        <f>IF($C1115="","",IFERROR(VLOOKUP($C1115,Map_Register!$A$2:$C$5,3,FALSE()),""))</f>
        <v>Cultural Heritage Area</v>
      </c>
      <c r="E1115" s="21" t="s">
        <v>15</v>
      </c>
      <c r="F1115" s="23">
        <v>16221</v>
      </c>
      <c r="G1115" s="20" t="s">
        <v>1537</v>
      </c>
      <c r="H1115" s="20" t="s">
        <v>1806</v>
      </c>
      <c r="I1115" s="20" t="s">
        <v>678</v>
      </c>
      <c r="J1115" s="20" t="s">
        <v>8</v>
      </c>
      <c r="K1115" s="20" t="s">
        <v>107</v>
      </c>
      <c r="L1115" t="s">
        <v>108</v>
      </c>
      <c r="M1115" s="20" t="s">
        <v>1722</v>
      </c>
      <c r="N1115" s="20" t="s">
        <v>108</v>
      </c>
      <c r="Q1115" s="24" t="s">
        <v>680</v>
      </c>
    </row>
    <row r="1116" spans="1:17" hidden="1" x14ac:dyDescent="0.3">
      <c r="A1116" s="20">
        <f t="shared" si="17"/>
        <v>1115</v>
      </c>
      <c r="B1116" s="21" t="s">
        <v>87</v>
      </c>
      <c r="C1116" s="21" t="s">
        <v>91</v>
      </c>
      <c r="D1116" s="22" t="str">
        <f>IF($C1116="","",IFERROR(VLOOKUP($C1116,Map_Register!$A$2:$C$5,3,FALSE()),""))</f>
        <v>Cultural Heritage Area</v>
      </c>
      <c r="E1116" s="21" t="s">
        <v>15</v>
      </c>
      <c r="F1116" s="23">
        <v>17231</v>
      </c>
      <c r="G1116" s="20" t="s">
        <v>1537</v>
      </c>
      <c r="H1116" s="20" t="s">
        <v>1807</v>
      </c>
      <c r="I1116" s="20" t="s">
        <v>678</v>
      </c>
      <c r="J1116" s="20" t="s">
        <v>6</v>
      </c>
      <c r="K1116" s="20" t="s">
        <v>137</v>
      </c>
      <c r="L1116" s="20" t="s">
        <v>137</v>
      </c>
      <c r="M1116" s="20" t="s">
        <v>1713</v>
      </c>
      <c r="Q1116" s="24" t="s">
        <v>680</v>
      </c>
    </row>
    <row r="1117" spans="1:17" hidden="1" x14ac:dyDescent="0.3">
      <c r="A1117" s="20">
        <f t="shared" si="17"/>
        <v>1116</v>
      </c>
      <c r="B1117" s="21" t="s">
        <v>87</v>
      </c>
      <c r="C1117" s="21" t="s">
        <v>91</v>
      </c>
      <c r="D1117" s="22" t="str">
        <f>IF($C1117="","",IFERROR(VLOOKUP($C1117,Map_Register!$A$2:$C$5,3,FALSE()),""))</f>
        <v>Cultural Heritage Area</v>
      </c>
      <c r="E1117" s="21" t="s">
        <v>15</v>
      </c>
      <c r="F1117" s="23">
        <v>17526</v>
      </c>
      <c r="G1117" s="20" t="s">
        <v>1537</v>
      </c>
      <c r="H1117" s="20" t="s">
        <v>1808</v>
      </c>
      <c r="I1117" s="20" t="s">
        <v>678</v>
      </c>
      <c r="J1117" s="20" t="s">
        <v>6</v>
      </c>
      <c r="K1117" s="20" t="s">
        <v>137</v>
      </c>
      <c r="L1117" s="20" t="s">
        <v>137</v>
      </c>
      <c r="M1117" s="20" t="s">
        <v>1724</v>
      </c>
      <c r="Q1117" s="24" t="s">
        <v>680</v>
      </c>
    </row>
    <row r="1118" spans="1:17" hidden="1" x14ac:dyDescent="0.3">
      <c r="A1118" s="20">
        <f t="shared" si="17"/>
        <v>1117</v>
      </c>
      <c r="B1118" s="21" t="s">
        <v>87</v>
      </c>
      <c r="C1118" s="21" t="s">
        <v>91</v>
      </c>
      <c r="D1118" s="22" t="str">
        <f>IF($C1118="","",IFERROR(VLOOKUP($C1118,Map_Register!$A$2:$C$5,3,FALSE()),""))</f>
        <v>Cultural Heritage Area</v>
      </c>
      <c r="E1118" s="21" t="s">
        <v>15</v>
      </c>
      <c r="F1118" s="23">
        <v>18274</v>
      </c>
      <c r="G1118" s="20" t="s">
        <v>1537</v>
      </c>
      <c r="H1118" s="20" t="s">
        <v>1809</v>
      </c>
      <c r="I1118" s="20" t="s">
        <v>678</v>
      </c>
      <c r="J1118" s="20" t="s">
        <v>6</v>
      </c>
      <c r="K1118" s="20" t="s">
        <v>137</v>
      </c>
      <c r="L1118" s="20" t="s">
        <v>137</v>
      </c>
      <c r="M1118" s="20" t="s">
        <v>1713</v>
      </c>
      <c r="Q1118" s="24" t="s">
        <v>680</v>
      </c>
    </row>
    <row r="1119" spans="1:17" x14ac:dyDescent="0.3">
      <c r="A1119" s="20">
        <f t="shared" si="17"/>
        <v>1118</v>
      </c>
      <c r="B1119" s="21" t="s">
        <v>87</v>
      </c>
      <c r="C1119" s="21" t="s">
        <v>91</v>
      </c>
      <c r="D1119" s="22" t="str">
        <f>IF($C1119="","",IFERROR(VLOOKUP($C1119,Map_Register!$A$2:$C$5,3,FALSE()),""))</f>
        <v>Cultural Heritage Area</v>
      </c>
      <c r="E1119" s="21" t="s">
        <v>15</v>
      </c>
      <c r="F1119" s="23">
        <v>18488</v>
      </c>
      <c r="G1119" s="20" t="s">
        <v>1537</v>
      </c>
      <c r="H1119" s="20" t="s">
        <v>1810</v>
      </c>
      <c r="I1119" s="20" t="s">
        <v>678</v>
      </c>
      <c r="J1119" s="20" t="s">
        <v>8</v>
      </c>
      <c r="K1119" s="20" t="s">
        <v>107</v>
      </c>
      <c r="L1119" t="s">
        <v>108</v>
      </c>
      <c r="M1119" s="20" t="s">
        <v>1722</v>
      </c>
      <c r="N1119" s="20" t="s">
        <v>108</v>
      </c>
      <c r="Q1119" s="24" t="s">
        <v>680</v>
      </c>
    </row>
    <row r="1120" spans="1:17" hidden="1" x14ac:dyDescent="0.3">
      <c r="A1120" s="20">
        <f t="shared" si="17"/>
        <v>1119</v>
      </c>
      <c r="B1120" s="21" t="s">
        <v>87</v>
      </c>
      <c r="C1120" s="21" t="s">
        <v>91</v>
      </c>
      <c r="D1120" s="22" t="str">
        <f>IF($C1120="","",IFERROR(VLOOKUP($C1120,Map_Register!$A$2:$C$5,3,FALSE()),""))</f>
        <v>Cultural Heritage Area</v>
      </c>
      <c r="E1120" s="21" t="s">
        <v>15</v>
      </c>
      <c r="F1120" s="23">
        <v>18811</v>
      </c>
      <c r="G1120" s="20" t="s">
        <v>1537</v>
      </c>
      <c r="H1120" s="20" t="s">
        <v>1811</v>
      </c>
      <c r="I1120" s="20" t="s">
        <v>678</v>
      </c>
      <c r="J1120" s="20" t="s">
        <v>6</v>
      </c>
      <c r="K1120" s="20" t="s">
        <v>137</v>
      </c>
      <c r="L1120" s="20" t="s">
        <v>137</v>
      </c>
      <c r="M1120" s="20" t="s">
        <v>1713</v>
      </c>
      <c r="Q1120" s="24" t="s">
        <v>680</v>
      </c>
    </row>
    <row r="1121" spans="1:17" hidden="1" x14ac:dyDescent="0.3">
      <c r="A1121" s="20">
        <f t="shared" si="17"/>
        <v>1120</v>
      </c>
      <c r="B1121" s="21" t="s">
        <v>87</v>
      </c>
      <c r="C1121" s="21" t="s">
        <v>91</v>
      </c>
      <c r="D1121" s="22" t="str">
        <f>IF($C1121="","",IFERROR(VLOOKUP($C1121,Map_Register!$A$2:$C$5,3,FALSE()),""))</f>
        <v>Cultural Heritage Area</v>
      </c>
      <c r="E1121" s="21" t="s">
        <v>15</v>
      </c>
      <c r="F1121" s="23">
        <v>19271</v>
      </c>
      <c r="G1121" s="20" t="s">
        <v>1537</v>
      </c>
      <c r="H1121" s="20" t="s">
        <v>1812</v>
      </c>
      <c r="I1121" s="20" t="s">
        <v>678</v>
      </c>
      <c r="J1121" s="20" t="s">
        <v>6</v>
      </c>
      <c r="K1121" s="20" t="s">
        <v>137</v>
      </c>
      <c r="L1121" s="20" t="s">
        <v>137</v>
      </c>
      <c r="M1121" s="20" t="s">
        <v>1713</v>
      </c>
      <c r="Q1121" s="24" t="s">
        <v>680</v>
      </c>
    </row>
    <row r="1122" spans="1:17" hidden="1" x14ac:dyDescent="0.3">
      <c r="A1122" s="20">
        <f t="shared" si="17"/>
        <v>1121</v>
      </c>
      <c r="B1122" s="21" t="s">
        <v>87</v>
      </c>
      <c r="C1122" s="21" t="s">
        <v>91</v>
      </c>
      <c r="D1122" s="22" t="str">
        <f>IF($C1122="","",IFERROR(VLOOKUP($C1122,Map_Register!$A$2:$C$5,3,FALSE()),""))</f>
        <v>Cultural Heritage Area</v>
      </c>
      <c r="E1122" s="21" t="s">
        <v>15</v>
      </c>
      <c r="F1122" s="23">
        <v>19380</v>
      </c>
      <c r="G1122" s="20" t="s">
        <v>1537</v>
      </c>
      <c r="H1122" s="20" t="s">
        <v>1813</v>
      </c>
      <c r="I1122" s="20" t="s">
        <v>678</v>
      </c>
      <c r="J1122" s="20" t="s">
        <v>6</v>
      </c>
      <c r="K1122" s="20" t="s">
        <v>137</v>
      </c>
      <c r="L1122" s="20" t="s">
        <v>137</v>
      </c>
      <c r="M1122" s="20" t="s">
        <v>1713</v>
      </c>
      <c r="Q1122" s="24" t="s">
        <v>680</v>
      </c>
    </row>
    <row r="1123" spans="1:17" x14ac:dyDescent="0.3">
      <c r="A1123" s="20">
        <f t="shared" si="17"/>
        <v>1122</v>
      </c>
      <c r="B1123" s="21" t="s">
        <v>87</v>
      </c>
      <c r="C1123" s="21" t="s">
        <v>91</v>
      </c>
      <c r="D1123" s="22" t="str">
        <f>IF($C1123="","",IFERROR(VLOOKUP($C1123,Map_Register!$A$2:$C$5,3,FALSE()),""))</f>
        <v>Cultural Heritage Area</v>
      </c>
      <c r="E1123" s="21" t="s">
        <v>15</v>
      </c>
      <c r="F1123" s="23">
        <v>19456</v>
      </c>
      <c r="G1123" s="20" t="s">
        <v>1537</v>
      </c>
      <c r="H1123" s="20" t="s">
        <v>1814</v>
      </c>
      <c r="I1123" s="20" t="s">
        <v>678</v>
      </c>
      <c r="J1123" s="20" t="s">
        <v>8</v>
      </c>
      <c r="K1123" s="20" t="s">
        <v>107</v>
      </c>
      <c r="L1123" t="s">
        <v>108</v>
      </c>
      <c r="M1123" s="20" t="s">
        <v>1815</v>
      </c>
      <c r="N1123" s="20" t="s">
        <v>108</v>
      </c>
      <c r="Q1123" s="24" t="s">
        <v>680</v>
      </c>
    </row>
    <row r="1124" spans="1:17" hidden="1" x14ac:dyDescent="0.3">
      <c r="A1124" s="20">
        <f t="shared" si="17"/>
        <v>1123</v>
      </c>
      <c r="B1124" s="21" t="s">
        <v>87</v>
      </c>
      <c r="C1124" s="21" t="s">
        <v>91</v>
      </c>
      <c r="D1124" s="22" t="str">
        <f>IF($C1124="","",IFERROR(VLOOKUP($C1124,Map_Register!$A$2:$C$5,3,FALSE()),""))</f>
        <v>Cultural Heritage Area</v>
      </c>
      <c r="E1124" s="21" t="s">
        <v>15</v>
      </c>
      <c r="F1124" s="23">
        <v>20038</v>
      </c>
      <c r="G1124" s="20" t="s">
        <v>1537</v>
      </c>
      <c r="H1124" s="20" t="s">
        <v>1816</v>
      </c>
      <c r="I1124" s="20" t="s">
        <v>678</v>
      </c>
      <c r="J1124" s="20" t="s">
        <v>6</v>
      </c>
      <c r="K1124" s="20" t="s">
        <v>137</v>
      </c>
      <c r="L1124" s="20" t="s">
        <v>137</v>
      </c>
      <c r="M1124" s="20" t="s">
        <v>1713</v>
      </c>
      <c r="Q1124" s="24" t="s">
        <v>680</v>
      </c>
    </row>
    <row r="1125" spans="1:17" hidden="1" x14ac:dyDescent="0.3">
      <c r="A1125" s="20">
        <f t="shared" si="17"/>
        <v>1124</v>
      </c>
      <c r="B1125" s="21" t="s">
        <v>87</v>
      </c>
      <c r="C1125" s="21" t="s">
        <v>91</v>
      </c>
      <c r="D1125" s="22" t="str">
        <f>IF($C1125="","",IFERROR(VLOOKUP($C1125,Map_Register!$A$2:$C$5,3,FALSE()),""))</f>
        <v>Cultural Heritage Area</v>
      </c>
      <c r="E1125" s="21" t="s">
        <v>15</v>
      </c>
      <c r="F1125" s="23">
        <v>20458</v>
      </c>
      <c r="G1125" s="20" t="s">
        <v>1537</v>
      </c>
      <c r="H1125" s="20" t="s">
        <v>1817</v>
      </c>
      <c r="I1125" s="20" t="s">
        <v>678</v>
      </c>
      <c r="J1125" s="20" t="s">
        <v>6</v>
      </c>
      <c r="K1125" s="20" t="s">
        <v>137</v>
      </c>
      <c r="L1125" s="20" t="s">
        <v>137</v>
      </c>
      <c r="M1125" s="20" t="s">
        <v>1713</v>
      </c>
      <c r="Q1125" s="24" t="s">
        <v>680</v>
      </c>
    </row>
    <row r="1126" spans="1:17" hidden="1" x14ac:dyDescent="0.3">
      <c r="A1126" s="20">
        <f t="shared" si="17"/>
        <v>1125</v>
      </c>
      <c r="B1126" s="21" t="s">
        <v>87</v>
      </c>
      <c r="C1126" s="21" t="s">
        <v>91</v>
      </c>
      <c r="D1126" s="22" t="str">
        <f>IF($C1126="","",IFERROR(VLOOKUP($C1126,Map_Register!$A$2:$C$5,3,FALSE()),""))</f>
        <v>Cultural Heritage Area</v>
      </c>
      <c r="E1126" s="21" t="s">
        <v>15</v>
      </c>
      <c r="F1126" s="23">
        <v>20503</v>
      </c>
      <c r="G1126" s="20" t="s">
        <v>1537</v>
      </c>
      <c r="H1126" s="20" t="s">
        <v>1818</v>
      </c>
      <c r="I1126" s="20" t="s">
        <v>678</v>
      </c>
      <c r="J1126" s="20" t="s">
        <v>8</v>
      </c>
      <c r="K1126" s="20" t="s">
        <v>107</v>
      </c>
      <c r="L1126" s="20" t="s">
        <v>107</v>
      </c>
      <c r="M1126" s="20" t="s">
        <v>1696</v>
      </c>
      <c r="N1126" s="20" t="s">
        <v>108</v>
      </c>
      <c r="Q1126" s="24" t="s">
        <v>680</v>
      </c>
    </row>
    <row r="1127" spans="1:17" x14ac:dyDescent="0.3">
      <c r="A1127" s="20">
        <f t="shared" si="17"/>
        <v>1126</v>
      </c>
      <c r="B1127" s="21" t="s">
        <v>87</v>
      </c>
      <c r="C1127" s="21" t="s">
        <v>91</v>
      </c>
      <c r="D1127" s="22" t="str">
        <f>IF($C1127="","",IFERROR(VLOOKUP($C1127,Map_Register!$A$2:$C$5,3,FALSE()),""))</f>
        <v>Cultural Heritage Area</v>
      </c>
      <c r="E1127" s="21" t="s">
        <v>15</v>
      </c>
      <c r="F1127" s="23">
        <v>22189</v>
      </c>
      <c r="G1127" s="20" t="s">
        <v>1537</v>
      </c>
      <c r="H1127" s="20" t="s">
        <v>1819</v>
      </c>
      <c r="I1127" s="20" t="s">
        <v>678</v>
      </c>
      <c r="J1127" s="20" t="s">
        <v>8</v>
      </c>
      <c r="K1127" s="20" t="s">
        <v>107</v>
      </c>
      <c r="L1127" t="s">
        <v>108</v>
      </c>
      <c r="M1127" s="20" t="s">
        <v>1700</v>
      </c>
      <c r="N1127" s="20" t="s">
        <v>108</v>
      </c>
      <c r="Q1127" s="24" t="s">
        <v>680</v>
      </c>
    </row>
    <row r="1128" spans="1:17" x14ac:dyDescent="0.3">
      <c r="A1128" s="20">
        <f t="shared" si="17"/>
        <v>1127</v>
      </c>
      <c r="B1128" s="21" t="s">
        <v>87</v>
      </c>
      <c r="C1128" s="21" t="s">
        <v>91</v>
      </c>
      <c r="D1128" s="22" t="str">
        <f>IF($C1128="","",IFERROR(VLOOKUP($C1128,Map_Register!$A$2:$C$5,3,FALSE()),""))</f>
        <v>Cultural Heritage Area</v>
      </c>
      <c r="E1128" s="21" t="s">
        <v>15</v>
      </c>
      <c r="F1128" s="23">
        <v>22940</v>
      </c>
      <c r="G1128" s="20" t="s">
        <v>1537</v>
      </c>
      <c r="H1128" s="20" t="s">
        <v>1820</v>
      </c>
      <c r="I1128" s="20" t="s">
        <v>678</v>
      </c>
      <c r="J1128" s="20" t="s">
        <v>8</v>
      </c>
      <c r="K1128" s="20" t="s">
        <v>107</v>
      </c>
      <c r="L1128" t="s">
        <v>108</v>
      </c>
      <c r="M1128" s="20" t="s">
        <v>1700</v>
      </c>
      <c r="N1128" s="20" t="s">
        <v>108</v>
      </c>
      <c r="Q1128" s="24" t="s">
        <v>680</v>
      </c>
    </row>
    <row r="1129" spans="1:17" hidden="1" x14ac:dyDescent="0.3">
      <c r="A1129" s="20">
        <f t="shared" si="17"/>
        <v>1128</v>
      </c>
      <c r="B1129" s="21" t="s">
        <v>87</v>
      </c>
      <c r="C1129" s="21" t="s">
        <v>91</v>
      </c>
      <c r="D1129" s="22" t="str">
        <f>IF($C1129="","",IFERROR(VLOOKUP($C1129,Map_Register!$A$2:$C$5,3,FALSE()),""))</f>
        <v>Cultural Heritage Area</v>
      </c>
      <c r="E1129" s="21" t="s">
        <v>15</v>
      </c>
      <c r="F1129" s="23">
        <v>23134</v>
      </c>
      <c r="G1129" s="20" t="s">
        <v>1537</v>
      </c>
      <c r="H1129" s="20" t="s">
        <v>1821</v>
      </c>
      <c r="I1129" s="20" t="s">
        <v>678</v>
      </c>
      <c r="J1129" s="20" t="s">
        <v>6</v>
      </c>
      <c r="K1129" s="20" t="s">
        <v>137</v>
      </c>
      <c r="L1129" s="20" t="s">
        <v>137</v>
      </c>
      <c r="M1129" s="20" t="s">
        <v>1713</v>
      </c>
      <c r="Q1129" s="24" t="s">
        <v>680</v>
      </c>
    </row>
    <row r="1130" spans="1:17" hidden="1" x14ac:dyDescent="0.3">
      <c r="A1130" s="20">
        <f t="shared" si="17"/>
        <v>1129</v>
      </c>
      <c r="B1130" s="21" t="s">
        <v>87</v>
      </c>
      <c r="C1130" s="21" t="s">
        <v>91</v>
      </c>
      <c r="D1130" s="22" t="str">
        <f>IF($C1130="","",IFERROR(VLOOKUP($C1130,Map_Register!$A$2:$C$5,3,FALSE()),""))</f>
        <v>Cultural Heritage Area</v>
      </c>
      <c r="E1130" s="21" t="s">
        <v>15</v>
      </c>
      <c r="F1130" s="23">
        <v>24167</v>
      </c>
      <c r="G1130" s="20" t="s">
        <v>1537</v>
      </c>
      <c r="H1130" s="20" t="s">
        <v>1822</v>
      </c>
      <c r="I1130" s="20" t="s">
        <v>678</v>
      </c>
      <c r="J1130" s="20" t="s">
        <v>6</v>
      </c>
      <c r="K1130" s="20" t="s">
        <v>137</v>
      </c>
      <c r="L1130" s="20" t="s">
        <v>137</v>
      </c>
      <c r="M1130" s="20" t="s">
        <v>1713</v>
      </c>
      <c r="Q1130" s="24" t="s">
        <v>680</v>
      </c>
    </row>
    <row r="1131" spans="1:17" x14ac:dyDescent="0.3">
      <c r="A1131" s="20">
        <f t="shared" si="17"/>
        <v>1130</v>
      </c>
      <c r="B1131" s="21" t="s">
        <v>87</v>
      </c>
      <c r="C1131" s="21" t="s">
        <v>91</v>
      </c>
      <c r="D1131" s="22" t="str">
        <f>IF($C1131="","",IFERROR(VLOOKUP($C1131,Map_Register!$A$2:$C$5,3,FALSE()),""))</f>
        <v>Cultural Heritage Area</v>
      </c>
      <c r="E1131" s="21" t="s">
        <v>15</v>
      </c>
      <c r="F1131" s="23">
        <v>24358</v>
      </c>
      <c r="G1131" s="20" t="s">
        <v>1537</v>
      </c>
      <c r="H1131" s="20" t="s">
        <v>1823</v>
      </c>
      <c r="I1131" s="20" t="s">
        <v>678</v>
      </c>
      <c r="J1131" s="20" t="s">
        <v>8</v>
      </c>
      <c r="K1131" s="20" t="s">
        <v>107</v>
      </c>
      <c r="L1131" t="s">
        <v>108</v>
      </c>
      <c r="M1131" s="20" t="s">
        <v>1700</v>
      </c>
      <c r="N1131" s="20" t="s">
        <v>108</v>
      </c>
      <c r="Q1131" s="24" t="s">
        <v>680</v>
      </c>
    </row>
    <row r="1132" spans="1:17" hidden="1" x14ac:dyDescent="0.3">
      <c r="A1132" s="20">
        <f t="shared" si="17"/>
        <v>1131</v>
      </c>
      <c r="B1132" s="21" t="s">
        <v>87</v>
      </c>
      <c r="C1132" s="21" t="s">
        <v>91</v>
      </c>
      <c r="D1132" s="22" t="str">
        <f>IF($C1132="","",IFERROR(VLOOKUP($C1132,Map_Register!$A$2:$C$5,3,FALSE()),""))</f>
        <v>Cultural Heritage Area</v>
      </c>
      <c r="E1132" s="21" t="s">
        <v>15</v>
      </c>
      <c r="F1132" s="23">
        <v>24888</v>
      </c>
      <c r="G1132" s="20" t="s">
        <v>1537</v>
      </c>
      <c r="H1132" s="20" t="s">
        <v>1824</v>
      </c>
      <c r="I1132" s="20" t="s">
        <v>678</v>
      </c>
      <c r="J1132" s="20" t="s">
        <v>6</v>
      </c>
      <c r="K1132" s="20" t="s">
        <v>137</v>
      </c>
      <c r="L1132" s="20" t="s">
        <v>137</v>
      </c>
      <c r="M1132" s="20" t="s">
        <v>1713</v>
      </c>
      <c r="Q1132" s="24" t="s">
        <v>680</v>
      </c>
    </row>
    <row r="1133" spans="1:17" hidden="1" x14ac:dyDescent="0.3">
      <c r="A1133" s="20">
        <f t="shared" si="17"/>
        <v>1132</v>
      </c>
      <c r="B1133" s="21" t="s">
        <v>87</v>
      </c>
      <c r="C1133" s="21" t="s">
        <v>91</v>
      </c>
      <c r="D1133" s="22" t="str">
        <f>IF($C1133="","",IFERROR(VLOOKUP($C1133,Map_Register!$A$2:$C$5,3,FALSE()),""))</f>
        <v>Cultural Heritage Area</v>
      </c>
      <c r="E1133" s="21" t="s">
        <v>15</v>
      </c>
      <c r="F1133" s="23">
        <v>25246</v>
      </c>
      <c r="G1133" s="20" t="s">
        <v>1537</v>
      </c>
      <c r="H1133" s="20" t="s">
        <v>1825</v>
      </c>
      <c r="I1133" s="20" t="s">
        <v>678</v>
      </c>
      <c r="J1133" s="20" t="s">
        <v>6</v>
      </c>
      <c r="K1133" s="20" t="s">
        <v>137</v>
      </c>
      <c r="L1133" s="20" t="s">
        <v>137</v>
      </c>
      <c r="M1133" s="20" t="s">
        <v>1724</v>
      </c>
      <c r="Q1133" s="24" t="s">
        <v>680</v>
      </c>
    </row>
    <row r="1134" spans="1:17" hidden="1" x14ac:dyDescent="0.3">
      <c r="A1134" s="20">
        <f t="shared" si="17"/>
        <v>1133</v>
      </c>
      <c r="B1134" s="21" t="s">
        <v>87</v>
      </c>
      <c r="C1134" s="21" t="s">
        <v>91</v>
      </c>
      <c r="D1134" s="22" t="str">
        <f>IF($C1134="","",IFERROR(VLOOKUP($C1134,Map_Register!$A$2:$C$5,3,FALSE()),""))</f>
        <v>Cultural Heritage Area</v>
      </c>
      <c r="E1134" s="21" t="s">
        <v>15</v>
      </c>
      <c r="F1134" s="23">
        <v>25256</v>
      </c>
      <c r="G1134" s="20" t="s">
        <v>1537</v>
      </c>
      <c r="H1134" s="20" t="s">
        <v>1826</v>
      </c>
      <c r="I1134" s="20" t="s">
        <v>678</v>
      </c>
      <c r="J1134" s="20" t="s">
        <v>8</v>
      </c>
      <c r="K1134" s="20" t="s">
        <v>107</v>
      </c>
      <c r="L1134" s="20" t="s">
        <v>107</v>
      </c>
      <c r="M1134" s="20" t="s">
        <v>1705</v>
      </c>
      <c r="N1134" s="20" t="s">
        <v>108</v>
      </c>
      <c r="Q1134" s="24" t="s">
        <v>680</v>
      </c>
    </row>
    <row r="1135" spans="1:17" x14ac:dyDescent="0.3">
      <c r="A1135" s="20">
        <f t="shared" si="17"/>
        <v>1134</v>
      </c>
      <c r="B1135" s="21" t="s">
        <v>87</v>
      </c>
      <c r="C1135" s="21" t="s">
        <v>91</v>
      </c>
      <c r="D1135" s="22" t="str">
        <f>IF($C1135="","",IFERROR(VLOOKUP($C1135,Map_Register!$A$2:$C$5,3,FALSE()),""))</f>
        <v>Cultural Heritage Area</v>
      </c>
      <c r="E1135" s="21" t="s">
        <v>15</v>
      </c>
      <c r="F1135" s="23">
        <v>25693</v>
      </c>
      <c r="G1135" s="20" t="s">
        <v>1537</v>
      </c>
      <c r="H1135" s="20" t="s">
        <v>1827</v>
      </c>
      <c r="I1135" s="20" t="s">
        <v>678</v>
      </c>
      <c r="J1135" s="20" t="s">
        <v>8</v>
      </c>
      <c r="K1135" s="20" t="s">
        <v>107</v>
      </c>
      <c r="L1135" t="s">
        <v>108</v>
      </c>
      <c r="M1135" s="20" t="s">
        <v>1798</v>
      </c>
      <c r="N1135" s="20" t="s">
        <v>108</v>
      </c>
      <c r="Q1135" s="24" t="s">
        <v>680</v>
      </c>
    </row>
    <row r="1136" spans="1:17" hidden="1" x14ac:dyDescent="0.3">
      <c r="A1136" s="20">
        <f t="shared" si="17"/>
        <v>1135</v>
      </c>
      <c r="B1136" s="21" t="s">
        <v>87</v>
      </c>
      <c r="C1136" s="21" t="s">
        <v>91</v>
      </c>
      <c r="D1136" s="22" t="str">
        <f>IF($C1136="","",IFERROR(VLOOKUP($C1136,Map_Register!$A$2:$C$5,3,FALSE()),""))</f>
        <v>Cultural Heritage Area</v>
      </c>
      <c r="E1136" s="21" t="s">
        <v>15</v>
      </c>
      <c r="F1136" s="23">
        <v>25720</v>
      </c>
      <c r="G1136" s="20" t="s">
        <v>1537</v>
      </c>
      <c r="H1136" s="20" t="s">
        <v>1828</v>
      </c>
      <c r="I1136" s="20" t="s">
        <v>678</v>
      </c>
      <c r="J1136" s="20" t="s">
        <v>6</v>
      </c>
      <c r="K1136" s="20" t="s">
        <v>137</v>
      </c>
      <c r="L1136" s="20" t="s">
        <v>137</v>
      </c>
      <c r="M1136" s="20" t="s">
        <v>1713</v>
      </c>
      <c r="Q1136" s="24" t="s">
        <v>680</v>
      </c>
    </row>
    <row r="1137" spans="1:17" x14ac:dyDescent="0.3">
      <c r="A1137" s="20">
        <f t="shared" si="17"/>
        <v>1136</v>
      </c>
      <c r="B1137" s="21" t="s">
        <v>87</v>
      </c>
      <c r="C1137" s="21" t="s">
        <v>91</v>
      </c>
      <c r="D1137" s="22" t="str">
        <f>IF($C1137="","",IFERROR(VLOOKUP($C1137,Map_Register!$A$2:$C$5,3,FALSE()),""))</f>
        <v>Cultural Heritage Area</v>
      </c>
      <c r="E1137" s="21" t="s">
        <v>15</v>
      </c>
      <c r="F1137" s="23">
        <v>25903</v>
      </c>
      <c r="G1137" s="20" t="s">
        <v>1537</v>
      </c>
      <c r="H1137" s="20" t="s">
        <v>1829</v>
      </c>
      <c r="I1137" s="20" t="s">
        <v>678</v>
      </c>
      <c r="J1137" s="20" t="s">
        <v>8</v>
      </c>
      <c r="K1137" s="20" t="s">
        <v>107</v>
      </c>
      <c r="L1137" t="s">
        <v>108</v>
      </c>
      <c r="M1137" s="20" t="s">
        <v>1700</v>
      </c>
      <c r="N1137" s="20" t="s">
        <v>108</v>
      </c>
      <c r="Q1137" s="24" t="s">
        <v>680</v>
      </c>
    </row>
    <row r="1138" spans="1:17" x14ac:dyDescent="0.3">
      <c r="A1138" s="20">
        <f t="shared" si="17"/>
        <v>1137</v>
      </c>
      <c r="B1138" s="21" t="s">
        <v>87</v>
      </c>
      <c r="C1138" s="21" t="s">
        <v>91</v>
      </c>
      <c r="D1138" s="22" t="str">
        <f>IF($C1138="","",IFERROR(VLOOKUP($C1138,Map_Register!$A$2:$C$5,3,FALSE()),""))</f>
        <v>Cultural Heritage Area</v>
      </c>
      <c r="E1138" s="21" t="s">
        <v>15</v>
      </c>
      <c r="F1138" s="23">
        <v>26117</v>
      </c>
      <c r="G1138" s="20" t="s">
        <v>1537</v>
      </c>
      <c r="H1138" s="20" t="s">
        <v>1830</v>
      </c>
      <c r="I1138" s="20" t="s">
        <v>678</v>
      </c>
      <c r="J1138" s="20" t="s">
        <v>8</v>
      </c>
      <c r="K1138" s="20" t="s">
        <v>107</v>
      </c>
      <c r="L1138" t="s">
        <v>108</v>
      </c>
      <c r="M1138" s="20" t="s">
        <v>1700</v>
      </c>
      <c r="N1138" s="20" t="s">
        <v>108</v>
      </c>
      <c r="Q1138" s="24" t="s">
        <v>680</v>
      </c>
    </row>
    <row r="1139" spans="1:17" x14ac:dyDescent="0.3">
      <c r="A1139" s="20">
        <f t="shared" si="17"/>
        <v>1138</v>
      </c>
      <c r="B1139" s="21" t="s">
        <v>87</v>
      </c>
      <c r="C1139" s="21" t="s">
        <v>91</v>
      </c>
      <c r="D1139" s="22" t="str">
        <f>IF($C1139="","",IFERROR(VLOOKUP($C1139,Map_Register!$A$2:$C$5,3,FALSE()),""))</f>
        <v>Cultural Heritage Area</v>
      </c>
      <c r="E1139" s="21" t="s">
        <v>15</v>
      </c>
      <c r="F1139" s="23">
        <v>27897</v>
      </c>
      <c r="G1139" s="20" t="s">
        <v>1537</v>
      </c>
      <c r="H1139" s="20" t="s">
        <v>1831</v>
      </c>
      <c r="I1139" s="20" t="s">
        <v>678</v>
      </c>
      <c r="J1139" s="20" t="s">
        <v>8</v>
      </c>
      <c r="K1139" s="20" t="s">
        <v>107</v>
      </c>
      <c r="L1139" t="s">
        <v>108</v>
      </c>
      <c r="M1139" s="20" t="s">
        <v>1815</v>
      </c>
      <c r="N1139" s="20" t="s">
        <v>108</v>
      </c>
      <c r="Q1139" s="24" t="s">
        <v>680</v>
      </c>
    </row>
    <row r="1140" spans="1:17" hidden="1" x14ac:dyDescent="0.3">
      <c r="A1140" s="20">
        <f t="shared" si="17"/>
        <v>1139</v>
      </c>
      <c r="B1140" s="21" t="s">
        <v>87</v>
      </c>
      <c r="C1140" s="21" t="s">
        <v>91</v>
      </c>
      <c r="D1140" s="22" t="str">
        <f>IF($C1140="","",IFERROR(VLOOKUP($C1140,Map_Register!$A$2:$C$5,3,FALSE()),""))</f>
        <v>Cultural Heritage Area</v>
      </c>
      <c r="E1140" s="21" t="s">
        <v>15</v>
      </c>
      <c r="F1140" s="23">
        <v>28074</v>
      </c>
      <c r="G1140" s="20" t="s">
        <v>1537</v>
      </c>
      <c r="H1140" s="20" t="s">
        <v>1832</v>
      </c>
      <c r="I1140" s="20" t="s">
        <v>678</v>
      </c>
      <c r="J1140" s="20" t="s">
        <v>6</v>
      </c>
      <c r="K1140" s="20" t="s">
        <v>137</v>
      </c>
      <c r="L1140" s="20" t="s">
        <v>137</v>
      </c>
      <c r="M1140" s="20" t="s">
        <v>1713</v>
      </c>
      <c r="Q1140" s="24" t="s">
        <v>680</v>
      </c>
    </row>
    <row r="1141" spans="1:17" hidden="1" x14ac:dyDescent="0.3">
      <c r="A1141" s="20">
        <f t="shared" si="17"/>
        <v>1140</v>
      </c>
      <c r="B1141" s="21" t="s">
        <v>87</v>
      </c>
      <c r="C1141" s="21" t="s">
        <v>91</v>
      </c>
      <c r="D1141" s="22" t="str">
        <f>IF($C1141="","",IFERROR(VLOOKUP($C1141,Map_Register!$A$2:$C$5,3,FALSE()),""))</f>
        <v>Cultural Heritage Area</v>
      </c>
      <c r="E1141" s="21" t="s">
        <v>15</v>
      </c>
      <c r="F1141" s="23">
        <v>28125</v>
      </c>
      <c r="G1141" s="20" t="s">
        <v>1537</v>
      </c>
      <c r="H1141" s="20" t="s">
        <v>1833</v>
      </c>
      <c r="I1141" s="20" t="s">
        <v>678</v>
      </c>
      <c r="J1141" s="20" t="s">
        <v>6</v>
      </c>
      <c r="K1141" s="20" t="s">
        <v>137</v>
      </c>
      <c r="L1141" s="20" t="s">
        <v>137</v>
      </c>
      <c r="M1141" s="20" t="s">
        <v>1713</v>
      </c>
      <c r="Q1141" s="24" t="s">
        <v>680</v>
      </c>
    </row>
    <row r="1142" spans="1:17" hidden="1" x14ac:dyDescent="0.3">
      <c r="A1142" s="20">
        <f t="shared" si="17"/>
        <v>1141</v>
      </c>
      <c r="B1142" s="21" t="s">
        <v>87</v>
      </c>
      <c r="C1142" s="21" t="s">
        <v>91</v>
      </c>
      <c r="D1142" s="22" t="str">
        <f>IF($C1142="","",IFERROR(VLOOKUP($C1142,Map_Register!$A$2:$C$5,3,FALSE()),""))</f>
        <v>Cultural Heritage Area</v>
      </c>
      <c r="E1142" s="21" t="s">
        <v>15</v>
      </c>
      <c r="F1142" s="23">
        <v>28736</v>
      </c>
      <c r="G1142" s="20" t="s">
        <v>1537</v>
      </c>
      <c r="H1142" s="20" t="s">
        <v>1834</v>
      </c>
      <c r="I1142" s="20" t="s">
        <v>678</v>
      </c>
      <c r="J1142" s="20" t="s">
        <v>6</v>
      </c>
      <c r="K1142" s="20" t="s">
        <v>137</v>
      </c>
      <c r="L1142" s="20" t="s">
        <v>137</v>
      </c>
      <c r="M1142" s="20" t="s">
        <v>1713</v>
      </c>
      <c r="Q1142" s="24" t="s">
        <v>680</v>
      </c>
    </row>
    <row r="1143" spans="1:17" hidden="1" x14ac:dyDescent="0.3">
      <c r="A1143" s="20">
        <f t="shared" si="17"/>
        <v>1142</v>
      </c>
      <c r="B1143" s="21" t="s">
        <v>87</v>
      </c>
      <c r="C1143" s="21" t="s">
        <v>91</v>
      </c>
      <c r="D1143" s="22" t="str">
        <f>IF($C1143="","",IFERROR(VLOOKUP($C1143,Map_Register!$A$2:$C$5,3,FALSE()),""))</f>
        <v>Cultural Heritage Area</v>
      </c>
      <c r="E1143" s="21" t="s">
        <v>15</v>
      </c>
      <c r="F1143" s="23">
        <v>29090</v>
      </c>
      <c r="G1143" s="20" t="s">
        <v>1537</v>
      </c>
      <c r="H1143" s="20" t="s">
        <v>1835</v>
      </c>
      <c r="I1143" s="20" t="s">
        <v>678</v>
      </c>
      <c r="J1143" s="20" t="s">
        <v>6</v>
      </c>
      <c r="K1143" s="20" t="s">
        <v>137</v>
      </c>
      <c r="L1143" s="20" t="s">
        <v>137</v>
      </c>
      <c r="M1143" s="20" t="s">
        <v>1713</v>
      </c>
      <c r="Q1143" s="24" t="s">
        <v>680</v>
      </c>
    </row>
    <row r="1144" spans="1:17" hidden="1" x14ac:dyDescent="0.3">
      <c r="A1144" s="20">
        <f t="shared" si="17"/>
        <v>1143</v>
      </c>
      <c r="B1144" s="21" t="s">
        <v>87</v>
      </c>
      <c r="C1144" s="21" t="s">
        <v>91</v>
      </c>
      <c r="D1144" s="22" t="str">
        <f>IF($C1144="","",IFERROR(VLOOKUP($C1144,Map_Register!$A$2:$C$5,3,FALSE()),""))</f>
        <v>Cultural Heritage Area</v>
      </c>
      <c r="E1144" s="21" t="s">
        <v>15</v>
      </c>
      <c r="F1144" s="23">
        <v>29522</v>
      </c>
      <c r="G1144" s="20" t="s">
        <v>1537</v>
      </c>
      <c r="H1144" s="20" t="s">
        <v>1836</v>
      </c>
      <c r="I1144" s="20" t="s">
        <v>678</v>
      </c>
      <c r="J1144" s="20" t="s">
        <v>6</v>
      </c>
      <c r="K1144" s="20" t="s">
        <v>137</v>
      </c>
      <c r="L1144" s="20" t="s">
        <v>137</v>
      </c>
      <c r="M1144" s="20" t="s">
        <v>1713</v>
      </c>
      <c r="Q1144" s="24" t="s">
        <v>680</v>
      </c>
    </row>
    <row r="1145" spans="1:17" hidden="1" x14ac:dyDescent="0.3">
      <c r="A1145" s="20">
        <f t="shared" si="17"/>
        <v>1144</v>
      </c>
      <c r="B1145" s="21" t="s">
        <v>87</v>
      </c>
      <c r="C1145" s="21" t="s">
        <v>91</v>
      </c>
      <c r="D1145" s="22" t="str">
        <f>IF($C1145="","",IFERROR(VLOOKUP($C1145,Map_Register!$A$2:$C$5,3,FALSE()),""))</f>
        <v>Cultural Heritage Area</v>
      </c>
      <c r="E1145" s="21" t="s">
        <v>15</v>
      </c>
      <c r="F1145" s="23">
        <v>32453</v>
      </c>
      <c r="G1145" s="20" t="s">
        <v>1537</v>
      </c>
      <c r="H1145" s="20" t="s">
        <v>1837</v>
      </c>
      <c r="I1145" s="20" t="s">
        <v>678</v>
      </c>
      <c r="J1145" s="20" t="s">
        <v>6</v>
      </c>
      <c r="K1145" s="20" t="s">
        <v>137</v>
      </c>
      <c r="L1145" s="20" t="s">
        <v>137</v>
      </c>
      <c r="M1145" s="20" t="s">
        <v>1713</v>
      </c>
      <c r="Q1145" s="24" t="s">
        <v>680</v>
      </c>
    </row>
    <row r="1146" spans="1:17" x14ac:dyDescent="0.3">
      <c r="A1146" s="20">
        <f t="shared" si="17"/>
        <v>1145</v>
      </c>
      <c r="B1146" s="21" t="s">
        <v>87</v>
      </c>
      <c r="C1146" s="21" t="s">
        <v>91</v>
      </c>
      <c r="D1146" s="22" t="str">
        <f>IF($C1146="","",IFERROR(VLOOKUP($C1146,Map_Register!$A$2:$C$5,3,FALSE()),""))</f>
        <v>Cultural Heritage Area</v>
      </c>
      <c r="E1146" s="21" t="s">
        <v>15</v>
      </c>
      <c r="F1146" s="23">
        <v>32910</v>
      </c>
      <c r="G1146" s="20" t="s">
        <v>1537</v>
      </c>
      <c r="H1146" s="20" t="s">
        <v>1838</v>
      </c>
      <c r="I1146" s="20" t="s">
        <v>678</v>
      </c>
      <c r="J1146" s="20" t="s">
        <v>8</v>
      </c>
      <c r="K1146" s="20" t="s">
        <v>107</v>
      </c>
      <c r="L1146" t="s">
        <v>108</v>
      </c>
      <c r="M1146" s="20" t="s">
        <v>1700</v>
      </c>
      <c r="N1146" s="20" t="s">
        <v>108</v>
      </c>
      <c r="Q1146" s="24" t="s">
        <v>680</v>
      </c>
    </row>
    <row r="1147" spans="1:17" hidden="1" x14ac:dyDescent="0.3">
      <c r="A1147" s="20">
        <f t="shared" si="17"/>
        <v>1146</v>
      </c>
      <c r="B1147" s="21" t="s">
        <v>87</v>
      </c>
      <c r="C1147" s="21" t="s">
        <v>91</v>
      </c>
      <c r="D1147" s="22" t="str">
        <f>IF($C1147="","",IFERROR(VLOOKUP($C1147,Map_Register!$A$2:$C$5,3,FALSE()),""))</f>
        <v>Cultural Heritage Area</v>
      </c>
      <c r="E1147" s="21" t="s">
        <v>15</v>
      </c>
      <c r="F1147" s="23">
        <v>35923</v>
      </c>
      <c r="G1147" s="20" t="s">
        <v>1537</v>
      </c>
      <c r="H1147" s="20" t="s">
        <v>1839</v>
      </c>
      <c r="I1147" s="20" t="s">
        <v>678</v>
      </c>
      <c r="J1147" s="20" t="s">
        <v>6</v>
      </c>
      <c r="K1147" s="20" t="s">
        <v>137</v>
      </c>
      <c r="L1147" s="20" t="s">
        <v>137</v>
      </c>
      <c r="M1147" s="20" t="s">
        <v>1713</v>
      </c>
      <c r="Q1147" s="24" t="s">
        <v>680</v>
      </c>
    </row>
    <row r="1148" spans="1:17" hidden="1" x14ac:dyDescent="0.3">
      <c r="A1148" s="20">
        <f t="shared" si="17"/>
        <v>1147</v>
      </c>
      <c r="B1148" s="21" t="s">
        <v>87</v>
      </c>
      <c r="C1148" s="21" t="s">
        <v>91</v>
      </c>
      <c r="D1148" s="22" t="str">
        <f>IF($C1148="","",IFERROR(VLOOKUP($C1148,Map_Register!$A$2:$C$5,3,FALSE()),""))</f>
        <v>Cultural Heritage Area</v>
      </c>
      <c r="E1148" s="21" t="s">
        <v>15</v>
      </c>
      <c r="F1148" s="23">
        <v>36054</v>
      </c>
      <c r="G1148" s="20" t="s">
        <v>1537</v>
      </c>
      <c r="H1148" s="20" t="s">
        <v>1840</v>
      </c>
      <c r="I1148" s="20" t="s">
        <v>678</v>
      </c>
      <c r="J1148" s="20" t="s">
        <v>8</v>
      </c>
      <c r="K1148" s="20" t="s">
        <v>107</v>
      </c>
      <c r="L1148" s="20" t="s">
        <v>107</v>
      </c>
      <c r="M1148" s="20" t="s">
        <v>1696</v>
      </c>
      <c r="N1148" s="20" t="s">
        <v>108</v>
      </c>
      <c r="Q1148" s="24" t="s">
        <v>680</v>
      </c>
    </row>
    <row r="1149" spans="1:17" hidden="1" x14ac:dyDescent="0.3">
      <c r="A1149" s="20">
        <f t="shared" si="17"/>
        <v>1148</v>
      </c>
      <c r="B1149" s="21" t="s">
        <v>87</v>
      </c>
      <c r="C1149" s="21" t="s">
        <v>91</v>
      </c>
      <c r="D1149" s="22" t="str">
        <f>IF($C1149="","",IFERROR(VLOOKUP($C1149,Map_Register!$A$2:$C$5,3,FALSE()),""))</f>
        <v>Cultural Heritage Area</v>
      </c>
      <c r="E1149" s="21" t="s">
        <v>15</v>
      </c>
      <c r="F1149" s="23">
        <v>36500</v>
      </c>
      <c r="G1149" s="20" t="s">
        <v>1537</v>
      </c>
      <c r="H1149" s="20" t="s">
        <v>1841</v>
      </c>
      <c r="I1149" s="20" t="s">
        <v>678</v>
      </c>
      <c r="J1149" s="20" t="s">
        <v>6</v>
      </c>
      <c r="K1149" s="20" t="s">
        <v>137</v>
      </c>
      <c r="L1149" s="20" t="s">
        <v>137</v>
      </c>
      <c r="M1149" s="20" t="s">
        <v>1713</v>
      </c>
      <c r="Q1149" s="24" t="s">
        <v>680</v>
      </c>
    </row>
    <row r="1150" spans="1:17" hidden="1" x14ac:dyDescent="0.3">
      <c r="A1150" s="20">
        <f t="shared" si="17"/>
        <v>1149</v>
      </c>
      <c r="B1150" s="21" t="s">
        <v>87</v>
      </c>
      <c r="C1150" s="21" t="s">
        <v>91</v>
      </c>
      <c r="D1150" s="22" t="str">
        <f>IF($C1150="","",IFERROR(VLOOKUP($C1150,Map_Register!$A$2:$C$5,3,FALSE()),""))</f>
        <v>Cultural Heritage Area</v>
      </c>
      <c r="E1150" s="21" t="s">
        <v>15</v>
      </c>
      <c r="F1150" s="23">
        <v>37054</v>
      </c>
      <c r="G1150" s="20" t="s">
        <v>1537</v>
      </c>
      <c r="H1150" s="20" t="s">
        <v>1842</v>
      </c>
      <c r="I1150" s="20" t="s">
        <v>678</v>
      </c>
      <c r="J1150" s="20" t="s">
        <v>6</v>
      </c>
      <c r="K1150" s="20" t="s">
        <v>137</v>
      </c>
      <c r="L1150" s="20" t="s">
        <v>137</v>
      </c>
      <c r="M1150" s="20" t="s">
        <v>1843</v>
      </c>
      <c r="Q1150" s="24" t="s">
        <v>680</v>
      </c>
    </row>
    <row r="1151" spans="1:17" hidden="1" x14ac:dyDescent="0.3">
      <c r="A1151" s="20">
        <f t="shared" si="17"/>
        <v>1150</v>
      </c>
      <c r="B1151" s="21" t="s">
        <v>87</v>
      </c>
      <c r="C1151" s="21" t="s">
        <v>91</v>
      </c>
      <c r="D1151" s="22" t="str">
        <f>IF($C1151="","",IFERROR(VLOOKUP($C1151,Map_Register!$A$2:$C$5,3,FALSE()),""))</f>
        <v>Cultural Heritage Area</v>
      </c>
      <c r="E1151" s="21" t="s">
        <v>15</v>
      </c>
      <c r="F1151" s="23">
        <v>37518</v>
      </c>
      <c r="G1151" s="20" t="s">
        <v>1537</v>
      </c>
      <c r="H1151" s="20" t="s">
        <v>1844</v>
      </c>
      <c r="I1151" s="20" t="s">
        <v>678</v>
      </c>
      <c r="J1151" s="20" t="s">
        <v>6</v>
      </c>
      <c r="K1151" s="20" t="s">
        <v>137</v>
      </c>
      <c r="L1151" s="20" t="s">
        <v>137</v>
      </c>
      <c r="M1151" s="20" t="s">
        <v>1713</v>
      </c>
      <c r="Q1151" s="24" t="s">
        <v>680</v>
      </c>
    </row>
    <row r="1152" spans="1:17" hidden="1" x14ac:dyDescent="0.3">
      <c r="A1152" s="20">
        <f t="shared" si="17"/>
        <v>1151</v>
      </c>
      <c r="B1152" s="21" t="s">
        <v>87</v>
      </c>
      <c r="C1152" s="21" t="s">
        <v>91</v>
      </c>
      <c r="D1152" s="22" t="str">
        <f>IF($C1152="","",IFERROR(VLOOKUP($C1152,Map_Register!$A$2:$C$5,3,FALSE()),""))</f>
        <v>Cultural Heritage Area</v>
      </c>
      <c r="E1152" s="21" t="s">
        <v>15</v>
      </c>
      <c r="F1152" s="23">
        <v>38969</v>
      </c>
      <c r="G1152" s="20" t="s">
        <v>1537</v>
      </c>
      <c r="H1152" s="20" t="s">
        <v>1845</v>
      </c>
      <c r="I1152" s="20" t="s">
        <v>678</v>
      </c>
      <c r="J1152" s="20" t="s">
        <v>6</v>
      </c>
      <c r="K1152" s="20" t="s">
        <v>137</v>
      </c>
      <c r="L1152" s="20" t="s">
        <v>137</v>
      </c>
      <c r="M1152" s="20" t="s">
        <v>1846</v>
      </c>
      <c r="Q1152" s="24" t="s">
        <v>680</v>
      </c>
    </row>
    <row r="1153" spans="1:17" hidden="1" x14ac:dyDescent="0.3">
      <c r="A1153" s="20">
        <f t="shared" si="17"/>
        <v>1152</v>
      </c>
      <c r="B1153" s="21" t="s">
        <v>87</v>
      </c>
      <c r="C1153" s="21" t="s">
        <v>91</v>
      </c>
      <c r="D1153" s="22" t="str">
        <f>IF($C1153="","",IFERROR(VLOOKUP($C1153,Map_Register!$A$2:$C$5,3,FALSE()),""))</f>
        <v>Cultural Heritage Area</v>
      </c>
      <c r="E1153" s="21" t="s">
        <v>15</v>
      </c>
      <c r="F1153" s="23">
        <v>39145</v>
      </c>
      <c r="G1153" s="20" t="s">
        <v>1537</v>
      </c>
      <c r="H1153" s="20" t="s">
        <v>1847</v>
      </c>
      <c r="I1153" s="20" t="s">
        <v>678</v>
      </c>
      <c r="J1153" s="20" t="s">
        <v>8</v>
      </c>
      <c r="K1153" s="20" t="s">
        <v>107</v>
      </c>
      <c r="L1153" s="20" t="s">
        <v>107</v>
      </c>
      <c r="M1153" s="20" t="s">
        <v>1696</v>
      </c>
      <c r="N1153" s="20" t="s">
        <v>108</v>
      </c>
      <c r="Q1153" s="24" t="s">
        <v>680</v>
      </c>
    </row>
    <row r="1154" spans="1:17" hidden="1" x14ac:dyDescent="0.3">
      <c r="A1154" s="20">
        <f t="shared" ref="A1154:A1217" si="18">IF($B1154="","",ROW()-1)</f>
        <v>1153</v>
      </c>
      <c r="B1154" s="21" t="s">
        <v>87</v>
      </c>
      <c r="C1154" s="21" t="s">
        <v>91</v>
      </c>
      <c r="D1154" s="22" t="str">
        <f>IF($C1154="","",IFERROR(VLOOKUP($C1154,Map_Register!$A$2:$C$5,3,FALSE()),""))</f>
        <v>Cultural Heritage Area</v>
      </c>
      <c r="E1154" s="21" t="s">
        <v>15</v>
      </c>
      <c r="F1154" s="23">
        <v>41923</v>
      </c>
      <c r="G1154" s="20" t="s">
        <v>1537</v>
      </c>
      <c r="H1154" s="20" t="s">
        <v>1848</v>
      </c>
      <c r="I1154" s="20" t="s">
        <v>678</v>
      </c>
      <c r="J1154" s="20" t="s">
        <v>6</v>
      </c>
      <c r="K1154" s="20" t="s">
        <v>137</v>
      </c>
      <c r="L1154" s="20" t="s">
        <v>137</v>
      </c>
      <c r="M1154" s="20" t="s">
        <v>1846</v>
      </c>
      <c r="Q1154" s="24" t="s">
        <v>680</v>
      </c>
    </row>
    <row r="1155" spans="1:17" x14ac:dyDescent="0.3">
      <c r="A1155" s="20">
        <f t="shared" si="18"/>
        <v>1154</v>
      </c>
      <c r="B1155" s="21" t="s">
        <v>87</v>
      </c>
      <c r="C1155" s="21" t="s">
        <v>91</v>
      </c>
      <c r="D1155" s="22" t="str">
        <f>IF($C1155="","",IFERROR(VLOOKUP($C1155,Map_Register!$A$2:$C$5,3,FALSE()),""))</f>
        <v>Cultural Heritage Area</v>
      </c>
      <c r="E1155" s="21" t="s">
        <v>15</v>
      </c>
      <c r="F1155" s="23">
        <v>42234</v>
      </c>
      <c r="G1155" s="20" t="s">
        <v>1537</v>
      </c>
      <c r="H1155" s="20" t="s">
        <v>1849</v>
      </c>
      <c r="I1155" s="20" t="s">
        <v>678</v>
      </c>
      <c r="J1155" s="20" t="s">
        <v>8</v>
      </c>
      <c r="K1155" s="20" t="s">
        <v>107</v>
      </c>
      <c r="L1155" t="s">
        <v>108</v>
      </c>
      <c r="M1155" s="20" t="s">
        <v>1722</v>
      </c>
      <c r="N1155" s="20" t="s">
        <v>108</v>
      </c>
      <c r="Q1155" s="24" t="s">
        <v>680</v>
      </c>
    </row>
    <row r="1156" spans="1:17" x14ac:dyDescent="0.3">
      <c r="A1156" s="20">
        <f t="shared" si="18"/>
        <v>1155</v>
      </c>
      <c r="B1156" s="21" t="s">
        <v>87</v>
      </c>
      <c r="C1156" s="21" t="s">
        <v>91</v>
      </c>
      <c r="D1156" s="22" t="str">
        <f>IF($C1156="","",IFERROR(VLOOKUP($C1156,Map_Register!$A$2:$C$5,3,FALSE()),""))</f>
        <v>Cultural Heritage Area</v>
      </c>
      <c r="E1156" s="21" t="s">
        <v>15</v>
      </c>
      <c r="F1156" s="23">
        <v>42404</v>
      </c>
      <c r="G1156" s="20" t="s">
        <v>1537</v>
      </c>
      <c r="H1156" s="20" t="s">
        <v>1850</v>
      </c>
      <c r="I1156" s="20" t="s">
        <v>678</v>
      </c>
      <c r="J1156" s="20" t="s">
        <v>8</v>
      </c>
      <c r="K1156" s="20" t="s">
        <v>107</v>
      </c>
      <c r="L1156" t="s">
        <v>108</v>
      </c>
      <c r="M1156" s="20" t="s">
        <v>1722</v>
      </c>
      <c r="N1156" s="20" t="s">
        <v>108</v>
      </c>
      <c r="Q1156" s="24" t="s">
        <v>680</v>
      </c>
    </row>
    <row r="1157" spans="1:17" x14ac:dyDescent="0.3">
      <c r="A1157" s="20">
        <f t="shared" si="18"/>
        <v>1156</v>
      </c>
      <c r="B1157" s="21" t="s">
        <v>87</v>
      </c>
      <c r="C1157" s="21" t="s">
        <v>91</v>
      </c>
      <c r="D1157" s="22" t="str">
        <f>IF($C1157="","",IFERROR(VLOOKUP($C1157,Map_Register!$A$2:$C$5,3,FALSE()),""))</f>
        <v>Cultural Heritage Area</v>
      </c>
      <c r="E1157" s="21" t="s">
        <v>15</v>
      </c>
      <c r="F1157" s="23">
        <v>43305</v>
      </c>
      <c r="G1157" s="20" t="s">
        <v>1537</v>
      </c>
      <c r="H1157" s="20" t="s">
        <v>1851</v>
      </c>
      <c r="I1157" s="20" t="s">
        <v>678</v>
      </c>
      <c r="J1157" s="20" t="s">
        <v>8</v>
      </c>
      <c r="K1157" s="20" t="s">
        <v>107</v>
      </c>
      <c r="L1157" t="s">
        <v>108</v>
      </c>
      <c r="M1157" s="20" t="s">
        <v>1722</v>
      </c>
      <c r="N1157" s="20" t="s">
        <v>108</v>
      </c>
      <c r="Q1157" s="24" t="s">
        <v>680</v>
      </c>
    </row>
    <row r="1158" spans="1:17" x14ac:dyDescent="0.3">
      <c r="A1158" s="20">
        <f t="shared" si="18"/>
        <v>1157</v>
      </c>
      <c r="B1158" s="21" t="s">
        <v>87</v>
      </c>
      <c r="C1158" s="21" t="s">
        <v>91</v>
      </c>
      <c r="D1158" s="22" t="str">
        <f>IF($C1158="","",IFERROR(VLOOKUP($C1158,Map_Register!$A$2:$C$5,3,FALSE()),""))</f>
        <v>Cultural Heritage Area</v>
      </c>
      <c r="E1158" s="21" t="s">
        <v>15</v>
      </c>
      <c r="F1158" s="23">
        <v>43435</v>
      </c>
      <c r="G1158" s="20" t="s">
        <v>1537</v>
      </c>
      <c r="H1158" s="20" t="s">
        <v>1850</v>
      </c>
      <c r="I1158" s="20" t="s">
        <v>678</v>
      </c>
      <c r="J1158" s="20" t="s">
        <v>8</v>
      </c>
      <c r="K1158" s="20" t="s">
        <v>107</v>
      </c>
      <c r="L1158" t="s">
        <v>108</v>
      </c>
      <c r="M1158" s="20" t="s">
        <v>1722</v>
      </c>
      <c r="N1158" s="20" t="s">
        <v>108</v>
      </c>
      <c r="Q1158" s="24" t="s">
        <v>680</v>
      </c>
    </row>
    <row r="1159" spans="1:17" hidden="1" x14ac:dyDescent="0.3">
      <c r="A1159" s="20">
        <f t="shared" si="18"/>
        <v>1158</v>
      </c>
      <c r="B1159" s="21" t="s">
        <v>87</v>
      </c>
      <c r="C1159" s="21" t="s">
        <v>91</v>
      </c>
      <c r="D1159" s="22" t="str">
        <f>IF($C1159="","",IFERROR(VLOOKUP($C1159,Map_Register!$A$2:$C$5,3,FALSE()),""))</f>
        <v>Cultural Heritage Area</v>
      </c>
      <c r="E1159" s="21" t="s">
        <v>15</v>
      </c>
      <c r="F1159" s="23">
        <v>43543</v>
      </c>
      <c r="G1159" s="20" t="s">
        <v>1537</v>
      </c>
      <c r="H1159" s="20" t="s">
        <v>1852</v>
      </c>
      <c r="I1159" s="20" t="s">
        <v>678</v>
      </c>
      <c r="J1159" s="20" t="s">
        <v>6</v>
      </c>
      <c r="K1159" s="20" t="s">
        <v>137</v>
      </c>
      <c r="L1159" s="20" t="s">
        <v>137</v>
      </c>
      <c r="M1159" s="20" t="s">
        <v>1713</v>
      </c>
      <c r="Q1159" s="24" t="s">
        <v>680</v>
      </c>
    </row>
    <row r="1160" spans="1:17" hidden="1" x14ac:dyDescent="0.3">
      <c r="A1160" s="20">
        <f t="shared" si="18"/>
        <v>1159</v>
      </c>
      <c r="B1160" s="21" t="s">
        <v>87</v>
      </c>
      <c r="C1160" s="21" t="s">
        <v>91</v>
      </c>
      <c r="D1160" s="22" t="str">
        <f>IF($C1160="","",IFERROR(VLOOKUP($C1160,Map_Register!$A$2:$C$5,3,FALSE()),""))</f>
        <v>Cultural Heritage Area</v>
      </c>
      <c r="E1160" s="21" t="s">
        <v>15</v>
      </c>
      <c r="F1160" s="23">
        <v>44131</v>
      </c>
      <c r="G1160" s="20" t="s">
        <v>1537</v>
      </c>
      <c r="H1160" s="20" t="s">
        <v>1853</v>
      </c>
      <c r="I1160" s="20" t="s">
        <v>678</v>
      </c>
      <c r="J1160" s="20" t="s">
        <v>6</v>
      </c>
      <c r="K1160" s="20" t="s">
        <v>137</v>
      </c>
      <c r="L1160" s="20" t="s">
        <v>137</v>
      </c>
      <c r="M1160" s="20" t="s">
        <v>1846</v>
      </c>
      <c r="Q1160" s="24" t="s">
        <v>680</v>
      </c>
    </row>
    <row r="1161" spans="1:17" hidden="1" x14ac:dyDescent="0.3">
      <c r="A1161" s="20">
        <f t="shared" si="18"/>
        <v>1160</v>
      </c>
      <c r="B1161" s="21" t="s">
        <v>87</v>
      </c>
      <c r="C1161" s="21" t="s">
        <v>91</v>
      </c>
      <c r="D1161" s="22" t="str">
        <f>IF($C1161="","",IFERROR(VLOOKUP($C1161,Map_Register!$A$2:$C$5,3,FALSE()),""))</f>
        <v>Cultural Heritage Area</v>
      </c>
      <c r="E1161" s="21" t="s">
        <v>15</v>
      </c>
      <c r="F1161" s="23">
        <v>44134</v>
      </c>
      <c r="G1161" s="20" t="s">
        <v>1537</v>
      </c>
      <c r="H1161" s="20" t="s">
        <v>1854</v>
      </c>
      <c r="I1161" s="20" t="s">
        <v>678</v>
      </c>
      <c r="J1161" s="20" t="s">
        <v>6</v>
      </c>
      <c r="K1161" s="20" t="s">
        <v>137</v>
      </c>
      <c r="L1161" s="20" t="s">
        <v>137</v>
      </c>
      <c r="M1161" s="20" t="s">
        <v>1713</v>
      </c>
      <c r="Q1161" s="24" t="s">
        <v>680</v>
      </c>
    </row>
    <row r="1162" spans="1:17" hidden="1" x14ac:dyDescent="0.3">
      <c r="A1162" s="20">
        <f t="shared" si="18"/>
        <v>1161</v>
      </c>
      <c r="B1162" s="21" t="s">
        <v>87</v>
      </c>
      <c r="C1162" s="21" t="s">
        <v>91</v>
      </c>
      <c r="D1162" s="22" t="str">
        <f>IF($C1162="","",IFERROR(VLOOKUP($C1162,Map_Register!$A$2:$C$5,3,FALSE()),""))</f>
        <v>Cultural Heritage Area</v>
      </c>
      <c r="E1162" s="21" t="s">
        <v>15</v>
      </c>
      <c r="F1162" s="23">
        <v>44543</v>
      </c>
      <c r="G1162" s="20" t="s">
        <v>1537</v>
      </c>
      <c r="H1162" s="20" t="s">
        <v>1855</v>
      </c>
      <c r="I1162" s="20" t="s">
        <v>678</v>
      </c>
      <c r="J1162" s="20" t="s">
        <v>8</v>
      </c>
      <c r="K1162" s="20" t="s">
        <v>107</v>
      </c>
      <c r="L1162" s="20" t="s">
        <v>107</v>
      </c>
      <c r="M1162" s="20" t="s">
        <v>1696</v>
      </c>
      <c r="N1162" s="20" t="s">
        <v>108</v>
      </c>
      <c r="Q1162" s="24" t="s">
        <v>680</v>
      </c>
    </row>
    <row r="1163" spans="1:17" hidden="1" x14ac:dyDescent="0.3">
      <c r="A1163" s="20">
        <f t="shared" si="18"/>
        <v>1162</v>
      </c>
      <c r="B1163" s="21" t="s">
        <v>87</v>
      </c>
      <c r="C1163" s="21" t="s">
        <v>91</v>
      </c>
      <c r="D1163" s="22" t="str">
        <f>IF($C1163="","",IFERROR(VLOOKUP($C1163,Map_Register!$A$2:$C$5,3,FALSE()),""))</f>
        <v>Cultural Heritage Area</v>
      </c>
      <c r="E1163" s="21" t="s">
        <v>15</v>
      </c>
      <c r="F1163" s="23">
        <v>44554</v>
      </c>
      <c r="G1163" s="20" t="s">
        <v>1537</v>
      </c>
      <c r="H1163" s="20" t="s">
        <v>1856</v>
      </c>
      <c r="I1163" s="20" t="s">
        <v>678</v>
      </c>
      <c r="J1163" s="20" t="s">
        <v>6</v>
      </c>
      <c r="K1163" s="20" t="s">
        <v>137</v>
      </c>
      <c r="L1163" s="20" t="s">
        <v>137</v>
      </c>
      <c r="M1163" s="20" t="s">
        <v>1713</v>
      </c>
      <c r="Q1163" s="24" t="s">
        <v>680</v>
      </c>
    </row>
    <row r="1164" spans="1:17" x14ac:dyDescent="0.3">
      <c r="A1164" s="20">
        <f t="shared" si="18"/>
        <v>1163</v>
      </c>
      <c r="B1164" s="21" t="s">
        <v>87</v>
      </c>
      <c r="C1164" s="21" t="s">
        <v>91</v>
      </c>
      <c r="D1164" s="22" t="str">
        <f>IF($C1164="","",IFERROR(VLOOKUP($C1164,Map_Register!$A$2:$C$5,3,FALSE()),""))</f>
        <v>Cultural Heritage Area</v>
      </c>
      <c r="E1164" s="21" t="s">
        <v>15</v>
      </c>
      <c r="F1164" s="23">
        <v>45034</v>
      </c>
      <c r="G1164" s="20" t="s">
        <v>1537</v>
      </c>
      <c r="H1164" s="20" t="s">
        <v>1857</v>
      </c>
      <c r="I1164" s="20" t="s">
        <v>678</v>
      </c>
      <c r="J1164" s="20" t="s">
        <v>8</v>
      </c>
      <c r="K1164" s="20" t="s">
        <v>107</v>
      </c>
      <c r="L1164" t="s">
        <v>108</v>
      </c>
      <c r="M1164" s="20" t="s">
        <v>1700</v>
      </c>
      <c r="N1164" s="20" t="s">
        <v>108</v>
      </c>
      <c r="Q1164" s="24" t="s">
        <v>680</v>
      </c>
    </row>
    <row r="1165" spans="1:17" hidden="1" x14ac:dyDescent="0.3">
      <c r="A1165" s="20">
        <f t="shared" si="18"/>
        <v>1164</v>
      </c>
      <c r="B1165" s="21" t="s">
        <v>87</v>
      </c>
      <c r="C1165" s="21" t="s">
        <v>91</v>
      </c>
      <c r="D1165" s="22" t="str">
        <f>IF($C1165="","",IFERROR(VLOOKUP($C1165,Map_Register!$A$2:$C$5,3,FALSE()),""))</f>
        <v>Cultural Heritage Area</v>
      </c>
      <c r="E1165" s="21" t="s">
        <v>15</v>
      </c>
      <c r="F1165" s="23">
        <v>45871</v>
      </c>
      <c r="G1165" s="20" t="s">
        <v>1537</v>
      </c>
      <c r="H1165" s="20" t="s">
        <v>1858</v>
      </c>
      <c r="I1165" s="20" t="s">
        <v>678</v>
      </c>
      <c r="J1165" s="20" t="s">
        <v>8</v>
      </c>
      <c r="K1165" s="20" t="s">
        <v>107</v>
      </c>
      <c r="L1165" s="20" t="s">
        <v>107</v>
      </c>
      <c r="M1165" s="20" t="s">
        <v>1696</v>
      </c>
      <c r="N1165" s="20" t="s">
        <v>108</v>
      </c>
      <c r="Q1165" s="24" t="s">
        <v>680</v>
      </c>
    </row>
    <row r="1166" spans="1:17" hidden="1" x14ac:dyDescent="0.3">
      <c r="A1166" s="20">
        <f t="shared" si="18"/>
        <v>1165</v>
      </c>
      <c r="B1166" s="21" t="s">
        <v>87</v>
      </c>
      <c r="C1166" s="21" t="s">
        <v>91</v>
      </c>
      <c r="D1166" s="22" t="str">
        <f>IF($C1166="","",IFERROR(VLOOKUP($C1166,Map_Register!$A$2:$C$5,3,FALSE()),""))</f>
        <v>Cultural Heritage Area</v>
      </c>
      <c r="E1166" s="21" t="s">
        <v>15</v>
      </c>
      <c r="F1166" s="23">
        <v>45964</v>
      </c>
      <c r="G1166" s="20" t="s">
        <v>1537</v>
      </c>
      <c r="H1166" s="20" t="s">
        <v>1859</v>
      </c>
      <c r="I1166" s="20" t="s">
        <v>678</v>
      </c>
      <c r="J1166" s="20" t="s">
        <v>6</v>
      </c>
      <c r="K1166" s="20" t="s">
        <v>137</v>
      </c>
      <c r="L1166" s="20" t="s">
        <v>137</v>
      </c>
      <c r="M1166" s="20" t="s">
        <v>1713</v>
      </c>
      <c r="Q1166" s="24" t="s">
        <v>680</v>
      </c>
    </row>
    <row r="1167" spans="1:17" hidden="1" x14ac:dyDescent="0.3">
      <c r="A1167" s="20">
        <f t="shared" si="18"/>
        <v>1166</v>
      </c>
      <c r="B1167" s="21" t="s">
        <v>87</v>
      </c>
      <c r="C1167" s="21" t="s">
        <v>91</v>
      </c>
      <c r="D1167" s="22" t="str">
        <f>IF($C1167="","",IFERROR(VLOOKUP($C1167,Map_Register!$A$2:$C$5,3,FALSE()),""))</f>
        <v>Cultural Heritage Area</v>
      </c>
      <c r="E1167" s="21" t="s">
        <v>15</v>
      </c>
      <c r="F1167" s="23">
        <v>46599</v>
      </c>
      <c r="G1167" s="20" t="s">
        <v>1537</v>
      </c>
      <c r="H1167" s="20" t="s">
        <v>1860</v>
      </c>
      <c r="I1167" s="20" t="s">
        <v>678</v>
      </c>
      <c r="J1167" s="20" t="s">
        <v>6</v>
      </c>
      <c r="K1167" s="20" t="s">
        <v>137</v>
      </c>
      <c r="L1167" s="20" t="s">
        <v>137</v>
      </c>
      <c r="M1167" s="20" t="s">
        <v>1713</v>
      </c>
      <c r="Q1167" s="24" t="s">
        <v>680</v>
      </c>
    </row>
    <row r="1168" spans="1:17" hidden="1" x14ac:dyDescent="0.3">
      <c r="A1168" s="20">
        <f t="shared" si="18"/>
        <v>1167</v>
      </c>
      <c r="B1168" s="21" t="s">
        <v>87</v>
      </c>
      <c r="C1168" s="21" t="s">
        <v>91</v>
      </c>
      <c r="D1168" s="22" t="str">
        <f>IF($C1168="","",IFERROR(VLOOKUP($C1168,Map_Register!$A$2:$C$5,3,FALSE()),""))</f>
        <v>Cultural Heritage Area</v>
      </c>
      <c r="E1168" s="21" t="s">
        <v>15</v>
      </c>
      <c r="F1168" s="23">
        <v>47043</v>
      </c>
      <c r="G1168" s="20" t="s">
        <v>1537</v>
      </c>
      <c r="H1168" s="20" t="s">
        <v>1861</v>
      </c>
      <c r="I1168" s="20" t="s">
        <v>678</v>
      </c>
      <c r="J1168" s="20" t="s">
        <v>6</v>
      </c>
      <c r="K1168" s="20" t="s">
        <v>137</v>
      </c>
      <c r="L1168" s="20" t="s">
        <v>137</v>
      </c>
      <c r="M1168" s="20" t="s">
        <v>1713</v>
      </c>
      <c r="Q1168" s="24" t="s">
        <v>680</v>
      </c>
    </row>
    <row r="1169" spans="1:17" hidden="1" x14ac:dyDescent="0.3">
      <c r="A1169" s="20">
        <f t="shared" si="18"/>
        <v>1168</v>
      </c>
      <c r="B1169" s="21" t="s">
        <v>87</v>
      </c>
      <c r="C1169" s="21" t="s">
        <v>91</v>
      </c>
      <c r="D1169" s="22" t="str">
        <f>IF($C1169="","",IFERROR(VLOOKUP($C1169,Map_Register!$A$2:$C$5,3,FALSE()),""))</f>
        <v>Cultural Heritage Area</v>
      </c>
      <c r="E1169" s="21" t="s">
        <v>15</v>
      </c>
      <c r="F1169" s="23">
        <v>47144</v>
      </c>
      <c r="G1169" s="20" t="s">
        <v>1537</v>
      </c>
      <c r="H1169" s="20" t="s">
        <v>1862</v>
      </c>
      <c r="I1169" s="20" t="s">
        <v>678</v>
      </c>
      <c r="J1169" s="20" t="s">
        <v>6</v>
      </c>
      <c r="K1169" s="20" t="s">
        <v>137</v>
      </c>
      <c r="L1169" s="20" t="s">
        <v>137</v>
      </c>
      <c r="M1169" s="20" t="s">
        <v>1713</v>
      </c>
      <c r="Q1169" s="24" t="s">
        <v>680</v>
      </c>
    </row>
    <row r="1170" spans="1:17" hidden="1" x14ac:dyDescent="0.3">
      <c r="A1170" s="20">
        <f t="shared" si="18"/>
        <v>1169</v>
      </c>
      <c r="B1170" s="21" t="s">
        <v>87</v>
      </c>
      <c r="C1170" s="21" t="s">
        <v>91</v>
      </c>
      <c r="D1170" s="22" t="str">
        <f>IF($C1170="","",IFERROR(VLOOKUP($C1170,Map_Register!$A$2:$C$5,3,FALSE()),""))</f>
        <v>Cultural Heritage Area</v>
      </c>
      <c r="E1170" s="21" t="s">
        <v>15</v>
      </c>
      <c r="F1170" s="23">
        <v>47497</v>
      </c>
      <c r="G1170" s="20" t="s">
        <v>1537</v>
      </c>
      <c r="H1170" s="20" t="s">
        <v>1863</v>
      </c>
      <c r="I1170" s="20" t="s">
        <v>678</v>
      </c>
      <c r="J1170" s="20" t="s">
        <v>6</v>
      </c>
      <c r="K1170" s="20" t="s">
        <v>137</v>
      </c>
      <c r="L1170" s="20" t="s">
        <v>137</v>
      </c>
      <c r="M1170" s="20" t="s">
        <v>1713</v>
      </c>
      <c r="Q1170" s="24" t="s">
        <v>680</v>
      </c>
    </row>
    <row r="1171" spans="1:17" hidden="1" x14ac:dyDescent="0.3">
      <c r="A1171" s="20">
        <f t="shared" si="18"/>
        <v>1170</v>
      </c>
      <c r="B1171" s="21" t="s">
        <v>87</v>
      </c>
      <c r="C1171" s="21" t="s">
        <v>91</v>
      </c>
      <c r="D1171" s="22" t="str">
        <f>IF($C1171="","",IFERROR(VLOOKUP($C1171,Map_Register!$A$2:$C$5,3,FALSE()),""))</f>
        <v>Cultural Heritage Area</v>
      </c>
      <c r="E1171" s="21" t="s">
        <v>15</v>
      </c>
      <c r="F1171" s="23">
        <v>47664</v>
      </c>
      <c r="G1171" s="20" t="s">
        <v>1537</v>
      </c>
      <c r="H1171" s="20" t="s">
        <v>1864</v>
      </c>
      <c r="I1171" s="20" t="s">
        <v>678</v>
      </c>
      <c r="J1171" s="20" t="s">
        <v>6</v>
      </c>
      <c r="K1171" s="20" t="s">
        <v>137</v>
      </c>
      <c r="L1171" s="20" t="s">
        <v>137</v>
      </c>
      <c r="M1171" s="20" t="s">
        <v>1713</v>
      </c>
      <c r="Q1171" s="24" t="s">
        <v>680</v>
      </c>
    </row>
    <row r="1172" spans="1:17" hidden="1" x14ac:dyDescent="0.3">
      <c r="A1172" s="20">
        <f t="shared" si="18"/>
        <v>1171</v>
      </c>
      <c r="B1172" s="21" t="s">
        <v>87</v>
      </c>
      <c r="C1172" s="21" t="s">
        <v>91</v>
      </c>
      <c r="D1172" s="22" t="str">
        <f>IF($C1172="","",IFERROR(VLOOKUP($C1172,Map_Register!$A$2:$C$5,3,FALSE()),""))</f>
        <v>Cultural Heritage Area</v>
      </c>
      <c r="E1172" s="21" t="s">
        <v>15</v>
      </c>
      <c r="F1172" s="23">
        <v>48650</v>
      </c>
      <c r="G1172" s="20" t="s">
        <v>1537</v>
      </c>
      <c r="H1172" s="20" t="s">
        <v>1865</v>
      </c>
      <c r="I1172" s="20" t="s">
        <v>678</v>
      </c>
      <c r="J1172" s="20" t="s">
        <v>6</v>
      </c>
      <c r="K1172" s="20" t="s">
        <v>137</v>
      </c>
      <c r="L1172" s="20" t="s">
        <v>137</v>
      </c>
      <c r="M1172" s="20" t="s">
        <v>1713</v>
      </c>
      <c r="Q1172" s="24" t="s">
        <v>680</v>
      </c>
    </row>
    <row r="1173" spans="1:17" x14ac:dyDescent="0.3">
      <c r="A1173" s="20">
        <f t="shared" si="18"/>
        <v>1172</v>
      </c>
      <c r="B1173" s="21" t="s">
        <v>87</v>
      </c>
      <c r="C1173" s="21" t="s">
        <v>91</v>
      </c>
      <c r="D1173" s="22" t="str">
        <f>IF($C1173="","",IFERROR(VLOOKUP($C1173,Map_Register!$A$2:$C$5,3,FALSE()),""))</f>
        <v>Cultural Heritage Area</v>
      </c>
      <c r="E1173" s="21" t="s">
        <v>15</v>
      </c>
      <c r="F1173" s="23">
        <v>50926</v>
      </c>
      <c r="G1173" s="20" t="s">
        <v>1537</v>
      </c>
      <c r="H1173" s="20" t="s">
        <v>1866</v>
      </c>
      <c r="I1173" s="20" t="s">
        <v>678</v>
      </c>
      <c r="J1173" s="20" t="s">
        <v>8</v>
      </c>
      <c r="K1173" s="20" t="s">
        <v>107</v>
      </c>
      <c r="L1173" t="s">
        <v>108</v>
      </c>
      <c r="M1173" s="20" t="s">
        <v>1798</v>
      </c>
      <c r="N1173" s="20" t="s">
        <v>108</v>
      </c>
      <c r="Q1173" s="24" t="s">
        <v>680</v>
      </c>
    </row>
    <row r="1174" spans="1:17" hidden="1" x14ac:dyDescent="0.3">
      <c r="A1174" s="20">
        <f t="shared" si="18"/>
        <v>1173</v>
      </c>
      <c r="B1174" s="21" t="s">
        <v>87</v>
      </c>
      <c r="C1174" s="21" t="s">
        <v>91</v>
      </c>
      <c r="D1174" s="22" t="str">
        <f>IF($C1174="","",IFERROR(VLOOKUP($C1174,Map_Register!$A$2:$C$5,3,FALSE()),""))</f>
        <v>Cultural Heritage Area</v>
      </c>
      <c r="E1174" s="21" t="s">
        <v>15</v>
      </c>
      <c r="F1174" s="23">
        <v>51629</v>
      </c>
      <c r="G1174" s="20" t="s">
        <v>1537</v>
      </c>
      <c r="H1174" s="20" t="s">
        <v>1867</v>
      </c>
      <c r="I1174" s="20" t="s">
        <v>678</v>
      </c>
      <c r="J1174" s="20" t="s">
        <v>220</v>
      </c>
      <c r="K1174" s="20" t="s">
        <v>137</v>
      </c>
      <c r="L1174" s="20" t="s">
        <v>137</v>
      </c>
      <c r="M1174" s="20" t="s">
        <v>1868</v>
      </c>
      <c r="P1174" s="20" t="s">
        <v>1869</v>
      </c>
      <c r="Q1174" s="24" t="s">
        <v>680</v>
      </c>
    </row>
    <row r="1175" spans="1:17" hidden="1" x14ac:dyDescent="0.3">
      <c r="A1175" s="20">
        <f t="shared" si="18"/>
        <v>1174</v>
      </c>
      <c r="B1175" s="21" t="s">
        <v>87</v>
      </c>
      <c r="C1175" s="21" t="s">
        <v>91</v>
      </c>
      <c r="D1175" s="22" t="str">
        <f>IF($C1175="","",IFERROR(VLOOKUP($C1175,Map_Register!$A$2:$C$5,3,FALSE()),""))</f>
        <v>Cultural Heritage Area</v>
      </c>
      <c r="E1175" s="21" t="s">
        <v>15</v>
      </c>
      <c r="F1175" s="23">
        <v>51674</v>
      </c>
      <c r="G1175" s="20" t="s">
        <v>1537</v>
      </c>
      <c r="H1175" s="20" t="s">
        <v>1870</v>
      </c>
      <c r="I1175" s="20" t="s">
        <v>678</v>
      </c>
      <c r="J1175" s="20" t="s">
        <v>220</v>
      </c>
      <c r="K1175" s="20" t="s">
        <v>137</v>
      </c>
      <c r="L1175" s="20" t="s">
        <v>137</v>
      </c>
      <c r="M1175" s="20" t="s">
        <v>1871</v>
      </c>
      <c r="Q1175" s="24" t="s">
        <v>680</v>
      </c>
    </row>
    <row r="1176" spans="1:17" hidden="1" x14ac:dyDescent="0.3">
      <c r="A1176" s="20">
        <f t="shared" si="18"/>
        <v>1175</v>
      </c>
      <c r="B1176" s="21" t="s">
        <v>87</v>
      </c>
      <c r="C1176" s="21" t="s">
        <v>91</v>
      </c>
      <c r="D1176" s="22" t="str">
        <f>IF($C1176="","",IFERROR(VLOOKUP($C1176,Map_Register!$A$2:$C$5,3,FALSE()),""))</f>
        <v>Cultural Heritage Area</v>
      </c>
      <c r="E1176" s="21" t="s">
        <v>15</v>
      </c>
      <c r="F1176" s="23">
        <v>54726</v>
      </c>
      <c r="G1176" s="20" t="s">
        <v>1537</v>
      </c>
      <c r="H1176" s="20" t="s">
        <v>1872</v>
      </c>
      <c r="I1176" s="20" t="s">
        <v>678</v>
      </c>
      <c r="J1176" s="20" t="s">
        <v>220</v>
      </c>
      <c r="K1176" s="20" t="s">
        <v>137</v>
      </c>
      <c r="L1176" s="20" t="s">
        <v>137</v>
      </c>
      <c r="M1176" s="20" t="s">
        <v>1873</v>
      </c>
      <c r="P1176" s="20" t="s">
        <v>1869</v>
      </c>
      <c r="Q1176" s="24" t="s">
        <v>680</v>
      </c>
    </row>
    <row r="1177" spans="1:17" hidden="1" x14ac:dyDescent="0.3">
      <c r="A1177" s="20">
        <f t="shared" si="18"/>
        <v>1176</v>
      </c>
      <c r="B1177" s="21" t="s">
        <v>87</v>
      </c>
      <c r="C1177" s="21" t="s">
        <v>91</v>
      </c>
      <c r="D1177" s="22" t="str">
        <f>IF($C1177="","",IFERROR(VLOOKUP($C1177,Map_Register!$A$2:$C$5,3,FALSE()),""))</f>
        <v>Cultural Heritage Area</v>
      </c>
      <c r="E1177" s="21" t="s">
        <v>15</v>
      </c>
      <c r="F1177" s="23">
        <v>55138</v>
      </c>
      <c r="G1177" s="20" t="s">
        <v>1537</v>
      </c>
      <c r="H1177" s="20" t="s">
        <v>1874</v>
      </c>
      <c r="I1177" s="20" t="s">
        <v>678</v>
      </c>
      <c r="J1177" s="20" t="s">
        <v>6</v>
      </c>
      <c r="K1177" s="20" t="s">
        <v>137</v>
      </c>
      <c r="L1177" s="20" t="s">
        <v>137</v>
      </c>
      <c r="M1177" s="20" t="s">
        <v>1875</v>
      </c>
      <c r="Q1177" s="24" t="s">
        <v>680</v>
      </c>
    </row>
    <row r="1178" spans="1:17" hidden="1" x14ac:dyDescent="0.3">
      <c r="A1178" s="20">
        <f t="shared" si="18"/>
        <v>1177</v>
      </c>
      <c r="B1178" s="21" t="s">
        <v>87</v>
      </c>
      <c r="C1178" s="21" t="s">
        <v>91</v>
      </c>
      <c r="D1178" s="22" t="str">
        <f>IF($C1178="","",IFERROR(VLOOKUP($C1178,Map_Register!$A$2:$C$5,3,FALSE()),""))</f>
        <v>Cultural Heritage Area</v>
      </c>
      <c r="E1178" s="21" t="s">
        <v>15</v>
      </c>
      <c r="F1178" s="23">
        <v>55287</v>
      </c>
      <c r="G1178" s="20" t="s">
        <v>1537</v>
      </c>
      <c r="H1178" s="20" t="s">
        <v>1876</v>
      </c>
      <c r="I1178" s="20" t="s">
        <v>678</v>
      </c>
      <c r="J1178" s="20" t="s">
        <v>6</v>
      </c>
      <c r="K1178" s="20" t="s">
        <v>137</v>
      </c>
      <c r="L1178" s="20" t="s">
        <v>137</v>
      </c>
      <c r="M1178" s="20" t="s">
        <v>1694</v>
      </c>
      <c r="Q1178" s="24" t="s">
        <v>680</v>
      </c>
    </row>
    <row r="1179" spans="1:17" hidden="1" x14ac:dyDescent="0.3">
      <c r="A1179" s="20">
        <f t="shared" si="18"/>
        <v>1178</v>
      </c>
      <c r="B1179" s="21" t="s">
        <v>87</v>
      </c>
      <c r="C1179" s="21" t="s">
        <v>91</v>
      </c>
      <c r="D1179" s="22" t="str">
        <f>IF($C1179="","",IFERROR(VLOOKUP($C1179,Map_Register!$A$2:$C$5,3,FALSE()),""))</f>
        <v>Cultural Heritage Area</v>
      </c>
      <c r="E1179" s="21" t="s">
        <v>15</v>
      </c>
      <c r="F1179" s="23">
        <v>57925</v>
      </c>
      <c r="G1179" s="20" t="s">
        <v>1560</v>
      </c>
      <c r="H1179" s="20" t="s">
        <v>1877</v>
      </c>
      <c r="I1179" s="20" t="s">
        <v>678</v>
      </c>
      <c r="J1179" s="20" t="s">
        <v>6</v>
      </c>
      <c r="K1179" s="20" t="s">
        <v>137</v>
      </c>
      <c r="L1179" s="20" t="s">
        <v>137</v>
      </c>
      <c r="M1179" s="20" t="s">
        <v>1846</v>
      </c>
      <c r="Q1179" s="24" t="s">
        <v>680</v>
      </c>
    </row>
    <row r="1180" spans="1:17" hidden="1" x14ac:dyDescent="0.3">
      <c r="A1180" s="20">
        <f t="shared" si="18"/>
        <v>1179</v>
      </c>
      <c r="B1180" s="21" t="s">
        <v>87</v>
      </c>
      <c r="C1180" s="21" t="s">
        <v>91</v>
      </c>
      <c r="D1180" s="22" t="str">
        <f>IF($C1180="","",IFERROR(VLOOKUP($C1180,Map_Register!$A$2:$C$5,3,FALSE()),""))</f>
        <v>Cultural Heritage Area</v>
      </c>
      <c r="E1180" s="21" t="s">
        <v>15</v>
      </c>
      <c r="F1180" s="23">
        <v>62931</v>
      </c>
      <c r="G1180" s="20" t="s">
        <v>1537</v>
      </c>
      <c r="H1180" s="20" t="s">
        <v>1867</v>
      </c>
      <c r="I1180" s="20" t="s">
        <v>678</v>
      </c>
      <c r="J1180" s="20" t="s">
        <v>220</v>
      </c>
      <c r="K1180" s="20" t="s">
        <v>137</v>
      </c>
      <c r="L1180" s="20" t="s">
        <v>137</v>
      </c>
      <c r="M1180" s="20" t="s">
        <v>1878</v>
      </c>
      <c r="P1180" s="20" t="s">
        <v>1869</v>
      </c>
      <c r="Q1180" s="24" t="s">
        <v>680</v>
      </c>
    </row>
    <row r="1181" spans="1:17" hidden="1" x14ac:dyDescent="0.3">
      <c r="A1181" s="20">
        <f t="shared" si="18"/>
        <v>1180</v>
      </c>
      <c r="B1181" s="21" t="s">
        <v>87</v>
      </c>
      <c r="C1181" s="21" t="s">
        <v>91</v>
      </c>
      <c r="D1181" s="22" t="str">
        <f>IF($C1181="","",IFERROR(VLOOKUP($C1181,Map_Register!$A$2:$C$5,3,FALSE()),""))</f>
        <v>Cultural Heritage Area</v>
      </c>
      <c r="E1181" s="21" t="s">
        <v>15</v>
      </c>
      <c r="F1181" s="23">
        <v>63118</v>
      </c>
      <c r="G1181" s="20" t="s">
        <v>1537</v>
      </c>
      <c r="H1181" s="20" t="s">
        <v>1879</v>
      </c>
      <c r="I1181" s="20" t="s">
        <v>678</v>
      </c>
      <c r="J1181" s="20" t="s">
        <v>220</v>
      </c>
      <c r="K1181" s="20" t="s">
        <v>137</v>
      </c>
      <c r="L1181" s="20" t="s">
        <v>137</v>
      </c>
      <c r="M1181" s="20" t="s">
        <v>1880</v>
      </c>
      <c r="P1181" s="20" t="s">
        <v>1869</v>
      </c>
      <c r="Q1181" s="24" t="s">
        <v>680</v>
      </c>
    </row>
    <row r="1182" spans="1:17" hidden="1" x14ac:dyDescent="0.3">
      <c r="A1182" s="20">
        <f t="shared" si="18"/>
        <v>1181</v>
      </c>
      <c r="B1182" s="21" t="s">
        <v>87</v>
      </c>
      <c r="C1182" s="21" t="s">
        <v>91</v>
      </c>
      <c r="D1182" s="22" t="str">
        <f>IF($C1182="","",IFERROR(VLOOKUP($C1182,Map_Register!$A$2:$C$5,3,FALSE()),""))</f>
        <v>Cultural Heritage Area</v>
      </c>
      <c r="E1182" s="21" t="s">
        <v>15</v>
      </c>
      <c r="F1182" s="23">
        <v>64176</v>
      </c>
      <c r="G1182" s="20" t="s">
        <v>1537</v>
      </c>
      <c r="H1182" s="20" t="s">
        <v>1881</v>
      </c>
      <c r="I1182" s="20" t="s">
        <v>678</v>
      </c>
      <c r="J1182" s="20" t="s">
        <v>220</v>
      </c>
      <c r="K1182" s="20" t="s">
        <v>137</v>
      </c>
      <c r="L1182" s="20" t="s">
        <v>137</v>
      </c>
      <c r="M1182" s="20" t="s">
        <v>1882</v>
      </c>
      <c r="P1182" s="20" t="s">
        <v>1869</v>
      </c>
      <c r="Q1182" s="24" t="s">
        <v>680</v>
      </c>
    </row>
    <row r="1183" spans="1:17" hidden="1" x14ac:dyDescent="0.3">
      <c r="A1183" s="20">
        <f t="shared" si="18"/>
        <v>1182</v>
      </c>
      <c r="B1183" s="21" t="s">
        <v>87</v>
      </c>
      <c r="C1183" s="21" t="s">
        <v>91</v>
      </c>
      <c r="D1183" s="22" t="str">
        <f>IF($C1183="","",IFERROR(VLOOKUP($C1183,Map_Register!$A$2:$C$5,3,FALSE()),""))</f>
        <v>Cultural Heritage Area</v>
      </c>
      <c r="E1183" s="21" t="s">
        <v>15</v>
      </c>
      <c r="F1183" s="23">
        <v>64824</v>
      </c>
      <c r="G1183" s="20" t="s">
        <v>1537</v>
      </c>
      <c r="H1183" s="20" t="s">
        <v>1883</v>
      </c>
      <c r="I1183" s="20" t="s">
        <v>678</v>
      </c>
      <c r="J1183" s="20" t="s">
        <v>220</v>
      </c>
      <c r="K1183" s="20" t="s">
        <v>137</v>
      </c>
      <c r="L1183" s="20" t="s">
        <v>137</v>
      </c>
      <c r="M1183" s="20" t="s">
        <v>1884</v>
      </c>
      <c r="P1183" s="20" t="s">
        <v>1869</v>
      </c>
      <c r="Q1183" s="24" t="s">
        <v>680</v>
      </c>
    </row>
    <row r="1184" spans="1:17" hidden="1" x14ac:dyDescent="0.3">
      <c r="A1184" s="20">
        <f t="shared" si="18"/>
        <v>1183</v>
      </c>
      <c r="B1184" s="21" t="s">
        <v>87</v>
      </c>
      <c r="C1184" s="21" t="s">
        <v>91</v>
      </c>
      <c r="D1184" s="22" t="str">
        <f>IF($C1184="","",IFERROR(VLOOKUP($C1184,Map_Register!$A$2:$C$5,3,FALSE()),""))</f>
        <v>Cultural Heritage Area</v>
      </c>
      <c r="E1184" s="21" t="s">
        <v>15</v>
      </c>
      <c r="F1184" s="23">
        <v>68107</v>
      </c>
      <c r="G1184" s="20" t="s">
        <v>1537</v>
      </c>
      <c r="H1184" s="20" t="s">
        <v>1879</v>
      </c>
      <c r="I1184" s="20" t="s">
        <v>678</v>
      </c>
      <c r="J1184" s="20" t="s">
        <v>220</v>
      </c>
      <c r="K1184" s="20" t="s">
        <v>137</v>
      </c>
      <c r="L1184" s="20" t="s">
        <v>137</v>
      </c>
      <c r="M1184" s="20" t="s">
        <v>1884</v>
      </c>
      <c r="P1184" s="20" t="s">
        <v>1869</v>
      </c>
      <c r="Q1184" s="24" t="s">
        <v>680</v>
      </c>
    </row>
    <row r="1185" spans="1:17" hidden="1" x14ac:dyDescent="0.3">
      <c r="A1185" s="20">
        <f t="shared" si="18"/>
        <v>1184</v>
      </c>
      <c r="B1185" s="21" t="s">
        <v>87</v>
      </c>
      <c r="C1185" s="21" t="s">
        <v>91</v>
      </c>
      <c r="D1185" s="22" t="str">
        <f>IF($C1185="","",IFERROR(VLOOKUP($C1185,Map_Register!$A$2:$C$5,3,FALSE()),""))</f>
        <v>Cultural Heritage Area</v>
      </c>
      <c r="E1185" s="21" t="s">
        <v>15</v>
      </c>
      <c r="F1185" s="23">
        <v>68646</v>
      </c>
      <c r="G1185" s="20" t="s">
        <v>1537</v>
      </c>
      <c r="H1185" s="20" t="s">
        <v>1813</v>
      </c>
      <c r="I1185" s="20" t="s">
        <v>678</v>
      </c>
      <c r="J1185" s="20" t="s">
        <v>6</v>
      </c>
      <c r="K1185" s="20" t="s">
        <v>137</v>
      </c>
      <c r="L1185" s="20" t="s">
        <v>137</v>
      </c>
      <c r="M1185" s="20" t="s">
        <v>1713</v>
      </c>
      <c r="Q1185" s="24" t="s">
        <v>680</v>
      </c>
    </row>
    <row r="1186" spans="1:17" hidden="1" x14ac:dyDescent="0.3">
      <c r="A1186" s="20">
        <f t="shared" si="18"/>
        <v>1185</v>
      </c>
      <c r="B1186" s="21" t="s">
        <v>87</v>
      </c>
      <c r="C1186" s="21" t="s">
        <v>91</v>
      </c>
      <c r="D1186" s="22" t="str">
        <f>IF($C1186="","",IFERROR(VLOOKUP($C1186,Map_Register!$A$2:$C$5,3,FALSE()),""))</f>
        <v>Cultural Heritage Area</v>
      </c>
      <c r="E1186" s="21" t="s">
        <v>15</v>
      </c>
      <c r="F1186" s="23">
        <v>68956</v>
      </c>
      <c r="G1186" s="20" t="s">
        <v>1537</v>
      </c>
      <c r="H1186" s="20" t="s">
        <v>1885</v>
      </c>
      <c r="I1186" s="20" t="s">
        <v>678</v>
      </c>
      <c r="J1186" s="20" t="s">
        <v>220</v>
      </c>
      <c r="K1186" s="20" t="s">
        <v>137</v>
      </c>
      <c r="L1186" s="20" t="s">
        <v>137</v>
      </c>
      <c r="M1186" s="20" t="s">
        <v>1886</v>
      </c>
      <c r="P1186" s="20" t="s">
        <v>1869</v>
      </c>
      <c r="Q1186" s="24" t="s">
        <v>680</v>
      </c>
    </row>
    <row r="1187" spans="1:17" hidden="1" x14ac:dyDescent="0.3">
      <c r="A1187" s="20">
        <f t="shared" si="18"/>
        <v>1186</v>
      </c>
      <c r="B1187" s="21" t="s">
        <v>87</v>
      </c>
      <c r="C1187" s="21" t="s">
        <v>91</v>
      </c>
      <c r="D1187" s="22" t="str">
        <f>IF($C1187="","",IFERROR(VLOOKUP($C1187,Map_Register!$A$2:$C$5,3,FALSE()),""))</f>
        <v>Cultural Heritage Area</v>
      </c>
      <c r="E1187" s="21" t="s">
        <v>15</v>
      </c>
      <c r="F1187" s="23">
        <v>71196</v>
      </c>
      <c r="G1187" s="20" t="s">
        <v>1537</v>
      </c>
      <c r="H1187" s="20" t="s">
        <v>1887</v>
      </c>
      <c r="I1187" s="20" t="s">
        <v>678</v>
      </c>
      <c r="J1187" s="20" t="s">
        <v>8</v>
      </c>
      <c r="K1187" s="20" t="s">
        <v>107</v>
      </c>
      <c r="L1187" s="20" t="s">
        <v>107</v>
      </c>
      <c r="M1187" s="20" t="s">
        <v>1696</v>
      </c>
      <c r="N1187" s="20" t="s">
        <v>108</v>
      </c>
      <c r="Q1187" s="24" t="s">
        <v>680</v>
      </c>
    </row>
    <row r="1188" spans="1:17" hidden="1" x14ac:dyDescent="0.3">
      <c r="A1188" s="20">
        <f t="shared" si="18"/>
        <v>1187</v>
      </c>
      <c r="B1188" s="21" t="s">
        <v>87</v>
      </c>
      <c r="C1188" s="21" t="s">
        <v>91</v>
      </c>
      <c r="D1188" s="22" t="str">
        <f>IF($C1188="","",IFERROR(VLOOKUP($C1188,Map_Register!$A$2:$C$5,3,FALSE()),""))</f>
        <v>Cultural Heritage Area</v>
      </c>
      <c r="E1188" s="21" t="s">
        <v>15</v>
      </c>
      <c r="F1188" s="23">
        <v>71835</v>
      </c>
      <c r="G1188" s="20" t="s">
        <v>1537</v>
      </c>
      <c r="H1188" s="20" t="s">
        <v>1888</v>
      </c>
      <c r="I1188" s="20" t="s">
        <v>678</v>
      </c>
      <c r="J1188" s="20" t="s">
        <v>8</v>
      </c>
      <c r="K1188" s="20" t="s">
        <v>107</v>
      </c>
      <c r="L1188" s="20" t="s">
        <v>107</v>
      </c>
      <c r="M1188" s="20" t="s">
        <v>1705</v>
      </c>
      <c r="N1188" s="20" t="s">
        <v>108</v>
      </c>
      <c r="Q1188" s="24" t="s">
        <v>680</v>
      </c>
    </row>
    <row r="1189" spans="1:17" hidden="1" x14ac:dyDescent="0.3">
      <c r="A1189" s="20">
        <f t="shared" si="18"/>
        <v>1188</v>
      </c>
      <c r="B1189" s="21" t="s">
        <v>87</v>
      </c>
      <c r="C1189" s="21" t="s">
        <v>91</v>
      </c>
      <c r="D1189" s="22" t="str">
        <f>IF($C1189="","",IFERROR(VLOOKUP($C1189,Map_Register!$A$2:$C$5,3,FALSE()),""))</f>
        <v>Cultural Heritage Area</v>
      </c>
      <c r="E1189" s="21" t="s">
        <v>15</v>
      </c>
      <c r="F1189" s="23">
        <v>72373</v>
      </c>
      <c r="G1189" s="20" t="s">
        <v>1537</v>
      </c>
      <c r="H1189" s="20" t="s">
        <v>1889</v>
      </c>
      <c r="I1189" s="20" t="s">
        <v>678</v>
      </c>
      <c r="J1189" s="20" t="s">
        <v>8</v>
      </c>
      <c r="K1189" s="20" t="s">
        <v>107</v>
      </c>
      <c r="L1189" s="20" t="s">
        <v>107</v>
      </c>
      <c r="M1189" s="20" t="s">
        <v>1890</v>
      </c>
      <c r="N1189" s="20" t="s">
        <v>108</v>
      </c>
      <c r="Q1189" s="24" t="s">
        <v>680</v>
      </c>
    </row>
    <row r="1190" spans="1:17" hidden="1" x14ac:dyDescent="0.3">
      <c r="A1190" s="20">
        <f t="shared" si="18"/>
        <v>1189</v>
      </c>
      <c r="B1190" s="21" t="s">
        <v>87</v>
      </c>
      <c r="C1190" s="21" t="s">
        <v>91</v>
      </c>
      <c r="D1190" s="22" t="str">
        <f>IF($C1190="","",IFERROR(VLOOKUP($C1190,Map_Register!$A$2:$C$5,3,FALSE()),""))</f>
        <v>Cultural Heritage Area</v>
      </c>
      <c r="E1190" s="21" t="s">
        <v>15</v>
      </c>
      <c r="F1190" s="23">
        <v>72557</v>
      </c>
      <c r="G1190" s="20" t="s">
        <v>1537</v>
      </c>
      <c r="H1190" s="20" t="s">
        <v>1881</v>
      </c>
      <c r="I1190" s="20" t="s">
        <v>678</v>
      </c>
      <c r="J1190" s="20" t="s">
        <v>220</v>
      </c>
      <c r="K1190" s="20" t="s">
        <v>137</v>
      </c>
      <c r="L1190" s="20" t="s">
        <v>137</v>
      </c>
      <c r="M1190" s="20" t="s">
        <v>1891</v>
      </c>
      <c r="P1190" s="20" t="s">
        <v>1869</v>
      </c>
      <c r="Q1190" s="24" t="s">
        <v>680</v>
      </c>
    </row>
    <row r="1191" spans="1:17" hidden="1" x14ac:dyDescent="0.3">
      <c r="A1191" s="20">
        <f t="shared" si="18"/>
        <v>1190</v>
      </c>
      <c r="B1191" s="21" t="s">
        <v>87</v>
      </c>
      <c r="C1191" s="21" t="s">
        <v>91</v>
      </c>
      <c r="D1191" s="22" t="str">
        <f>IF($C1191="","",IFERROR(VLOOKUP($C1191,Map_Register!$A$2:$C$5,3,FALSE()),""))</f>
        <v>Cultural Heritage Area</v>
      </c>
      <c r="E1191" s="21" t="s">
        <v>15</v>
      </c>
      <c r="F1191" s="23">
        <v>73236</v>
      </c>
      <c r="G1191" s="20" t="s">
        <v>1537</v>
      </c>
      <c r="H1191" s="20" t="s">
        <v>1892</v>
      </c>
      <c r="I1191" s="20" t="s">
        <v>678</v>
      </c>
      <c r="J1191" s="20" t="s">
        <v>220</v>
      </c>
      <c r="K1191" s="20" t="s">
        <v>137</v>
      </c>
      <c r="L1191" s="20" t="s">
        <v>137</v>
      </c>
      <c r="M1191" s="20" t="s">
        <v>1893</v>
      </c>
      <c r="Q1191" s="24" t="s">
        <v>680</v>
      </c>
    </row>
    <row r="1192" spans="1:17" x14ac:dyDescent="0.3">
      <c r="A1192" s="20">
        <f t="shared" si="18"/>
        <v>1191</v>
      </c>
      <c r="B1192" s="21" t="s">
        <v>87</v>
      </c>
      <c r="C1192" s="21" t="s">
        <v>91</v>
      </c>
      <c r="D1192" s="22" t="str">
        <f>IF($C1192="","",IFERROR(VLOOKUP($C1192,Map_Register!$A$2:$C$5,3,FALSE()),""))</f>
        <v>Cultural Heritage Area</v>
      </c>
      <c r="E1192" s="21" t="s">
        <v>15</v>
      </c>
      <c r="F1192" s="23">
        <v>76133</v>
      </c>
      <c r="G1192" s="20" t="s">
        <v>1537</v>
      </c>
      <c r="H1192" s="20" t="s">
        <v>1894</v>
      </c>
      <c r="I1192" s="20" t="s">
        <v>678</v>
      </c>
      <c r="J1192" s="20" t="s">
        <v>8</v>
      </c>
      <c r="K1192" s="20" t="s">
        <v>107</v>
      </c>
      <c r="L1192" t="s">
        <v>108</v>
      </c>
      <c r="M1192" s="20" t="s">
        <v>1700</v>
      </c>
      <c r="N1192" s="20" t="s">
        <v>108</v>
      </c>
      <c r="Q1192" s="24" t="s">
        <v>680</v>
      </c>
    </row>
    <row r="1193" spans="1:17" hidden="1" x14ac:dyDescent="0.3">
      <c r="A1193" s="20">
        <f t="shared" si="18"/>
        <v>1192</v>
      </c>
      <c r="B1193" s="21" t="s">
        <v>87</v>
      </c>
      <c r="C1193" s="21" t="s">
        <v>91</v>
      </c>
      <c r="D1193" s="22" t="str">
        <f>IF($C1193="","",IFERROR(VLOOKUP($C1193,Map_Register!$A$2:$C$5,3,FALSE()),""))</f>
        <v>Cultural Heritage Area</v>
      </c>
      <c r="E1193" s="21" t="s">
        <v>15</v>
      </c>
      <c r="F1193" s="23">
        <v>77957</v>
      </c>
      <c r="G1193" s="20" t="s">
        <v>1537</v>
      </c>
      <c r="H1193" s="20" t="s">
        <v>1895</v>
      </c>
      <c r="I1193" s="20" t="s">
        <v>678</v>
      </c>
      <c r="J1193" s="20" t="s">
        <v>220</v>
      </c>
      <c r="K1193" s="20" t="s">
        <v>137</v>
      </c>
      <c r="L1193" s="20" t="s">
        <v>137</v>
      </c>
      <c r="M1193" s="20" t="s">
        <v>1896</v>
      </c>
      <c r="P1193" s="20" t="s">
        <v>1869</v>
      </c>
      <c r="Q1193" s="24" t="s">
        <v>680</v>
      </c>
    </row>
    <row r="1194" spans="1:17" hidden="1" x14ac:dyDescent="0.3">
      <c r="A1194" s="20">
        <f t="shared" si="18"/>
        <v>1193</v>
      </c>
      <c r="B1194" s="21" t="s">
        <v>87</v>
      </c>
      <c r="C1194" s="21" t="s">
        <v>91</v>
      </c>
      <c r="D1194" s="22" t="str">
        <f>IF($C1194="","",IFERROR(VLOOKUP($C1194,Map_Register!$A$2:$C$5,3,FALSE()),""))</f>
        <v>Cultural Heritage Area</v>
      </c>
      <c r="E1194" s="21" t="s">
        <v>15</v>
      </c>
      <c r="F1194" s="23">
        <v>81316</v>
      </c>
      <c r="G1194" s="20" t="s">
        <v>1537</v>
      </c>
      <c r="H1194" s="20" t="s">
        <v>1897</v>
      </c>
      <c r="I1194" s="20" t="s">
        <v>678</v>
      </c>
      <c r="J1194" s="20" t="s">
        <v>220</v>
      </c>
      <c r="K1194" s="20" t="s">
        <v>137</v>
      </c>
      <c r="L1194" s="20" t="s">
        <v>137</v>
      </c>
      <c r="M1194" s="20" t="s">
        <v>1898</v>
      </c>
      <c r="P1194" s="20" t="s">
        <v>1869</v>
      </c>
      <c r="Q1194" s="24" t="s">
        <v>680</v>
      </c>
    </row>
    <row r="1195" spans="1:17" hidden="1" x14ac:dyDescent="0.3">
      <c r="A1195" s="20">
        <f t="shared" si="18"/>
        <v>1194</v>
      </c>
      <c r="B1195" s="21" t="s">
        <v>87</v>
      </c>
      <c r="C1195" s="21" t="s">
        <v>91</v>
      </c>
      <c r="D1195" s="22" t="str">
        <f>IF($C1195="","",IFERROR(VLOOKUP($C1195,Map_Register!$A$2:$C$5,3,FALSE()),""))</f>
        <v>Cultural Heritage Area</v>
      </c>
      <c r="E1195" s="21" t="s">
        <v>15</v>
      </c>
      <c r="F1195" s="23">
        <v>81473</v>
      </c>
      <c r="G1195" s="20" t="s">
        <v>1537</v>
      </c>
      <c r="H1195" s="20" t="s">
        <v>1899</v>
      </c>
      <c r="I1195" s="20" t="s">
        <v>678</v>
      </c>
      <c r="J1195" s="20" t="s">
        <v>6</v>
      </c>
      <c r="K1195" s="20" t="s">
        <v>137</v>
      </c>
      <c r="L1195" s="20" t="s">
        <v>137</v>
      </c>
      <c r="M1195" s="20" t="s">
        <v>1713</v>
      </c>
      <c r="Q1195" s="24" t="s">
        <v>680</v>
      </c>
    </row>
    <row r="1196" spans="1:17" x14ac:dyDescent="0.3">
      <c r="A1196" s="20">
        <f t="shared" si="18"/>
        <v>1195</v>
      </c>
      <c r="B1196" s="21" t="s">
        <v>87</v>
      </c>
      <c r="C1196" s="21" t="s">
        <v>91</v>
      </c>
      <c r="D1196" s="22" t="str">
        <f>IF($C1196="","",IFERROR(VLOOKUP($C1196,Map_Register!$A$2:$C$5,3,FALSE()),""))</f>
        <v>Cultural Heritage Area</v>
      </c>
      <c r="E1196" s="21" t="s">
        <v>15</v>
      </c>
      <c r="F1196" s="23">
        <v>83640</v>
      </c>
      <c r="G1196" s="20" t="s">
        <v>1537</v>
      </c>
      <c r="H1196" s="20" t="s">
        <v>1900</v>
      </c>
      <c r="I1196" s="20" t="s">
        <v>678</v>
      </c>
      <c r="J1196" s="20" t="s">
        <v>8</v>
      </c>
      <c r="K1196" s="20" t="s">
        <v>107</v>
      </c>
      <c r="L1196" t="s">
        <v>108</v>
      </c>
      <c r="M1196" s="20" t="s">
        <v>1700</v>
      </c>
      <c r="N1196" s="20" t="s">
        <v>108</v>
      </c>
      <c r="Q1196" s="24" t="s">
        <v>680</v>
      </c>
    </row>
    <row r="1197" spans="1:17" hidden="1" x14ac:dyDescent="0.3">
      <c r="A1197" s="20">
        <f t="shared" si="18"/>
        <v>1196</v>
      </c>
      <c r="B1197" s="21" t="s">
        <v>87</v>
      </c>
      <c r="C1197" s="21" t="s">
        <v>91</v>
      </c>
      <c r="D1197" s="22" t="str">
        <f>IF($C1197="","",IFERROR(VLOOKUP($C1197,Map_Register!$A$2:$C$5,3,FALSE()),""))</f>
        <v>Cultural Heritage Area</v>
      </c>
      <c r="E1197" s="21" t="s">
        <v>15</v>
      </c>
      <c r="F1197" s="23">
        <v>85274</v>
      </c>
      <c r="G1197" s="20" t="s">
        <v>1537</v>
      </c>
      <c r="H1197" s="20" t="s">
        <v>1901</v>
      </c>
      <c r="I1197" s="20" t="s">
        <v>678</v>
      </c>
      <c r="J1197" s="20" t="s">
        <v>220</v>
      </c>
      <c r="K1197" s="20" t="s">
        <v>137</v>
      </c>
      <c r="L1197" s="20" t="s">
        <v>137</v>
      </c>
      <c r="M1197" s="20" t="s">
        <v>1902</v>
      </c>
      <c r="Q1197" s="24" t="s">
        <v>680</v>
      </c>
    </row>
    <row r="1198" spans="1:17" x14ac:dyDescent="0.3">
      <c r="A1198" s="20">
        <f t="shared" si="18"/>
        <v>1197</v>
      </c>
      <c r="B1198" s="21" t="s">
        <v>87</v>
      </c>
      <c r="C1198" s="21" t="s">
        <v>91</v>
      </c>
      <c r="D1198" s="22" t="str">
        <f>IF($C1198="","",IFERROR(VLOOKUP($C1198,Map_Register!$A$2:$C$5,3,FALSE()),""))</f>
        <v>Cultural Heritage Area</v>
      </c>
      <c r="E1198" s="21" t="s">
        <v>15</v>
      </c>
      <c r="F1198" s="23">
        <v>86142</v>
      </c>
      <c r="G1198" s="20" t="s">
        <v>1537</v>
      </c>
      <c r="H1198" s="20" t="s">
        <v>1903</v>
      </c>
      <c r="I1198" s="20" t="s">
        <v>678</v>
      </c>
      <c r="J1198" s="20" t="s">
        <v>8</v>
      </c>
      <c r="K1198" s="20" t="s">
        <v>107</v>
      </c>
      <c r="L1198" t="s">
        <v>108</v>
      </c>
      <c r="M1198" s="20" t="s">
        <v>1700</v>
      </c>
      <c r="N1198" s="20" t="s">
        <v>108</v>
      </c>
      <c r="Q1198" s="24" t="s">
        <v>680</v>
      </c>
    </row>
    <row r="1199" spans="1:17" hidden="1" x14ac:dyDescent="0.3">
      <c r="A1199" s="20">
        <f t="shared" si="18"/>
        <v>1198</v>
      </c>
      <c r="B1199" s="21" t="s">
        <v>87</v>
      </c>
      <c r="C1199" s="21" t="s">
        <v>91</v>
      </c>
      <c r="D1199" s="22" t="str">
        <f>IF($C1199="","",IFERROR(VLOOKUP($C1199,Map_Register!$A$2:$C$5,3,FALSE()),""))</f>
        <v>Cultural Heritage Area</v>
      </c>
      <c r="E1199" s="21" t="s">
        <v>15</v>
      </c>
      <c r="F1199" s="23">
        <v>88377</v>
      </c>
      <c r="G1199" s="20" t="s">
        <v>1769</v>
      </c>
      <c r="H1199" s="20" t="s">
        <v>1904</v>
      </c>
      <c r="I1199" s="20" t="s">
        <v>678</v>
      </c>
      <c r="J1199" s="20" t="s">
        <v>6</v>
      </c>
      <c r="K1199" s="20" t="s">
        <v>137</v>
      </c>
      <c r="L1199" s="20" t="s">
        <v>137</v>
      </c>
      <c r="M1199" s="20" t="s">
        <v>1724</v>
      </c>
      <c r="Q1199" s="24" t="s">
        <v>680</v>
      </c>
    </row>
    <row r="1200" spans="1:17" hidden="1" x14ac:dyDescent="0.3">
      <c r="A1200" s="20">
        <f t="shared" si="18"/>
        <v>1199</v>
      </c>
      <c r="B1200" s="21" t="s">
        <v>87</v>
      </c>
      <c r="C1200" s="21" t="s">
        <v>91</v>
      </c>
      <c r="D1200" s="22" t="str">
        <f>IF($C1200="","",IFERROR(VLOOKUP($C1200,Map_Register!$A$2:$C$5,3,FALSE()),""))</f>
        <v>Cultural Heritage Area</v>
      </c>
      <c r="E1200" s="21" t="s">
        <v>15</v>
      </c>
      <c r="F1200" s="23">
        <v>89454</v>
      </c>
      <c r="G1200" s="20" t="s">
        <v>1537</v>
      </c>
      <c r="H1200" s="20" t="s">
        <v>1905</v>
      </c>
      <c r="I1200" s="20" t="s">
        <v>678</v>
      </c>
      <c r="J1200" s="20" t="s">
        <v>220</v>
      </c>
      <c r="K1200" s="20" t="s">
        <v>137</v>
      </c>
      <c r="L1200" s="20" t="s">
        <v>137</v>
      </c>
      <c r="M1200" s="20" t="s">
        <v>1906</v>
      </c>
      <c r="P1200" s="20" t="s">
        <v>1869</v>
      </c>
      <c r="Q1200" s="24" t="s">
        <v>680</v>
      </c>
    </row>
    <row r="1201" spans="1:17" hidden="1" x14ac:dyDescent="0.3">
      <c r="A1201" s="20">
        <f t="shared" si="18"/>
        <v>1200</v>
      </c>
      <c r="B1201" s="21" t="s">
        <v>87</v>
      </c>
      <c r="C1201" s="21" t="s">
        <v>91</v>
      </c>
      <c r="D1201" s="22" t="str">
        <f>IF($C1201="","",IFERROR(VLOOKUP($C1201,Map_Register!$A$2:$C$5,3,FALSE()),""))</f>
        <v>Cultural Heritage Area</v>
      </c>
      <c r="E1201" s="21" t="s">
        <v>15</v>
      </c>
      <c r="F1201" s="23">
        <v>90611</v>
      </c>
      <c r="G1201" s="20" t="s">
        <v>1537</v>
      </c>
      <c r="H1201" s="20" t="s">
        <v>1907</v>
      </c>
      <c r="I1201" s="20" t="s">
        <v>678</v>
      </c>
      <c r="J1201" s="20" t="s">
        <v>6</v>
      </c>
      <c r="K1201" s="20" t="s">
        <v>137</v>
      </c>
      <c r="L1201" s="20" t="s">
        <v>137</v>
      </c>
      <c r="M1201" s="20" t="s">
        <v>1713</v>
      </c>
      <c r="Q1201" s="24" t="s">
        <v>680</v>
      </c>
    </row>
    <row r="1202" spans="1:17" hidden="1" x14ac:dyDescent="0.3">
      <c r="A1202" s="20">
        <f t="shared" si="18"/>
        <v>1201</v>
      </c>
      <c r="B1202" s="21" t="s">
        <v>87</v>
      </c>
      <c r="C1202" s="21" t="s">
        <v>91</v>
      </c>
      <c r="D1202" s="22" t="str">
        <f>IF($C1202="","",IFERROR(VLOOKUP($C1202,Map_Register!$A$2:$C$5,3,FALSE()),""))</f>
        <v>Cultural Heritage Area</v>
      </c>
      <c r="E1202" s="21" t="s">
        <v>15</v>
      </c>
      <c r="F1202" s="23">
        <v>97358</v>
      </c>
      <c r="G1202" s="20" t="s">
        <v>1537</v>
      </c>
      <c r="H1202" s="20" t="s">
        <v>1905</v>
      </c>
      <c r="I1202" s="20" t="s">
        <v>678</v>
      </c>
      <c r="J1202" s="20" t="s">
        <v>220</v>
      </c>
      <c r="K1202" s="20" t="s">
        <v>137</v>
      </c>
      <c r="L1202" s="20" t="s">
        <v>137</v>
      </c>
      <c r="M1202" s="20" t="s">
        <v>1908</v>
      </c>
      <c r="P1202" s="20" t="s">
        <v>1869</v>
      </c>
      <c r="Q1202" s="24" t="s">
        <v>680</v>
      </c>
    </row>
    <row r="1203" spans="1:17" hidden="1" x14ac:dyDescent="0.3">
      <c r="A1203" s="20">
        <f t="shared" si="18"/>
        <v>1202</v>
      </c>
      <c r="B1203" s="21" t="s">
        <v>87</v>
      </c>
      <c r="C1203" s="21" t="s">
        <v>91</v>
      </c>
      <c r="D1203" s="22" t="str">
        <f>IF($C1203="","",IFERROR(VLOOKUP($C1203,Map_Register!$A$2:$C$5,3,FALSE()),""))</f>
        <v>Cultural Heritage Area</v>
      </c>
      <c r="E1203" s="21" t="s">
        <v>15</v>
      </c>
      <c r="F1203" s="23">
        <v>97477</v>
      </c>
      <c r="G1203" s="20" t="s">
        <v>1537</v>
      </c>
      <c r="H1203" s="20" t="s">
        <v>1909</v>
      </c>
      <c r="I1203" s="20" t="s">
        <v>678</v>
      </c>
      <c r="J1203" s="20" t="s">
        <v>6</v>
      </c>
      <c r="K1203" s="20" t="s">
        <v>137</v>
      </c>
      <c r="L1203" s="20" t="s">
        <v>137</v>
      </c>
      <c r="M1203" s="20" t="s">
        <v>1713</v>
      </c>
      <c r="Q1203" s="24" t="s">
        <v>680</v>
      </c>
    </row>
    <row r="1204" spans="1:17" hidden="1" x14ac:dyDescent="0.3">
      <c r="A1204" s="20">
        <f t="shared" si="18"/>
        <v>1203</v>
      </c>
      <c r="B1204" s="21" t="s">
        <v>87</v>
      </c>
      <c r="C1204" s="21" t="s">
        <v>91</v>
      </c>
      <c r="D1204" s="22" t="str">
        <f>IF($C1204="","",IFERROR(VLOOKUP($C1204,Map_Register!$A$2:$C$5,3,FALSE()),""))</f>
        <v>Cultural Heritage Area</v>
      </c>
      <c r="E1204" s="21" t="s">
        <v>15</v>
      </c>
      <c r="F1204" s="23">
        <v>98392</v>
      </c>
      <c r="G1204" s="20" t="s">
        <v>1537</v>
      </c>
      <c r="H1204" s="20" t="s">
        <v>1910</v>
      </c>
      <c r="I1204" s="20" t="s">
        <v>678</v>
      </c>
      <c r="J1204" s="20" t="s">
        <v>6</v>
      </c>
      <c r="K1204" s="20" t="s">
        <v>137</v>
      </c>
      <c r="L1204" s="20" t="s">
        <v>137</v>
      </c>
      <c r="M1204" s="20" t="s">
        <v>1713</v>
      </c>
      <c r="Q1204" s="24" t="s">
        <v>680</v>
      </c>
    </row>
    <row r="1205" spans="1:17" hidden="1" x14ac:dyDescent="0.3">
      <c r="A1205" s="20">
        <f t="shared" si="18"/>
        <v>1204</v>
      </c>
      <c r="B1205" s="21" t="s">
        <v>87</v>
      </c>
      <c r="C1205" s="21" t="s">
        <v>91</v>
      </c>
      <c r="D1205" s="22" t="str">
        <f>IF($C1205="","",IFERROR(VLOOKUP($C1205,Map_Register!$A$2:$C$5,3,FALSE()),""))</f>
        <v>Cultural Heritage Area</v>
      </c>
      <c r="E1205" s="21" t="s">
        <v>15</v>
      </c>
      <c r="F1205" s="23">
        <v>100577</v>
      </c>
      <c r="G1205" s="20" t="s">
        <v>1537</v>
      </c>
      <c r="H1205" s="20" t="s">
        <v>1911</v>
      </c>
      <c r="I1205" s="20" t="s">
        <v>678</v>
      </c>
      <c r="J1205" s="20" t="s">
        <v>6</v>
      </c>
      <c r="K1205" s="20" t="s">
        <v>137</v>
      </c>
      <c r="L1205" s="20" t="s">
        <v>137</v>
      </c>
      <c r="M1205" s="20" t="s">
        <v>1713</v>
      </c>
      <c r="Q1205" s="24" t="s">
        <v>680</v>
      </c>
    </row>
    <row r="1206" spans="1:17" hidden="1" x14ac:dyDescent="0.3">
      <c r="A1206" s="20">
        <f t="shared" si="18"/>
        <v>1205</v>
      </c>
      <c r="B1206" s="21" t="s">
        <v>87</v>
      </c>
      <c r="C1206" s="21" t="s">
        <v>91</v>
      </c>
      <c r="D1206" s="22" t="str">
        <f>IF($C1206="","",IFERROR(VLOOKUP($C1206,Map_Register!$A$2:$C$5,3,FALSE()),""))</f>
        <v>Cultural Heritage Area</v>
      </c>
      <c r="E1206" s="21" t="s">
        <v>15</v>
      </c>
      <c r="F1206" s="23">
        <v>100729</v>
      </c>
      <c r="G1206" s="20" t="s">
        <v>1537</v>
      </c>
      <c r="H1206" s="20" t="s">
        <v>1912</v>
      </c>
      <c r="I1206" s="20" t="s">
        <v>678</v>
      </c>
      <c r="J1206" s="20" t="s">
        <v>6</v>
      </c>
      <c r="K1206" s="20" t="s">
        <v>137</v>
      </c>
      <c r="L1206" s="20" t="s">
        <v>137</v>
      </c>
      <c r="M1206" s="20" t="s">
        <v>1713</v>
      </c>
      <c r="Q1206" s="24" t="s">
        <v>680</v>
      </c>
    </row>
    <row r="1207" spans="1:17" hidden="1" x14ac:dyDescent="0.3">
      <c r="A1207" s="20">
        <f t="shared" si="18"/>
        <v>1206</v>
      </c>
      <c r="B1207" s="21" t="s">
        <v>87</v>
      </c>
      <c r="C1207" s="21" t="s">
        <v>91</v>
      </c>
      <c r="D1207" s="22" t="str">
        <f>IF($C1207="","",IFERROR(VLOOKUP($C1207,Map_Register!$A$2:$C$5,3,FALSE()),""))</f>
        <v>Cultural Heritage Area</v>
      </c>
      <c r="E1207" s="21" t="s">
        <v>15</v>
      </c>
      <c r="F1207" s="23">
        <v>104067</v>
      </c>
      <c r="G1207" s="20" t="s">
        <v>1537</v>
      </c>
      <c r="H1207" s="20" t="s">
        <v>1913</v>
      </c>
      <c r="I1207" s="20" t="s">
        <v>678</v>
      </c>
      <c r="J1207" s="20" t="s">
        <v>6</v>
      </c>
      <c r="K1207" s="20" t="s">
        <v>137</v>
      </c>
      <c r="L1207" s="20" t="s">
        <v>137</v>
      </c>
      <c r="M1207" s="20" t="s">
        <v>1694</v>
      </c>
      <c r="Q1207" s="24" t="s">
        <v>680</v>
      </c>
    </row>
    <row r="1208" spans="1:17" hidden="1" x14ac:dyDescent="0.3">
      <c r="A1208" s="20">
        <f t="shared" si="18"/>
        <v>1207</v>
      </c>
      <c r="B1208" s="21" t="s">
        <v>87</v>
      </c>
      <c r="C1208" s="21" t="s">
        <v>91</v>
      </c>
      <c r="D1208" s="22" t="str">
        <f>IF($C1208="","",IFERROR(VLOOKUP($C1208,Map_Register!$A$2:$C$5,3,FALSE()),""))</f>
        <v>Cultural Heritage Area</v>
      </c>
      <c r="E1208" s="21" t="s">
        <v>15</v>
      </c>
      <c r="F1208" s="23">
        <v>104497</v>
      </c>
      <c r="G1208" s="20" t="s">
        <v>1537</v>
      </c>
      <c r="H1208" s="20" t="s">
        <v>1914</v>
      </c>
      <c r="I1208" s="20" t="s">
        <v>678</v>
      </c>
      <c r="J1208" s="20" t="s">
        <v>220</v>
      </c>
      <c r="K1208" s="20" t="s">
        <v>137</v>
      </c>
      <c r="L1208" s="20" t="s">
        <v>137</v>
      </c>
      <c r="M1208" s="20" t="s">
        <v>1915</v>
      </c>
      <c r="P1208" s="20" t="s">
        <v>1869</v>
      </c>
      <c r="Q1208" s="24" t="s">
        <v>680</v>
      </c>
    </row>
    <row r="1209" spans="1:17" hidden="1" x14ac:dyDescent="0.3">
      <c r="A1209" s="20">
        <f t="shared" si="18"/>
        <v>1208</v>
      </c>
      <c r="B1209" s="21" t="s">
        <v>87</v>
      </c>
      <c r="C1209" s="21" t="s">
        <v>91</v>
      </c>
      <c r="D1209" s="22" t="str">
        <f>IF($C1209="","",IFERROR(VLOOKUP($C1209,Map_Register!$A$2:$C$5,3,FALSE()),""))</f>
        <v>Cultural Heritage Area</v>
      </c>
      <c r="E1209" s="21" t="s">
        <v>15</v>
      </c>
      <c r="F1209" s="23">
        <v>104575</v>
      </c>
      <c r="G1209" s="20" t="s">
        <v>1537</v>
      </c>
      <c r="H1209" s="20" t="s">
        <v>1867</v>
      </c>
      <c r="I1209" s="20" t="s">
        <v>678</v>
      </c>
      <c r="J1209" s="20" t="s">
        <v>220</v>
      </c>
      <c r="K1209" s="20" t="s">
        <v>137</v>
      </c>
      <c r="L1209" s="20" t="s">
        <v>137</v>
      </c>
      <c r="M1209" s="20" t="s">
        <v>1868</v>
      </c>
      <c r="P1209" s="20" t="s">
        <v>1869</v>
      </c>
      <c r="Q1209" s="24" t="s">
        <v>680</v>
      </c>
    </row>
    <row r="1210" spans="1:17" hidden="1" x14ac:dyDescent="0.3">
      <c r="A1210" s="20">
        <f t="shared" si="18"/>
        <v>1209</v>
      </c>
      <c r="B1210" s="21" t="s">
        <v>87</v>
      </c>
      <c r="C1210" s="21" t="s">
        <v>91</v>
      </c>
      <c r="D1210" s="22" t="str">
        <f>IF($C1210="","",IFERROR(VLOOKUP($C1210,Map_Register!$A$2:$C$5,3,FALSE()),""))</f>
        <v>Cultural Heritage Area</v>
      </c>
      <c r="E1210" s="21" t="s">
        <v>15</v>
      </c>
      <c r="F1210" s="23">
        <v>104790</v>
      </c>
      <c r="G1210" s="20" t="s">
        <v>1537</v>
      </c>
      <c r="H1210" s="20" t="s">
        <v>1916</v>
      </c>
      <c r="I1210" s="20" t="s">
        <v>678</v>
      </c>
      <c r="J1210" s="20" t="s">
        <v>8</v>
      </c>
      <c r="K1210" s="20" t="s">
        <v>107</v>
      </c>
      <c r="L1210" s="20" t="s">
        <v>107</v>
      </c>
      <c r="M1210" s="20" t="s">
        <v>1696</v>
      </c>
      <c r="N1210" s="20" t="s">
        <v>108</v>
      </c>
      <c r="Q1210" s="24" t="s">
        <v>680</v>
      </c>
    </row>
    <row r="1211" spans="1:17" hidden="1" x14ac:dyDescent="0.3">
      <c r="A1211" s="20">
        <f t="shared" si="18"/>
        <v>1210</v>
      </c>
      <c r="B1211" s="21" t="s">
        <v>87</v>
      </c>
      <c r="C1211" s="21" t="s">
        <v>91</v>
      </c>
      <c r="D1211" s="22" t="str">
        <f>IF($C1211="","",IFERROR(VLOOKUP($C1211,Map_Register!$A$2:$C$5,3,FALSE()),""))</f>
        <v>Cultural Heritage Area</v>
      </c>
      <c r="E1211" s="21" t="s">
        <v>15</v>
      </c>
      <c r="F1211" s="23">
        <v>104853</v>
      </c>
      <c r="G1211" s="20" t="s">
        <v>1537</v>
      </c>
      <c r="H1211" s="20" t="s">
        <v>1917</v>
      </c>
      <c r="I1211" s="20" t="s">
        <v>678</v>
      </c>
      <c r="J1211" s="20" t="s">
        <v>6</v>
      </c>
      <c r="K1211" s="20" t="s">
        <v>137</v>
      </c>
      <c r="L1211" s="20" t="s">
        <v>137</v>
      </c>
      <c r="M1211" s="20" t="s">
        <v>1713</v>
      </c>
      <c r="Q1211" s="24" t="s">
        <v>680</v>
      </c>
    </row>
    <row r="1212" spans="1:17" hidden="1" x14ac:dyDescent="0.3">
      <c r="A1212" s="20">
        <f t="shared" si="18"/>
        <v>1211</v>
      </c>
      <c r="B1212" s="21" t="s">
        <v>87</v>
      </c>
      <c r="C1212" s="21" t="s">
        <v>91</v>
      </c>
      <c r="D1212" s="22" t="str">
        <f>IF($C1212="","",IFERROR(VLOOKUP($C1212,Map_Register!$A$2:$C$5,3,FALSE()),""))</f>
        <v>Cultural Heritage Area</v>
      </c>
      <c r="E1212" s="21" t="s">
        <v>15</v>
      </c>
      <c r="F1212" s="23">
        <v>105427</v>
      </c>
      <c r="G1212" s="20" t="s">
        <v>1537</v>
      </c>
      <c r="H1212" s="20" t="s">
        <v>1918</v>
      </c>
      <c r="I1212" s="20" t="s">
        <v>678</v>
      </c>
      <c r="J1212" s="20" t="s">
        <v>220</v>
      </c>
      <c r="K1212" s="20" t="s">
        <v>137</v>
      </c>
      <c r="L1212" s="20" t="s">
        <v>137</v>
      </c>
      <c r="M1212" s="20" t="s">
        <v>1919</v>
      </c>
      <c r="P1212" s="20" t="s">
        <v>1869</v>
      </c>
      <c r="Q1212" s="24" t="s">
        <v>680</v>
      </c>
    </row>
    <row r="1213" spans="1:17" hidden="1" x14ac:dyDescent="0.3">
      <c r="A1213" s="20">
        <f t="shared" si="18"/>
        <v>1212</v>
      </c>
      <c r="B1213" s="21" t="s">
        <v>87</v>
      </c>
      <c r="C1213" s="21" t="s">
        <v>91</v>
      </c>
      <c r="D1213" s="22" t="str">
        <f>IF($C1213="","",IFERROR(VLOOKUP($C1213,Map_Register!$A$2:$C$5,3,FALSE()),""))</f>
        <v>Cultural Heritage Area</v>
      </c>
      <c r="E1213" s="21" t="s">
        <v>15</v>
      </c>
      <c r="F1213" s="23">
        <v>107208</v>
      </c>
      <c r="G1213" s="20" t="s">
        <v>1537</v>
      </c>
      <c r="H1213" s="20" t="s">
        <v>1897</v>
      </c>
      <c r="I1213" s="20" t="s">
        <v>678</v>
      </c>
      <c r="J1213" s="20" t="s">
        <v>220</v>
      </c>
      <c r="K1213" s="20" t="s">
        <v>137</v>
      </c>
      <c r="L1213" s="20" t="s">
        <v>137</v>
      </c>
      <c r="M1213" s="20" t="s">
        <v>1898</v>
      </c>
      <c r="P1213" s="20" t="s">
        <v>1869</v>
      </c>
      <c r="Q1213" s="24" t="s">
        <v>680</v>
      </c>
    </row>
    <row r="1214" spans="1:17" x14ac:dyDescent="0.3">
      <c r="A1214" s="20">
        <f t="shared" si="18"/>
        <v>1213</v>
      </c>
      <c r="B1214" s="21" t="s">
        <v>87</v>
      </c>
      <c r="C1214" s="21" t="s">
        <v>91</v>
      </c>
      <c r="D1214" s="22" t="str">
        <f>IF($C1214="","",IFERROR(VLOOKUP($C1214,Map_Register!$A$2:$C$5,3,FALSE()),""))</f>
        <v>Cultural Heritage Area</v>
      </c>
      <c r="E1214" s="21" t="s">
        <v>15</v>
      </c>
      <c r="F1214" s="23">
        <v>107783</v>
      </c>
      <c r="G1214" s="20" t="s">
        <v>1769</v>
      </c>
      <c r="H1214" s="20" t="s">
        <v>1920</v>
      </c>
      <c r="I1214" s="20" t="s">
        <v>678</v>
      </c>
      <c r="J1214" s="20" t="s">
        <v>8</v>
      </c>
      <c r="K1214" s="20" t="s">
        <v>107</v>
      </c>
      <c r="L1214" t="s">
        <v>108</v>
      </c>
      <c r="M1214" s="20" t="s">
        <v>1921</v>
      </c>
      <c r="N1214" s="20" t="s">
        <v>108</v>
      </c>
      <c r="Q1214" s="24" t="s">
        <v>680</v>
      </c>
    </row>
    <row r="1215" spans="1:17" hidden="1" x14ac:dyDescent="0.3">
      <c r="A1215" s="20">
        <f t="shared" si="18"/>
        <v>1214</v>
      </c>
      <c r="B1215" s="21" t="s">
        <v>87</v>
      </c>
      <c r="C1215" s="21" t="s">
        <v>91</v>
      </c>
      <c r="D1215" s="22" t="str">
        <f>IF($C1215="","",IFERROR(VLOOKUP($C1215,Map_Register!$A$2:$C$5,3,FALSE()),""))</f>
        <v>Cultural Heritage Area</v>
      </c>
      <c r="E1215" s="21" t="s">
        <v>15</v>
      </c>
      <c r="F1215" s="23">
        <v>109814</v>
      </c>
      <c r="G1215" s="20" t="s">
        <v>1537</v>
      </c>
      <c r="H1215" s="20" t="s">
        <v>1876</v>
      </c>
      <c r="I1215" s="20" t="s">
        <v>678</v>
      </c>
      <c r="J1215" s="20" t="s">
        <v>6</v>
      </c>
      <c r="K1215" s="20" t="s">
        <v>137</v>
      </c>
      <c r="L1215" s="20" t="s">
        <v>137</v>
      </c>
      <c r="M1215" s="20" t="s">
        <v>1886</v>
      </c>
      <c r="Q1215" s="24" t="s">
        <v>680</v>
      </c>
    </row>
    <row r="1216" spans="1:17" hidden="1" x14ac:dyDescent="0.3">
      <c r="A1216" s="20">
        <f t="shared" si="18"/>
        <v>1215</v>
      </c>
      <c r="B1216" s="21" t="s">
        <v>87</v>
      </c>
      <c r="C1216" s="21" t="s">
        <v>91</v>
      </c>
      <c r="D1216" s="22" t="str">
        <f>IF($C1216="","",IFERROR(VLOOKUP($C1216,Map_Register!$A$2:$C$5,3,FALSE()),""))</f>
        <v>Cultural Heritage Area</v>
      </c>
      <c r="E1216" s="21" t="s">
        <v>15</v>
      </c>
      <c r="F1216" s="23">
        <v>109914</v>
      </c>
      <c r="G1216" s="20" t="s">
        <v>1537</v>
      </c>
      <c r="H1216" s="20" t="s">
        <v>1922</v>
      </c>
      <c r="I1216" s="20" t="s">
        <v>678</v>
      </c>
      <c r="J1216" s="20" t="s">
        <v>8</v>
      </c>
      <c r="K1216" s="20" t="s">
        <v>107</v>
      </c>
      <c r="L1216" s="20" t="s">
        <v>107</v>
      </c>
      <c r="M1216" s="20" t="s">
        <v>1696</v>
      </c>
      <c r="N1216" s="20" t="s">
        <v>108</v>
      </c>
      <c r="Q1216" s="24" t="s">
        <v>680</v>
      </c>
    </row>
    <row r="1217" spans="1:17" hidden="1" x14ac:dyDescent="0.3">
      <c r="A1217" s="20">
        <f t="shared" si="18"/>
        <v>1216</v>
      </c>
      <c r="B1217" s="21" t="s">
        <v>87</v>
      </c>
      <c r="C1217" s="21" t="s">
        <v>91</v>
      </c>
      <c r="D1217" s="22" t="str">
        <f>IF($C1217="","",IFERROR(VLOOKUP($C1217,Map_Register!$A$2:$C$5,3,FALSE()),""))</f>
        <v>Cultural Heritage Area</v>
      </c>
      <c r="E1217" s="21" t="s">
        <v>15</v>
      </c>
      <c r="F1217" s="23">
        <v>110208</v>
      </c>
      <c r="G1217" s="20" t="s">
        <v>1537</v>
      </c>
      <c r="H1217" s="20" t="s">
        <v>1914</v>
      </c>
      <c r="I1217" s="20" t="s">
        <v>678</v>
      </c>
      <c r="J1217" s="20" t="s">
        <v>220</v>
      </c>
      <c r="K1217" s="20" t="s">
        <v>137</v>
      </c>
      <c r="L1217" s="20" t="s">
        <v>137</v>
      </c>
      <c r="M1217" s="20" t="s">
        <v>1923</v>
      </c>
      <c r="P1217" s="20" t="s">
        <v>1869</v>
      </c>
      <c r="Q1217" s="24" t="s">
        <v>680</v>
      </c>
    </row>
    <row r="1218" spans="1:17" hidden="1" x14ac:dyDescent="0.3">
      <c r="A1218" s="20">
        <f t="shared" ref="A1218:A1281" si="19">IF($B1218="","",ROW()-1)</f>
        <v>1217</v>
      </c>
      <c r="B1218" s="21" t="s">
        <v>87</v>
      </c>
      <c r="C1218" s="21" t="s">
        <v>91</v>
      </c>
      <c r="D1218" s="22" t="str">
        <f>IF($C1218="","",IFERROR(VLOOKUP($C1218,Map_Register!$A$2:$C$5,3,FALSE()),""))</f>
        <v>Cultural Heritage Area</v>
      </c>
      <c r="E1218" s="21" t="s">
        <v>15</v>
      </c>
      <c r="F1218" s="23">
        <v>111440</v>
      </c>
      <c r="G1218" s="20" t="s">
        <v>1537</v>
      </c>
      <c r="H1218" s="20" t="s">
        <v>1895</v>
      </c>
      <c r="I1218" s="20" t="s">
        <v>678</v>
      </c>
      <c r="J1218" s="20" t="s">
        <v>220</v>
      </c>
      <c r="K1218" s="20" t="s">
        <v>137</v>
      </c>
      <c r="L1218" s="20" t="s">
        <v>137</v>
      </c>
      <c r="M1218" s="20" t="s">
        <v>1896</v>
      </c>
      <c r="P1218" s="20" t="s">
        <v>1869</v>
      </c>
      <c r="Q1218" s="24" t="s">
        <v>680</v>
      </c>
    </row>
    <row r="1219" spans="1:17" hidden="1" x14ac:dyDescent="0.3">
      <c r="A1219" s="20">
        <f t="shared" si="19"/>
        <v>1218</v>
      </c>
      <c r="B1219" s="21" t="s">
        <v>87</v>
      </c>
      <c r="C1219" s="21" t="s">
        <v>91</v>
      </c>
      <c r="D1219" s="22" t="str">
        <f>IF($C1219="","",IFERROR(VLOOKUP($C1219,Map_Register!$A$2:$C$5,3,FALSE()),""))</f>
        <v>Cultural Heritage Area</v>
      </c>
      <c r="E1219" s="21" t="s">
        <v>15</v>
      </c>
      <c r="F1219" s="23">
        <v>112158</v>
      </c>
      <c r="G1219" s="20" t="s">
        <v>1537</v>
      </c>
      <c r="H1219" s="20" t="s">
        <v>1924</v>
      </c>
      <c r="I1219" s="20" t="s">
        <v>678</v>
      </c>
      <c r="J1219" s="20" t="s">
        <v>6</v>
      </c>
      <c r="K1219" s="20" t="s">
        <v>137</v>
      </c>
      <c r="L1219" s="20" t="s">
        <v>137</v>
      </c>
      <c r="M1219" s="20" t="s">
        <v>1713</v>
      </c>
      <c r="Q1219" s="24" t="s">
        <v>680</v>
      </c>
    </row>
    <row r="1220" spans="1:17" hidden="1" x14ac:dyDescent="0.3">
      <c r="A1220" s="20">
        <f t="shared" si="19"/>
        <v>1219</v>
      </c>
      <c r="B1220" s="21" t="s">
        <v>87</v>
      </c>
      <c r="C1220" s="21" t="s">
        <v>91</v>
      </c>
      <c r="D1220" s="22" t="str">
        <f>IF($C1220="","",IFERROR(VLOOKUP($C1220,Map_Register!$A$2:$C$5,3,FALSE()),""))</f>
        <v>Cultural Heritage Area</v>
      </c>
      <c r="E1220" s="21" t="s">
        <v>15</v>
      </c>
      <c r="F1220" s="23">
        <v>113221</v>
      </c>
      <c r="G1220" s="20" t="s">
        <v>1537</v>
      </c>
      <c r="H1220" s="20" t="s">
        <v>1925</v>
      </c>
      <c r="I1220" s="20" t="s">
        <v>678</v>
      </c>
      <c r="J1220" s="20" t="s">
        <v>220</v>
      </c>
      <c r="K1220" s="20" t="s">
        <v>137</v>
      </c>
      <c r="L1220" s="20" t="s">
        <v>137</v>
      </c>
      <c r="M1220" s="20" t="s">
        <v>1926</v>
      </c>
      <c r="P1220" s="20" t="s">
        <v>1869</v>
      </c>
      <c r="Q1220" s="24" t="s">
        <v>680</v>
      </c>
    </row>
    <row r="1221" spans="1:17" hidden="1" x14ac:dyDescent="0.3">
      <c r="A1221" s="20">
        <f t="shared" si="19"/>
        <v>1220</v>
      </c>
      <c r="B1221" s="21" t="s">
        <v>87</v>
      </c>
      <c r="C1221" s="21" t="s">
        <v>91</v>
      </c>
      <c r="D1221" s="22" t="str">
        <f>IF($C1221="","",IFERROR(VLOOKUP($C1221,Map_Register!$A$2:$C$5,3,FALSE()),""))</f>
        <v>Cultural Heritage Area</v>
      </c>
      <c r="E1221" s="21" t="s">
        <v>15</v>
      </c>
      <c r="F1221" s="23">
        <v>113365</v>
      </c>
      <c r="G1221" s="20" t="s">
        <v>1537</v>
      </c>
      <c r="H1221" s="20" t="s">
        <v>1927</v>
      </c>
      <c r="I1221" s="20" t="s">
        <v>678</v>
      </c>
      <c r="J1221" s="20" t="s">
        <v>6</v>
      </c>
      <c r="K1221" s="20" t="s">
        <v>137</v>
      </c>
      <c r="L1221" s="20" t="s">
        <v>137</v>
      </c>
      <c r="M1221" s="20" t="s">
        <v>1713</v>
      </c>
      <c r="Q1221" s="24" t="s">
        <v>680</v>
      </c>
    </row>
    <row r="1222" spans="1:17" hidden="1" x14ac:dyDescent="0.3">
      <c r="A1222" s="20">
        <f t="shared" si="19"/>
        <v>1221</v>
      </c>
      <c r="B1222" s="21" t="s">
        <v>87</v>
      </c>
      <c r="C1222" s="21" t="s">
        <v>91</v>
      </c>
      <c r="D1222" s="22" t="str">
        <f>IF($C1222="","",IFERROR(VLOOKUP($C1222,Map_Register!$A$2:$C$5,3,FALSE()),""))</f>
        <v>Cultural Heritage Area</v>
      </c>
      <c r="E1222" s="21" t="s">
        <v>15</v>
      </c>
      <c r="F1222" s="23">
        <v>113611</v>
      </c>
      <c r="G1222" s="20" t="s">
        <v>1537</v>
      </c>
      <c r="H1222" s="20" t="s">
        <v>1883</v>
      </c>
      <c r="I1222" s="20" t="s">
        <v>678</v>
      </c>
      <c r="J1222" s="20" t="s">
        <v>220</v>
      </c>
      <c r="K1222" s="20" t="s">
        <v>137</v>
      </c>
      <c r="L1222" s="20" t="s">
        <v>137</v>
      </c>
      <c r="M1222" s="20" t="s">
        <v>1928</v>
      </c>
      <c r="P1222" s="20" t="s">
        <v>1869</v>
      </c>
      <c r="Q1222" s="24" t="s">
        <v>680</v>
      </c>
    </row>
    <row r="1223" spans="1:17" hidden="1" x14ac:dyDescent="0.3">
      <c r="A1223" s="20">
        <f t="shared" si="19"/>
        <v>1222</v>
      </c>
      <c r="B1223" s="21" t="s">
        <v>87</v>
      </c>
      <c r="C1223" s="21" t="s">
        <v>91</v>
      </c>
      <c r="D1223" s="22" t="str">
        <f>IF($C1223="","",IFERROR(VLOOKUP($C1223,Map_Register!$A$2:$C$5,3,FALSE()),""))</f>
        <v>Cultural Heritage Area</v>
      </c>
      <c r="E1223" s="21" t="s">
        <v>15</v>
      </c>
      <c r="F1223" s="23">
        <v>114882</v>
      </c>
      <c r="G1223" s="20" t="s">
        <v>1537</v>
      </c>
      <c r="H1223" s="20" t="s">
        <v>1918</v>
      </c>
      <c r="I1223" s="20" t="s">
        <v>678</v>
      </c>
      <c r="J1223" s="20" t="s">
        <v>220</v>
      </c>
      <c r="K1223" s="20" t="s">
        <v>137</v>
      </c>
      <c r="L1223" s="20" t="s">
        <v>137</v>
      </c>
      <c r="M1223" s="20" t="s">
        <v>1919</v>
      </c>
      <c r="P1223" s="20" t="s">
        <v>1869</v>
      </c>
      <c r="Q1223" s="24" t="s">
        <v>680</v>
      </c>
    </row>
    <row r="1224" spans="1:17" hidden="1" x14ac:dyDescent="0.3">
      <c r="A1224" s="20">
        <f t="shared" si="19"/>
        <v>1223</v>
      </c>
      <c r="B1224" s="21" t="s">
        <v>87</v>
      </c>
      <c r="C1224" s="21" t="s">
        <v>91</v>
      </c>
      <c r="D1224" s="22" t="str">
        <f>IF($C1224="","",IFERROR(VLOOKUP($C1224,Map_Register!$A$2:$C$5,3,FALSE()),""))</f>
        <v>Cultural Heritage Area</v>
      </c>
      <c r="E1224" s="21" t="s">
        <v>15</v>
      </c>
      <c r="F1224" s="23">
        <v>117361</v>
      </c>
      <c r="G1224" s="20" t="s">
        <v>1537</v>
      </c>
      <c r="H1224" s="20" t="s">
        <v>1929</v>
      </c>
      <c r="I1224" s="20" t="s">
        <v>678</v>
      </c>
      <c r="J1224" s="20" t="s">
        <v>6</v>
      </c>
      <c r="K1224" s="20" t="s">
        <v>137</v>
      </c>
      <c r="L1224" s="20" t="s">
        <v>137</v>
      </c>
      <c r="M1224" s="20" t="s">
        <v>1713</v>
      </c>
      <c r="Q1224" s="24" t="s">
        <v>680</v>
      </c>
    </row>
    <row r="1225" spans="1:17" hidden="1" x14ac:dyDescent="0.3">
      <c r="A1225" s="20">
        <f t="shared" si="19"/>
        <v>1224</v>
      </c>
      <c r="B1225" s="21" t="s">
        <v>87</v>
      </c>
      <c r="C1225" s="21" t="s">
        <v>91</v>
      </c>
      <c r="D1225" s="22" t="str">
        <f>IF($C1225="","",IFERROR(VLOOKUP($C1225,Map_Register!$A$2:$C$5,3,FALSE()),""))</f>
        <v>Cultural Heritage Area</v>
      </c>
      <c r="E1225" s="21" t="s">
        <v>15</v>
      </c>
      <c r="F1225" s="23">
        <v>117850</v>
      </c>
      <c r="G1225" s="20" t="s">
        <v>1537</v>
      </c>
      <c r="H1225" s="20" t="s">
        <v>1930</v>
      </c>
      <c r="I1225" s="20" t="s">
        <v>678</v>
      </c>
      <c r="J1225" s="20" t="s">
        <v>6</v>
      </c>
      <c r="K1225" s="20" t="s">
        <v>137</v>
      </c>
      <c r="L1225" s="20" t="s">
        <v>137</v>
      </c>
      <c r="M1225" s="20" t="s">
        <v>1713</v>
      </c>
      <c r="Q1225" s="24" t="s">
        <v>680</v>
      </c>
    </row>
    <row r="1226" spans="1:17" hidden="1" x14ac:dyDescent="0.3">
      <c r="A1226" s="20">
        <f t="shared" si="19"/>
        <v>1225</v>
      </c>
      <c r="B1226" s="21" t="s">
        <v>87</v>
      </c>
      <c r="C1226" s="21" t="s">
        <v>91</v>
      </c>
      <c r="D1226" s="22" t="str">
        <f>IF($C1226="","",IFERROR(VLOOKUP($C1226,Map_Register!$A$2:$C$5,3,FALSE()),""))</f>
        <v>Cultural Heritage Area</v>
      </c>
      <c r="E1226" s="21" t="s">
        <v>15</v>
      </c>
      <c r="F1226" s="23">
        <v>117927</v>
      </c>
      <c r="G1226" s="20" t="s">
        <v>1537</v>
      </c>
      <c r="H1226" s="20" t="s">
        <v>1788</v>
      </c>
      <c r="I1226" s="20" t="s">
        <v>678</v>
      </c>
      <c r="J1226" s="20" t="s">
        <v>6</v>
      </c>
      <c r="K1226" s="20" t="s">
        <v>137</v>
      </c>
      <c r="L1226" s="20" t="s">
        <v>137</v>
      </c>
      <c r="M1226" s="20" t="s">
        <v>1713</v>
      </c>
      <c r="Q1226" s="24" t="s">
        <v>680</v>
      </c>
    </row>
    <row r="1227" spans="1:17" hidden="1" x14ac:dyDescent="0.3">
      <c r="A1227" s="20">
        <f t="shared" si="19"/>
        <v>1226</v>
      </c>
      <c r="B1227" s="21" t="s">
        <v>87</v>
      </c>
      <c r="C1227" s="21" t="s">
        <v>91</v>
      </c>
      <c r="D1227" s="22" t="str">
        <f>IF($C1227="","",IFERROR(VLOOKUP($C1227,Map_Register!$A$2:$C$5,3,FALSE()),""))</f>
        <v>Cultural Heritage Area</v>
      </c>
      <c r="E1227" s="21" t="s">
        <v>15</v>
      </c>
      <c r="F1227" s="23">
        <v>119111</v>
      </c>
      <c r="G1227" s="20" t="s">
        <v>1537</v>
      </c>
      <c r="H1227" s="20" t="s">
        <v>1931</v>
      </c>
      <c r="I1227" s="20" t="s">
        <v>678</v>
      </c>
      <c r="J1227" s="20" t="s">
        <v>6</v>
      </c>
      <c r="K1227" s="20" t="s">
        <v>137</v>
      </c>
      <c r="L1227" s="20" t="s">
        <v>137</v>
      </c>
      <c r="M1227" s="20" t="s">
        <v>1713</v>
      </c>
      <c r="Q1227" s="24" t="s">
        <v>680</v>
      </c>
    </row>
    <row r="1228" spans="1:17" hidden="1" x14ac:dyDescent="0.3">
      <c r="A1228" s="20">
        <f t="shared" si="19"/>
        <v>1227</v>
      </c>
      <c r="B1228" s="21" t="s">
        <v>87</v>
      </c>
      <c r="C1228" s="21" t="s">
        <v>91</v>
      </c>
      <c r="D1228" s="22" t="str">
        <f>IF($C1228="","",IFERROR(VLOOKUP($C1228,Map_Register!$A$2:$C$5,3,FALSE()),""))</f>
        <v>Cultural Heritage Area</v>
      </c>
      <c r="E1228" s="21" t="s">
        <v>15</v>
      </c>
      <c r="F1228" s="23">
        <v>119142</v>
      </c>
      <c r="G1228" s="20" t="s">
        <v>1537</v>
      </c>
      <c r="H1228" s="20" t="s">
        <v>1932</v>
      </c>
      <c r="I1228" s="20" t="s">
        <v>678</v>
      </c>
      <c r="J1228" s="20" t="s">
        <v>8</v>
      </c>
      <c r="K1228" s="20" t="s">
        <v>107</v>
      </c>
      <c r="L1228" s="20" t="s">
        <v>107</v>
      </c>
      <c r="M1228" s="20" t="s">
        <v>1933</v>
      </c>
      <c r="N1228" s="20" t="s">
        <v>108</v>
      </c>
      <c r="Q1228" s="24" t="s">
        <v>680</v>
      </c>
    </row>
    <row r="1229" spans="1:17" hidden="1" x14ac:dyDescent="0.3">
      <c r="A1229" s="20">
        <f t="shared" si="19"/>
        <v>1228</v>
      </c>
      <c r="B1229" s="21" t="s">
        <v>87</v>
      </c>
      <c r="C1229" s="21" t="s">
        <v>91</v>
      </c>
      <c r="D1229" s="22" t="str">
        <f>IF($C1229="","",IFERROR(VLOOKUP($C1229,Map_Register!$A$2:$C$5,3,FALSE()),""))</f>
        <v>Cultural Heritage Area</v>
      </c>
      <c r="E1229" s="21" t="s">
        <v>15</v>
      </c>
      <c r="F1229" s="23">
        <v>119208</v>
      </c>
      <c r="G1229" s="20" t="s">
        <v>1537</v>
      </c>
      <c r="H1229" s="20" t="s">
        <v>1934</v>
      </c>
      <c r="I1229" s="20" t="s">
        <v>678</v>
      </c>
      <c r="J1229" s="20" t="s">
        <v>6</v>
      </c>
      <c r="K1229" s="20" t="s">
        <v>137</v>
      </c>
      <c r="L1229" s="20" t="s">
        <v>137</v>
      </c>
      <c r="M1229" s="20" t="s">
        <v>1713</v>
      </c>
      <c r="Q1229" s="24" t="s">
        <v>680</v>
      </c>
    </row>
    <row r="1230" spans="1:17" hidden="1" x14ac:dyDescent="0.3">
      <c r="A1230" s="20">
        <f t="shared" si="19"/>
        <v>1229</v>
      </c>
      <c r="B1230" s="21" t="s">
        <v>87</v>
      </c>
      <c r="C1230" s="21" t="s">
        <v>91</v>
      </c>
      <c r="D1230" s="22" t="str">
        <f>IF($C1230="","",IFERROR(VLOOKUP($C1230,Map_Register!$A$2:$C$5,3,FALSE()),""))</f>
        <v>Cultural Heritage Area</v>
      </c>
      <c r="E1230" s="21" t="s">
        <v>15</v>
      </c>
      <c r="F1230" s="23">
        <v>119247</v>
      </c>
      <c r="G1230" s="20" t="s">
        <v>1537</v>
      </c>
      <c r="H1230" s="20" t="s">
        <v>1935</v>
      </c>
      <c r="I1230" s="20" t="s">
        <v>678</v>
      </c>
      <c r="J1230" s="20" t="s">
        <v>6</v>
      </c>
      <c r="K1230" s="20" t="s">
        <v>137</v>
      </c>
      <c r="L1230" s="20" t="s">
        <v>137</v>
      </c>
      <c r="M1230" s="20" t="s">
        <v>1713</v>
      </c>
      <c r="Q1230" s="24" t="s">
        <v>680</v>
      </c>
    </row>
    <row r="1231" spans="1:17" hidden="1" x14ac:dyDescent="0.3">
      <c r="A1231" s="20">
        <f t="shared" si="19"/>
        <v>1230</v>
      </c>
      <c r="B1231" s="21" t="s">
        <v>87</v>
      </c>
      <c r="C1231" s="21" t="s">
        <v>91</v>
      </c>
      <c r="D1231" s="22" t="str">
        <f>IF($C1231="","",IFERROR(VLOOKUP($C1231,Map_Register!$A$2:$C$5,3,FALSE()),""))</f>
        <v>Cultural Heritage Area</v>
      </c>
      <c r="E1231" s="21" t="s">
        <v>15</v>
      </c>
      <c r="F1231" s="23">
        <v>121209</v>
      </c>
      <c r="G1231" s="20" t="s">
        <v>1537</v>
      </c>
      <c r="H1231" s="20" t="s">
        <v>1936</v>
      </c>
      <c r="I1231" s="20" t="s">
        <v>678</v>
      </c>
      <c r="J1231" s="20" t="s">
        <v>6</v>
      </c>
      <c r="K1231" s="20" t="s">
        <v>137</v>
      </c>
      <c r="L1231" s="20" t="s">
        <v>137</v>
      </c>
      <c r="M1231" s="20" t="s">
        <v>1713</v>
      </c>
      <c r="Q1231" s="24" t="s">
        <v>680</v>
      </c>
    </row>
    <row r="1232" spans="1:17" hidden="1" x14ac:dyDescent="0.3">
      <c r="A1232" s="20">
        <f t="shared" si="19"/>
        <v>1231</v>
      </c>
      <c r="B1232" s="21" t="s">
        <v>87</v>
      </c>
      <c r="C1232" s="21" t="s">
        <v>91</v>
      </c>
      <c r="D1232" s="22" t="str">
        <f>IF($C1232="","",IFERROR(VLOOKUP($C1232,Map_Register!$A$2:$C$5,3,FALSE()),""))</f>
        <v>Cultural Heritage Area</v>
      </c>
      <c r="E1232" s="21" t="s">
        <v>15</v>
      </c>
      <c r="F1232" s="23">
        <v>121715</v>
      </c>
      <c r="G1232" s="20" t="s">
        <v>1537</v>
      </c>
      <c r="H1232" s="20" t="s">
        <v>1937</v>
      </c>
      <c r="I1232" s="20" t="s">
        <v>678</v>
      </c>
      <c r="J1232" s="20" t="s">
        <v>8</v>
      </c>
      <c r="K1232" s="20" t="s">
        <v>107</v>
      </c>
      <c r="L1232" s="20" t="s">
        <v>107</v>
      </c>
      <c r="M1232" s="20" t="s">
        <v>1938</v>
      </c>
      <c r="N1232" s="20" t="s">
        <v>108</v>
      </c>
      <c r="Q1232" s="24" t="s">
        <v>680</v>
      </c>
    </row>
    <row r="1233" spans="1:17" x14ac:dyDescent="0.3">
      <c r="A1233" s="20">
        <f t="shared" si="19"/>
        <v>1232</v>
      </c>
      <c r="B1233" s="21" t="s">
        <v>87</v>
      </c>
      <c r="C1233" s="21" t="s">
        <v>91</v>
      </c>
      <c r="D1233" s="22" t="str">
        <f>IF($C1233="","",IFERROR(VLOOKUP($C1233,Map_Register!$A$2:$C$5,3,FALSE()),""))</f>
        <v>Cultural Heritage Area</v>
      </c>
      <c r="E1233" s="21" t="s">
        <v>15</v>
      </c>
      <c r="F1233" s="23">
        <v>122768</v>
      </c>
      <c r="G1233" s="20" t="s">
        <v>1537</v>
      </c>
      <c r="H1233" s="20" t="s">
        <v>1939</v>
      </c>
      <c r="I1233" s="20" t="s">
        <v>678</v>
      </c>
      <c r="J1233" s="20" t="s">
        <v>8</v>
      </c>
      <c r="K1233" s="20" t="s">
        <v>107</v>
      </c>
      <c r="L1233" t="s">
        <v>108</v>
      </c>
      <c r="M1233" s="20" t="s">
        <v>1700</v>
      </c>
      <c r="N1233" s="20" t="s">
        <v>108</v>
      </c>
      <c r="Q1233" s="24" t="s">
        <v>680</v>
      </c>
    </row>
    <row r="1234" spans="1:17" hidden="1" x14ac:dyDescent="0.3">
      <c r="A1234" s="20">
        <f t="shared" si="19"/>
        <v>1233</v>
      </c>
      <c r="B1234" s="21" t="s">
        <v>87</v>
      </c>
      <c r="C1234" s="21" t="s">
        <v>91</v>
      </c>
      <c r="D1234" s="22" t="str">
        <f>IF($C1234="","",IFERROR(VLOOKUP($C1234,Map_Register!$A$2:$C$5,3,FALSE()),""))</f>
        <v>Cultural Heritage Area</v>
      </c>
      <c r="E1234" s="21" t="s">
        <v>15</v>
      </c>
      <c r="F1234" s="23">
        <v>124833</v>
      </c>
      <c r="G1234" s="20" t="s">
        <v>1537</v>
      </c>
      <c r="H1234" s="20" t="s">
        <v>1892</v>
      </c>
      <c r="I1234" s="20" t="s">
        <v>678</v>
      </c>
      <c r="J1234" s="20" t="s">
        <v>220</v>
      </c>
      <c r="K1234" s="20" t="s">
        <v>137</v>
      </c>
      <c r="L1234" s="20" t="s">
        <v>137</v>
      </c>
      <c r="M1234" s="20" t="s">
        <v>1893</v>
      </c>
      <c r="P1234" s="20" t="s">
        <v>1940</v>
      </c>
      <c r="Q1234" s="24" t="s">
        <v>680</v>
      </c>
    </row>
    <row r="1235" spans="1:17" hidden="1" x14ac:dyDescent="0.3">
      <c r="A1235" s="20">
        <f t="shared" si="19"/>
        <v>1234</v>
      </c>
      <c r="B1235" s="21" t="s">
        <v>87</v>
      </c>
      <c r="C1235" s="21" t="s">
        <v>91</v>
      </c>
      <c r="D1235" s="22" t="str">
        <f>IF($C1235="","",IFERROR(VLOOKUP($C1235,Map_Register!$A$2:$C$5,3,FALSE()),""))</f>
        <v>Cultural Heritage Area</v>
      </c>
      <c r="E1235" s="21" t="s">
        <v>15</v>
      </c>
      <c r="F1235" s="23">
        <v>125645</v>
      </c>
      <c r="G1235" s="20" t="s">
        <v>1537</v>
      </c>
      <c r="H1235" s="20" t="s">
        <v>1941</v>
      </c>
      <c r="I1235" s="20" t="s">
        <v>678</v>
      </c>
      <c r="J1235" s="20" t="s">
        <v>6</v>
      </c>
      <c r="K1235" s="20" t="s">
        <v>137</v>
      </c>
      <c r="L1235" s="20" t="s">
        <v>137</v>
      </c>
      <c r="M1235" s="20" t="s">
        <v>1724</v>
      </c>
      <c r="Q1235" s="24" t="s">
        <v>680</v>
      </c>
    </row>
    <row r="1236" spans="1:17" hidden="1" x14ac:dyDescent="0.3">
      <c r="A1236" s="20">
        <f t="shared" si="19"/>
        <v>1235</v>
      </c>
      <c r="B1236" s="21" t="s">
        <v>87</v>
      </c>
      <c r="C1236" s="21" t="s">
        <v>91</v>
      </c>
      <c r="D1236" s="22" t="str">
        <f>IF($C1236="","",IFERROR(VLOOKUP($C1236,Map_Register!$A$2:$C$5,3,FALSE()),""))</f>
        <v>Cultural Heritage Area</v>
      </c>
      <c r="E1236" s="21" t="s">
        <v>15</v>
      </c>
      <c r="F1236" s="23">
        <v>125646</v>
      </c>
      <c r="G1236" s="20" t="s">
        <v>1537</v>
      </c>
      <c r="H1236" s="20" t="s">
        <v>1942</v>
      </c>
      <c r="I1236" s="20" t="s">
        <v>678</v>
      </c>
      <c r="J1236" s="20" t="s">
        <v>8</v>
      </c>
      <c r="K1236" s="20" t="s">
        <v>107</v>
      </c>
      <c r="L1236" s="20" t="s">
        <v>107</v>
      </c>
      <c r="M1236" s="20" t="s">
        <v>1696</v>
      </c>
      <c r="N1236" s="20" t="s">
        <v>108</v>
      </c>
      <c r="Q1236" s="24" t="s">
        <v>680</v>
      </c>
    </row>
    <row r="1237" spans="1:17" hidden="1" x14ac:dyDescent="0.3">
      <c r="A1237" s="20">
        <f t="shared" si="19"/>
        <v>1236</v>
      </c>
      <c r="B1237" s="21" t="s">
        <v>87</v>
      </c>
      <c r="C1237" s="21" t="s">
        <v>91</v>
      </c>
      <c r="D1237" s="22" t="str">
        <f>IF($C1237="","",IFERROR(VLOOKUP($C1237,Map_Register!$A$2:$C$5,3,FALSE()),""))</f>
        <v>Cultural Heritage Area</v>
      </c>
      <c r="E1237" s="21" t="s">
        <v>15</v>
      </c>
      <c r="F1237" s="23">
        <v>125647</v>
      </c>
      <c r="G1237" s="20" t="s">
        <v>1537</v>
      </c>
      <c r="H1237" s="20" t="s">
        <v>1943</v>
      </c>
      <c r="I1237" s="20" t="s">
        <v>678</v>
      </c>
      <c r="J1237" s="20" t="s">
        <v>6</v>
      </c>
      <c r="K1237" s="20" t="s">
        <v>137</v>
      </c>
      <c r="L1237" s="20" t="s">
        <v>137</v>
      </c>
      <c r="M1237" s="20" t="s">
        <v>1713</v>
      </c>
      <c r="Q1237" s="24" t="s">
        <v>680</v>
      </c>
    </row>
    <row r="1238" spans="1:17" hidden="1" x14ac:dyDescent="0.3">
      <c r="A1238" s="20">
        <f t="shared" si="19"/>
        <v>1237</v>
      </c>
      <c r="B1238" s="21" t="s">
        <v>87</v>
      </c>
      <c r="C1238" s="21" t="s">
        <v>91</v>
      </c>
      <c r="D1238" s="22" t="str">
        <f>IF($C1238="","",IFERROR(VLOOKUP($C1238,Map_Register!$A$2:$C$5,3,FALSE()),""))</f>
        <v>Cultural Heritage Area</v>
      </c>
      <c r="E1238" s="21" t="s">
        <v>15</v>
      </c>
      <c r="F1238" s="23">
        <v>125651</v>
      </c>
      <c r="G1238" s="20" t="s">
        <v>1537</v>
      </c>
      <c r="H1238" s="20" t="s">
        <v>1944</v>
      </c>
      <c r="I1238" s="20" t="s">
        <v>678</v>
      </c>
      <c r="J1238" s="20" t="s">
        <v>8</v>
      </c>
      <c r="K1238" s="20" t="s">
        <v>107</v>
      </c>
      <c r="L1238" s="20" t="s">
        <v>107</v>
      </c>
      <c r="M1238" s="20" t="s">
        <v>1705</v>
      </c>
      <c r="N1238" s="20" t="s">
        <v>108</v>
      </c>
      <c r="Q1238" s="24" t="s">
        <v>680</v>
      </c>
    </row>
    <row r="1239" spans="1:17" x14ac:dyDescent="0.3">
      <c r="A1239" s="20">
        <f t="shared" si="19"/>
        <v>1238</v>
      </c>
      <c r="B1239" s="21" t="s">
        <v>87</v>
      </c>
      <c r="C1239" s="21" t="s">
        <v>91</v>
      </c>
      <c r="D1239" s="22" t="str">
        <f>IF($C1239="","",IFERROR(VLOOKUP($C1239,Map_Register!$A$2:$C$5,3,FALSE()),""))</f>
        <v>Cultural Heritage Area</v>
      </c>
      <c r="E1239" s="21" t="s">
        <v>15</v>
      </c>
      <c r="F1239" s="23">
        <v>125652</v>
      </c>
      <c r="G1239" s="20" t="s">
        <v>1537</v>
      </c>
      <c r="H1239" s="20" t="s">
        <v>1945</v>
      </c>
      <c r="I1239" s="20" t="s">
        <v>678</v>
      </c>
      <c r="J1239" s="20" t="s">
        <v>8</v>
      </c>
      <c r="K1239" s="20" t="s">
        <v>107</v>
      </c>
      <c r="L1239" t="s">
        <v>108</v>
      </c>
      <c r="M1239" s="20" t="s">
        <v>1700</v>
      </c>
      <c r="N1239" s="20" t="s">
        <v>108</v>
      </c>
      <c r="Q1239" s="24" t="s">
        <v>680</v>
      </c>
    </row>
    <row r="1240" spans="1:17" hidden="1" x14ac:dyDescent="0.3">
      <c r="A1240" s="20">
        <f t="shared" si="19"/>
        <v>1239</v>
      </c>
      <c r="B1240" s="21" t="s">
        <v>87</v>
      </c>
      <c r="C1240" s="21" t="s">
        <v>91</v>
      </c>
      <c r="D1240" s="22" t="str">
        <f>IF($C1240="","",IFERROR(VLOOKUP($C1240,Map_Register!$A$2:$C$5,3,FALSE()),""))</f>
        <v>Cultural Heritage Area</v>
      </c>
      <c r="E1240" s="21" t="s">
        <v>15</v>
      </c>
      <c r="F1240" s="23">
        <v>125653</v>
      </c>
      <c r="G1240" s="20" t="s">
        <v>1537</v>
      </c>
      <c r="H1240" s="20" t="s">
        <v>1946</v>
      </c>
      <c r="I1240" s="20" t="s">
        <v>678</v>
      </c>
      <c r="J1240" s="20" t="s">
        <v>6</v>
      </c>
      <c r="K1240" s="20" t="s">
        <v>137</v>
      </c>
      <c r="L1240" s="20" t="s">
        <v>137</v>
      </c>
      <c r="M1240" s="20" t="s">
        <v>1694</v>
      </c>
      <c r="Q1240" s="24" t="s">
        <v>680</v>
      </c>
    </row>
    <row r="1241" spans="1:17" hidden="1" x14ac:dyDescent="0.3">
      <c r="A1241" s="20">
        <f t="shared" si="19"/>
        <v>1240</v>
      </c>
      <c r="B1241" s="21" t="s">
        <v>87</v>
      </c>
      <c r="C1241" s="21" t="s">
        <v>91</v>
      </c>
      <c r="D1241" s="22" t="str">
        <f>IF($C1241="","",IFERROR(VLOOKUP($C1241,Map_Register!$A$2:$C$5,3,FALSE()),""))</f>
        <v>Cultural Heritage Area</v>
      </c>
      <c r="E1241" s="21" t="s">
        <v>15</v>
      </c>
      <c r="F1241" s="23">
        <v>125655</v>
      </c>
      <c r="G1241" s="20" t="s">
        <v>1537</v>
      </c>
      <c r="H1241" s="20" t="s">
        <v>1947</v>
      </c>
      <c r="I1241" s="20" t="s">
        <v>678</v>
      </c>
      <c r="J1241" s="20" t="s">
        <v>6</v>
      </c>
      <c r="K1241" s="20" t="s">
        <v>137</v>
      </c>
      <c r="L1241" s="20" t="s">
        <v>137</v>
      </c>
      <c r="M1241" s="20" t="s">
        <v>1724</v>
      </c>
      <c r="Q1241" s="24" t="s">
        <v>680</v>
      </c>
    </row>
    <row r="1242" spans="1:17" hidden="1" x14ac:dyDescent="0.3">
      <c r="A1242" s="20">
        <f t="shared" si="19"/>
        <v>1241</v>
      </c>
      <c r="B1242" s="21" t="s">
        <v>87</v>
      </c>
      <c r="C1242" s="21" t="s">
        <v>91</v>
      </c>
      <c r="D1242" s="22" t="str">
        <f>IF($C1242="","",IFERROR(VLOOKUP($C1242,Map_Register!$A$2:$C$5,3,FALSE()),""))</f>
        <v>Cultural Heritage Area</v>
      </c>
      <c r="E1242" s="21" t="s">
        <v>15</v>
      </c>
      <c r="F1242" s="23">
        <v>125656</v>
      </c>
      <c r="G1242" s="20" t="s">
        <v>1537</v>
      </c>
      <c r="H1242" s="20" t="s">
        <v>1948</v>
      </c>
      <c r="I1242" s="20" t="s">
        <v>678</v>
      </c>
      <c r="J1242" s="20" t="s">
        <v>8</v>
      </c>
      <c r="K1242" s="20" t="s">
        <v>107</v>
      </c>
      <c r="L1242" s="20" t="s">
        <v>107</v>
      </c>
      <c r="M1242" s="20" t="s">
        <v>1705</v>
      </c>
      <c r="N1242" s="20" t="s">
        <v>108</v>
      </c>
      <c r="Q1242" s="24" t="s">
        <v>680</v>
      </c>
    </row>
    <row r="1243" spans="1:17" hidden="1" x14ac:dyDescent="0.3">
      <c r="A1243" s="20">
        <f t="shared" si="19"/>
        <v>1242</v>
      </c>
      <c r="B1243" s="21" t="s">
        <v>87</v>
      </c>
      <c r="C1243" s="21" t="s">
        <v>91</v>
      </c>
      <c r="D1243" s="22" t="str">
        <f>IF($C1243="","",IFERROR(VLOOKUP($C1243,Map_Register!$A$2:$C$5,3,FALSE()),""))</f>
        <v>Cultural Heritage Area</v>
      </c>
      <c r="E1243" s="21" t="s">
        <v>15</v>
      </c>
      <c r="F1243" s="23">
        <v>125657</v>
      </c>
      <c r="G1243" s="20" t="s">
        <v>1537</v>
      </c>
      <c r="H1243" s="20" t="s">
        <v>1949</v>
      </c>
      <c r="I1243" s="20" t="s">
        <v>678</v>
      </c>
      <c r="J1243" s="20" t="s">
        <v>8</v>
      </c>
      <c r="K1243" s="20" t="s">
        <v>107</v>
      </c>
      <c r="L1243" s="20" t="s">
        <v>107</v>
      </c>
      <c r="M1243" s="20" t="s">
        <v>1705</v>
      </c>
      <c r="N1243" s="20" t="s">
        <v>108</v>
      </c>
      <c r="Q1243" s="24" t="s">
        <v>680</v>
      </c>
    </row>
    <row r="1244" spans="1:17" hidden="1" x14ac:dyDescent="0.3">
      <c r="A1244" s="20">
        <f t="shared" si="19"/>
        <v>1243</v>
      </c>
      <c r="B1244" s="21" t="s">
        <v>87</v>
      </c>
      <c r="C1244" s="21" t="s">
        <v>91</v>
      </c>
      <c r="D1244" s="22" t="str">
        <f>IF($C1244="","",IFERROR(VLOOKUP($C1244,Map_Register!$A$2:$C$5,3,FALSE()),""))</f>
        <v>Cultural Heritage Area</v>
      </c>
      <c r="E1244" s="21" t="s">
        <v>15</v>
      </c>
      <c r="F1244" s="23">
        <v>125658</v>
      </c>
      <c r="G1244" s="20" t="s">
        <v>1537</v>
      </c>
      <c r="H1244" s="20" t="s">
        <v>1750</v>
      </c>
      <c r="I1244" s="20" t="s">
        <v>678</v>
      </c>
      <c r="J1244" s="20" t="s">
        <v>220</v>
      </c>
      <c r="K1244" s="20" t="s">
        <v>137</v>
      </c>
      <c r="L1244" s="20" t="s">
        <v>137</v>
      </c>
      <c r="M1244" s="20" t="s">
        <v>1884</v>
      </c>
      <c r="P1244" s="20" t="s">
        <v>1869</v>
      </c>
      <c r="Q1244" s="24" t="s">
        <v>680</v>
      </c>
    </row>
    <row r="1245" spans="1:17" x14ac:dyDescent="0.3">
      <c r="A1245" s="20">
        <f t="shared" si="19"/>
        <v>1244</v>
      </c>
      <c r="B1245" s="21" t="s">
        <v>87</v>
      </c>
      <c r="C1245" s="21" t="s">
        <v>91</v>
      </c>
      <c r="D1245" s="22" t="str">
        <f>IF($C1245="","",IFERROR(VLOOKUP($C1245,Map_Register!$A$2:$C$5,3,FALSE()),""))</f>
        <v>Cultural Heritage Area</v>
      </c>
      <c r="E1245" s="21" t="s">
        <v>15</v>
      </c>
      <c r="F1245" s="23">
        <v>125659</v>
      </c>
      <c r="G1245" s="20" t="s">
        <v>1537</v>
      </c>
      <c r="H1245" s="20" t="s">
        <v>1950</v>
      </c>
      <c r="I1245" s="20" t="s">
        <v>678</v>
      </c>
      <c r="J1245" s="20" t="s">
        <v>8</v>
      </c>
      <c r="K1245" s="20" t="s">
        <v>107</v>
      </c>
      <c r="L1245" t="s">
        <v>108</v>
      </c>
      <c r="M1245" s="20" t="s">
        <v>1700</v>
      </c>
      <c r="N1245" s="20" t="s">
        <v>108</v>
      </c>
      <c r="Q1245" s="24" t="s">
        <v>680</v>
      </c>
    </row>
    <row r="1246" spans="1:17" hidden="1" x14ac:dyDescent="0.3">
      <c r="A1246" s="20">
        <f t="shared" si="19"/>
        <v>1245</v>
      </c>
      <c r="B1246" s="21" t="s">
        <v>87</v>
      </c>
      <c r="C1246" s="21" t="s">
        <v>91</v>
      </c>
      <c r="D1246" s="22" t="str">
        <f>IF($C1246="","",IFERROR(VLOOKUP($C1246,Map_Register!$A$2:$C$5,3,FALSE()),""))</f>
        <v>Cultural Heritage Area</v>
      </c>
      <c r="E1246" s="21" t="s">
        <v>15</v>
      </c>
      <c r="F1246" s="23">
        <v>125660</v>
      </c>
      <c r="G1246" s="20" t="s">
        <v>1537</v>
      </c>
      <c r="H1246" s="20" t="s">
        <v>1786</v>
      </c>
      <c r="I1246" s="20" t="s">
        <v>678</v>
      </c>
      <c r="J1246" s="20" t="s">
        <v>6</v>
      </c>
      <c r="K1246" s="20" t="s">
        <v>137</v>
      </c>
      <c r="L1246" s="20" t="s">
        <v>137</v>
      </c>
      <c r="M1246" s="20" t="s">
        <v>1713</v>
      </c>
      <c r="Q1246" s="24" t="s">
        <v>680</v>
      </c>
    </row>
    <row r="1247" spans="1:17" x14ac:dyDescent="0.3">
      <c r="A1247" s="20">
        <f t="shared" si="19"/>
        <v>1246</v>
      </c>
      <c r="B1247" s="21" t="s">
        <v>87</v>
      </c>
      <c r="C1247" s="21" t="s">
        <v>91</v>
      </c>
      <c r="D1247" s="22" t="str">
        <f>IF($C1247="","",IFERROR(VLOOKUP($C1247,Map_Register!$A$2:$C$5,3,FALSE()),""))</f>
        <v>Cultural Heritage Area</v>
      </c>
      <c r="E1247" s="21" t="s">
        <v>15</v>
      </c>
      <c r="F1247" s="23">
        <v>125661</v>
      </c>
      <c r="G1247" s="20" t="s">
        <v>1537</v>
      </c>
      <c r="H1247" s="20" t="s">
        <v>1951</v>
      </c>
      <c r="I1247" s="20" t="s">
        <v>678</v>
      </c>
      <c r="J1247" s="20" t="s">
        <v>8</v>
      </c>
      <c r="K1247" s="20" t="s">
        <v>107</v>
      </c>
      <c r="L1247" t="s">
        <v>108</v>
      </c>
      <c r="M1247" s="20" t="s">
        <v>1700</v>
      </c>
      <c r="N1247" s="20" t="s">
        <v>108</v>
      </c>
      <c r="Q1247" s="24" t="s">
        <v>680</v>
      </c>
    </row>
    <row r="1248" spans="1:17" x14ac:dyDescent="0.3">
      <c r="A1248" s="20">
        <f t="shared" si="19"/>
        <v>1247</v>
      </c>
      <c r="B1248" s="21" t="s">
        <v>87</v>
      </c>
      <c r="C1248" s="21" t="s">
        <v>91</v>
      </c>
      <c r="D1248" s="22" t="str">
        <f>IF($C1248="","",IFERROR(VLOOKUP($C1248,Map_Register!$A$2:$C$5,3,FALSE()),""))</f>
        <v>Cultural Heritage Area</v>
      </c>
      <c r="E1248" s="21" t="s">
        <v>15</v>
      </c>
      <c r="F1248" s="23">
        <v>125662</v>
      </c>
      <c r="G1248" s="20" t="s">
        <v>1537</v>
      </c>
      <c r="H1248" s="20" t="s">
        <v>1952</v>
      </c>
      <c r="I1248" s="20" t="s">
        <v>678</v>
      </c>
      <c r="J1248" s="20" t="s">
        <v>8</v>
      </c>
      <c r="K1248" s="20" t="s">
        <v>107</v>
      </c>
      <c r="L1248" t="s">
        <v>108</v>
      </c>
      <c r="M1248" s="20" t="s">
        <v>1700</v>
      </c>
      <c r="N1248" s="20" t="s">
        <v>108</v>
      </c>
      <c r="Q1248" s="24" t="s">
        <v>680</v>
      </c>
    </row>
    <row r="1249" spans="1:17" x14ac:dyDescent="0.3">
      <c r="A1249" s="20">
        <f t="shared" si="19"/>
        <v>1248</v>
      </c>
      <c r="B1249" s="21" t="s">
        <v>87</v>
      </c>
      <c r="C1249" s="21" t="s">
        <v>91</v>
      </c>
      <c r="D1249" s="22" t="str">
        <f>IF($C1249="","",IFERROR(VLOOKUP($C1249,Map_Register!$A$2:$C$5,3,FALSE()),""))</f>
        <v>Cultural Heritage Area</v>
      </c>
      <c r="E1249" s="21" t="s">
        <v>15</v>
      </c>
      <c r="F1249" s="23">
        <v>125664</v>
      </c>
      <c r="G1249" s="20" t="s">
        <v>1537</v>
      </c>
      <c r="H1249" s="20" t="s">
        <v>1953</v>
      </c>
      <c r="I1249" s="20" t="s">
        <v>678</v>
      </c>
      <c r="J1249" s="20" t="s">
        <v>8</v>
      </c>
      <c r="K1249" s="20" t="s">
        <v>107</v>
      </c>
      <c r="L1249" t="s">
        <v>108</v>
      </c>
      <c r="M1249" s="20" t="s">
        <v>1700</v>
      </c>
      <c r="N1249" s="20" t="s">
        <v>108</v>
      </c>
      <c r="Q1249" s="24" t="s">
        <v>680</v>
      </c>
    </row>
    <row r="1250" spans="1:17" hidden="1" x14ac:dyDescent="0.3">
      <c r="A1250" s="20">
        <f t="shared" si="19"/>
        <v>1249</v>
      </c>
      <c r="B1250" s="21" t="s">
        <v>87</v>
      </c>
      <c r="C1250" s="21" t="s">
        <v>91</v>
      </c>
      <c r="D1250" s="22" t="str">
        <f>IF($C1250="","",IFERROR(VLOOKUP($C1250,Map_Register!$A$2:$C$5,3,FALSE()),""))</f>
        <v>Cultural Heritage Area</v>
      </c>
      <c r="E1250" s="21" t="s">
        <v>15</v>
      </c>
      <c r="F1250" s="23">
        <v>125665</v>
      </c>
      <c r="G1250" s="20" t="s">
        <v>1537</v>
      </c>
      <c r="H1250" s="20" t="s">
        <v>1954</v>
      </c>
      <c r="I1250" s="20" t="s">
        <v>678</v>
      </c>
      <c r="J1250" s="20" t="s">
        <v>6</v>
      </c>
      <c r="K1250" s="20" t="s">
        <v>137</v>
      </c>
      <c r="L1250" s="20" t="s">
        <v>137</v>
      </c>
      <c r="M1250" s="20" t="s">
        <v>1694</v>
      </c>
      <c r="Q1250" s="24" t="s">
        <v>680</v>
      </c>
    </row>
    <row r="1251" spans="1:17" hidden="1" x14ac:dyDescent="0.3">
      <c r="A1251" s="20">
        <f t="shared" si="19"/>
        <v>1250</v>
      </c>
      <c r="B1251" s="21" t="s">
        <v>87</v>
      </c>
      <c r="C1251" s="21" t="s">
        <v>91</v>
      </c>
      <c r="D1251" s="22" t="str">
        <f>IF($C1251="","",IFERROR(VLOOKUP($C1251,Map_Register!$A$2:$C$5,3,FALSE()),""))</f>
        <v>Cultural Heritage Area</v>
      </c>
      <c r="E1251" s="21" t="s">
        <v>15</v>
      </c>
      <c r="F1251" s="23">
        <v>125666</v>
      </c>
      <c r="G1251" s="20" t="s">
        <v>1537</v>
      </c>
      <c r="H1251" s="20" t="s">
        <v>1955</v>
      </c>
      <c r="I1251" s="20" t="s">
        <v>678</v>
      </c>
      <c r="J1251" s="20" t="s">
        <v>6</v>
      </c>
      <c r="K1251" s="20" t="s">
        <v>137</v>
      </c>
      <c r="L1251" s="20" t="s">
        <v>137</v>
      </c>
      <c r="M1251" s="20" t="s">
        <v>1694</v>
      </c>
      <c r="Q1251" s="24" t="s">
        <v>680</v>
      </c>
    </row>
    <row r="1252" spans="1:17" hidden="1" x14ac:dyDescent="0.3">
      <c r="A1252" s="20">
        <f t="shared" si="19"/>
        <v>1251</v>
      </c>
      <c r="B1252" s="21" t="s">
        <v>87</v>
      </c>
      <c r="C1252" s="21" t="s">
        <v>91</v>
      </c>
      <c r="D1252" s="22" t="str">
        <f>IF($C1252="","",IFERROR(VLOOKUP($C1252,Map_Register!$A$2:$C$5,3,FALSE()),""))</f>
        <v>Cultural Heritage Area</v>
      </c>
      <c r="E1252" s="21" t="s">
        <v>15</v>
      </c>
      <c r="F1252" s="23">
        <v>125667</v>
      </c>
      <c r="G1252" s="20" t="s">
        <v>1537</v>
      </c>
      <c r="H1252" s="20" t="s">
        <v>1956</v>
      </c>
      <c r="I1252" s="20" t="s">
        <v>678</v>
      </c>
      <c r="J1252" s="20" t="s">
        <v>6</v>
      </c>
      <c r="K1252" s="20" t="s">
        <v>137</v>
      </c>
      <c r="L1252" s="20" t="s">
        <v>137</v>
      </c>
      <c r="M1252" s="20" t="s">
        <v>1713</v>
      </c>
      <c r="Q1252" s="24" t="s">
        <v>680</v>
      </c>
    </row>
    <row r="1253" spans="1:17" x14ac:dyDescent="0.3">
      <c r="A1253" s="20">
        <f t="shared" si="19"/>
        <v>1252</v>
      </c>
      <c r="B1253" s="21" t="s">
        <v>87</v>
      </c>
      <c r="C1253" s="21" t="s">
        <v>91</v>
      </c>
      <c r="D1253" s="22" t="str">
        <f>IF($C1253="","",IFERROR(VLOOKUP($C1253,Map_Register!$A$2:$C$5,3,FALSE()),""))</f>
        <v>Cultural Heritage Area</v>
      </c>
      <c r="E1253" s="21" t="s">
        <v>15</v>
      </c>
      <c r="F1253" s="23">
        <v>125668</v>
      </c>
      <c r="G1253" s="20" t="s">
        <v>1537</v>
      </c>
      <c r="H1253" s="20" t="s">
        <v>1957</v>
      </c>
      <c r="I1253" s="20" t="s">
        <v>678</v>
      </c>
      <c r="J1253" s="20" t="s">
        <v>8</v>
      </c>
      <c r="K1253" s="20" t="s">
        <v>107</v>
      </c>
      <c r="L1253" t="s">
        <v>108</v>
      </c>
      <c r="M1253" s="20" t="s">
        <v>1700</v>
      </c>
      <c r="N1253" s="20" t="s">
        <v>108</v>
      </c>
      <c r="Q1253" s="24" t="s">
        <v>680</v>
      </c>
    </row>
    <row r="1254" spans="1:17" x14ac:dyDescent="0.3">
      <c r="A1254" s="20">
        <f t="shared" si="19"/>
        <v>1253</v>
      </c>
      <c r="B1254" s="21" t="s">
        <v>87</v>
      </c>
      <c r="C1254" s="21" t="s">
        <v>91</v>
      </c>
      <c r="D1254" s="22" t="str">
        <f>IF($C1254="","",IFERROR(VLOOKUP($C1254,Map_Register!$A$2:$C$5,3,FALSE()),""))</f>
        <v>Cultural Heritage Area</v>
      </c>
      <c r="E1254" s="21" t="s">
        <v>15</v>
      </c>
      <c r="F1254" s="23">
        <v>125669</v>
      </c>
      <c r="G1254" s="20" t="s">
        <v>1537</v>
      </c>
      <c r="H1254" s="20" t="s">
        <v>1958</v>
      </c>
      <c r="I1254" s="20" t="s">
        <v>678</v>
      </c>
      <c r="J1254" s="20" t="s">
        <v>8</v>
      </c>
      <c r="K1254" s="20" t="s">
        <v>107</v>
      </c>
      <c r="L1254" t="s">
        <v>108</v>
      </c>
      <c r="M1254" s="20" t="s">
        <v>1700</v>
      </c>
      <c r="N1254" s="20" t="s">
        <v>108</v>
      </c>
      <c r="Q1254" s="24" t="s">
        <v>680</v>
      </c>
    </row>
    <row r="1255" spans="1:17" x14ac:dyDescent="0.3">
      <c r="A1255" s="20">
        <f t="shared" si="19"/>
        <v>1254</v>
      </c>
      <c r="B1255" s="21" t="s">
        <v>87</v>
      </c>
      <c r="C1255" s="21" t="s">
        <v>91</v>
      </c>
      <c r="D1255" s="22" t="str">
        <f>IF($C1255="","",IFERROR(VLOOKUP($C1255,Map_Register!$A$2:$C$5,3,FALSE()),""))</f>
        <v>Cultural Heritage Area</v>
      </c>
      <c r="E1255" s="21" t="s">
        <v>15</v>
      </c>
      <c r="F1255" s="23">
        <v>125670</v>
      </c>
      <c r="G1255" s="20" t="s">
        <v>1537</v>
      </c>
      <c r="H1255" s="20" t="s">
        <v>1959</v>
      </c>
      <c r="I1255" s="20" t="s">
        <v>678</v>
      </c>
      <c r="J1255" s="20" t="s">
        <v>8</v>
      </c>
      <c r="K1255" s="20" t="s">
        <v>107</v>
      </c>
      <c r="L1255" t="s">
        <v>108</v>
      </c>
      <c r="M1255" s="20" t="s">
        <v>1700</v>
      </c>
      <c r="N1255" s="20" t="s">
        <v>108</v>
      </c>
      <c r="Q1255" s="24" t="s">
        <v>680</v>
      </c>
    </row>
    <row r="1256" spans="1:17" hidden="1" x14ac:dyDescent="0.3">
      <c r="A1256" s="20">
        <f t="shared" si="19"/>
        <v>1255</v>
      </c>
      <c r="B1256" s="21" t="s">
        <v>87</v>
      </c>
      <c r="C1256" s="21" t="s">
        <v>91</v>
      </c>
      <c r="D1256" s="22" t="str">
        <f>IF($C1256="","",IFERROR(VLOOKUP($C1256,Map_Register!$A$2:$C$5,3,FALSE()),""))</f>
        <v>Cultural Heritage Area</v>
      </c>
      <c r="E1256" s="21" t="s">
        <v>15</v>
      </c>
      <c r="F1256" s="23">
        <v>125671</v>
      </c>
      <c r="G1256" s="20" t="s">
        <v>1537</v>
      </c>
      <c r="H1256" s="20" t="s">
        <v>1960</v>
      </c>
      <c r="I1256" s="20" t="s">
        <v>678</v>
      </c>
      <c r="J1256" s="20" t="s">
        <v>8</v>
      </c>
      <c r="K1256" s="20" t="s">
        <v>107</v>
      </c>
      <c r="L1256" s="20" t="s">
        <v>107</v>
      </c>
      <c r="M1256" s="20" t="s">
        <v>1961</v>
      </c>
      <c r="N1256" s="20" t="s">
        <v>108</v>
      </c>
      <c r="Q1256" s="24" t="s">
        <v>680</v>
      </c>
    </row>
    <row r="1257" spans="1:17" hidden="1" x14ac:dyDescent="0.3">
      <c r="A1257" s="20">
        <f t="shared" si="19"/>
        <v>1256</v>
      </c>
      <c r="B1257" s="21" t="s">
        <v>87</v>
      </c>
      <c r="C1257" s="21" t="s">
        <v>91</v>
      </c>
      <c r="D1257" s="22" t="str">
        <f>IF($C1257="","",IFERROR(VLOOKUP($C1257,Map_Register!$A$2:$C$5,3,FALSE()),""))</f>
        <v>Cultural Heritage Area</v>
      </c>
      <c r="E1257" s="21" t="s">
        <v>15</v>
      </c>
      <c r="F1257" s="23">
        <v>125672</v>
      </c>
      <c r="G1257" s="20" t="s">
        <v>1537</v>
      </c>
      <c r="H1257" s="20" t="s">
        <v>1962</v>
      </c>
      <c r="I1257" s="20" t="s">
        <v>678</v>
      </c>
      <c r="J1257" s="20" t="s">
        <v>8</v>
      </c>
      <c r="K1257" s="20" t="s">
        <v>107</v>
      </c>
      <c r="L1257" s="20" t="s">
        <v>107</v>
      </c>
      <c r="M1257" s="20" t="s">
        <v>1705</v>
      </c>
      <c r="N1257" s="20" t="s">
        <v>108</v>
      </c>
      <c r="Q1257" s="24" t="s">
        <v>680</v>
      </c>
    </row>
    <row r="1258" spans="1:17" hidden="1" x14ac:dyDescent="0.3">
      <c r="A1258" s="20">
        <f t="shared" si="19"/>
        <v>1257</v>
      </c>
      <c r="B1258" s="21" t="s">
        <v>87</v>
      </c>
      <c r="C1258" s="21" t="s">
        <v>91</v>
      </c>
      <c r="D1258" s="22" t="str">
        <f>IF($C1258="","",IFERROR(VLOOKUP($C1258,Map_Register!$A$2:$C$5,3,FALSE()),""))</f>
        <v>Cultural Heritage Area</v>
      </c>
      <c r="E1258" s="21" t="s">
        <v>15</v>
      </c>
      <c r="F1258" s="23">
        <v>125673</v>
      </c>
      <c r="G1258" s="20" t="s">
        <v>1537</v>
      </c>
      <c r="H1258" s="20" t="s">
        <v>1963</v>
      </c>
      <c r="I1258" s="20" t="s">
        <v>678</v>
      </c>
      <c r="J1258" s="20" t="s">
        <v>8</v>
      </c>
      <c r="K1258" t="s">
        <v>107</v>
      </c>
      <c r="L1258" s="20" t="s">
        <v>1964</v>
      </c>
      <c r="M1258" s="20" t="s">
        <v>1846</v>
      </c>
      <c r="N1258" s="20" t="s">
        <v>108</v>
      </c>
      <c r="Q1258" s="24" t="s">
        <v>680</v>
      </c>
    </row>
    <row r="1259" spans="1:17" x14ac:dyDescent="0.3">
      <c r="A1259" s="20">
        <f t="shared" si="19"/>
        <v>1258</v>
      </c>
      <c r="B1259" s="21" t="s">
        <v>87</v>
      </c>
      <c r="C1259" s="21" t="s">
        <v>91</v>
      </c>
      <c r="D1259" s="22" t="str">
        <f>IF($C1259="","",IFERROR(VLOOKUP($C1259,Map_Register!$A$2:$C$5,3,FALSE()),""))</f>
        <v>Cultural Heritage Area</v>
      </c>
      <c r="E1259" s="21" t="s">
        <v>15</v>
      </c>
      <c r="F1259" s="23">
        <v>125674</v>
      </c>
      <c r="G1259" s="20" t="s">
        <v>1537</v>
      </c>
      <c r="H1259" s="20" t="s">
        <v>1965</v>
      </c>
      <c r="I1259" s="20" t="s">
        <v>678</v>
      </c>
      <c r="J1259" s="20" t="s">
        <v>8</v>
      </c>
      <c r="K1259" s="20" t="s">
        <v>107</v>
      </c>
      <c r="L1259" t="s">
        <v>108</v>
      </c>
      <c r="M1259" s="20" t="s">
        <v>1700</v>
      </c>
      <c r="N1259" s="20" t="s">
        <v>108</v>
      </c>
      <c r="Q1259" s="24" t="s">
        <v>680</v>
      </c>
    </row>
    <row r="1260" spans="1:17" hidden="1" x14ac:dyDescent="0.3">
      <c r="A1260" s="20">
        <f t="shared" si="19"/>
        <v>1259</v>
      </c>
      <c r="B1260" s="21" t="s">
        <v>87</v>
      </c>
      <c r="C1260" s="21" t="s">
        <v>91</v>
      </c>
      <c r="D1260" s="22" t="str">
        <f>IF($C1260="","",IFERROR(VLOOKUP($C1260,Map_Register!$A$2:$C$5,3,FALSE()),""))</f>
        <v>Cultural Heritage Area</v>
      </c>
      <c r="E1260" s="21" t="s">
        <v>15</v>
      </c>
      <c r="F1260" s="23">
        <v>125675</v>
      </c>
      <c r="G1260" s="20" t="s">
        <v>1537</v>
      </c>
      <c r="H1260" s="20" t="s">
        <v>1966</v>
      </c>
      <c r="I1260" s="20" t="s">
        <v>678</v>
      </c>
      <c r="J1260" s="20" t="s">
        <v>8</v>
      </c>
      <c r="K1260" s="20" t="s">
        <v>107</v>
      </c>
      <c r="L1260" s="20" t="s">
        <v>107</v>
      </c>
      <c r="M1260" s="20" t="s">
        <v>1705</v>
      </c>
      <c r="N1260" s="20" t="s">
        <v>108</v>
      </c>
      <c r="Q1260" s="24" t="s">
        <v>680</v>
      </c>
    </row>
    <row r="1261" spans="1:17" x14ac:dyDescent="0.3">
      <c r="A1261" s="20">
        <f t="shared" si="19"/>
        <v>1260</v>
      </c>
      <c r="B1261" s="21" t="s">
        <v>87</v>
      </c>
      <c r="C1261" s="21" t="s">
        <v>91</v>
      </c>
      <c r="D1261" s="22" t="str">
        <f>IF($C1261="","",IFERROR(VLOOKUP($C1261,Map_Register!$A$2:$C$5,3,FALSE()),""))</f>
        <v>Cultural Heritage Area</v>
      </c>
      <c r="E1261" s="21" t="s">
        <v>15</v>
      </c>
      <c r="F1261" s="23">
        <v>125676</v>
      </c>
      <c r="G1261" s="20" t="s">
        <v>1537</v>
      </c>
      <c r="H1261" s="20" t="s">
        <v>1967</v>
      </c>
      <c r="I1261" s="20" t="s">
        <v>678</v>
      </c>
      <c r="J1261" s="20" t="s">
        <v>8</v>
      </c>
      <c r="K1261" s="20" t="s">
        <v>107</v>
      </c>
      <c r="L1261" t="s">
        <v>108</v>
      </c>
      <c r="M1261" s="20" t="s">
        <v>1700</v>
      </c>
      <c r="N1261" s="20" t="s">
        <v>108</v>
      </c>
      <c r="Q1261" s="24" t="s">
        <v>680</v>
      </c>
    </row>
    <row r="1262" spans="1:17" x14ac:dyDescent="0.3">
      <c r="A1262" s="20">
        <f t="shared" si="19"/>
        <v>1261</v>
      </c>
      <c r="B1262" s="21" t="s">
        <v>87</v>
      </c>
      <c r="C1262" s="21" t="s">
        <v>91</v>
      </c>
      <c r="D1262" s="22" t="str">
        <f>IF($C1262="","",IFERROR(VLOOKUP($C1262,Map_Register!$A$2:$C$5,3,FALSE()),""))</f>
        <v>Cultural Heritage Area</v>
      </c>
      <c r="E1262" s="21" t="s">
        <v>15</v>
      </c>
      <c r="F1262" s="23">
        <v>125678</v>
      </c>
      <c r="G1262" s="20" t="s">
        <v>1537</v>
      </c>
      <c r="H1262" s="20" t="s">
        <v>1968</v>
      </c>
      <c r="I1262" s="20" t="s">
        <v>678</v>
      </c>
      <c r="J1262" s="20" t="s">
        <v>8</v>
      </c>
      <c r="K1262" s="20" t="s">
        <v>107</v>
      </c>
      <c r="L1262" t="s">
        <v>108</v>
      </c>
      <c r="M1262" s="20" t="s">
        <v>1700</v>
      </c>
      <c r="N1262" s="20" t="s">
        <v>108</v>
      </c>
      <c r="Q1262" s="24" t="s">
        <v>680</v>
      </c>
    </row>
    <row r="1263" spans="1:17" x14ac:dyDescent="0.3">
      <c r="A1263" s="20">
        <f t="shared" si="19"/>
        <v>1262</v>
      </c>
      <c r="B1263" s="21" t="s">
        <v>87</v>
      </c>
      <c r="C1263" s="21" t="s">
        <v>91</v>
      </c>
      <c r="D1263" s="22" t="str">
        <f>IF($C1263="","",IFERROR(VLOOKUP($C1263,Map_Register!$A$2:$C$5,3,FALSE()),""))</f>
        <v>Cultural Heritage Area</v>
      </c>
      <c r="E1263" s="21" t="s">
        <v>15</v>
      </c>
      <c r="F1263" s="23">
        <v>125679</v>
      </c>
      <c r="G1263" s="20" t="s">
        <v>1537</v>
      </c>
      <c r="H1263" s="20" t="s">
        <v>1969</v>
      </c>
      <c r="I1263" s="20" t="s">
        <v>678</v>
      </c>
      <c r="J1263" s="20" t="s">
        <v>8</v>
      </c>
      <c r="K1263" s="20" t="s">
        <v>107</v>
      </c>
      <c r="L1263" t="s">
        <v>108</v>
      </c>
      <c r="M1263" s="20" t="s">
        <v>1700</v>
      </c>
      <c r="N1263" s="20" t="s">
        <v>108</v>
      </c>
      <c r="Q1263" s="24" t="s">
        <v>680</v>
      </c>
    </row>
    <row r="1264" spans="1:17" hidden="1" x14ac:dyDescent="0.3">
      <c r="A1264" s="20">
        <f t="shared" si="19"/>
        <v>1263</v>
      </c>
      <c r="B1264" s="21" t="s">
        <v>87</v>
      </c>
      <c r="C1264" s="21" t="s">
        <v>91</v>
      </c>
      <c r="D1264" s="22" t="str">
        <f>IF($C1264="","",IFERROR(VLOOKUP($C1264,Map_Register!$A$2:$C$5,3,FALSE()),""))</f>
        <v>Cultural Heritage Area</v>
      </c>
      <c r="E1264" s="21" t="s">
        <v>15</v>
      </c>
      <c r="F1264" s="23">
        <v>125680</v>
      </c>
      <c r="G1264" s="20" t="s">
        <v>1537</v>
      </c>
      <c r="H1264" s="20" t="s">
        <v>1970</v>
      </c>
      <c r="I1264" s="20" t="s">
        <v>678</v>
      </c>
      <c r="J1264" s="20" t="s">
        <v>8</v>
      </c>
      <c r="K1264" s="20" t="s">
        <v>107</v>
      </c>
      <c r="L1264" s="20" t="s">
        <v>107</v>
      </c>
      <c r="M1264" s="20" t="s">
        <v>1696</v>
      </c>
      <c r="N1264" s="20" t="s">
        <v>108</v>
      </c>
      <c r="Q1264" s="24" t="s">
        <v>680</v>
      </c>
    </row>
    <row r="1265" spans="1:17" hidden="1" x14ac:dyDescent="0.3">
      <c r="A1265" s="20">
        <f t="shared" si="19"/>
        <v>1264</v>
      </c>
      <c r="B1265" s="21" t="s">
        <v>87</v>
      </c>
      <c r="C1265" s="21" t="s">
        <v>91</v>
      </c>
      <c r="D1265" s="22" t="str">
        <f>IF($C1265="","",IFERROR(VLOOKUP($C1265,Map_Register!$A$2:$C$5,3,FALSE()),""))</f>
        <v>Cultural Heritage Area</v>
      </c>
      <c r="E1265" s="21" t="s">
        <v>15</v>
      </c>
      <c r="F1265" s="23">
        <v>125681</v>
      </c>
      <c r="G1265" s="20" t="s">
        <v>1537</v>
      </c>
      <c r="H1265" s="20" t="s">
        <v>1971</v>
      </c>
      <c r="I1265" s="20" t="s">
        <v>678</v>
      </c>
      <c r="J1265" s="20" t="s">
        <v>6</v>
      </c>
      <c r="K1265" s="20" t="s">
        <v>137</v>
      </c>
      <c r="L1265" s="20" t="s">
        <v>137</v>
      </c>
      <c r="M1265" s="20" t="s">
        <v>1724</v>
      </c>
      <c r="Q1265" s="24" t="s">
        <v>680</v>
      </c>
    </row>
    <row r="1266" spans="1:17" x14ac:dyDescent="0.3">
      <c r="A1266" s="20">
        <f t="shared" si="19"/>
        <v>1265</v>
      </c>
      <c r="B1266" s="21" t="s">
        <v>87</v>
      </c>
      <c r="C1266" s="21" t="s">
        <v>91</v>
      </c>
      <c r="D1266" s="22" t="str">
        <f>IF($C1266="","",IFERROR(VLOOKUP($C1266,Map_Register!$A$2:$C$5,3,FALSE()),""))</f>
        <v>Cultural Heritage Area</v>
      </c>
      <c r="E1266" s="21" t="s">
        <v>15</v>
      </c>
      <c r="F1266" s="23">
        <v>125683</v>
      </c>
      <c r="G1266" s="20" t="s">
        <v>1537</v>
      </c>
      <c r="H1266" s="20" t="s">
        <v>1972</v>
      </c>
      <c r="I1266" s="20" t="s">
        <v>678</v>
      </c>
      <c r="J1266" s="20" t="s">
        <v>8</v>
      </c>
      <c r="K1266" s="20" t="s">
        <v>107</v>
      </c>
      <c r="L1266" t="s">
        <v>108</v>
      </c>
      <c r="M1266" s="20" t="s">
        <v>1700</v>
      </c>
      <c r="N1266" s="20" t="s">
        <v>108</v>
      </c>
      <c r="Q1266" s="24" t="s">
        <v>680</v>
      </c>
    </row>
    <row r="1267" spans="1:17" x14ac:dyDescent="0.3">
      <c r="A1267" s="20">
        <f t="shared" si="19"/>
        <v>1266</v>
      </c>
      <c r="B1267" s="21" t="s">
        <v>87</v>
      </c>
      <c r="C1267" s="21" t="s">
        <v>91</v>
      </c>
      <c r="D1267" s="22" t="str">
        <f>IF($C1267="","",IFERROR(VLOOKUP($C1267,Map_Register!$A$2:$C$5,3,FALSE()),""))</f>
        <v>Cultural Heritage Area</v>
      </c>
      <c r="E1267" s="21" t="s">
        <v>15</v>
      </c>
      <c r="F1267" s="23">
        <v>125685</v>
      </c>
      <c r="G1267" s="20" t="s">
        <v>1537</v>
      </c>
      <c r="H1267" s="20" t="s">
        <v>1973</v>
      </c>
      <c r="I1267" s="20" t="s">
        <v>678</v>
      </c>
      <c r="J1267" s="20" t="s">
        <v>8</v>
      </c>
      <c r="K1267" s="20" t="s">
        <v>107</v>
      </c>
      <c r="L1267" t="s">
        <v>108</v>
      </c>
      <c r="M1267" s="20" t="s">
        <v>1700</v>
      </c>
      <c r="N1267" s="20" t="s">
        <v>108</v>
      </c>
      <c r="Q1267" s="24" t="s">
        <v>680</v>
      </c>
    </row>
    <row r="1268" spans="1:17" hidden="1" x14ac:dyDescent="0.3">
      <c r="A1268" s="20">
        <f t="shared" si="19"/>
        <v>1267</v>
      </c>
      <c r="B1268" s="21" t="s">
        <v>87</v>
      </c>
      <c r="C1268" s="21" t="s">
        <v>91</v>
      </c>
      <c r="D1268" s="22" t="str">
        <f>IF($C1268="","",IFERROR(VLOOKUP($C1268,Map_Register!$A$2:$C$5,3,FALSE()),""))</f>
        <v>Cultural Heritage Area</v>
      </c>
      <c r="E1268" s="21" t="s">
        <v>15</v>
      </c>
      <c r="F1268" s="23">
        <v>125689</v>
      </c>
      <c r="G1268" s="20" t="s">
        <v>1537</v>
      </c>
      <c r="H1268" s="20" t="s">
        <v>1974</v>
      </c>
      <c r="I1268" s="20" t="s">
        <v>678</v>
      </c>
      <c r="J1268" s="20" t="s">
        <v>8</v>
      </c>
      <c r="K1268" s="20" t="s">
        <v>107</v>
      </c>
      <c r="L1268" s="20" t="s">
        <v>107</v>
      </c>
      <c r="M1268" s="20" t="s">
        <v>1696</v>
      </c>
      <c r="N1268" s="20" t="s">
        <v>108</v>
      </c>
      <c r="Q1268" s="24" t="s">
        <v>680</v>
      </c>
    </row>
    <row r="1269" spans="1:17" x14ac:dyDescent="0.3">
      <c r="A1269" s="20">
        <f t="shared" si="19"/>
        <v>1268</v>
      </c>
      <c r="B1269" s="21" t="s">
        <v>87</v>
      </c>
      <c r="C1269" s="21" t="s">
        <v>91</v>
      </c>
      <c r="D1269" s="22" t="str">
        <f>IF($C1269="","",IFERROR(VLOOKUP($C1269,Map_Register!$A$2:$C$5,3,FALSE()),""))</f>
        <v>Cultural Heritage Area</v>
      </c>
      <c r="E1269" s="21" t="s">
        <v>15</v>
      </c>
      <c r="F1269" s="23">
        <v>125690</v>
      </c>
      <c r="G1269" s="20" t="s">
        <v>1537</v>
      </c>
      <c r="H1269" s="20" t="s">
        <v>1975</v>
      </c>
      <c r="I1269" s="20" t="s">
        <v>678</v>
      </c>
      <c r="J1269" s="20" t="s">
        <v>8</v>
      </c>
      <c r="K1269" s="20" t="s">
        <v>107</v>
      </c>
      <c r="L1269" t="s">
        <v>108</v>
      </c>
      <c r="M1269" s="20" t="s">
        <v>1700</v>
      </c>
      <c r="N1269" s="20" t="s">
        <v>108</v>
      </c>
      <c r="Q1269" s="24" t="s">
        <v>680</v>
      </c>
    </row>
    <row r="1270" spans="1:17" hidden="1" x14ac:dyDescent="0.3">
      <c r="A1270" s="20">
        <f t="shared" si="19"/>
        <v>1269</v>
      </c>
      <c r="B1270" s="21" t="s">
        <v>87</v>
      </c>
      <c r="C1270" s="21" t="s">
        <v>91</v>
      </c>
      <c r="D1270" s="22" t="str">
        <f>IF($C1270="","",IFERROR(VLOOKUP($C1270,Map_Register!$A$2:$C$5,3,FALSE()),""))</f>
        <v>Cultural Heritage Area</v>
      </c>
      <c r="E1270" s="21" t="s">
        <v>15</v>
      </c>
      <c r="F1270" s="23">
        <v>125694</v>
      </c>
      <c r="G1270" s="20" t="s">
        <v>1537</v>
      </c>
      <c r="H1270" s="20" t="s">
        <v>1976</v>
      </c>
      <c r="I1270" s="20" t="s">
        <v>678</v>
      </c>
      <c r="J1270" s="20" t="s">
        <v>6</v>
      </c>
      <c r="K1270" s="20" t="s">
        <v>137</v>
      </c>
      <c r="L1270" s="20" t="s">
        <v>137</v>
      </c>
      <c r="M1270" s="20" t="s">
        <v>1724</v>
      </c>
      <c r="Q1270" s="24" t="s">
        <v>680</v>
      </c>
    </row>
    <row r="1271" spans="1:17" x14ac:dyDescent="0.3">
      <c r="A1271" s="20">
        <f t="shared" si="19"/>
        <v>1270</v>
      </c>
      <c r="B1271" s="21" t="s">
        <v>87</v>
      </c>
      <c r="C1271" s="21" t="s">
        <v>91</v>
      </c>
      <c r="D1271" s="22" t="str">
        <f>IF($C1271="","",IFERROR(VLOOKUP($C1271,Map_Register!$A$2:$C$5,3,FALSE()),""))</f>
        <v>Cultural Heritage Area</v>
      </c>
      <c r="E1271" s="21" t="s">
        <v>15</v>
      </c>
      <c r="F1271" s="23">
        <v>125695</v>
      </c>
      <c r="G1271" s="20" t="s">
        <v>1537</v>
      </c>
      <c r="H1271" s="20" t="s">
        <v>1977</v>
      </c>
      <c r="I1271" s="20" t="s">
        <v>678</v>
      </c>
      <c r="J1271" s="20" t="s">
        <v>8</v>
      </c>
      <c r="K1271" s="20" t="s">
        <v>107</v>
      </c>
      <c r="L1271" t="s">
        <v>108</v>
      </c>
      <c r="M1271" s="20" t="s">
        <v>1700</v>
      </c>
      <c r="N1271" s="20" t="s">
        <v>108</v>
      </c>
      <c r="Q1271" s="24" t="s">
        <v>680</v>
      </c>
    </row>
    <row r="1272" spans="1:17" hidden="1" x14ac:dyDescent="0.3">
      <c r="A1272" s="20">
        <f t="shared" si="19"/>
        <v>1271</v>
      </c>
      <c r="B1272" s="21" t="s">
        <v>87</v>
      </c>
      <c r="C1272" s="21" t="s">
        <v>91</v>
      </c>
      <c r="D1272" s="22" t="str">
        <f>IF($C1272="","",IFERROR(VLOOKUP($C1272,Map_Register!$A$2:$C$5,3,FALSE()),""))</f>
        <v>Cultural Heritage Area</v>
      </c>
      <c r="E1272" s="21" t="s">
        <v>15</v>
      </c>
      <c r="F1272" s="23">
        <v>125697</v>
      </c>
      <c r="G1272" s="20" t="s">
        <v>1537</v>
      </c>
      <c r="H1272" s="20" t="s">
        <v>1978</v>
      </c>
      <c r="I1272" s="20" t="s">
        <v>678</v>
      </c>
      <c r="J1272" s="20" t="s">
        <v>6</v>
      </c>
      <c r="K1272" s="20" t="s">
        <v>137</v>
      </c>
      <c r="L1272" s="20" t="s">
        <v>137</v>
      </c>
      <c r="M1272" s="20" t="s">
        <v>1724</v>
      </c>
      <c r="Q1272" s="24" t="s">
        <v>680</v>
      </c>
    </row>
    <row r="1273" spans="1:17" hidden="1" x14ac:dyDescent="0.3">
      <c r="A1273" s="20">
        <f t="shared" si="19"/>
        <v>1272</v>
      </c>
      <c r="B1273" s="21" t="s">
        <v>87</v>
      </c>
      <c r="C1273" s="21" t="s">
        <v>91</v>
      </c>
      <c r="D1273" s="22" t="str">
        <f>IF($C1273="","",IFERROR(VLOOKUP($C1273,Map_Register!$A$2:$C$5,3,FALSE()),""))</f>
        <v>Cultural Heritage Area</v>
      </c>
      <c r="E1273" s="21" t="s">
        <v>15</v>
      </c>
      <c r="F1273" s="23">
        <v>125698</v>
      </c>
      <c r="G1273" s="20" t="s">
        <v>1537</v>
      </c>
      <c r="H1273" s="20" t="s">
        <v>1979</v>
      </c>
      <c r="I1273" s="20" t="s">
        <v>678</v>
      </c>
      <c r="J1273" s="20" t="s">
        <v>6</v>
      </c>
      <c r="K1273" s="20" t="s">
        <v>137</v>
      </c>
      <c r="L1273" s="20" t="s">
        <v>137</v>
      </c>
      <c r="M1273" s="20" t="s">
        <v>1713</v>
      </c>
      <c r="Q1273" s="24" t="s">
        <v>680</v>
      </c>
    </row>
    <row r="1274" spans="1:17" hidden="1" x14ac:dyDescent="0.3">
      <c r="A1274" s="20">
        <f t="shared" si="19"/>
        <v>1273</v>
      </c>
      <c r="B1274" s="21" t="s">
        <v>87</v>
      </c>
      <c r="C1274" s="21" t="s">
        <v>91</v>
      </c>
      <c r="D1274" s="22" t="str">
        <f>IF($C1274="","",IFERROR(VLOOKUP($C1274,Map_Register!$A$2:$C$5,3,FALSE()),""))</f>
        <v>Cultural Heritage Area</v>
      </c>
      <c r="E1274" s="21" t="s">
        <v>15</v>
      </c>
      <c r="F1274" s="23">
        <v>125702</v>
      </c>
      <c r="G1274" s="20" t="s">
        <v>1537</v>
      </c>
      <c r="H1274" s="20" t="s">
        <v>1980</v>
      </c>
      <c r="I1274" s="20" t="s">
        <v>678</v>
      </c>
      <c r="J1274" s="20" t="s">
        <v>6</v>
      </c>
      <c r="K1274" s="20" t="s">
        <v>137</v>
      </c>
      <c r="L1274" s="20" t="s">
        <v>137</v>
      </c>
      <c r="M1274" s="20" t="s">
        <v>1724</v>
      </c>
      <c r="Q1274" s="24" t="s">
        <v>680</v>
      </c>
    </row>
    <row r="1275" spans="1:17" hidden="1" x14ac:dyDescent="0.3">
      <c r="A1275" s="20">
        <f t="shared" si="19"/>
        <v>1274</v>
      </c>
      <c r="B1275" s="21" t="s">
        <v>87</v>
      </c>
      <c r="C1275" s="21" t="s">
        <v>91</v>
      </c>
      <c r="D1275" s="22" t="str">
        <f>IF($C1275="","",IFERROR(VLOOKUP($C1275,Map_Register!$A$2:$C$5,3,FALSE()),""))</f>
        <v>Cultural Heritage Area</v>
      </c>
      <c r="E1275" s="21" t="s">
        <v>15</v>
      </c>
      <c r="F1275" s="23">
        <v>125703</v>
      </c>
      <c r="G1275" s="20" t="s">
        <v>1537</v>
      </c>
      <c r="H1275" s="20" t="s">
        <v>1981</v>
      </c>
      <c r="I1275" s="20" t="s">
        <v>678</v>
      </c>
      <c r="J1275" s="20" t="s">
        <v>6</v>
      </c>
      <c r="K1275" s="20" t="s">
        <v>137</v>
      </c>
      <c r="L1275" s="20" t="s">
        <v>137</v>
      </c>
      <c r="M1275" s="20" t="s">
        <v>1724</v>
      </c>
      <c r="Q1275" s="24" t="s">
        <v>680</v>
      </c>
    </row>
    <row r="1276" spans="1:17" x14ac:dyDescent="0.3">
      <c r="A1276" s="20">
        <f t="shared" si="19"/>
        <v>1275</v>
      </c>
      <c r="B1276" s="21" t="s">
        <v>87</v>
      </c>
      <c r="C1276" s="21" t="s">
        <v>91</v>
      </c>
      <c r="D1276" s="22" t="str">
        <f>IF($C1276="","",IFERROR(VLOOKUP($C1276,Map_Register!$A$2:$C$5,3,FALSE()),""))</f>
        <v>Cultural Heritage Area</v>
      </c>
      <c r="E1276" s="21" t="s">
        <v>15</v>
      </c>
      <c r="F1276" s="23">
        <v>125704</v>
      </c>
      <c r="G1276" s="20" t="s">
        <v>1537</v>
      </c>
      <c r="H1276" s="20" t="s">
        <v>1982</v>
      </c>
      <c r="I1276" s="20" t="s">
        <v>678</v>
      </c>
      <c r="J1276" s="20" t="s">
        <v>8</v>
      </c>
      <c r="K1276" s="20" t="s">
        <v>107</v>
      </c>
      <c r="L1276" t="s">
        <v>108</v>
      </c>
      <c r="M1276" s="20" t="s">
        <v>1700</v>
      </c>
      <c r="N1276" s="20" t="s">
        <v>108</v>
      </c>
      <c r="Q1276" s="24" t="s">
        <v>680</v>
      </c>
    </row>
    <row r="1277" spans="1:17" x14ac:dyDescent="0.3">
      <c r="A1277" s="20">
        <f t="shared" si="19"/>
        <v>1276</v>
      </c>
      <c r="B1277" s="21" t="s">
        <v>87</v>
      </c>
      <c r="C1277" s="21" t="s">
        <v>91</v>
      </c>
      <c r="D1277" s="22" t="str">
        <f>IF($C1277="","",IFERROR(VLOOKUP($C1277,Map_Register!$A$2:$C$5,3,FALSE()),""))</f>
        <v>Cultural Heritage Area</v>
      </c>
      <c r="E1277" s="21" t="s">
        <v>15</v>
      </c>
      <c r="F1277" s="23">
        <v>125708</v>
      </c>
      <c r="G1277" s="20" t="s">
        <v>1537</v>
      </c>
      <c r="H1277" s="20" t="s">
        <v>1983</v>
      </c>
      <c r="I1277" s="20" t="s">
        <v>678</v>
      </c>
      <c r="J1277" s="20" t="s">
        <v>8</v>
      </c>
      <c r="K1277" s="20" t="s">
        <v>107</v>
      </c>
      <c r="L1277" t="s">
        <v>108</v>
      </c>
      <c r="M1277" s="20" t="s">
        <v>1700</v>
      </c>
      <c r="N1277" s="20" t="s">
        <v>108</v>
      </c>
      <c r="Q1277" s="24" t="s">
        <v>680</v>
      </c>
    </row>
    <row r="1278" spans="1:17" x14ac:dyDescent="0.3">
      <c r="A1278" s="20">
        <f t="shared" si="19"/>
        <v>1277</v>
      </c>
      <c r="B1278" s="21" t="s">
        <v>87</v>
      </c>
      <c r="C1278" s="21" t="s">
        <v>91</v>
      </c>
      <c r="D1278" s="22" t="str">
        <f>IF($C1278="","",IFERROR(VLOOKUP($C1278,Map_Register!$A$2:$C$5,3,FALSE()),""))</f>
        <v>Cultural Heritage Area</v>
      </c>
      <c r="E1278" s="21" t="s">
        <v>15</v>
      </c>
      <c r="F1278" s="23">
        <v>125712</v>
      </c>
      <c r="G1278" s="20" t="s">
        <v>1537</v>
      </c>
      <c r="H1278" s="20" t="s">
        <v>1984</v>
      </c>
      <c r="I1278" s="20" t="s">
        <v>678</v>
      </c>
      <c r="J1278" s="20" t="s">
        <v>8</v>
      </c>
      <c r="K1278" s="20" t="s">
        <v>107</v>
      </c>
      <c r="L1278" t="s">
        <v>108</v>
      </c>
      <c r="M1278" s="20" t="s">
        <v>1700</v>
      </c>
      <c r="N1278" s="20" t="s">
        <v>108</v>
      </c>
      <c r="Q1278" s="24" t="s">
        <v>680</v>
      </c>
    </row>
    <row r="1279" spans="1:17" hidden="1" x14ac:dyDescent="0.3">
      <c r="A1279" s="20">
        <f t="shared" si="19"/>
        <v>1278</v>
      </c>
      <c r="B1279" s="21" t="s">
        <v>87</v>
      </c>
      <c r="C1279" s="21" t="s">
        <v>91</v>
      </c>
      <c r="D1279" s="22" t="str">
        <f>IF($C1279="","",IFERROR(VLOOKUP($C1279,Map_Register!$A$2:$C$5,3,FALSE()),""))</f>
        <v>Cultural Heritage Area</v>
      </c>
      <c r="E1279" s="21" t="s">
        <v>15</v>
      </c>
      <c r="F1279" s="23">
        <v>125713</v>
      </c>
      <c r="G1279" s="20" t="s">
        <v>1537</v>
      </c>
      <c r="H1279" s="20" t="s">
        <v>1985</v>
      </c>
      <c r="I1279" s="20" t="s">
        <v>678</v>
      </c>
      <c r="J1279" s="20" t="s">
        <v>6</v>
      </c>
      <c r="K1279" s="20" t="s">
        <v>137</v>
      </c>
      <c r="L1279" s="20" t="s">
        <v>137</v>
      </c>
      <c r="M1279" s="20" t="s">
        <v>1724</v>
      </c>
      <c r="Q1279" s="24" t="s">
        <v>680</v>
      </c>
    </row>
    <row r="1280" spans="1:17" x14ac:dyDescent="0.3">
      <c r="A1280" s="20">
        <f t="shared" si="19"/>
        <v>1279</v>
      </c>
      <c r="B1280" s="21" t="s">
        <v>87</v>
      </c>
      <c r="C1280" s="21" t="s">
        <v>91</v>
      </c>
      <c r="D1280" s="22" t="str">
        <f>IF($C1280="","",IFERROR(VLOOKUP($C1280,Map_Register!$A$2:$C$5,3,FALSE()),""))</f>
        <v>Cultural Heritage Area</v>
      </c>
      <c r="E1280" s="21" t="s">
        <v>15</v>
      </c>
      <c r="F1280" s="23">
        <v>125715</v>
      </c>
      <c r="G1280" s="20" t="s">
        <v>1537</v>
      </c>
      <c r="H1280" s="20" t="s">
        <v>1986</v>
      </c>
      <c r="I1280" s="20" t="s">
        <v>678</v>
      </c>
      <c r="J1280" s="20" t="s">
        <v>8</v>
      </c>
      <c r="K1280" s="20" t="s">
        <v>107</v>
      </c>
      <c r="L1280" t="s">
        <v>108</v>
      </c>
      <c r="M1280" s="20" t="s">
        <v>1700</v>
      </c>
      <c r="N1280" s="20" t="s">
        <v>108</v>
      </c>
      <c r="Q1280" s="24" t="s">
        <v>680</v>
      </c>
    </row>
    <row r="1281" spans="1:17" x14ac:dyDescent="0.3">
      <c r="A1281" s="20">
        <f t="shared" si="19"/>
        <v>1280</v>
      </c>
      <c r="B1281" s="21" t="s">
        <v>87</v>
      </c>
      <c r="C1281" s="21" t="s">
        <v>91</v>
      </c>
      <c r="D1281" s="22" t="str">
        <f>IF($C1281="","",IFERROR(VLOOKUP($C1281,Map_Register!$A$2:$C$5,3,FALSE()),""))</f>
        <v>Cultural Heritage Area</v>
      </c>
      <c r="E1281" s="21" t="s">
        <v>15</v>
      </c>
      <c r="F1281" s="23">
        <v>125881</v>
      </c>
      <c r="G1281" s="20" t="s">
        <v>1537</v>
      </c>
      <c r="H1281" s="20" t="s">
        <v>1987</v>
      </c>
      <c r="I1281" s="20" t="s">
        <v>678</v>
      </c>
      <c r="J1281" s="20" t="s">
        <v>8</v>
      </c>
      <c r="K1281" s="20" t="s">
        <v>107</v>
      </c>
      <c r="L1281" t="s">
        <v>108</v>
      </c>
      <c r="M1281" s="20" t="s">
        <v>1700</v>
      </c>
      <c r="N1281" s="20" t="s">
        <v>108</v>
      </c>
      <c r="Q1281" s="24" t="s">
        <v>680</v>
      </c>
    </row>
    <row r="1282" spans="1:17" x14ac:dyDescent="0.3">
      <c r="A1282" s="20">
        <f t="shared" ref="A1282:A1345" si="20">IF($B1282="","",ROW()-1)</f>
        <v>1281</v>
      </c>
      <c r="B1282" s="21" t="s">
        <v>87</v>
      </c>
      <c r="C1282" s="21" t="s">
        <v>91</v>
      </c>
      <c r="D1282" s="22" t="str">
        <f>IF($C1282="","",IFERROR(VLOOKUP($C1282,Map_Register!$A$2:$C$5,3,FALSE()),""))</f>
        <v>Cultural Heritage Area</v>
      </c>
      <c r="E1282" s="21" t="s">
        <v>15</v>
      </c>
      <c r="F1282" s="23">
        <v>130086</v>
      </c>
      <c r="G1282" s="20" t="s">
        <v>1537</v>
      </c>
      <c r="H1282" s="20" t="s">
        <v>1988</v>
      </c>
      <c r="I1282" s="20" t="s">
        <v>678</v>
      </c>
      <c r="J1282" s="20" t="s">
        <v>8</v>
      </c>
      <c r="K1282" s="20" t="s">
        <v>107</v>
      </c>
      <c r="L1282" t="s">
        <v>108</v>
      </c>
      <c r="M1282" s="20" t="s">
        <v>1798</v>
      </c>
      <c r="N1282" s="20" t="s">
        <v>108</v>
      </c>
      <c r="Q1282" s="24" t="s">
        <v>680</v>
      </c>
    </row>
    <row r="1283" spans="1:17" hidden="1" x14ac:dyDescent="0.3">
      <c r="A1283" s="20">
        <f t="shared" si="20"/>
        <v>1282</v>
      </c>
      <c r="B1283" s="21" t="s">
        <v>87</v>
      </c>
      <c r="C1283" s="21" t="s">
        <v>91</v>
      </c>
      <c r="D1283" s="22" t="str">
        <f>IF($C1283="","",IFERROR(VLOOKUP($C1283,Map_Register!$A$2:$C$5,3,FALSE()),""))</f>
        <v>Cultural Heritage Area</v>
      </c>
      <c r="E1283" s="21" t="s">
        <v>15</v>
      </c>
      <c r="F1283" s="23">
        <v>131773</v>
      </c>
      <c r="G1283" s="20" t="s">
        <v>1537</v>
      </c>
      <c r="H1283" s="20" t="s">
        <v>1989</v>
      </c>
      <c r="I1283" s="20" t="s">
        <v>678</v>
      </c>
      <c r="J1283" s="20" t="s">
        <v>6</v>
      </c>
      <c r="K1283" s="20" t="s">
        <v>137</v>
      </c>
      <c r="L1283" s="20" t="s">
        <v>137</v>
      </c>
      <c r="M1283" s="20" t="s">
        <v>1713</v>
      </c>
      <c r="Q1283" s="24" t="s">
        <v>680</v>
      </c>
    </row>
    <row r="1284" spans="1:17" hidden="1" x14ac:dyDescent="0.3">
      <c r="A1284" s="20">
        <f t="shared" si="20"/>
        <v>1283</v>
      </c>
      <c r="B1284" s="21" t="s">
        <v>87</v>
      </c>
      <c r="C1284" s="21" t="s">
        <v>91</v>
      </c>
      <c r="D1284" s="22" t="str">
        <f>IF($C1284="","",IFERROR(VLOOKUP($C1284,Map_Register!$A$2:$C$5,3,FALSE()),""))</f>
        <v>Cultural Heritage Area</v>
      </c>
      <c r="E1284" s="21" t="s">
        <v>15</v>
      </c>
      <c r="F1284" s="23">
        <v>135297</v>
      </c>
      <c r="G1284" s="20" t="s">
        <v>1537</v>
      </c>
      <c r="H1284" s="20" t="s">
        <v>1990</v>
      </c>
      <c r="I1284" s="20" t="s">
        <v>678</v>
      </c>
      <c r="J1284" s="20" t="s">
        <v>8</v>
      </c>
      <c r="K1284" s="20" t="s">
        <v>107</v>
      </c>
      <c r="L1284" s="20" t="s">
        <v>107</v>
      </c>
      <c r="M1284" s="20" t="s">
        <v>1705</v>
      </c>
      <c r="N1284" s="20" t="s">
        <v>108</v>
      </c>
      <c r="Q1284" s="24" t="s">
        <v>680</v>
      </c>
    </row>
    <row r="1285" spans="1:17" hidden="1" x14ac:dyDescent="0.3">
      <c r="A1285" s="20">
        <f t="shared" si="20"/>
        <v>1284</v>
      </c>
      <c r="B1285" s="21" t="s">
        <v>87</v>
      </c>
      <c r="C1285" s="21" t="s">
        <v>91</v>
      </c>
      <c r="D1285" s="22" t="str">
        <f>IF($C1285="","",IFERROR(VLOOKUP($C1285,Map_Register!$A$2:$C$5,3,FALSE()),""))</f>
        <v>Cultural Heritage Area</v>
      </c>
      <c r="E1285" s="21" t="s">
        <v>15</v>
      </c>
      <c r="F1285" s="23">
        <v>135429</v>
      </c>
      <c r="G1285" s="20" t="s">
        <v>1537</v>
      </c>
      <c r="H1285" s="20" t="s">
        <v>1991</v>
      </c>
      <c r="I1285" s="20" t="s">
        <v>678</v>
      </c>
      <c r="J1285" s="20" t="s">
        <v>8</v>
      </c>
      <c r="K1285" s="20" t="s">
        <v>107</v>
      </c>
      <c r="L1285" s="20" t="s">
        <v>107</v>
      </c>
      <c r="M1285" s="20" t="s">
        <v>1705</v>
      </c>
      <c r="N1285" s="20" t="s">
        <v>108</v>
      </c>
      <c r="Q1285" s="24" t="s">
        <v>680</v>
      </c>
    </row>
    <row r="1286" spans="1:17" hidden="1" x14ac:dyDescent="0.3">
      <c r="A1286" s="20">
        <f t="shared" si="20"/>
        <v>1285</v>
      </c>
      <c r="B1286" s="21" t="s">
        <v>87</v>
      </c>
      <c r="C1286" s="21" t="s">
        <v>91</v>
      </c>
      <c r="D1286" s="22" t="str">
        <f>IF($C1286="","",IFERROR(VLOOKUP($C1286,Map_Register!$A$2:$C$5,3,FALSE()),""))</f>
        <v>Cultural Heritage Area</v>
      </c>
      <c r="E1286" s="21" t="s">
        <v>15</v>
      </c>
      <c r="F1286" s="23">
        <v>136571</v>
      </c>
      <c r="G1286" s="20" t="s">
        <v>1537</v>
      </c>
      <c r="H1286" s="20" t="s">
        <v>1863</v>
      </c>
      <c r="I1286" s="20" t="s">
        <v>678</v>
      </c>
      <c r="J1286" s="20" t="s">
        <v>6</v>
      </c>
      <c r="K1286" s="20" t="s">
        <v>137</v>
      </c>
      <c r="L1286" s="20" t="s">
        <v>137</v>
      </c>
      <c r="M1286" s="20" t="s">
        <v>1713</v>
      </c>
      <c r="Q1286" s="24" t="s">
        <v>680</v>
      </c>
    </row>
    <row r="1287" spans="1:17" hidden="1" x14ac:dyDescent="0.3">
      <c r="A1287" s="20">
        <f t="shared" si="20"/>
        <v>1286</v>
      </c>
      <c r="B1287" s="21" t="s">
        <v>87</v>
      </c>
      <c r="C1287" s="21" t="s">
        <v>91</v>
      </c>
      <c r="D1287" s="22" t="str">
        <f>IF($C1287="","",IFERROR(VLOOKUP($C1287,Map_Register!$A$2:$C$5,3,FALSE()),""))</f>
        <v>Cultural Heritage Area</v>
      </c>
      <c r="E1287" s="21" t="s">
        <v>15</v>
      </c>
      <c r="F1287" s="23">
        <v>136801</v>
      </c>
      <c r="G1287" s="20" t="s">
        <v>1537</v>
      </c>
      <c r="H1287" s="20" t="s">
        <v>1877</v>
      </c>
      <c r="I1287" s="20" t="s">
        <v>678</v>
      </c>
      <c r="J1287" s="20" t="s">
        <v>6</v>
      </c>
      <c r="K1287" s="20" t="s">
        <v>137</v>
      </c>
      <c r="L1287" s="20" t="s">
        <v>137</v>
      </c>
      <c r="M1287" s="20" t="s">
        <v>1713</v>
      </c>
      <c r="Q1287" s="24" t="s">
        <v>680</v>
      </c>
    </row>
    <row r="1288" spans="1:17" hidden="1" x14ac:dyDescent="0.3">
      <c r="A1288" s="20">
        <f t="shared" si="20"/>
        <v>1287</v>
      </c>
      <c r="B1288" s="21" t="s">
        <v>87</v>
      </c>
      <c r="C1288" s="21" t="s">
        <v>91</v>
      </c>
      <c r="D1288" s="22" t="str">
        <f>IF($C1288="","",IFERROR(VLOOKUP($C1288,Map_Register!$A$2:$C$5,3,FALSE()),""))</f>
        <v>Cultural Heritage Area</v>
      </c>
      <c r="E1288" s="21" t="s">
        <v>15</v>
      </c>
      <c r="F1288" s="23">
        <v>136991</v>
      </c>
      <c r="G1288" s="20" t="s">
        <v>1537</v>
      </c>
      <c r="H1288" s="20" t="s">
        <v>1992</v>
      </c>
      <c r="I1288" s="20" t="s">
        <v>678</v>
      </c>
      <c r="J1288" s="20" t="s">
        <v>6</v>
      </c>
      <c r="K1288" s="20" t="s">
        <v>137</v>
      </c>
      <c r="L1288" s="20" t="s">
        <v>137</v>
      </c>
      <c r="M1288" s="20" t="s">
        <v>1724</v>
      </c>
      <c r="Q1288" s="24" t="s">
        <v>680</v>
      </c>
    </row>
    <row r="1289" spans="1:17" hidden="1" x14ac:dyDescent="0.3">
      <c r="A1289" s="20">
        <f t="shared" si="20"/>
        <v>1288</v>
      </c>
      <c r="B1289" s="21" t="s">
        <v>87</v>
      </c>
      <c r="C1289" s="21" t="s">
        <v>91</v>
      </c>
      <c r="D1289" s="22" t="str">
        <f>IF($C1289="","",IFERROR(VLOOKUP($C1289,Map_Register!$A$2:$C$5,3,FALSE()),""))</f>
        <v>Cultural Heritage Area</v>
      </c>
      <c r="E1289" s="21" t="s">
        <v>15</v>
      </c>
      <c r="F1289" s="23">
        <v>137632</v>
      </c>
      <c r="G1289" s="20" t="s">
        <v>1537</v>
      </c>
      <c r="H1289" s="20" t="s">
        <v>1993</v>
      </c>
      <c r="I1289" s="20" t="s">
        <v>678</v>
      </c>
      <c r="J1289" s="20" t="s">
        <v>6</v>
      </c>
      <c r="K1289" s="20" t="s">
        <v>137</v>
      </c>
      <c r="L1289" s="20" t="s">
        <v>137</v>
      </c>
      <c r="M1289" s="20" t="s">
        <v>1713</v>
      </c>
      <c r="Q1289" s="24" t="s">
        <v>680</v>
      </c>
    </row>
    <row r="1290" spans="1:17" hidden="1" x14ac:dyDescent="0.3">
      <c r="A1290" s="20">
        <f t="shared" si="20"/>
        <v>1289</v>
      </c>
      <c r="B1290" s="21" t="s">
        <v>87</v>
      </c>
      <c r="C1290" s="21" t="s">
        <v>91</v>
      </c>
      <c r="D1290" s="22" t="str">
        <f>IF($C1290="","",IFERROR(VLOOKUP($C1290,Map_Register!$A$2:$C$5,3,FALSE()),""))</f>
        <v>Cultural Heritage Area</v>
      </c>
      <c r="E1290" s="21" t="s">
        <v>15</v>
      </c>
      <c r="F1290" s="23">
        <v>137843</v>
      </c>
      <c r="G1290" s="20" t="s">
        <v>1537</v>
      </c>
      <c r="H1290" s="20" t="s">
        <v>1879</v>
      </c>
      <c r="I1290" s="20" t="s">
        <v>678</v>
      </c>
      <c r="J1290" s="20" t="s">
        <v>220</v>
      </c>
      <c r="K1290" s="20" t="s">
        <v>137</v>
      </c>
      <c r="L1290" s="20" t="s">
        <v>137</v>
      </c>
      <c r="M1290" s="20" t="s">
        <v>1884</v>
      </c>
      <c r="P1290" s="20" t="s">
        <v>1869</v>
      </c>
      <c r="Q1290" s="24" t="s">
        <v>680</v>
      </c>
    </row>
    <row r="1291" spans="1:17" hidden="1" x14ac:dyDescent="0.3">
      <c r="A1291" s="20">
        <f t="shared" si="20"/>
        <v>1290</v>
      </c>
      <c r="B1291" s="21" t="s">
        <v>87</v>
      </c>
      <c r="C1291" s="21" t="s">
        <v>91</v>
      </c>
      <c r="D1291" s="22" t="str">
        <f>IF($C1291="","",IFERROR(VLOOKUP($C1291,Map_Register!$A$2:$C$5,3,FALSE()),""))</f>
        <v>Cultural Heritage Area</v>
      </c>
      <c r="E1291" s="21" t="s">
        <v>15</v>
      </c>
      <c r="F1291" s="23">
        <v>138179</v>
      </c>
      <c r="G1291" s="20" t="s">
        <v>1537</v>
      </c>
      <c r="H1291" s="20" t="s">
        <v>1888</v>
      </c>
      <c r="I1291" s="20" t="s">
        <v>678</v>
      </c>
      <c r="J1291" s="20" t="s">
        <v>220</v>
      </c>
      <c r="K1291" s="20" t="s">
        <v>137</v>
      </c>
      <c r="L1291" s="20" t="s">
        <v>137</v>
      </c>
      <c r="M1291" s="20" t="s">
        <v>1884</v>
      </c>
      <c r="P1291" s="20" t="s">
        <v>1869</v>
      </c>
      <c r="Q1291" s="24" t="s">
        <v>680</v>
      </c>
    </row>
    <row r="1292" spans="1:17" hidden="1" x14ac:dyDescent="0.3">
      <c r="A1292" s="20">
        <f t="shared" si="20"/>
        <v>1291</v>
      </c>
      <c r="B1292" s="21" t="s">
        <v>87</v>
      </c>
      <c r="C1292" s="21" t="s">
        <v>91</v>
      </c>
      <c r="D1292" s="22" t="str">
        <f>IF($C1292="","",IFERROR(VLOOKUP($C1292,Map_Register!$A$2:$C$5,3,FALSE()),""))</f>
        <v>Cultural Heritage Area</v>
      </c>
      <c r="E1292" s="21" t="s">
        <v>15</v>
      </c>
      <c r="F1292" s="23">
        <v>138251</v>
      </c>
      <c r="G1292" s="20" t="s">
        <v>1537</v>
      </c>
      <c r="H1292" s="20" t="s">
        <v>1994</v>
      </c>
      <c r="I1292" s="20" t="s">
        <v>678</v>
      </c>
      <c r="J1292" s="20" t="s">
        <v>6</v>
      </c>
      <c r="K1292" s="20" t="s">
        <v>137</v>
      </c>
      <c r="L1292" s="20" t="s">
        <v>137</v>
      </c>
      <c r="M1292" s="20" t="s">
        <v>1724</v>
      </c>
      <c r="Q1292" s="24" t="s">
        <v>680</v>
      </c>
    </row>
    <row r="1293" spans="1:17" hidden="1" x14ac:dyDescent="0.3">
      <c r="A1293" s="20">
        <f t="shared" si="20"/>
        <v>1292</v>
      </c>
      <c r="B1293" s="21" t="s">
        <v>87</v>
      </c>
      <c r="C1293" s="21" t="s">
        <v>91</v>
      </c>
      <c r="D1293" s="22" t="str">
        <f>IF($C1293="","",IFERROR(VLOOKUP($C1293,Map_Register!$A$2:$C$5,3,FALSE()),""))</f>
        <v>Cultural Heritage Area</v>
      </c>
      <c r="E1293" s="21" t="s">
        <v>15</v>
      </c>
      <c r="F1293" s="23">
        <v>138593</v>
      </c>
      <c r="G1293" s="20" t="s">
        <v>1537</v>
      </c>
      <c r="H1293" s="20" t="s">
        <v>1995</v>
      </c>
      <c r="I1293" s="20" t="s">
        <v>678</v>
      </c>
      <c r="J1293" s="20" t="s">
        <v>8</v>
      </c>
      <c r="K1293" s="20" t="s">
        <v>107</v>
      </c>
      <c r="L1293" s="20" t="s">
        <v>107</v>
      </c>
      <c r="M1293" s="20" t="s">
        <v>1696</v>
      </c>
      <c r="N1293" s="20" t="s">
        <v>108</v>
      </c>
      <c r="Q1293" s="24" t="s">
        <v>680</v>
      </c>
    </row>
    <row r="1294" spans="1:17" hidden="1" x14ac:dyDescent="0.3">
      <c r="A1294" s="20">
        <f t="shared" si="20"/>
        <v>1293</v>
      </c>
      <c r="B1294" s="21" t="s">
        <v>87</v>
      </c>
      <c r="C1294" s="21" t="s">
        <v>91</v>
      </c>
      <c r="D1294" s="22" t="str">
        <f>IF($C1294="","",IFERROR(VLOOKUP($C1294,Map_Register!$A$2:$C$5,3,FALSE()),""))</f>
        <v>Cultural Heritage Area</v>
      </c>
      <c r="E1294" s="21" t="s">
        <v>15</v>
      </c>
      <c r="F1294" s="23">
        <v>138607</v>
      </c>
      <c r="G1294" s="20" t="s">
        <v>1537</v>
      </c>
      <c r="H1294" s="20" t="s">
        <v>1996</v>
      </c>
      <c r="I1294" s="20" t="s">
        <v>678</v>
      </c>
      <c r="J1294" s="20" t="s">
        <v>220</v>
      </c>
      <c r="K1294" s="20" t="s">
        <v>137</v>
      </c>
      <c r="L1294" s="20" t="s">
        <v>137</v>
      </c>
      <c r="M1294" s="20" t="s">
        <v>1884</v>
      </c>
      <c r="P1294" s="20" t="s">
        <v>1869</v>
      </c>
      <c r="Q1294" s="24" t="s">
        <v>680</v>
      </c>
    </row>
    <row r="1295" spans="1:17" hidden="1" x14ac:dyDescent="0.3">
      <c r="A1295" s="20">
        <f t="shared" si="20"/>
        <v>1294</v>
      </c>
      <c r="B1295" s="21" t="s">
        <v>87</v>
      </c>
      <c r="C1295" s="21" t="s">
        <v>91</v>
      </c>
      <c r="D1295" s="22" t="str">
        <f>IF($C1295="","",IFERROR(VLOOKUP($C1295,Map_Register!$A$2:$C$5,3,FALSE()),""))</f>
        <v>Cultural Heritage Area</v>
      </c>
      <c r="E1295" s="21" t="s">
        <v>15</v>
      </c>
      <c r="F1295" s="23">
        <v>139642</v>
      </c>
      <c r="G1295" s="20" t="s">
        <v>1537</v>
      </c>
      <c r="H1295" s="20" t="s">
        <v>1996</v>
      </c>
      <c r="I1295" s="20" t="s">
        <v>678</v>
      </c>
      <c r="J1295" s="20" t="s">
        <v>220</v>
      </c>
      <c r="K1295" s="20" t="s">
        <v>137</v>
      </c>
      <c r="L1295" s="20" t="s">
        <v>137</v>
      </c>
      <c r="M1295" s="20" t="s">
        <v>1997</v>
      </c>
      <c r="P1295" s="20" t="s">
        <v>1869</v>
      </c>
      <c r="Q1295" s="24" t="s">
        <v>680</v>
      </c>
    </row>
    <row r="1296" spans="1:17" hidden="1" x14ac:dyDescent="0.3">
      <c r="A1296" s="20">
        <f t="shared" si="20"/>
        <v>1295</v>
      </c>
      <c r="B1296" s="21" t="s">
        <v>87</v>
      </c>
      <c r="C1296" s="21" t="s">
        <v>91</v>
      </c>
      <c r="D1296" s="22" t="str">
        <f>IF($C1296="","",IFERROR(VLOOKUP($C1296,Map_Register!$A$2:$C$5,3,FALSE()),""))</f>
        <v>Cultural Heritage Area</v>
      </c>
      <c r="E1296" s="21" t="s">
        <v>15</v>
      </c>
      <c r="F1296" s="23">
        <v>139787</v>
      </c>
      <c r="G1296" s="20" t="s">
        <v>1537</v>
      </c>
      <c r="H1296" s="20" t="s">
        <v>1998</v>
      </c>
      <c r="I1296" s="20" t="s">
        <v>678</v>
      </c>
      <c r="J1296" s="20" t="s">
        <v>6</v>
      </c>
      <c r="K1296" s="20" t="s">
        <v>137</v>
      </c>
      <c r="L1296" s="20" t="s">
        <v>137</v>
      </c>
      <c r="M1296" s="20" t="s">
        <v>1713</v>
      </c>
      <c r="Q1296" s="24" t="s">
        <v>680</v>
      </c>
    </row>
    <row r="1297" spans="1:17" hidden="1" x14ac:dyDescent="0.3">
      <c r="A1297" s="20">
        <f t="shared" si="20"/>
        <v>1296</v>
      </c>
      <c r="B1297" s="21" t="s">
        <v>87</v>
      </c>
      <c r="C1297" s="21" t="s">
        <v>91</v>
      </c>
      <c r="D1297" s="22" t="str">
        <f>IF($C1297="","",IFERROR(VLOOKUP($C1297,Map_Register!$A$2:$C$5,3,FALSE()),""))</f>
        <v>Cultural Heritage Area</v>
      </c>
      <c r="E1297" s="21" t="s">
        <v>15</v>
      </c>
      <c r="F1297" s="23">
        <v>140048</v>
      </c>
      <c r="G1297" s="20" t="s">
        <v>1537</v>
      </c>
      <c r="H1297" s="20" t="s">
        <v>1999</v>
      </c>
      <c r="I1297" s="20" t="s">
        <v>678</v>
      </c>
      <c r="J1297" s="20" t="s">
        <v>6</v>
      </c>
      <c r="K1297" s="20" t="s">
        <v>137</v>
      </c>
      <c r="L1297" s="20" t="s">
        <v>137</v>
      </c>
      <c r="M1297" s="20" t="s">
        <v>1713</v>
      </c>
      <c r="Q1297" s="24" t="s">
        <v>680</v>
      </c>
    </row>
    <row r="1298" spans="1:17" hidden="1" x14ac:dyDescent="0.3">
      <c r="A1298" s="20">
        <f t="shared" si="20"/>
        <v>1297</v>
      </c>
      <c r="B1298" s="21" t="s">
        <v>87</v>
      </c>
      <c r="C1298" s="21" t="s">
        <v>91</v>
      </c>
      <c r="D1298" s="22" t="str">
        <f>IF($C1298="","",IFERROR(VLOOKUP($C1298,Map_Register!$A$2:$C$5,3,FALSE()),""))</f>
        <v>Cultural Heritage Area</v>
      </c>
      <c r="E1298" s="21" t="s">
        <v>15</v>
      </c>
      <c r="F1298" s="23">
        <v>140308</v>
      </c>
      <c r="G1298" s="20" t="s">
        <v>1537</v>
      </c>
      <c r="H1298" s="20" t="s">
        <v>2000</v>
      </c>
      <c r="I1298" s="20" t="s">
        <v>678</v>
      </c>
      <c r="J1298" s="20" t="s">
        <v>6</v>
      </c>
      <c r="K1298" s="20" t="s">
        <v>137</v>
      </c>
      <c r="L1298" s="20" t="s">
        <v>137</v>
      </c>
      <c r="M1298" s="20" t="s">
        <v>1713</v>
      </c>
      <c r="Q1298" s="24" t="s">
        <v>680</v>
      </c>
    </row>
    <row r="1299" spans="1:17" hidden="1" x14ac:dyDescent="0.3">
      <c r="A1299" s="20">
        <f t="shared" si="20"/>
        <v>1298</v>
      </c>
      <c r="B1299" s="21" t="s">
        <v>87</v>
      </c>
      <c r="C1299" s="21" t="s">
        <v>91</v>
      </c>
      <c r="D1299" s="22" t="str">
        <f>IF($C1299="","",IFERROR(VLOOKUP($C1299,Map_Register!$A$2:$C$5,3,FALSE()),""))</f>
        <v>Cultural Heritage Area</v>
      </c>
      <c r="E1299" s="21" t="s">
        <v>15</v>
      </c>
      <c r="F1299" s="23">
        <v>140530</v>
      </c>
      <c r="G1299" s="20" t="s">
        <v>1537</v>
      </c>
      <c r="H1299" s="20" t="s">
        <v>2001</v>
      </c>
      <c r="I1299" s="20" t="s">
        <v>678</v>
      </c>
      <c r="J1299" s="20" t="s">
        <v>8</v>
      </c>
      <c r="K1299" s="20" t="s">
        <v>107</v>
      </c>
      <c r="L1299" s="20" t="s">
        <v>107</v>
      </c>
      <c r="M1299" s="20" t="s">
        <v>1705</v>
      </c>
      <c r="N1299" s="20" t="s">
        <v>108</v>
      </c>
      <c r="Q1299" s="24" t="s">
        <v>680</v>
      </c>
    </row>
    <row r="1300" spans="1:17" hidden="1" x14ac:dyDescent="0.3">
      <c r="A1300" s="20">
        <f t="shared" si="20"/>
        <v>1299</v>
      </c>
      <c r="B1300" s="21" t="s">
        <v>87</v>
      </c>
      <c r="C1300" s="21" t="s">
        <v>91</v>
      </c>
      <c r="D1300" s="22" t="str">
        <f>IF($C1300="","",IFERROR(VLOOKUP($C1300,Map_Register!$A$2:$C$5,3,FALSE()),""))</f>
        <v>Cultural Heritage Area</v>
      </c>
      <c r="E1300" s="21" t="s">
        <v>15</v>
      </c>
      <c r="F1300" s="23">
        <v>140618</v>
      </c>
      <c r="G1300" s="20" t="s">
        <v>1537</v>
      </c>
      <c r="H1300" s="20" t="s">
        <v>2002</v>
      </c>
      <c r="I1300" s="20" t="s">
        <v>678</v>
      </c>
      <c r="J1300" s="20" t="s">
        <v>6</v>
      </c>
      <c r="K1300" s="20" t="s">
        <v>137</v>
      </c>
      <c r="L1300" s="20" t="s">
        <v>137</v>
      </c>
      <c r="M1300" s="20" t="s">
        <v>1713</v>
      </c>
      <c r="Q1300" s="24" t="s">
        <v>680</v>
      </c>
    </row>
    <row r="1301" spans="1:17" hidden="1" x14ac:dyDescent="0.3">
      <c r="A1301" s="20">
        <f t="shared" si="20"/>
        <v>1300</v>
      </c>
      <c r="B1301" s="21" t="s">
        <v>87</v>
      </c>
      <c r="C1301" s="21" t="s">
        <v>91</v>
      </c>
      <c r="D1301" s="22" t="str">
        <f>IF($C1301="","",IFERROR(VLOOKUP($C1301,Map_Register!$A$2:$C$5,3,FALSE()),""))</f>
        <v>Cultural Heritage Area</v>
      </c>
      <c r="E1301" s="21" t="s">
        <v>15</v>
      </c>
      <c r="F1301" s="23">
        <v>141318</v>
      </c>
      <c r="G1301" s="20" t="s">
        <v>1537</v>
      </c>
      <c r="H1301" s="20" t="s">
        <v>2003</v>
      </c>
      <c r="I1301" s="20" t="s">
        <v>678</v>
      </c>
      <c r="J1301" s="20" t="s">
        <v>8</v>
      </c>
      <c r="K1301" s="20" t="s">
        <v>107</v>
      </c>
      <c r="L1301" s="20" t="s">
        <v>107</v>
      </c>
      <c r="M1301" s="20" t="s">
        <v>1705</v>
      </c>
      <c r="N1301" s="20" t="s">
        <v>108</v>
      </c>
      <c r="Q1301" s="24" t="s">
        <v>680</v>
      </c>
    </row>
    <row r="1302" spans="1:17" hidden="1" x14ac:dyDescent="0.3">
      <c r="A1302" s="20">
        <f t="shared" si="20"/>
        <v>1301</v>
      </c>
      <c r="B1302" s="21" t="s">
        <v>87</v>
      </c>
      <c r="C1302" s="21" t="s">
        <v>91</v>
      </c>
      <c r="D1302" s="22" t="str">
        <f>IF($C1302="","",IFERROR(VLOOKUP($C1302,Map_Register!$A$2:$C$5,3,FALSE()),""))</f>
        <v>Cultural Heritage Area</v>
      </c>
      <c r="E1302" s="21" t="s">
        <v>15</v>
      </c>
      <c r="F1302" s="23">
        <v>141539</v>
      </c>
      <c r="G1302" s="20" t="s">
        <v>1537</v>
      </c>
      <c r="H1302" s="20" t="s">
        <v>2004</v>
      </c>
      <c r="I1302" s="20" t="s">
        <v>678</v>
      </c>
      <c r="J1302" s="20" t="s">
        <v>6</v>
      </c>
      <c r="K1302" s="20" t="s">
        <v>137</v>
      </c>
      <c r="L1302" s="20" t="s">
        <v>137</v>
      </c>
      <c r="M1302" s="20" t="s">
        <v>1724</v>
      </c>
      <c r="Q1302" s="24" t="s">
        <v>680</v>
      </c>
    </row>
    <row r="1303" spans="1:17" hidden="1" x14ac:dyDescent="0.3">
      <c r="A1303" s="20">
        <f t="shared" si="20"/>
        <v>1302</v>
      </c>
      <c r="B1303" s="21" t="s">
        <v>87</v>
      </c>
      <c r="C1303" s="21" t="s">
        <v>91</v>
      </c>
      <c r="D1303" s="22" t="str">
        <f>IF($C1303="","",IFERROR(VLOOKUP($C1303,Map_Register!$A$2:$C$5,3,FALSE()),""))</f>
        <v>Cultural Heritage Area</v>
      </c>
      <c r="E1303" s="21" t="s">
        <v>15</v>
      </c>
      <c r="F1303" s="23">
        <v>141588</v>
      </c>
      <c r="G1303" s="20" t="s">
        <v>1537</v>
      </c>
      <c r="H1303" s="20" t="s">
        <v>2005</v>
      </c>
      <c r="I1303" s="20" t="s">
        <v>678</v>
      </c>
      <c r="J1303" s="20" t="s">
        <v>8</v>
      </c>
      <c r="K1303" s="20" t="s">
        <v>107</v>
      </c>
      <c r="L1303" s="20" t="s">
        <v>107</v>
      </c>
      <c r="M1303" s="20" t="s">
        <v>1705</v>
      </c>
      <c r="N1303" s="20" t="s">
        <v>108</v>
      </c>
      <c r="Q1303" s="24" t="s">
        <v>680</v>
      </c>
    </row>
    <row r="1304" spans="1:17" x14ac:dyDescent="0.3">
      <c r="A1304" s="20">
        <f t="shared" si="20"/>
        <v>1303</v>
      </c>
      <c r="B1304" s="21" t="s">
        <v>87</v>
      </c>
      <c r="C1304" s="21" t="s">
        <v>91</v>
      </c>
      <c r="D1304" s="22" t="str">
        <f>IF($C1304="","",IFERROR(VLOOKUP($C1304,Map_Register!$A$2:$C$5,3,FALSE()),""))</f>
        <v>Cultural Heritage Area</v>
      </c>
      <c r="E1304" s="21" t="s">
        <v>15</v>
      </c>
      <c r="F1304" s="23">
        <v>141682</v>
      </c>
      <c r="G1304" s="20" t="s">
        <v>1537</v>
      </c>
      <c r="H1304" s="20" t="s">
        <v>2006</v>
      </c>
      <c r="I1304" s="20" t="s">
        <v>678</v>
      </c>
      <c r="J1304" s="20" t="s">
        <v>8</v>
      </c>
      <c r="K1304" s="20" t="s">
        <v>107</v>
      </c>
      <c r="L1304" t="s">
        <v>108</v>
      </c>
      <c r="M1304" s="20" t="s">
        <v>1700</v>
      </c>
      <c r="N1304" s="20" t="s">
        <v>108</v>
      </c>
      <c r="Q1304" s="24" t="s">
        <v>680</v>
      </c>
    </row>
    <row r="1305" spans="1:17" hidden="1" x14ac:dyDescent="0.3">
      <c r="A1305" s="20">
        <f t="shared" si="20"/>
        <v>1304</v>
      </c>
      <c r="B1305" s="21" t="s">
        <v>87</v>
      </c>
      <c r="C1305" s="21" t="s">
        <v>91</v>
      </c>
      <c r="D1305" s="22" t="str">
        <f>IF($C1305="","",IFERROR(VLOOKUP($C1305,Map_Register!$A$2:$C$5,3,FALSE()),""))</f>
        <v>Cultural Heritage Area</v>
      </c>
      <c r="E1305" s="21" t="s">
        <v>15</v>
      </c>
      <c r="F1305" s="23">
        <v>141800</v>
      </c>
      <c r="G1305" s="20" t="s">
        <v>1537</v>
      </c>
      <c r="H1305" s="20" t="s">
        <v>2007</v>
      </c>
      <c r="I1305" s="20" t="s">
        <v>678</v>
      </c>
      <c r="J1305" s="20" t="s">
        <v>8</v>
      </c>
      <c r="K1305" s="20" t="s">
        <v>107</v>
      </c>
      <c r="L1305" s="20" t="s">
        <v>107</v>
      </c>
      <c r="M1305" s="20" t="s">
        <v>1705</v>
      </c>
      <c r="N1305" s="20" t="s">
        <v>108</v>
      </c>
      <c r="Q1305" s="24" t="s">
        <v>680</v>
      </c>
    </row>
    <row r="1306" spans="1:17" hidden="1" x14ac:dyDescent="0.3">
      <c r="A1306" s="20">
        <f t="shared" si="20"/>
        <v>1305</v>
      </c>
      <c r="B1306" s="21" t="s">
        <v>87</v>
      </c>
      <c r="C1306" s="21" t="s">
        <v>91</v>
      </c>
      <c r="D1306" s="22" t="str">
        <f>IF($C1306="","",IFERROR(VLOOKUP($C1306,Map_Register!$A$2:$C$5,3,FALSE()),""))</f>
        <v>Cultural Heritage Area</v>
      </c>
      <c r="E1306" s="21" t="s">
        <v>15</v>
      </c>
      <c r="F1306" s="23">
        <v>142446</v>
      </c>
      <c r="G1306" s="20" t="s">
        <v>1537</v>
      </c>
      <c r="H1306" s="20" t="s">
        <v>2008</v>
      </c>
      <c r="I1306" s="20" t="s">
        <v>678</v>
      </c>
      <c r="J1306" s="20" t="s">
        <v>6</v>
      </c>
      <c r="K1306" s="20" t="s">
        <v>137</v>
      </c>
      <c r="L1306" s="20" t="s">
        <v>137</v>
      </c>
      <c r="M1306" s="20" t="s">
        <v>1713</v>
      </c>
      <c r="Q1306" s="24" t="s">
        <v>680</v>
      </c>
    </row>
    <row r="1307" spans="1:17" hidden="1" x14ac:dyDescent="0.3">
      <c r="A1307" s="20">
        <f t="shared" si="20"/>
        <v>1306</v>
      </c>
      <c r="B1307" s="21" t="s">
        <v>87</v>
      </c>
      <c r="C1307" s="21" t="s">
        <v>91</v>
      </c>
      <c r="D1307" s="22" t="str">
        <f>IF($C1307="","",IFERROR(VLOOKUP($C1307,Map_Register!$A$2:$C$5,3,FALSE()),""))</f>
        <v>Cultural Heritage Area</v>
      </c>
      <c r="E1307" s="21" t="s">
        <v>15</v>
      </c>
      <c r="F1307" s="23">
        <v>142802</v>
      </c>
      <c r="G1307" s="20" t="s">
        <v>1537</v>
      </c>
      <c r="H1307" s="20" t="s">
        <v>1901</v>
      </c>
      <c r="I1307" s="20" t="s">
        <v>678</v>
      </c>
      <c r="J1307" s="20" t="s">
        <v>220</v>
      </c>
      <c r="K1307" s="20" t="s">
        <v>137</v>
      </c>
      <c r="L1307" s="20" t="s">
        <v>137</v>
      </c>
      <c r="M1307" s="20" t="s">
        <v>1902</v>
      </c>
      <c r="Q1307" s="24" t="s">
        <v>680</v>
      </c>
    </row>
    <row r="1308" spans="1:17" hidden="1" x14ac:dyDescent="0.3">
      <c r="A1308" s="20">
        <f t="shared" si="20"/>
        <v>1307</v>
      </c>
      <c r="B1308" s="21" t="s">
        <v>87</v>
      </c>
      <c r="C1308" s="21" t="s">
        <v>91</v>
      </c>
      <c r="D1308" s="22" t="str">
        <f>IF($C1308="","",IFERROR(VLOOKUP($C1308,Map_Register!$A$2:$C$5,3,FALSE()),""))</f>
        <v>Cultural Heritage Area</v>
      </c>
      <c r="E1308" s="21" t="s">
        <v>15</v>
      </c>
      <c r="F1308" s="23">
        <v>143316</v>
      </c>
      <c r="G1308" s="20" t="s">
        <v>1537</v>
      </c>
      <c r="H1308" s="20" t="s">
        <v>1897</v>
      </c>
      <c r="I1308" s="20" t="s">
        <v>678</v>
      </c>
      <c r="J1308" s="20" t="s">
        <v>220</v>
      </c>
      <c r="K1308" s="20" t="s">
        <v>137</v>
      </c>
      <c r="L1308" s="20" t="s">
        <v>137</v>
      </c>
      <c r="M1308" s="20" t="s">
        <v>2009</v>
      </c>
      <c r="P1308" s="20" t="s">
        <v>1869</v>
      </c>
      <c r="Q1308" s="24" t="s">
        <v>680</v>
      </c>
    </row>
    <row r="1309" spans="1:17" hidden="1" x14ac:dyDescent="0.3">
      <c r="A1309" s="20">
        <f t="shared" si="20"/>
        <v>1308</v>
      </c>
      <c r="B1309" s="21" t="s">
        <v>87</v>
      </c>
      <c r="C1309" s="21" t="s">
        <v>91</v>
      </c>
      <c r="D1309" s="22" t="str">
        <f>IF($C1309="","",IFERROR(VLOOKUP($C1309,Map_Register!$A$2:$C$5,3,FALSE()),""))</f>
        <v>Cultural Heritage Area</v>
      </c>
      <c r="E1309" s="21" t="s">
        <v>15</v>
      </c>
      <c r="F1309" s="23">
        <v>147868</v>
      </c>
      <c r="G1309" s="20" t="s">
        <v>1537</v>
      </c>
      <c r="H1309" s="20" t="s">
        <v>1872</v>
      </c>
      <c r="I1309" s="20" t="s">
        <v>678</v>
      </c>
      <c r="J1309" s="20" t="s">
        <v>220</v>
      </c>
      <c r="K1309" s="20" t="s">
        <v>137</v>
      </c>
      <c r="L1309" s="20" t="s">
        <v>137</v>
      </c>
      <c r="M1309" s="20" t="s">
        <v>1873</v>
      </c>
      <c r="P1309" s="20" t="s">
        <v>1869</v>
      </c>
      <c r="Q1309" s="24" t="s">
        <v>680</v>
      </c>
    </row>
    <row r="1310" spans="1:17" hidden="1" x14ac:dyDescent="0.3">
      <c r="A1310" s="20">
        <f t="shared" si="20"/>
        <v>1309</v>
      </c>
      <c r="B1310" s="21" t="s">
        <v>87</v>
      </c>
      <c r="C1310" s="21" t="s">
        <v>91</v>
      </c>
      <c r="D1310" s="22" t="str">
        <f>IF($C1310="","",IFERROR(VLOOKUP($C1310,Map_Register!$A$2:$C$5,3,FALSE()),""))</f>
        <v>Cultural Heritage Area</v>
      </c>
      <c r="E1310" s="21" t="s">
        <v>15</v>
      </c>
      <c r="F1310" s="23">
        <v>148684</v>
      </c>
      <c r="G1310" s="20" t="s">
        <v>1537</v>
      </c>
      <c r="H1310" s="20" t="s">
        <v>1914</v>
      </c>
      <c r="I1310" s="20" t="s">
        <v>678</v>
      </c>
      <c r="J1310" s="20" t="s">
        <v>220</v>
      </c>
      <c r="K1310" s="20" t="s">
        <v>137</v>
      </c>
      <c r="L1310" s="20" t="s">
        <v>137</v>
      </c>
      <c r="M1310" s="20" t="s">
        <v>2010</v>
      </c>
      <c r="P1310" s="20" t="s">
        <v>1869</v>
      </c>
      <c r="Q1310" s="24" t="s">
        <v>680</v>
      </c>
    </row>
    <row r="1311" spans="1:17" hidden="1" x14ac:dyDescent="0.3">
      <c r="A1311" s="20">
        <f t="shared" si="20"/>
        <v>1310</v>
      </c>
      <c r="B1311" s="21" t="s">
        <v>87</v>
      </c>
      <c r="C1311" s="21" t="s">
        <v>91</v>
      </c>
      <c r="D1311" s="22" t="str">
        <f>IF($C1311="","",IFERROR(VLOOKUP($C1311,Map_Register!$A$2:$C$5,3,FALSE()),""))</f>
        <v>Cultural Heritage Area</v>
      </c>
      <c r="E1311" s="21" t="s">
        <v>15</v>
      </c>
      <c r="F1311" s="23">
        <v>148921</v>
      </c>
      <c r="G1311" s="20" t="s">
        <v>1560</v>
      </c>
      <c r="H1311" s="20" t="s">
        <v>2011</v>
      </c>
      <c r="I1311" s="20" t="s">
        <v>678</v>
      </c>
      <c r="J1311" s="20" t="s">
        <v>6</v>
      </c>
      <c r="K1311" s="20" t="s">
        <v>137</v>
      </c>
      <c r="L1311" s="20" t="s">
        <v>137</v>
      </c>
      <c r="M1311" s="20" t="s">
        <v>2012</v>
      </c>
      <c r="Q1311" s="24" t="s">
        <v>680</v>
      </c>
    </row>
    <row r="1312" spans="1:17" hidden="1" x14ac:dyDescent="0.3">
      <c r="A1312" s="20">
        <f t="shared" si="20"/>
        <v>1311</v>
      </c>
      <c r="B1312" s="21" t="s">
        <v>87</v>
      </c>
      <c r="C1312" s="21" t="s">
        <v>91</v>
      </c>
      <c r="D1312" s="22" t="str">
        <f>IF($C1312="","",IFERROR(VLOOKUP($C1312,Map_Register!$A$2:$C$5,3,FALSE()),""))</f>
        <v>Cultural Heritage Area</v>
      </c>
      <c r="E1312" s="21" t="s">
        <v>15</v>
      </c>
      <c r="F1312" s="23">
        <v>150139</v>
      </c>
      <c r="G1312" s="20" t="s">
        <v>1537</v>
      </c>
      <c r="H1312" s="20" t="s">
        <v>2013</v>
      </c>
      <c r="I1312" s="20" t="s">
        <v>678</v>
      </c>
      <c r="J1312" s="20" t="s">
        <v>8</v>
      </c>
      <c r="K1312" s="20" t="s">
        <v>107</v>
      </c>
      <c r="L1312" t="s">
        <v>107</v>
      </c>
      <c r="M1312" s="20" t="s">
        <v>2014</v>
      </c>
      <c r="N1312" s="20" t="s">
        <v>108</v>
      </c>
      <c r="Q1312" s="24" t="s">
        <v>680</v>
      </c>
    </row>
    <row r="1313" spans="1:17" x14ac:dyDescent="0.3">
      <c r="A1313" s="20">
        <f t="shared" si="20"/>
        <v>1312</v>
      </c>
      <c r="B1313" s="21" t="s">
        <v>87</v>
      </c>
      <c r="C1313" s="21" t="s">
        <v>91</v>
      </c>
      <c r="D1313" s="22" t="str">
        <f>IF($C1313="","",IFERROR(VLOOKUP($C1313,Map_Register!$A$2:$C$5,3,FALSE()),""))</f>
        <v>Cultural Heritage Area</v>
      </c>
      <c r="E1313" s="21" t="s">
        <v>15</v>
      </c>
      <c r="F1313" s="23">
        <v>150600</v>
      </c>
      <c r="G1313" s="20" t="s">
        <v>1537</v>
      </c>
      <c r="H1313" s="20" t="s">
        <v>2015</v>
      </c>
      <c r="I1313" s="20" t="s">
        <v>678</v>
      </c>
      <c r="J1313" s="20" t="s">
        <v>8</v>
      </c>
      <c r="K1313" s="20" t="s">
        <v>107</v>
      </c>
      <c r="L1313" t="s">
        <v>108</v>
      </c>
      <c r="M1313" s="20" t="s">
        <v>1700</v>
      </c>
      <c r="N1313" s="20" t="s">
        <v>108</v>
      </c>
      <c r="Q1313" s="24" t="s">
        <v>680</v>
      </c>
    </row>
    <row r="1314" spans="1:17" hidden="1" x14ac:dyDescent="0.3">
      <c r="A1314" s="20">
        <f t="shared" si="20"/>
        <v>1313</v>
      </c>
      <c r="B1314" s="21" t="s">
        <v>87</v>
      </c>
      <c r="C1314" s="21" t="s">
        <v>91</v>
      </c>
      <c r="D1314" s="22" t="str">
        <f>IF($C1314="","",IFERROR(VLOOKUP($C1314,Map_Register!$A$2:$C$5,3,FALSE()),""))</f>
        <v>Cultural Heritage Area</v>
      </c>
      <c r="E1314" s="21" t="s">
        <v>15</v>
      </c>
      <c r="F1314" s="23">
        <v>151098</v>
      </c>
      <c r="G1314" s="20" t="s">
        <v>1537</v>
      </c>
      <c r="H1314" s="20" t="s">
        <v>2016</v>
      </c>
      <c r="I1314" s="20" t="s">
        <v>678</v>
      </c>
      <c r="J1314" s="20" t="s">
        <v>8</v>
      </c>
      <c r="K1314" s="20" t="s">
        <v>107</v>
      </c>
      <c r="L1314" s="20" t="s">
        <v>107</v>
      </c>
      <c r="M1314" s="20" t="s">
        <v>1705</v>
      </c>
      <c r="N1314" s="20" t="s">
        <v>108</v>
      </c>
      <c r="Q1314" s="24" t="s">
        <v>680</v>
      </c>
    </row>
    <row r="1315" spans="1:17" hidden="1" x14ac:dyDescent="0.3">
      <c r="A1315" s="20">
        <f t="shared" si="20"/>
        <v>1314</v>
      </c>
      <c r="B1315" s="21" t="s">
        <v>87</v>
      </c>
      <c r="C1315" s="21" t="s">
        <v>91</v>
      </c>
      <c r="D1315" s="22" t="str">
        <f>IF($C1315="","",IFERROR(VLOOKUP($C1315,Map_Register!$A$2:$C$5,3,FALSE()),""))</f>
        <v>Cultural Heritage Area</v>
      </c>
      <c r="E1315" s="21" t="s">
        <v>15</v>
      </c>
      <c r="F1315" s="23">
        <v>151111</v>
      </c>
      <c r="G1315" s="20" t="s">
        <v>1537</v>
      </c>
      <c r="H1315" s="20" t="s">
        <v>2017</v>
      </c>
      <c r="I1315" s="20" t="s">
        <v>678</v>
      </c>
      <c r="J1315" s="20" t="s">
        <v>8</v>
      </c>
      <c r="K1315" s="20" t="s">
        <v>107</v>
      </c>
      <c r="L1315" s="20" t="s">
        <v>107</v>
      </c>
      <c r="M1315" s="20" t="s">
        <v>1696</v>
      </c>
      <c r="N1315" s="20" t="s">
        <v>108</v>
      </c>
      <c r="Q1315" s="24" t="s">
        <v>680</v>
      </c>
    </row>
    <row r="1316" spans="1:17" x14ac:dyDescent="0.3">
      <c r="A1316" s="20">
        <f t="shared" si="20"/>
        <v>1315</v>
      </c>
      <c r="B1316" s="21" t="s">
        <v>87</v>
      </c>
      <c r="C1316" s="21" t="s">
        <v>91</v>
      </c>
      <c r="D1316" s="22" t="str">
        <f>IF($C1316="","",IFERROR(VLOOKUP($C1316,Map_Register!$A$2:$C$5,3,FALSE()),""))</f>
        <v>Cultural Heritage Area</v>
      </c>
      <c r="E1316" s="21" t="s">
        <v>15</v>
      </c>
      <c r="F1316" s="23">
        <v>151389</v>
      </c>
      <c r="G1316" s="20" t="s">
        <v>1537</v>
      </c>
      <c r="H1316" s="20" t="s">
        <v>2018</v>
      </c>
      <c r="I1316" s="20" t="s">
        <v>678</v>
      </c>
      <c r="J1316" s="20" t="s">
        <v>8</v>
      </c>
      <c r="K1316" s="20" t="s">
        <v>107</v>
      </c>
      <c r="L1316" t="s">
        <v>108</v>
      </c>
      <c r="M1316" s="20" t="s">
        <v>1700</v>
      </c>
      <c r="N1316" s="20" t="s">
        <v>108</v>
      </c>
      <c r="Q1316" s="24" t="s">
        <v>680</v>
      </c>
    </row>
    <row r="1317" spans="1:17" x14ac:dyDescent="0.3">
      <c r="A1317" s="20">
        <f t="shared" si="20"/>
        <v>1316</v>
      </c>
      <c r="B1317" s="21" t="s">
        <v>87</v>
      </c>
      <c r="C1317" s="21" t="s">
        <v>91</v>
      </c>
      <c r="D1317" s="22" t="str">
        <f>IF($C1317="","",IFERROR(VLOOKUP($C1317,Map_Register!$A$2:$C$5,3,FALSE()),""))</f>
        <v>Cultural Heritage Area</v>
      </c>
      <c r="E1317" s="21" t="s">
        <v>15</v>
      </c>
      <c r="F1317" s="23">
        <v>151490</v>
      </c>
      <c r="G1317" s="20" t="s">
        <v>1537</v>
      </c>
      <c r="H1317" s="20" t="s">
        <v>2019</v>
      </c>
      <c r="I1317" s="20" t="s">
        <v>678</v>
      </c>
      <c r="J1317" s="20" t="s">
        <v>8</v>
      </c>
      <c r="K1317" s="20" t="s">
        <v>107</v>
      </c>
      <c r="L1317" t="s">
        <v>108</v>
      </c>
      <c r="M1317" s="20" t="s">
        <v>1700</v>
      </c>
      <c r="N1317" s="20" t="s">
        <v>108</v>
      </c>
      <c r="Q1317" s="24" t="s">
        <v>680</v>
      </c>
    </row>
    <row r="1318" spans="1:17" hidden="1" x14ac:dyDescent="0.3">
      <c r="A1318" s="20">
        <f t="shared" si="20"/>
        <v>1317</v>
      </c>
      <c r="B1318" s="21" t="s">
        <v>87</v>
      </c>
      <c r="C1318" s="21" t="s">
        <v>91</v>
      </c>
      <c r="D1318" s="22" t="str">
        <f>IF($C1318="","",IFERROR(VLOOKUP($C1318,Map_Register!$A$2:$C$5,3,FALSE()),""))</f>
        <v>Cultural Heritage Area</v>
      </c>
      <c r="E1318" s="21" t="s">
        <v>15</v>
      </c>
      <c r="F1318" s="23">
        <v>151550</v>
      </c>
      <c r="G1318" s="20" t="s">
        <v>1537</v>
      </c>
      <c r="H1318" s="20" t="s">
        <v>2020</v>
      </c>
      <c r="I1318" s="20" t="s">
        <v>678</v>
      </c>
      <c r="J1318" s="20" t="s">
        <v>6</v>
      </c>
      <c r="K1318" s="20" t="s">
        <v>137</v>
      </c>
      <c r="L1318" s="20" t="s">
        <v>137</v>
      </c>
      <c r="M1318" s="20" t="s">
        <v>1713</v>
      </c>
      <c r="Q1318" s="24" t="s">
        <v>680</v>
      </c>
    </row>
    <row r="1319" spans="1:17" hidden="1" x14ac:dyDescent="0.3">
      <c r="A1319" s="20">
        <f t="shared" si="20"/>
        <v>1318</v>
      </c>
      <c r="B1319" s="21" t="s">
        <v>87</v>
      </c>
      <c r="C1319" s="21" t="s">
        <v>91</v>
      </c>
      <c r="D1319" s="22" t="str">
        <f>IF($C1319="","",IFERROR(VLOOKUP($C1319,Map_Register!$A$2:$C$5,3,FALSE()),""))</f>
        <v>Cultural Heritage Area</v>
      </c>
      <c r="E1319" s="21" t="s">
        <v>15</v>
      </c>
      <c r="F1319" s="23">
        <v>151583</v>
      </c>
      <c r="G1319" s="20" t="s">
        <v>1537</v>
      </c>
      <c r="H1319" s="20" t="s">
        <v>2021</v>
      </c>
      <c r="I1319" s="20" t="s">
        <v>678</v>
      </c>
      <c r="J1319" s="20" t="s">
        <v>8</v>
      </c>
      <c r="K1319" s="20" t="s">
        <v>107</v>
      </c>
      <c r="L1319" s="20" t="s">
        <v>107</v>
      </c>
      <c r="M1319" s="20" t="s">
        <v>1705</v>
      </c>
      <c r="N1319" s="20" t="s">
        <v>108</v>
      </c>
      <c r="Q1319" s="24" t="s">
        <v>680</v>
      </c>
    </row>
    <row r="1320" spans="1:17" hidden="1" x14ac:dyDescent="0.3">
      <c r="A1320" s="20">
        <f t="shared" si="20"/>
        <v>1319</v>
      </c>
      <c r="B1320" s="21" t="s">
        <v>87</v>
      </c>
      <c r="C1320" s="21" t="s">
        <v>91</v>
      </c>
      <c r="D1320" s="22" t="str">
        <f>IF($C1320="","",IFERROR(VLOOKUP($C1320,Map_Register!$A$2:$C$5,3,FALSE()),""))</f>
        <v>Cultural Heritage Area</v>
      </c>
      <c r="E1320" s="21" t="s">
        <v>15</v>
      </c>
      <c r="F1320" s="23">
        <v>151664</v>
      </c>
      <c r="G1320" s="20" t="s">
        <v>1537</v>
      </c>
      <c r="H1320" s="20" t="s">
        <v>2022</v>
      </c>
      <c r="I1320" s="20" t="s">
        <v>678</v>
      </c>
      <c r="J1320" s="20" t="s">
        <v>8</v>
      </c>
      <c r="K1320" s="20" t="s">
        <v>107</v>
      </c>
      <c r="L1320" s="20" t="s">
        <v>107</v>
      </c>
      <c r="M1320" s="20" t="s">
        <v>1705</v>
      </c>
      <c r="N1320" s="20" t="s">
        <v>108</v>
      </c>
      <c r="Q1320" s="24" t="s">
        <v>680</v>
      </c>
    </row>
    <row r="1321" spans="1:17" hidden="1" x14ac:dyDescent="0.3">
      <c r="A1321" s="20">
        <f t="shared" si="20"/>
        <v>1320</v>
      </c>
      <c r="B1321" s="21" t="s">
        <v>87</v>
      </c>
      <c r="C1321" s="21" t="s">
        <v>91</v>
      </c>
      <c r="D1321" s="22" t="str">
        <f>IF($C1321="","",IFERROR(VLOOKUP($C1321,Map_Register!$A$2:$C$5,3,FALSE()),""))</f>
        <v>Cultural Heritage Area</v>
      </c>
      <c r="E1321" s="21" t="s">
        <v>15</v>
      </c>
      <c r="F1321" s="23">
        <v>151981</v>
      </c>
      <c r="G1321" s="20" t="s">
        <v>1537</v>
      </c>
      <c r="H1321" s="20" t="s">
        <v>2023</v>
      </c>
      <c r="I1321" s="20" t="s">
        <v>678</v>
      </c>
      <c r="J1321" s="20" t="s">
        <v>6</v>
      </c>
      <c r="K1321" s="20" t="s">
        <v>137</v>
      </c>
      <c r="L1321" s="20" t="s">
        <v>137</v>
      </c>
      <c r="M1321" s="20" t="s">
        <v>1694</v>
      </c>
      <c r="Q1321" s="24" t="s">
        <v>680</v>
      </c>
    </row>
    <row r="1322" spans="1:17" hidden="1" x14ac:dyDescent="0.3">
      <c r="A1322" s="20">
        <f t="shared" si="20"/>
        <v>1321</v>
      </c>
      <c r="B1322" s="21" t="s">
        <v>87</v>
      </c>
      <c r="C1322" s="21" t="s">
        <v>91</v>
      </c>
      <c r="D1322" s="22" t="str">
        <f>IF($C1322="","",IFERROR(VLOOKUP($C1322,Map_Register!$A$2:$C$5,3,FALSE()),""))</f>
        <v>Cultural Heritage Area</v>
      </c>
      <c r="E1322" s="21" t="s">
        <v>15</v>
      </c>
      <c r="F1322" s="23">
        <v>152156</v>
      </c>
      <c r="G1322" s="20" t="s">
        <v>1537</v>
      </c>
      <c r="H1322" s="20" t="s">
        <v>2024</v>
      </c>
      <c r="I1322" s="20" t="s">
        <v>678</v>
      </c>
      <c r="J1322" s="20" t="s">
        <v>8</v>
      </c>
      <c r="K1322" s="20" t="s">
        <v>107</v>
      </c>
      <c r="L1322" s="20" t="s">
        <v>107</v>
      </c>
      <c r="M1322" s="20" t="s">
        <v>1696</v>
      </c>
      <c r="N1322" s="20" t="s">
        <v>108</v>
      </c>
      <c r="Q1322" s="24" t="s">
        <v>680</v>
      </c>
    </row>
    <row r="1323" spans="1:17" hidden="1" x14ac:dyDescent="0.3">
      <c r="A1323" s="20">
        <f t="shared" si="20"/>
        <v>1322</v>
      </c>
      <c r="B1323" s="21" t="s">
        <v>87</v>
      </c>
      <c r="C1323" s="21" t="s">
        <v>91</v>
      </c>
      <c r="D1323" s="22" t="str">
        <f>IF($C1323="","",IFERROR(VLOOKUP($C1323,Map_Register!$A$2:$C$5,3,FALSE()),""))</f>
        <v>Cultural Heritage Area</v>
      </c>
      <c r="E1323" s="21" t="s">
        <v>15</v>
      </c>
      <c r="F1323" s="23">
        <v>152346</v>
      </c>
      <c r="G1323" s="20" t="s">
        <v>1537</v>
      </c>
      <c r="H1323" s="20" t="s">
        <v>2025</v>
      </c>
      <c r="I1323" s="20" t="s">
        <v>678</v>
      </c>
      <c r="J1323" s="20" t="s">
        <v>8</v>
      </c>
      <c r="K1323" s="20" t="s">
        <v>107</v>
      </c>
      <c r="L1323" s="20" t="s">
        <v>107</v>
      </c>
      <c r="M1323" s="20" t="s">
        <v>1705</v>
      </c>
      <c r="N1323" s="20" t="s">
        <v>108</v>
      </c>
      <c r="Q1323" s="24" t="s">
        <v>680</v>
      </c>
    </row>
    <row r="1324" spans="1:17" hidden="1" x14ac:dyDescent="0.3">
      <c r="A1324" s="20">
        <f t="shared" si="20"/>
        <v>1323</v>
      </c>
      <c r="B1324" s="21" t="s">
        <v>87</v>
      </c>
      <c r="C1324" s="21" t="s">
        <v>91</v>
      </c>
      <c r="D1324" s="22" t="str">
        <f>IF($C1324="","",IFERROR(VLOOKUP($C1324,Map_Register!$A$2:$C$5,3,FALSE()),""))</f>
        <v>Cultural Heritage Area</v>
      </c>
      <c r="E1324" s="21" t="s">
        <v>15</v>
      </c>
      <c r="F1324" s="23">
        <v>152422</v>
      </c>
      <c r="G1324" s="20" t="s">
        <v>1537</v>
      </c>
      <c r="H1324" s="20" t="s">
        <v>2026</v>
      </c>
      <c r="I1324" s="20" t="s">
        <v>678</v>
      </c>
      <c r="J1324" s="20" t="s">
        <v>6</v>
      </c>
      <c r="K1324" s="20" t="s">
        <v>137</v>
      </c>
      <c r="L1324" s="20" t="s">
        <v>137</v>
      </c>
      <c r="M1324" s="20" t="s">
        <v>1694</v>
      </c>
      <c r="Q1324" s="24" t="s">
        <v>680</v>
      </c>
    </row>
    <row r="1325" spans="1:17" x14ac:dyDescent="0.3">
      <c r="A1325" s="20">
        <f t="shared" si="20"/>
        <v>1324</v>
      </c>
      <c r="B1325" s="21" t="s">
        <v>87</v>
      </c>
      <c r="C1325" s="21" t="s">
        <v>91</v>
      </c>
      <c r="D1325" s="22" t="str">
        <f>IF($C1325="","",IFERROR(VLOOKUP($C1325,Map_Register!$A$2:$C$5,3,FALSE()),""))</f>
        <v>Cultural Heritage Area</v>
      </c>
      <c r="E1325" s="21" t="s">
        <v>15</v>
      </c>
      <c r="F1325" s="23">
        <v>152759</v>
      </c>
      <c r="G1325" s="20" t="s">
        <v>1537</v>
      </c>
      <c r="H1325" s="20" t="s">
        <v>2027</v>
      </c>
      <c r="I1325" s="20" t="s">
        <v>678</v>
      </c>
      <c r="J1325" s="20" t="s">
        <v>8</v>
      </c>
      <c r="K1325" s="20" t="s">
        <v>107</v>
      </c>
      <c r="L1325" t="s">
        <v>108</v>
      </c>
      <c r="M1325" s="20" t="s">
        <v>1700</v>
      </c>
      <c r="N1325" s="20" t="s">
        <v>108</v>
      </c>
      <c r="Q1325" s="24" t="s">
        <v>680</v>
      </c>
    </row>
    <row r="1326" spans="1:17" hidden="1" x14ac:dyDescent="0.3">
      <c r="A1326" s="20">
        <f t="shared" si="20"/>
        <v>1325</v>
      </c>
      <c r="B1326" s="21" t="s">
        <v>87</v>
      </c>
      <c r="C1326" s="21" t="s">
        <v>91</v>
      </c>
      <c r="D1326" s="22" t="str">
        <f>IF($C1326="","",IFERROR(VLOOKUP($C1326,Map_Register!$A$2:$C$5,3,FALSE()),""))</f>
        <v>Cultural Heritage Area</v>
      </c>
      <c r="E1326" s="21" t="s">
        <v>15</v>
      </c>
      <c r="F1326" s="23">
        <v>152908</v>
      </c>
      <c r="G1326" s="20" t="s">
        <v>1537</v>
      </c>
      <c r="H1326" s="20" t="s">
        <v>2028</v>
      </c>
      <c r="I1326" s="20" t="s">
        <v>678</v>
      </c>
      <c r="J1326" s="20" t="s">
        <v>6</v>
      </c>
      <c r="K1326" s="20" t="s">
        <v>137</v>
      </c>
      <c r="L1326" s="20" t="s">
        <v>137</v>
      </c>
      <c r="M1326" s="20" t="s">
        <v>1694</v>
      </c>
      <c r="Q1326" s="24" t="s">
        <v>680</v>
      </c>
    </row>
    <row r="1327" spans="1:17" hidden="1" x14ac:dyDescent="0.3">
      <c r="A1327" s="20">
        <f t="shared" si="20"/>
        <v>1326</v>
      </c>
      <c r="B1327" s="21" t="s">
        <v>87</v>
      </c>
      <c r="C1327" s="21" t="s">
        <v>91</v>
      </c>
      <c r="D1327" s="22" t="str">
        <f>IF($C1327="","",IFERROR(VLOOKUP($C1327,Map_Register!$A$2:$C$5,3,FALSE()),""))</f>
        <v>Cultural Heritage Area</v>
      </c>
      <c r="E1327" s="21" t="s">
        <v>15</v>
      </c>
      <c r="F1327" s="23">
        <v>154659</v>
      </c>
      <c r="G1327" s="20" t="s">
        <v>1537</v>
      </c>
      <c r="H1327" s="20" t="s">
        <v>2011</v>
      </c>
      <c r="I1327" s="20" t="s">
        <v>678</v>
      </c>
      <c r="J1327" s="20" t="s">
        <v>6</v>
      </c>
      <c r="K1327" s="20" t="s">
        <v>137</v>
      </c>
      <c r="L1327" s="20" t="s">
        <v>137</v>
      </c>
      <c r="M1327" s="20" t="s">
        <v>1713</v>
      </c>
      <c r="Q1327" s="24" t="s">
        <v>680</v>
      </c>
    </row>
    <row r="1328" spans="1:17" hidden="1" x14ac:dyDescent="0.3">
      <c r="A1328" s="20">
        <f t="shared" si="20"/>
        <v>1327</v>
      </c>
      <c r="B1328" s="21" t="s">
        <v>87</v>
      </c>
      <c r="C1328" s="21" t="s">
        <v>91</v>
      </c>
      <c r="D1328" s="22" t="str">
        <f>IF($C1328="","",IFERROR(VLOOKUP($C1328,Map_Register!$A$2:$C$5,3,FALSE()),""))</f>
        <v>Cultural Heritage Area</v>
      </c>
      <c r="E1328" s="21" t="s">
        <v>15</v>
      </c>
      <c r="F1328" s="23">
        <v>155185</v>
      </c>
      <c r="G1328" s="20" t="s">
        <v>1537</v>
      </c>
      <c r="H1328" s="20" t="s">
        <v>2029</v>
      </c>
      <c r="I1328" s="20" t="s">
        <v>678</v>
      </c>
      <c r="J1328" s="20" t="s">
        <v>6</v>
      </c>
      <c r="K1328" s="20" t="s">
        <v>137</v>
      </c>
      <c r="L1328" s="20" t="s">
        <v>137</v>
      </c>
      <c r="M1328" s="20" t="s">
        <v>1694</v>
      </c>
      <c r="Q1328" s="24" t="s">
        <v>680</v>
      </c>
    </row>
    <row r="1329" spans="1:17" hidden="1" x14ac:dyDescent="0.3">
      <c r="A1329" s="20">
        <f t="shared" si="20"/>
        <v>1328</v>
      </c>
      <c r="B1329" s="21" t="s">
        <v>87</v>
      </c>
      <c r="C1329" s="21" t="s">
        <v>91</v>
      </c>
      <c r="D1329" s="22" t="str">
        <f>IF($C1329="","",IFERROR(VLOOKUP($C1329,Map_Register!$A$2:$C$5,3,FALSE()),""))</f>
        <v>Cultural Heritage Area</v>
      </c>
      <c r="E1329" s="21" t="s">
        <v>15</v>
      </c>
      <c r="F1329" s="23">
        <v>155706</v>
      </c>
      <c r="G1329" s="20" t="s">
        <v>1537</v>
      </c>
      <c r="H1329" s="20" t="s">
        <v>2030</v>
      </c>
      <c r="I1329" s="20" t="s">
        <v>678</v>
      </c>
      <c r="J1329" s="20" t="s">
        <v>6</v>
      </c>
      <c r="K1329" s="20" t="s">
        <v>137</v>
      </c>
      <c r="L1329" s="20" t="s">
        <v>137</v>
      </c>
      <c r="M1329" s="20" t="s">
        <v>1713</v>
      </c>
      <c r="Q1329" s="24" t="s">
        <v>680</v>
      </c>
    </row>
    <row r="1330" spans="1:17" hidden="1" x14ac:dyDescent="0.3">
      <c r="A1330" s="20">
        <f t="shared" si="20"/>
        <v>1329</v>
      </c>
      <c r="B1330" s="21" t="s">
        <v>87</v>
      </c>
      <c r="C1330" s="21" t="s">
        <v>91</v>
      </c>
      <c r="D1330" s="22" t="str">
        <f>IF($C1330="","",IFERROR(VLOOKUP($C1330,Map_Register!$A$2:$C$5,3,FALSE()),""))</f>
        <v>Cultural Heritage Area</v>
      </c>
      <c r="E1330" s="21" t="s">
        <v>15</v>
      </c>
      <c r="F1330" s="23">
        <v>161547</v>
      </c>
      <c r="G1330" s="20" t="s">
        <v>1537</v>
      </c>
      <c r="H1330" s="20" t="s">
        <v>2031</v>
      </c>
      <c r="I1330" s="20" t="s">
        <v>678</v>
      </c>
      <c r="J1330" s="20" t="s">
        <v>6</v>
      </c>
      <c r="K1330" s="20" t="s">
        <v>137</v>
      </c>
      <c r="L1330" s="20" t="s">
        <v>137</v>
      </c>
      <c r="M1330" s="20" t="s">
        <v>1694</v>
      </c>
      <c r="Q1330" s="24" t="s">
        <v>680</v>
      </c>
    </row>
    <row r="1331" spans="1:17" hidden="1" x14ac:dyDescent="0.3">
      <c r="A1331" s="20">
        <f t="shared" si="20"/>
        <v>1330</v>
      </c>
      <c r="B1331" s="21" t="s">
        <v>87</v>
      </c>
      <c r="C1331" s="21" t="s">
        <v>91</v>
      </c>
      <c r="D1331" s="22" t="str">
        <f>IF($C1331="","",IFERROR(VLOOKUP($C1331,Map_Register!$A$2:$C$5,3,FALSE()),""))</f>
        <v>Cultural Heritage Area</v>
      </c>
      <c r="E1331" s="21" t="s">
        <v>15</v>
      </c>
      <c r="F1331" s="23">
        <v>161796</v>
      </c>
      <c r="G1331" s="20" t="s">
        <v>1537</v>
      </c>
      <c r="H1331" s="20" t="s">
        <v>2032</v>
      </c>
      <c r="I1331" s="20" t="s">
        <v>678</v>
      </c>
      <c r="J1331" s="20" t="s">
        <v>6</v>
      </c>
      <c r="K1331" s="20" t="s">
        <v>137</v>
      </c>
      <c r="L1331" s="20" t="s">
        <v>137</v>
      </c>
      <c r="M1331" s="20" t="s">
        <v>1724</v>
      </c>
      <c r="Q1331" s="24" t="s">
        <v>680</v>
      </c>
    </row>
    <row r="1332" spans="1:17" hidden="1" x14ac:dyDescent="0.3">
      <c r="A1332" s="20">
        <f t="shared" si="20"/>
        <v>1331</v>
      </c>
      <c r="B1332" s="21" t="s">
        <v>87</v>
      </c>
      <c r="C1332" s="21" t="s">
        <v>91</v>
      </c>
      <c r="D1332" s="22" t="str">
        <f>IF($C1332="","",IFERROR(VLOOKUP($C1332,Map_Register!$A$2:$C$5,3,FALSE()),""))</f>
        <v>Cultural Heritage Area</v>
      </c>
      <c r="E1332" s="21" t="s">
        <v>15</v>
      </c>
      <c r="F1332" s="23">
        <v>161919</v>
      </c>
      <c r="G1332" s="20" t="s">
        <v>1537</v>
      </c>
      <c r="H1332" s="20" t="s">
        <v>1874</v>
      </c>
      <c r="I1332" s="20" t="s">
        <v>678</v>
      </c>
      <c r="J1332" s="20" t="s">
        <v>6</v>
      </c>
      <c r="K1332" s="20" t="s">
        <v>137</v>
      </c>
      <c r="L1332" s="20" t="s">
        <v>137</v>
      </c>
      <c r="M1332" s="20" t="s">
        <v>1871</v>
      </c>
      <c r="Q1332" s="24" t="s">
        <v>680</v>
      </c>
    </row>
    <row r="1333" spans="1:17" hidden="1" x14ac:dyDescent="0.3">
      <c r="A1333" s="20">
        <f t="shared" si="20"/>
        <v>1332</v>
      </c>
      <c r="B1333" s="21" t="s">
        <v>87</v>
      </c>
      <c r="C1333" s="21" t="s">
        <v>91</v>
      </c>
      <c r="D1333" s="22" t="str">
        <f>IF($C1333="","",IFERROR(VLOOKUP($C1333,Map_Register!$A$2:$C$5,3,FALSE()),""))</f>
        <v>Cultural Heritage Area</v>
      </c>
      <c r="E1333" s="21" t="s">
        <v>15</v>
      </c>
      <c r="F1333" s="23">
        <v>162499</v>
      </c>
      <c r="G1333" s="20" t="s">
        <v>1537</v>
      </c>
      <c r="H1333" s="20" t="s">
        <v>1881</v>
      </c>
      <c r="I1333" s="20" t="s">
        <v>678</v>
      </c>
      <c r="J1333" s="20" t="s">
        <v>220</v>
      </c>
      <c r="K1333" s="20" t="s">
        <v>137</v>
      </c>
      <c r="L1333" s="20" t="s">
        <v>137</v>
      </c>
      <c r="M1333" s="20" t="s">
        <v>1882</v>
      </c>
      <c r="P1333" s="20" t="s">
        <v>1869</v>
      </c>
      <c r="Q1333" s="24" t="s">
        <v>680</v>
      </c>
    </row>
    <row r="1334" spans="1:17" hidden="1" x14ac:dyDescent="0.3">
      <c r="A1334" s="20">
        <f t="shared" si="20"/>
        <v>1333</v>
      </c>
      <c r="B1334" s="21" t="s">
        <v>87</v>
      </c>
      <c r="C1334" s="21" t="s">
        <v>91</v>
      </c>
      <c r="D1334" s="22" t="str">
        <f>IF($C1334="","",IFERROR(VLOOKUP($C1334,Map_Register!$A$2:$C$5,3,FALSE()),""))</f>
        <v>Cultural Heritage Area</v>
      </c>
      <c r="E1334" s="21" t="s">
        <v>15</v>
      </c>
      <c r="F1334" s="23">
        <v>164212</v>
      </c>
      <c r="G1334" s="20" t="s">
        <v>1560</v>
      </c>
      <c r="H1334" s="20" t="s">
        <v>1888</v>
      </c>
      <c r="I1334" s="20" t="s">
        <v>678</v>
      </c>
      <c r="J1334" s="20" t="s">
        <v>8</v>
      </c>
      <c r="K1334" s="20" t="s">
        <v>107</v>
      </c>
      <c r="L1334" s="20" t="s">
        <v>107</v>
      </c>
      <c r="M1334" s="20" t="s">
        <v>1705</v>
      </c>
      <c r="N1334" s="20" t="s">
        <v>108</v>
      </c>
      <c r="Q1334" s="24" t="s">
        <v>680</v>
      </c>
    </row>
    <row r="1335" spans="1:17" hidden="1" x14ac:dyDescent="0.3">
      <c r="A1335" s="20">
        <f t="shared" si="20"/>
        <v>1334</v>
      </c>
      <c r="B1335" s="21" t="s">
        <v>87</v>
      </c>
      <c r="C1335" s="21" t="s">
        <v>91</v>
      </c>
      <c r="D1335" s="22" t="str">
        <f>IF($C1335="","",IFERROR(VLOOKUP($C1335,Map_Register!$A$2:$C$5,3,FALSE()),""))</f>
        <v>Cultural Heritage Area</v>
      </c>
      <c r="E1335" s="21" t="s">
        <v>15</v>
      </c>
      <c r="F1335" s="23">
        <v>167100</v>
      </c>
      <c r="G1335" s="20" t="s">
        <v>1537</v>
      </c>
      <c r="H1335" s="20" t="s">
        <v>1885</v>
      </c>
      <c r="I1335" s="20" t="s">
        <v>678</v>
      </c>
      <c r="J1335" s="20" t="s">
        <v>220</v>
      </c>
      <c r="K1335" s="20" t="s">
        <v>137</v>
      </c>
      <c r="L1335" s="20" t="s">
        <v>137</v>
      </c>
      <c r="M1335" s="20" t="s">
        <v>1886</v>
      </c>
      <c r="P1335" s="20" t="s">
        <v>1869</v>
      </c>
      <c r="Q1335" s="24" t="s">
        <v>680</v>
      </c>
    </row>
    <row r="1336" spans="1:17" hidden="1" x14ac:dyDescent="0.3">
      <c r="A1336" s="20">
        <f t="shared" si="20"/>
        <v>1335</v>
      </c>
      <c r="B1336" s="21" t="s">
        <v>87</v>
      </c>
      <c r="C1336" s="21" t="s">
        <v>91</v>
      </c>
      <c r="D1336" s="22" t="str">
        <f>IF($C1336="","",IFERROR(VLOOKUP($C1336,Map_Register!$A$2:$C$5,3,FALSE()),""))</f>
        <v>Cultural Heritage Area</v>
      </c>
      <c r="E1336" s="21" t="s">
        <v>15</v>
      </c>
      <c r="F1336" s="23">
        <v>167186</v>
      </c>
      <c r="G1336" s="20" t="s">
        <v>1537</v>
      </c>
      <c r="H1336" s="20" t="s">
        <v>2033</v>
      </c>
      <c r="I1336" s="20" t="s">
        <v>678</v>
      </c>
      <c r="J1336" s="20" t="s">
        <v>8</v>
      </c>
      <c r="K1336" s="20" t="s">
        <v>107</v>
      </c>
      <c r="L1336" s="20" t="s">
        <v>107</v>
      </c>
      <c r="M1336" s="20" t="s">
        <v>1696</v>
      </c>
      <c r="N1336" s="20" t="s">
        <v>108</v>
      </c>
      <c r="Q1336" s="24" t="s">
        <v>680</v>
      </c>
    </row>
    <row r="1337" spans="1:17" hidden="1" x14ac:dyDescent="0.3">
      <c r="A1337" s="20">
        <f t="shared" si="20"/>
        <v>1336</v>
      </c>
      <c r="B1337" s="21" t="s">
        <v>87</v>
      </c>
      <c r="C1337" s="21" t="s">
        <v>91</v>
      </c>
      <c r="D1337" s="22" t="str">
        <f>IF($C1337="","",IFERROR(VLOOKUP($C1337,Map_Register!$A$2:$C$5,3,FALSE()),""))</f>
        <v>Cultural Heritage Area</v>
      </c>
      <c r="E1337" s="21" t="s">
        <v>15</v>
      </c>
      <c r="F1337" s="23">
        <v>167227</v>
      </c>
      <c r="G1337" s="20" t="s">
        <v>1537</v>
      </c>
      <c r="H1337" s="20" t="s">
        <v>1701</v>
      </c>
      <c r="I1337" s="20" t="s">
        <v>678</v>
      </c>
      <c r="J1337" s="20" t="s">
        <v>6</v>
      </c>
      <c r="K1337" s="20" t="s">
        <v>137</v>
      </c>
      <c r="L1337" s="20" t="s">
        <v>137</v>
      </c>
      <c r="M1337" s="20" t="s">
        <v>1713</v>
      </c>
      <c r="Q1337" s="24" t="s">
        <v>680</v>
      </c>
    </row>
    <row r="1338" spans="1:17" x14ac:dyDescent="0.3">
      <c r="A1338" s="20">
        <f t="shared" si="20"/>
        <v>1337</v>
      </c>
      <c r="B1338" s="21" t="s">
        <v>87</v>
      </c>
      <c r="C1338" s="21" t="s">
        <v>91</v>
      </c>
      <c r="D1338" s="22" t="str">
        <f>IF($C1338="","",IFERROR(VLOOKUP($C1338,Map_Register!$A$2:$C$5,3,FALSE()),""))</f>
        <v>Cultural Heritage Area</v>
      </c>
      <c r="E1338" s="21" t="s">
        <v>15</v>
      </c>
      <c r="F1338" s="23">
        <v>167236</v>
      </c>
      <c r="G1338" s="20" t="s">
        <v>1537</v>
      </c>
      <c r="H1338" s="20" t="s">
        <v>2034</v>
      </c>
      <c r="I1338" s="20" t="s">
        <v>678</v>
      </c>
      <c r="J1338" s="20" t="s">
        <v>8</v>
      </c>
      <c r="K1338" s="20" t="s">
        <v>107</v>
      </c>
      <c r="L1338" t="s">
        <v>108</v>
      </c>
      <c r="M1338" s="20" t="s">
        <v>1700</v>
      </c>
      <c r="N1338" s="20" t="s">
        <v>108</v>
      </c>
      <c r="Q1338" s="24" t="s">
        <v>680</v>
      </c>
    </row>
    <row r="1339" spans="1:17" x14ac:dyDescent="0.3">
      <c r="A1339" s="20">
        <f t="shared" si="20"/>
        <v>1338</v>
      </c>
      <c r="B1339" s="21" t="s">
        <v>87</v>
      </c>
      <c r="C1339" s="21" t="s">
        <v>91</v>
      </c>
      <c r="D1339" s="22" t="str">
        <f>IF($C1339="","",IFERROR(VLOOKUP($C1339,Map_Register!$A$2:$C$5,3,FALSE()),""))</f>
        <v>Cultural Heritage Area</v>
      </c>
      <c r="E1339" s="21" t="s">
        <v>15</v>
      </c>
      <c r="F1339" s="23">
        <v>167384</v>
      </c>
      <c r="G1339" s="20" t="s">
        <v>1537</v>
      </c>
      <c r="H1339" s="20" t="s">
        <v>2035</v>
      </c>
      <c r="I1339" s="20" t="s">
        <v>678</v>
      </c>
      <c r="J1339" s="20" t="s">
        <v>8</v>
      </c>
      <c r="K1339" s="20" t="s">
        <v>107</v>
      </c>
      <c r="L1339" t="s">
        <v>108</v>
      </c>
      <c r="M1339" s="20" t="s">
        <v>1700</v>
      </c>
      <c r="N1339" s="20" t="s">
        <v>108</v>
      </c>
      <c r="Q1339" s="24" t="s">
        <v>680</v>
      </c>
    </row>
    <row r="1340" spans="1:17" hidden="1" x14ac:dyDescent="0.3">
      <c r="A1340" s="20">
        <f t="shared" si="20"/>
        <v>1339</v>
      </c>
      <c r="B1340" s="21" t="s">
        <v>87</v>
      </c>
      <c r="C1340" s="21" t="s">
        <v>91</v>
      </c>
      <c r="D1340" s="22" t="str">
        <f>IF($C1340="","",IFERROR(VLOOKUP($C1340,Map_Register!$A$2:$C$5,3,FALSE()),""))</f>
        <v>Cultural Heritage Area</v>
      </c>
      <c r="E1340" s="21" t="s">
        <v>15</v>
      </c>
      <c r="F1340" s="23">
        <v>167549</v>
      </c>
      <c r="G1340" s="20" t="s">
        <v>1560</v>
      </c>
      <c r="H1340" s="20" t="s">
        <v>2036</v>
      </c>
      <c r="I1340" s="20" t="s">
        <v>678</v>
      </c>
      <c r="J1340" s="20" t="s">
        <v>6</v>
      </c>
      <c r="K1340" s="20" t="s">
        <v>137</v>
      </c>
      <c r="L1340" s="20" t="s">
        <v>137</v>
      </c>
      <c r="M1340" s="20" t="s">
        <v>2037</v>
      </c>
      <c r="Q1340" s="24" t="s">
        <v>680</v>
      </c>
    </row>
    <row r="1341" spans="1:17" hidden="1" x14ac:dyDescent="0.3">
      <c r="A1341" s="20">
        <f t="shared" si="20"/>
        <v>1340</v>
      </c>
      <c r="B1341" s="21" t="s">
        <v>87</v>
      </c>
      <c r="C1341" s="21" t="s">
        <v>91</v>
      </c>
      <c r="D1341" s="22" t="str">
        <f>IF($C1341="","",IFERROR(VLOOKUP($C1341,Map_Register!$A$2:$C$5,3,FALSE()),""))</f>
        <v>Cultural Heritage Area</v>
      </c>
      <c r="E1341" s="21" t="s">
        <v>15</v>
      </c>
      <c r="F1341" s="23">
        <v>167777</v>
      </c>
      <c r="G1341" s="20" t="s">
        <v>1537</v>
      </c>
      <c r="H1341" s="20" t="s">
        <v>1883</v>
      </c>
      <c r="I1341" s="20" t="s">
        <v>678</v>
      </c>
      <c r="J1341" s="20" t="s">
        <v>220</v>
      </c>
      <c r="K1341" s="20" t="s">
        <v>137</v>
      </c>
      <c r="L1341" s="20" t="s">
        <v>137</v>
      </c>
      <c r="M1341" s="20" t="s">
        <v>2038</v>
      </c>
      <c r="P1341" s="20" t="s">
        <v>1869</v>
      </c>
      <c r="Q1341" s="24" t="s">
        <v>680</v>
      </c>
    </row>
    <row r="1342" spans="1:17" x14ac:dyDescent="0.3">
      <c r="A1342" s="20">
        <f t="shared" si="20"/>
        <v>1341</v>
      </c>
      <c r="B1342" s="21" t="s">
        <v>87</v>
      </c>
      <c r="C1342" s="21" t="s">
        <v>91</v>
      </c>
      <c r="D1342" s="22" t="str">
        <f>IF($C1342="","",IFERROR(VLOOKUP($C1342,Map_Register!$A$2:$C$5,3,FALSE()),""))</f>
        <v>Cultural Heritage Area</v>
      </c>
      <c r="E1342" s="21" t="s">
        <v>15</v>
      </c>
      <c r="F1342" s="23">
        <v>168050</v>
      </c>
      <c r="G1342" s="20" t="s">
        <v>1537</v>
      </c>
      <c r="H1342" s="20" t="s">
        <v>2039</v>
      </c>
      <c r="I1342" s="20" t="s">
        <v>678</v>
      </c>
      <c r="J1342" s="20" t="s">
        <v>8</v>
      </c>
      <c r="K1342" s="20" t="s">
        <v>107</v>
      </c>
      <c r="L1342" t="s">
        <v>108</v>
      </c>
      <c r="M1342" s="20" t="s">
        <v>1700</v>
      </c>
      <c r="N1342" s="20" t="s">
        <v>108</v>
      </c>
      <c r="Q1342" s="24" t="s">
        <v>680</v>
      </c>
    </row>
    <row r="1343" spans="1:17" hidden="1" x14ac:dyDescent="0.3">
      <c r="A1343" s="20">
        <f t="shared" si="20"/>
        <v>1342</v>
      </c>
      <c r="B1343" s="21" t="s">
        <v>87</v>
      </c>
      <c r="C1343" s="21" t="s">
        <v>91</v>
      </c>
      <c r="D1343" s="22" t="str">
        <f>IF($C1343="","",IFERROR(VLOOKUP($C1343,Map_Register!$A$2:$C$5,3,FALSE()),""))</f>
        <v>Cultural Heritage Area</v>
      </c>
      <c r="E1343" s="21" t="s">
        <v>15</v>
      </c>
      <c r="F1343" s="23">
        <v>168060</v>
      </c>
      <c r="G1343" s="20" t="s">
        <v>1537</v>
      </c>
      <c r="H1343" s="20" t="s">
        <v>2040</v>
      </c>
      <c r="I1343" s="20" t="s">
        <v>678</v>
      </c>
      <c r="J1343" s="20" t="s">
        <v>8</v>
      </c>
      <c r="K1343" s="20" t="s">
        <v>107</v>
      </c>
      <c r="L1343" s="20" t="s">
        <v>107</v>
      </c>
      <c r="M1343" s="20" t="s">
        <v>1705</v>
      </c>
      <c r="N1343" s="20" t="s">
        <v>108</v>
      </c>
      <c r="Q1343" s="24" t="s">
        <v>680</v>
      </c>
    </row>
    <row r="1344" spans="1:17" hidden="1" x14ac:dyDescent="0.3">
      <c r="A1344" s="20">
        <f t="shared" si="20"/>
        <v>1343</v>
      </c>
      <c r="B1344" s="21" t="s">
        <v>87</v>
      </c>
      <c r="C1344" s="21" t="s">
        <v>91</v>
      </c>
      <c r="D1344" s="22" t="str">
        <f>IF($C1344="","",IFERROR(VLOOKUP($C1344,Map_Register!$A$2:$C$5,3,FALSE()),""))</f>
        <v>Cultural Heritage Area</v>
      </c>
      <c r="E1344" s="21" t="s">
        <v>15</v>
      </c>
      <c r="F1344" s="23">
        <v>168200</v>
      </c>
      <c r="G1344" s="20" t="s">
        <v>1537</v>
      </c>
      <c r="H1344" s="20" t="s">
        <v>2041</v>
      </c>
      <c r="I1344" s="20" t="s">
        <v>678</v>
      </c>
      <c r="J1344" s="20" t="s">
        <v>8</v>
      </c>
      <c r="K1344" s="20" t="s">
        <v>107</v>
      </c>
      <c r="L1344" s="20" t="s">
        <v>107</v>
      </c>
      <c r="M1344" s="20" t="s">
        <v>1696</v>
      </c>
      <c r="N1344" s="20" t="s">
        <v>108</v>
      </c>
      <c r="Q1344" s="24" t="s">
        <v>680</v>
      </c>
    </row>
    <row r="1345" spans="1:17" hidden="1" x14ac:dyDescent="0.3">
      <c r="A1345" s="20">
        <f t="shared" si="20"/>
        <v>1344</v>
      </c>
      <c r="B1345" s="21" t="s">
        <v>87</v>
      </c>
      <c r="C1345" s="21" t="s">
        <v>91</v>
      </c>
      <c r="D1345" s="22" t="str">
        <f>IF($C1345="","",IFERROR(VLOOKUP($C1345,Map_Register!$A$2:$C$5,3,FALSE()),""))</f>
        <v>Cultural Heritage Area</v>
      </c>
      <c r="E1345" s="21" t="s">
        <v>15</v>
      </c>
      <c r="F1345" s="23">
        <v>168330</v>
      </c>
      <c r="G1345" s="20" t="s">
        <v>1537</v>
      </c>
      <c r="H1345" s="20" t="s">
        <v>2042</v>
      </c>
      <c r="I1345" s="20" t="s">
        <v>678</v>
      </c>
      <c r="J1345" s="20" t="s">
        <v>6</v>
      </c>
      <c r="K1345" s="20" t="s">
        <v>137</v>
      </c>
      <c r="L1345" s="20" t="s">
        <v>137</v>
      </c>
      <c r="M1345" s="20" t="s">
        <v>1713</v>
      </c>
      <c r="Q1345" s="24" t="s">
        <v>680</v>
      </c>
    </row>
    <row r="1346" spans="1:17" x14ac:dyDescent="0.3">
      <c r="A1346" s="20">
        <f t="shared" ref="A1346:A1409" si="21">IF($B1346="","",ROW()-1)</f>
        <v>1345</v>
      </c>
      <c r="B1346" s="21" t="s">
        <v>87</v>
      </c>
      <c r="C1346" s="21" t="s">
        <v>91</v>
      </c>
      <c r="D1346" s="22" t="str">
        <f>IF($C1346="","",IFERROR(VLOOKUP($C1346,Map_Register!$A$2:$C$5,3,FALSE()),""))</f>
        <v>Cultural Heritage Area</v>
      </c>
      <c r="E1346" s="21" t="s">
        <v>15</v>
      </c>
      <c r="F1346" s="23">
        <v>168392</v>
      </c>
      <c r="G1346" s="20" t="s">
        <v>1537</v>
      </c>
      <c r="H1346" s="20" t="s">
        <v>2043</v>
      </c>
      <c r="I1346" s="20" t="s">
        <v>678</v>
      </c>
      <c r="J1346" s="20" t="s">
        <v>8</v>
      </c>
      <c r="K1346" s="20" t="s">
        <v>107</v>
      </c>
      <c r="L1346" t="s">
        <v>108</v>
      </c>
      <c r="M1346" s="20" t="s">
        <v>2044</v>
      </c>
      <c r="N1346" s="20" t="s">
        <v>108</v>
      </c>
      <c r="Q1346" s="24" t="s">
        <v>680</v>
      </c>
    </row>
    <row r="1347" spans="1:17" hidden="1" x14ac:dyDescent="0.3">
      <c r="A1347" s="20">
        <f t="shared" si="21"/>
        <v>1346</v>
      </c>
      <c r="B1347" s="21" t="s">
        <v>87</v>
      </c>
      <c r="C1347" s="21" t="s">
        <v>91</v>
      </c>
      <c r="D1347" s="22" t="str">
        <f>IF($C1347="","",IFERROR(VLOOKUP($C1347,Map_Register!$A$2:$C$5,3,FALSE()),""))</f>
        <v>Cultural Heritage Area</v>
      </c>
      <c r="E1347" s="21" t="s">
        <v>15</v>
      </c>
      <c r="F1347" s="23">
        <v>168459</v>
      </c>
      <c r="G1347" s="20" t="s">
        <v>1537</v>
      </c>
      <c r="H1347" s="20" t="s">
        <v>2045</v>
      </c>
      <c r="I1347" s="20" t="s">
        <v>678</v>
      </c>
      <c r="J1347" s="20" t="s">
        <v>8</v>
      </c>
      <c r="K1347" s="20" t="s">
        <v>107</v>
      </c>
      <c r="L1347" s="20" t="s">
        <v>107</v>
      </c>
      <c r="M1347" s="20" t="s">
        <v>1705</v>
      </c>
      <c r="N1347" s="20" t="s">
        <v>108</v>
      </c>
      <c r="Q1347" s="24" t="s">
        <v>680</v>
      </c>
    </row>
    <row r="1348" spans="1:17" hidden="1" x14ac:dyDescent="0.3">
      <c r="A1348" s="20">
        <f t="shared" si="21"/>
        <v>1347</v>
      </c>
      <c r="B1348" s="21" t="s">
        <v>87</v>
      </c>
      <c r="C1348" s="21" t="s">
        <v>91</v>
      </c>
      <c r="D1348" s="22" t="str">
        <f>IF($C1348="","",IFERROR(VLOOKUP($C1348,Map_Register!$A$2:$C$5,3,FALSE()),""))</f>
        <v>Cultural Heritage Area</v>
      </c>
      <c r="E1348" s="21" t="s">
        <v>15</v>
      </c>
      <c r="F1348" s="23">
        <v>169067</v>
      </c>
      <c r="G1348" s="20" t="s">
        <v>1537</v>
      </c>
      <c r="H1348" s="20" t="s">
        <v>2046</v>
      </c>
      <c r="I1348" s="20" t="s">
        <v>678</v>
      </c>
      <c r="J1348" s="20" t="s">
        <v>8</v>
      </c>
      <c r="K1348" s="20" t="s">
        <v>107</v>
      </c>
      <c r="L1348" s="20" t="s">
        <v>107</v>
      </c>
      <c r="M1348" s="20" t="s">
        <v>1705</v>
      </c>
      <c r="N1348" s="20" t="s">
        <v>108</v>
      </c>
      <c r="Q1348" s="24" t="s">
        <v>680</v>
      </c>
    </row>
    <row r="1349" spans="1:17" hidden="1" x14ac:dyDescent="0.3">
      <c r="A1349" s="20">
        <f t="shared" si="21"/>
        <v>1348</v>
      </c>
      <c r="B1349" s="21" t="s">
        <v>87</v>
      </c>
      <c r="C1349" s="21" t="s">
        <v>91</v>
      </c>
      <c r="D1349" s="22" t="str">
        <f>IF($C1349="","",IFERROR(VLOOKUP($C1349,Map_Register!$A$2:$C$5,3,FALSE()),""))</f>
        <v>Cultural Heritage Area</v>
      </c>
      <c r="E1349" s="21" t="s">
        <v>15</v>
      </c>
      <c r="F1349" s="23">
        <v>169308</v>
      </c>
      <c r="G1349" s="20" t="s">
        <v>1537</v>
      </c>
      <c r="H1349" s="20" t="s">
        <v>2047</v>
      </c>
      <c r="I1349" s="20" t="s">
        <v>678</v>
      </c>
      <c r="J1349" s="20" t="s">
        <v>8</v>
      </c>
      <c r="K1349" s="20" t="s">
        <v>107</v>
      </c>
      <c r="L1349" s="20" t="s">
        <v>107</v>
      </c>
      <c r="M1349" s="20" t="s">
        <v>1696</v>
      </c>
      <c r="N1349" s="20" t="s">
        <v>108</v>
      </c>
      <c r="Q1349" s="24" t="s">
        <v>680</v>
      </c>
    </row>
    <row r="1350" spans="1:17" x14ac:dyDescent="0.3">
      <c r="A1350" s="20">
        <f t="shared" si="21"/>
        <v>1349</v>
      </c>
      <c r="B1350" s="21" t="s">
        <v>87</v>
      </c>
      <c r="C1350" s="21" t="s">
        <v>91</v>
      </c>
      <c r="D1350" s="22" t="str">
        <f>IF($C1350="","",IFERROR(VLOOKUP($C1350,Map_Register!$A$2:$C$5,3,FALSE()),""))</f>
        <v>Cultural Heritage Area</v>
      </c>
      <c r="E1350" s="21" t="s">
        <v>15</v>
      </c>
      <c r="F1350" s="23">
        <v>169391</v>
      </c>
      <c r="G1350" s="20" t="s">
        <v>1537</v>
      </c>
      <c r="H1350" s="20" t="s">
        <v>2048</v>
      </c>
      <c r="I1350" s="20" t="s">
        <v>678</v>
      </c>
      <c r="J1350" s="20" t="s">
        <v>8</v>
      </c>
      <c r="K1350" s="20" t="s">
        <v>107</v>
      </c>
      <c r="L1350" t="s">
        <v>108</v>
      </c>
      <c r="M1350" s="20" t="s">
        <v>1700</v>
      </c>
      <c r="N1350" s="20" t="s">
        <v>108</v>
      </c>
      <c r="Q1350" s="24" t="s">
        <v>680</v>
      </c>
    </row>
    <row r="1351" spans="1:17" hidden="1" x14ac:dyDescent="0.3">
      <c r="A1351" s="20">
        <f t="shared" si="21"/>
        <v>1350</v>
      </c>
      <c r="B1351" s="21" t="s">
        <v>87</v>
      </c>
      <c r="C1351" s="21" t="s">
        <v>91</v>
      </c>
      <c r="D1351" s="22" t="str">
        <f>IF($C1351="","",IFERROR(VLOOKUP($C1351,Map_Register!$A$2:$C$5,3,FALSE()),""))</f>
        <v>Cultural Heritage Area</v>
      </c>
      <c r="E1351" s="21" t="s">
        <v>15</v>
      </c>
      <c r="F1351" s="23">
        <v>169456</v>
      </c>
      <c r="G1351" s="20" t="s">
        <v>1537</v>
      </c>
      <c r="H1351" s="20" t="s">
        <v>2049</v>
      </c>
      <c r="I1351" s="20" t="s">
        <v>678</v>
      </c>
      <c r="J1351" s="20" t="s">
        <v>6</v>
      </c>
      <c r="K1351" s="20" t="s">
        <v>137</v>
      </c>
      <c r="L1351" s="20" t="s">
        <v>137</v>
      </c>
      <c r="M1351" s="20" t="s">
        <v>1713</v>
      </c>
      <c r="Q1351" s="24" t="s">
        <v>680</v>
      </c>
    </row>
    <row r="1352" spans="1:17" hidden="1" x14ac:dyDescent="0.3">
      <c r="A1352" s="20">
        <f t="shared" si="21"/>
        <v>1351</v>
      </c>
      <c r="B1352" s="21" t="s">
        <v>87</v>
      </c>
      <c r="C1352" s="21" t="s">
        <v>91</v>
      </c>
      <c r="D1352" s="22" t="str">
        <f>IF($C1352="","",IFERROR(VLOOKUP($C1352,Map_Register!$A$2:$C$5,3,FALSE()),""))</f>
        <v>Cultural Heritage Area</v>
      </c>
      <c r="E1352" s="21" t="s">
        <v>15</v>
      </c>
      <c r="F1352" s="23">
        <v>169810</v>
      </c>
      <c r="G1352" s="20" t="s">
        <v>1537</v>
      </c>
      <c r="H1352" s="20" t="s">
        <v>1975</v>
      </c>
      <c r="I1352" s="20" t="s">
        <v>678</v>
      </c>
      <c r="J1352" s="20" t="s">
        <v>6</v>
      </c>
      <c r="K1352" s="20" t="s">
        <v>137</v>
      </c>
      <c r="L1352" s="20" t="s">
        <v>137</v>
      </c>
      <c r="M1352" s="20" t="s">
        <v>1713</v>
      </c>
      <c r="Q1352" s="24" t="s">
        <v>680</v>
      </c>
    </row>
    <row r="1353" spans="1:17" hidden="1" x14ac:dyDescent="0.3">
      <c r="A1353" s="20">
        <f t="shared" si="21"/>
        <v>1352</v>
      </c>
      <c r="B1353" s="21" t="s">
        <v>87</v>
      </c>
      <c r="C1353" s="21" t="s">
        <v>91</v>
      </c>
      <c r="D1353" s="22" t="str">
        <f>IF($C1353="","",IFERROR(VLOOKUP($C1353,Map_Register!$A$2:$C$5,3,FALSE()),""))</f>
        <v>Cultural Heritage Area</v>
      </c>
      <c r="E1353" s="21" t="s">
        <v>15</v>
      </c>
      <c r="F1353" s="23">
        <v>169820</v>
      </c>
      <c r="G1353" s="20" t="s">
        <v>1537</v>
      </c>
      <c r="H1353" s="20" t="s">
        <v>2050</v>
      </c>
      <c r="I1353" s="20" t="s">
        <v>678</v>
      </c>
      <c r="J1353" s="20" t="s">
        <v>8</v>
      </c>
      <c r="K1353" s="20" t="s">
        <v>107</v>
      </c>
      <c r="L1353" s="20" t="s">
        <v>107</v>
      </c>
      <c r="M1353" s="20" t="s">
        <v>1696</v>
      </c>
      <c r="N1353" s="20" t="s">
        <v>108</v>
      </c>
      <c r="Q1353" s="24" t="s">
        <v>680</v>
      </c>
    </row>
    <row r="1354" spans="1:17" hidden="1" x14ac:dyDescent="0.3">
      <c r="A1354" s="20">
        <f t="shared" si="21"/>
        <v>1353</v>
      </c>
      <c r="B1354" s="21" t="s">
        <v>87</v>
      </c>
      <c r="C1354" s="21" t="s">
        <v>91</v>
      </c>
      <c r="D1354" s="22" t="str">
        <f>IF($C1354="","",IFERROR(VLOOKUP($C1354,Map_Register!$A$2:$C$5,3,FALSE()),""))</f>
        <v>Cultural Heritage Area</v>
      </c>
      <c r="E1354" s="21" t="s">
        <v>15</v>
      </c>
      <c r="F1354" s="23">
        <v>170083</v>
      </c>
      <c r="G1354" s="20" t="s">
        <v>1537</v>
      </c>
      <c r="H1354" s="20" t="s">
        <v>2051</v>
      </c>
      <c r="I1354" s="20" t="s">
        <v>678</v>
      </c>
      <c r="J1354" s="20" t="s">
        <v>6</v>
      </c>
      <c r="K1354" s="20" t="s">
        <v>137</v>
      </c>
      <c r="L1354" s="20" t="s">
        <v>137</v>
      </c>
      <c r="M1354" s="20" t="s">
        <v>2052</v>
      </c>
      <c r="Q1354" s="24" t="s">
        <v>680</v>
      </c>
    </row>
    <row r="1355" spans="1:17" hidden="1" x14ac:dyDescent="0.3">
      <c r="A1355" s="20">
        <f t="shared" si="21"/>
        <v>1354</v>
      </c>
      <c r="B1355" s="21" t="s">
        <v>87</v>
      </c>
      <c r="C1355" s="21" t="s">
        <v>91</v>
      </c>
      <c r="D1355" s="22" t="str">
        <f>IF($C1355="","",IFERROR(VLOOKUP($C1355,Map_Register!$A$2:$C$5,3,FALSE()),""))</f>
        <v>Cultural Heritage Area</v>
      </c>
      <c r="E1355" s="21" t="s">
        <v>15</v>
      </c>
      <c r="F1355" s="23">
        <v>173468</v>
      </c>
      <c r="G1355" s="20" t="s">
        <v>1560</v>
      </c>
      <c r="H1355" s="20" t="s">
        <v>1872</v>
      </c>
      <c r="I1355" s="20" t="s">
        <v>678</v>
      </c>
      <c r="J1355" s="20" t="s">
        <v>6</v>
      </c>
      <c r="K1355" s="20" t="s">
        <v>137</v>
      </c>
      <c r="L1355" s="20" t="s">
        <v>137</v>
      </c>
      <c r="M1355" s="20" t="s">
        <v>2053</v>
      </c>
      <c r="Q1355" s="24" t="s">
        <v>680</v>
      </c>
    </row>
    <row r="1356" spans="1:17" hidden="1" x14ac:dyDescent="0.3">
      <c r="A1356" s="20">
        <f t="shared" si="21"/>
        <v>1355</v>
      </c>
      <c r="B1356" s="21" t="s">
        <v>87</v>
      </c>
      <c r="C1356" s="21" t="s">
        <v>91</v>
      </c>
      <c r="D1356" s="22" t="str">
        <f>IF($C1356="","",IFERROR(VLOOKUP($C1356,Map_Register!$A$2:$C$5,3,FALSE()),""))</f>
        <v>Cultural Heritage Area</v>
      </c>
      <c r="E1356" s="21" t="s">
        <v>15</v>
      </c>
      <c r="F1356" s="23">
        <v>173705</v>
      </c>
      <c r="G1356" s="20" t="s">
        <v>1560</v>
      </c>
      <c r="H1356" s="20" t="s">
        <v>2054</v>
      </c>
      <c r="I1356" s="20" t="s">
        <v>678</v>
      </c>
      <c r="J1356" s="20" t="s">
        <v>6</v>
      </c>
      <c r="K1356" s="20" t="s">
        <v>137</v>
      </c>
      <c r="L1356" s="20" t="s">
        <v>137</v>
      </c>
      <c r="M1356" s="20" t="s">
        <v>2055</v>
      </c>
      <c r="Q1356" s="24" t="s">
        <v>680</v>
      </c>
    </row>
    <row r="1357" spans="1:17" hidden="1" x14ac:dyDescent="0.3">
      <c r="A1357" s="20">
        <f t="shared" si="21"/>
        <v>1356</v>
      </c>
      <c r="B1357" s="21" t="s">
        <v>87</v>
      </c>
      <c r="C1357" s="21" t="s">
        <v>91</v>
      </c>
      <c r="D1357" s="22" t="str">
        <f>IF($C1357="","",IFERROR(VLOOKUP($C1357,Map_Register!$A$2:$C$5,3,FALSE()),""))</f>
        <v>Cultural Heritage Area</v>
      </c>
      <c r="E1357" s="21" t="s">
        <v>15</v>
      </c>
      <c r="F1357" s="23">
        <v>175544</v>
      </c>
      <c r="G1357" s="20" t="s">
        <v>1560</v>
      </c>
      <c r="H1357" s="20" t="s">
        <v>2056</v>
      </c>
      <c r="I1357" s="20" t="s">
        <v>678</v>
      </c>
      <c r="J1357" s="20" t="s">
        <v>6</v>
      </c>
      <c r="K1357" s="20" t="s">
        <v>137</v>
      </c>
      <c r="L1357" s="20" t="s">
        <v>137</v>
      </c>
      <c r="M1357" s="20" t="s">
        <v>2057</v>
      </c>
      <c r="Q1357" s="24" t="s">
        <v>680</v>
      </c>
    </row>
    <row r="1358" spans="1:17" hidden="1" x14ac:dyDescent="0.3">
      <c r="A1358" s="20">
        <f t="shared" si="21"/>
        <v>1357</v>
      </c>
      <c r="B1358" s="21" t="s">
        <v>87</v>
      </c>
      <c r="C1358" s="21" t="s">
        <v>91</v>
      </c>
      <c r="D1358" s="22" t="str">
        <f>IF($C1358="","",IFERROR(VLOOKUP($C1358,Map_Register!$A$2:$C$5,3,FALSE()),""))</f>
        <v>Cultural Heritage Area</v>
      </c>
      <c r="E1358" s="21" t="s">
        <v>15</v>
      </c>
      <c r="F1358" s="23">
        <v>176500</v>
      </c>
      <c r="G1358" s="20" t="s">
        <v>1537</v>
      </c>
      <c r="H1358" s="20" t="s">
        <v>2001</v>
      </c>
      <c r="I1358" s="20" t="s">
        <v>678</v>
      </c>
      <c r="J1358" s="20" t="s">
        <v>220</v>
      </c>
      <c r="K1358" s="20" t="s">
        <v>137</v>
      </c>
      <c r="L1358" s="20" t="s">
        <v>137</v>
      </c>
      <c r="M1358" s="20" t="s">
        <v>2058</v>
      </c>
      <c r="P1358" s="20" t="s">
        <v>1869</v>
      </c>
      <c r="Q1358" s="24" t="s">
        <v>680</v>
      </c>
    </row>
    <row r="1359" spans="1:17" hidden="1" x14ac:dyDescent="0.3">
      <c r="A1359" s="20">
        <f t="shared" si="21"/>
        <v>1358</v>
      </c>
      <c r="B1359" s="21" t="s">
        <v>87</v>
      </c>
      <c r="C1359" s="21" t="s">
        <v>91</v>
      </c>
      <c r="D1359" s="22" t="str">
        <f>IF($C1359="","",IFERROR(VLOOKUP($C1359,Map_Register!$A$2:$C$5,3,FALSE()),""))</f>
        <v>Cultural Heritage Area</v>
      </c>
      <c r="E1359" s="21" t="s">
        <v>15</v>
      </c>
      <c r="F1359" s="23">
        <v>181364</v>
      </c>
      <c r="G1359" s="20" t="s">
        <v>1537</v>
      </c>
      <c r="H1359" s="20" t="s">
        <v>1996</v>
      </c>
      <c r="I1359" s="20" t="s">
        <v>678</v>
      </c>
      <c r="J1359" s="20" t="s">
        <v>220</v>
      </c>
      <c r="K1359" s="20" t="s">
        <v>137</v>
      </c>
      <c r="L1359" s="20" t="s">
        <v>137</v>
      </c>
      <c r="M1359" s="20" t="s">
        <v>2010</v>
      </c>
      <c r="P1359" s="20" t="s">
        <v>1869</v>
      </c>
      <c r="Q1359" s="24" t="s">
        <v>680</v>
      </c>
    </row>
    <row r="1360" spans="1:17" hidden="1" x14ac:dyDescent="0.3">
      <c r="A1360" s="20">
        <f t="shared" si="21"/>
        <v>1359</v>
      </c>
      <c r="B1360" s="21" t="s">
        <v>87</v>
      </c>
      <c r="C1360" s="21" t="s">
        <v>91</v>
      </c>
      <c r="D1360" s="22" t="str">
        <f>IF($C1360="","",IFERROR(VLOOKUP($C1360,Map_Register!$A$2:$C$5,3,FALSE()),""))</f>
        <v>Cultural Heritage Area</v>
      </c>
      <c r="E1360" s="21" t="s">
        <v>15</v>
      </c>
      <c r="F1360" s="23">
        <v>184895</v>
      </c>
      <c r="G1360" s="20" t="s">
        <v>1560</v>
      </c>
      <c r="H1360" s="20" t="s">
        <v>2013</v>
      </c>
      <c r="I1360" s="20" t="s">
        <v>678</v>
      </c>
      <c r="J1360" s="20" t="s">
        <v>8</v>
      </c>
      <c r="K1360" s="20" t="s">
        <v>107</v>
      </c>
      <c r="L1360" t="s">
        <v>107</v>
      </c>
      <c r="M1360" s="20" t="s">
        <v>2059</v>
      </c>
      <c r="N1360" s="20" t="s">
        <v>108</v>
      </c>
      <c r="Q1360" s="24" t="s">
        <v>680</v>
      </c>
    </row>
    <row r="1361" spans="1:17" hidden="1" x14ac:dyDescent="0.3">
      <c r="A1361" s="20">
        <f t="shared" si="21"/>
        <v>1360</v>
      </c>
      <c r="B1361" s="21" t="s">
        <v>87</v>
      </c>
      <c r="C1361" s="21" t="s">
        <v>91</v>
      </c>
      <c r="D1361" s="22" t="str">
        <f>IF($C1361="","",IFERROR(VLOOKUP($C1361,Map_Register!$A$2:$C$5,3,FALSE()),""))</f>
        <v>Cultural Heritage Area</v>
      </c>
      <c r="E1361" s="21" t="s">
        <v>15</v>
      </c>
      <c r="F1361" s="23">
        <v>186724</v>
      </c>
      <c r="G1361" s="20" t="s">
        <v>1560</v>
      </c>
      <c r="H1361" s="20" t="s">
        <v>1936</v>
      </c>
      <c r="I1361" s="20" t="s">
        <v>678</v>
      </c>
      <c r="J1361" s="20" t="s">
        <v>6</v>
      </c>
      <c r="K1361" s="20" t="s">
        <v>137</v>
      </c>
      <c r="L1361" s="20" t="s">
        <v>137</v>
      </c>
      <c r="M1361" s="20" t="s">
        <v>2060</v>
      </c>
      <c r="Q1361" s="24" t="s">
        <v>680</v>
      </c>
    </row>
    <row r="1362" spans="1:17" hidden="1" x14ac:dyDescent="0.3">
      <c r="A1362" s="20">
        <f t="shared" si="21"/>
        <v>1361</v>
      </c>
      <c r="B1362" s="21" t="s">
        <v>87</v>
      </c>
      <c r="C1362" s="21" t="s">
        <v>91</v>
      </c>
      <c r="D1362" s="22" t="str">
        <f>IF($C1362="","",IFERROR(VLOOKUP($C1362,Map_Register!$A$2:$C$5,3,FALSE()),""))</f>
        <v>Cultural Heritage Area</v>
      </c>
      <c r="E1362" s="21" t="s">
        <v>15</v>
      </c>
      <c r="F1362" s="23">
        <v>191464</v>
      </c>
      <c r="G1362" s="20" t="s">
        <v>1537</v>
      </c>
      <c r="H1362" s="20" t="s">
        <v>1874</v>
      </c>
      <c r="I1362" s="20" t="s">
        <v>678</v>
      </c>
      <c r="J1362" s="20" t="s">
        <v>220</v>
      </c>
      <c r="K1362" s="20" t="s">
        <v>137</v>
      </c>
      <c r="L1362" s="20" t="s">
        <v>137</v>
      </c>
      <c r="M1362" s="20" t="s">
        <v>2061</v>
      </c>
      <c r="P1362" s="20" t="s">
        <v>1869</v>
      </c>
      <c r="Q1362" s="24" t="s">
        <v>680</v>
      </c>
    </row>
    <row r="1363" spans="1:17" hidden="1" x14ac:dyDescent="0.3">
      <c r="A1363" s="20">
        <f t="shared" si="21"/>
        <v>1362</v>
      </c>
      <c r="B1363" s="21" t="s">
        <v>87</v>
      </c>
      <c r="C1363" s="21" t="s">
        <v>91</v>
      </c>
      <c r="D1363" s="22" t="str">
        <f>IF($C1363="","",IFERROR(VLOOKUP($C1363,Map_Register!$A$2:$C$5,3,FALSE()),""))</f>
        <v>Cultural Heritage Area</v>
      </c>
      <c r="E1363" s="21" t="s">
        <v>15</v>
      </c>
      <c r="F1363" s="23">
        <v>194347</v>
      </c>
      <c r="G1363" s="20" t="s">
        <v>1537</v>
      </c>
      <c r="H1363" s="20" t="s">
        <v>1905</v>
      </c>
      <c r="I1363" s="20" t="s">
        <v>678</v>
      </c>
      <c r="J1363" s="20" t="s">
        <v>220</v>
      </c>
      <c r="K1363" s="20" t="s">
        <v>137</v>
      </c>
      <c r="L1363" s="20" t="s">
        <v>137</v>
      </c>
      <c r="M1363" s="20" t="s">
        <v>2062</v>
      </c>
      <c r="P1363" s="20" t="s">
        <v>1869</v>
      </c>
      <c r="Q1363" s="24" t="s">
        <v>680</v>
      </c>
    </row>
    <row r="1364" spans="1:17" hidden="1" x14ac:dyDescent="0.3">
      <c r="A1364" s="20">
        <f t="shared" si="21"/>
        <v>1363</v>
      </c>
      <c r="B1364" s="21" t="s">
        <v>87</v>
      </c>
      <c r="C1364" s="21" t="s">
        <v>91</v>
      </c>
      <c r="D1364" s="22" t="str">
        <f>IF($C1364="","",IFERROR(VLOOKUP($C1364,Map_Register!$A$2:$C$5,3,FALSE()),""))</f>
        <v>Cultural Heritage Area</v>
      </c>
      <c r="E1364" s="21" t="s">
        <v>15</v>
      </c>
      <c r="F1364" s="23">
        <v>195857</v>
      </c>
      <c r="G1364" s="20" t="s">
        <v>1537</v>
      </c>
      <c r="H1364" s="20" t="s">
        <v>1925</v>
      </c>
      <c r="I1364" s="20" t="s">
        <v>678</v>
      </c>
      <c r="J1364" s="20" t="s">
        <v>220</v>
      </c>
      <c r="K1364" s="20" t="s">
        <v>137</v>
      </c>
      <c r="L1364" s="20" t="s">
        <v>137</v>
      </c>
      <c r="M1364" s="20" t="s">
        <v>2063</v>
      </c>
      <c r="P1364" s="20" t="s">
        <v>1869</v>
      </c>
      <c r="Q1364" s="24" t="s">
        <v>680</v>
      </c>
    </row>
    <row r="1365" spans="1:17" hidden="1" x14ac:dyDescent="0.3">
      <c r="A1365" s="20">
        <f t="shared" si="21"/>
        <v>1364</v>
      </c>
      <c r="B1365" s="21" t="s">
        <v>87</v>
      </c>
      <c r="C1365" s="21" t="s">
        <v>91</v>
      </c>
      <c r="D1365" s="22" t="str">
        <f>IF($C1365="","",IFERROR(VLOOKUP($C1365,Map_Register!$A$2:$C$5,3,FALSE()),""))</f>
        <v>Cultural Heritage Area</v>
      </c>
      <c r="E1365" s="21" t="s">
        <v>15</v>
      </c>
      <c r="F1365" s="23">
        <v>196712</v>
      </c>
      <c r="G1365" s="20" t="s">
        <v>1560</v>
      </c>
      <c r="H1365" s="20" t="s">
        <v>1993</v>
      </c>
      <c r="I1365" s="20" t="s">
        <v>678</v>
      </c>
      <c r="J1365" s="20" t="s">
        <v>6</v>
      </c>
      <c r="K1365" s="20" t="s">
        <v>137</v>
      </c>
      <c r="L1365" s="20" t="s">
        <v>137</v>
      </c>
      <c r="M1365" s="20" t="s">
        <v>2064</v>
      </c>
      <c r="Q1365" s="24" t="s">
        <v>680</v>
      </c>
    </row>
    <row r="1366" spans="1:17" hidden="1" x14ac:dyDescent="0.3">
      <c r="A1366" s="20">
        <f t="shared" si="21"/>
        <v>1365</v>
      </c>
      <c r="B1366" s="21" t="s">
        <v>87</v>
      </c>
      <c r="C1366" s="21" t="s">
        <v>91</v>
      </c>
      <c r="D1366" s="22" t="str">
        <f>IF($C1366="","",IFERROR(VLOOKUP($C1366,Map_Register!$A$2:$C$5,3,FALSE()),""))</f>
        <v>Cultural Heritage Area</v>
      </c>
      <c r="E1366" s="21" t="s">
        <v>15</v>
      </c>
      <c r="F1366" s="23">
        <v>202296</v>
      </c>
      <c r="G1366" s="20" t="s">
        <v>1560</v>
      </c>
      <c r="H1366" s="20" t="s">
        <v>2003</v>
      </c>
      <c r="I1366" s="20" t="s">
        <v>678</v>
      </c>
      <c r="J1366" s="20" t="s">
        <v>8</v>
      </c>
      <c r="K1366" s="20" t="s">
        <v>107</v>
      </c>
      <c r="L1366" s="20" t="s">
        <v>107</v>
      </c>
      <c r="M1366" s="20" t="s">
        <v>1705</v>
      </c>
      <c r="N1366" s="20" t="s">
        <v>108</v>
      </c>
      <c r="Q1366" s="24" t="s">
        <v>680</v>
      </c>
    </row>
    <row r="1367" spans="1:17" hidden="1" x14ac:dyDescent="0.3">
      <c r="A1367" s="20">
        <f t="shared" si="21"/>
        <v>1366</v>
      </c>
      <c r="B1367" s="21" t="s">
        <v>87</v>
      </c>
      <c r="C1367" s="21" t="s">
        <v>91</v>
      </c>
      <c r="D1367" s="22" t="str">
        <f>IF($C1367="","",IFERROR(VLOOKUP($C1367,Map_Register!$A$2:$C$5,3,FALSE()),""))</f>
        <v>Cultural Heritage Area</v>
      </c>
      <c r="E1367" s="21" t="s">
        <v>15</v>
      </c>
      <c r="F1367" s="23">
        <v>203804</v>
      </c>
      <c r="G1367" s="20" t="s">
        <v>1537</v>
      </c>
      <c r="H1367" s="20" t="s">
        <v>1885</v>
      </c>
      <c r="I1367" s="20" t="s">
        <v>678</v>
      </c>
      <c r="J1367" s="20" t="s">
        <v>220</v>
      </c>
      <c r="K1367" s="20" t="s">
        <v>137</v>
      </c>
      <c r="L1367" s="20" t="s">
        <v>137</v>
      </c>
      <c r="M1367" s="20" t="s">
        <v>2065</v>
      </c>
      <c r="P1367" s="20" t="s">
        <v>1869</v>
      </c>
      <c r="Q1367" s="24" t="s">
        <v>680</v>
      </c>
    </row>
    <row r="1368" spans="1:17" x14ac:dyDescent="0.3">
      <c r="A1368" s="20">
        <f t="shared" si="21"/>
        <v>1367</v>
      </c>
      <c r="B1368" s="21" t="s">
        <v>87</v>
      </c>
      <c r="C1368" s="21" t="s">
        <v>91</v>
      </c>
      <c r="D1368" s="22" t="str">
        <f>IF($C1368="","",IFERROR(VLOOKUP($C1368,Map_Register!$A$2:$C$5,3,FALSE()),""))</f>
        <v>Cultural Heritage Area</v>
      </c>
      <c r="E1368" s="21" t="s">
        <v>15</v>
      </c>
      <c r="F1368" s="23">
        <v>204900</v>
      </c>
      <c r="G1368" s="20" t="s">
        <v>1560</v>
      </c>
      <c r="H1368" s="20" t="s">
        <v>1887</v>
      </c>
      <c r="I1368" s="20" t="s">
        <v>678</v>
      </c>
      <c r="J1368" s="20" t="s">
        <v>8</v>
      </c>
      <c r="K1368" s="20" t="s">
        <v>107</v>
      </c>
      <c r="L1368" t="s">
        <v>108</v>
      </c>
      <c r="M1368" s="20" t="s">
        <v>2052</v>
      </c>
      <c r="N1368" s="20" t="s">
        <v>108</v>
      </c>
      <c r="Q1368" s="24" t="s">
        <v>680</v>
      </c>
    </row>
    <row r="1369" spans="1:17" hidden="1" x14ac:dyDescent="0.3">
      <c r="A1369" s="20">
        <f t="shared" si="21"/>
        <v>1368</v>
      </c>
      <c r="B1369" s="21" t="s">
        <v>87</v>
      </c>
      <c r="C1369" s="21" t="s">
        <v>91</v>
      </c>
      <c r="D1369" s="22" t="str">
        <f>IF($C1369="","",IFERROR(VLOOKUP($C1369,Map_Register!$A$2:$C$5,3,FALSE()),""))</f>
        <v>Cultural Heritage Area</v>
      </c>
      <c r="E1369" s="21" t="s">
        <v>15</v>
      </c>
      <c r="F1369" s="23">
        <v>205639</v>
      </c>
      <c r="G1369" s="20" t="s">
        <v>1560</v>
      </c>
      <c r="H1369" s="20" t="s">
        <v>1876</v>
      </c>
      <c r="I1369" s="20" t="s">
        <v>678</v>
      </c>
      <c r="J1369" s="20" t="s">
        <v>6</v>
      </c>
      <c r="K1369" s="20" t="s">
        <v>137</v>
      </c>
      <c r="L1369" s="20" t="s">
        <v>137</v>
      </c>
      <c r="M1369" s="20" t="s">
        <v>1694</v>
      </c>
      <c r="Q1369" s="24" t="s">
        <v>680</v>
      </c>
    </row>
    <row r="1370" spans="1:17" hidden="1" x14ac:dyDescent="0.3">
      <c r="A1370" s="20">
        <f t="shared" si="21"/>
        <v>1369</v>
      </c>
      <c r="B1370" s="21" t="s">
        <v>87</v>
      </c>
      <c r="C1370" s="21" t="s">
        <v>91</v>
      </c>
      <c r="D1370" s="22" t="str">
        <f>IF($C1370="","",IFERROR(VLOOKUP($C1370,Map_Register!$A$2:$C$5,3,FALSE()),""))</f>
        <v>Cultural Heritage Area</v>
      </c>
      <c r="E1370" s="21" t="s">
        <v>15</v>
      </c>
      <c r="F1370" s="23">
        <v>206014</v>
      </c>
      <c r="G1370" s="20" t="s">
        <v>1560</v>
      </c>
      <c r="H1370" s="20" t="s">
        <v>2066</v>
      </c>
      <c r="I1370" s="20" t="s">
        <v>678</v>
      </c>
      <c r="J1370" s="20" t="s">
        <v>8</v>
      </c>
      <c r="K1370" s="20" t="s">
        <v>107</v>
      </c>
      <c r="L1370" s="20" t="s">
        <v>107</v>
      </c>
      <c r="M1370" s="20" t="s">
        <v>1705</v>
      </c>
      <c r="N1370" s="20" t="s">
        <v>108</v>
      </c>
      <c r="Q1370" s="24" t="s">
        <v>680</v>
      </c>
    </row>
    <row r="1371" spans="1:17" hidden="1" x14ac:dyDescent="0.3">
      <c r="A1371" s="20">
        <f t="shared" si="21"/>
        <v>1370</v>
      </c>
      <c r="B1371" s="21" t="s">
        <v>87</v>
      </c>
      <c r="C1371" s="21" t="s">
        <v>91</v>
      </c>
      <c r="D1371" s="22" t="str">
        <f>IF($C1371="","",IFERROR(VLOOKUP($C1371,Map_Register!$A$2:$C$5,3,FALSE()),""))</f>
        <v>Cultural Heritage Area</v>
      </c>
      <c r="E1371" s="21" t="s">
        <v>15</v>
      </c>
      <c r="F1371" s="23">
        <v>206483</v>
      </c>
      <c r="G1371" s="20" t="s">
        <v>1537</v>
      </c>
      <c r="H1371" s="20" t="s">
        <v>2067</v>
      </c>
      <c r="I1371" s="20" t="s">
        <v>678</v>
      </c>
      <c r="J1371" s="20" t="s">
        <v>6</v>
      </c>
      <c r="K1371" s="20" t="s">
        <v>137</v>
      </c>
      <c r="L1371" s="20" t="s">
        <v>137</v>
      </c>
      <c r="M1371" s="20" t="s">
        <v>1713</v>
      </c>
      <c r="Q1371" s="24" t="s">
        <v>680</v>
      </c>
    </row>
    <row r="1372" spans="1:17" hidden="1" x14ac:dyDescent="0.3">
      <c r="A1372" s="20">
        <f t="shared" si="21"/>
        <v>1371</v>
      </c>
      <c r="B1372" s="21" t="s">
        <v>87</v>
      </c>
      <c r="C1372" s="21" t="s">
        <v>91</v>
      </c>
      <c r="D1372" s="22" t="str">
        <f>IF($C1372="","",IFERROR(VLOOKUP($C1372,Map_Register!$A$2:$C$5,3,FALSE()),""))</f>
        <v>Cultural Heritage Area</v>
      </c>
      <c r="E1372" s="21" t="s">
        <v>15</v>
      </c>
      <c r="F1372" s="23">
        <v>207668</v>
      </c>
      <c r="G1372" s="20" t="s">
        <v>1537</v>
      </c>
      <c r="H1372" s="20" t="s">
        <v>2056</v>
      </c>
      <c r="I1372" s="20" t="s">
        <v>678</v>
      </c>
      <c r="J1372" s="20" t="s">
        <v>6</v>
      </c>
      <c r="K1372" s="20" t="s">
        <v>137</v>
      </c>
      <c r="L1372" s="20" t="s">
        <v>137</v>
      </c>
      <c r="M1372" s="20" t="s">
        <v>1713</v>
      </c>
      <c r="Q1372" s="24" t="s">
        <v>680</v>
      </c>
    </row>
    <row r="1373" spans="1:17" x14ac:dyDescent="0.3">
      <c r="A1373" s="20">
        <f t="shared" si="21"/>
        <v>1372</v>
      </c>
      <c r="B1373" s="21" t="s">
        <v>87</v>
      </c>
      <c r="C1373" s="21" t="s">
        <v>91</v>
      </c>
      <c r="D1373" s="22" t="str">
        <f>IF($C1373="","",IFERROR(VLOOKUP($C1373,Map_Register!$A$2:$C$5,3,FALSE()),""))</f>
        <v>Cultural Heritage Area</v>
      </c>
      <c r="E1373" s="21" t="s">
        <v>15</v>
      </c>
      <c r="F1373" s="23">
        <v>208547</v>
      </c>
      <c r="G1373" s="20" t="s">
        <v>1537</v>
      </c>
      <c r="H1373" s="20" t="s">
        <v>2068</v>
      </c>
      <c r="I1373" s="20" t="s">
        <v>678</v>
      </c>
      <c r="J1373" s="20" t="s">
        <v>8</v>
      </c>
      <c r="K1373" s="20" t="s">
        <v>107</v>
      </c>
      <c r="L1373" t="s">
        <v>108</v>
      </c>
      <c r="M1373" s="20" t="s">
        <v>1700</v>
      </c>
      <c r="N1373" s="20" t="s">
        <v>108</v>
      </c>
      <c r="Q1373" s="24" t="s">
        <v>680</v>
      </c>
    </row>
    <row r="1374" spans="1:17" x14ac:dyDescent="0.3">
      <c r="A1374" s="20">
        <f t="shared" si="21"/>
        <v>1373</v>
      </c>
      <c r="B1374" s="21" t="s">
        <v>87</v>
      </c>
      <c r="C1374" s="21" t="s">
        <v>91</v>
      </c>
      <c r="D1374" s="22" t="str">
        <f>IF($C1374="","",IFERROR(VLOOKUP($C1374,Map_Register!$A$2:$C$5,3,FALSE()),""))</f>
        <v>Cultural Heritage Area</v>
      </c>
      <c r="E1374" s="21" t="s">
        <v>15</v>
      </c>
      <c r="F1374" s="23">
        <v>208889</v>
      </c>
      <c r="G1374" s="20" t="s">
        <v>1537</v>
      </c>
      <c r="H1374" s="20" t="s">
        <v>2069</v>
      </c>
      <c r="I1374" s="20" t="s">
        <v>678</v>
      </c>
      <c r="J1374" s="20" t="s">
        <v>8</v>
      </c>
      <c r="K1374" s="20" t="s">
        <v>107</v>
      </c>
      <c r="L1374" t="s">
        <v>108</v>
      </c>
      <c r="M1374" s="20" t="s">
        <v>1700</v>
      </c>
      <c r="N1374" s="20" t="s">
        <v>108</v>
      </c>
      <c r="Q1374" s="24" t="s">
        <v>680</v>
      </c>
    </row>
    <row r="1375" spans="1:17" x14ac:dyDescent="0.3">
      <c r="A1375" s="20">
        <f t="shared" si="21"/>
        <v>1374</v>
      </c>
      <c r="B1375" s="21" t="s">
        <v>87</v>
      </c>
      <c r="C1375" s="21" t="s">
        <v>91</v>
      </c>
      <c r="D1375" s="22" t="str">
        <f>IF($C1375="","",IFERROR(VLOOKUP($C1375,Map_Register!$A$2:$C$5,3,FALSE()),""))</f>
        <v>Cultural Heritage Area</v>
      </c>
      <c r="E1375" s="21" t="s">
        <v>15</v>
      </c>
      <c r="F1375" s="23">
        <v>209355</v>
      </c>
      <c r="G1375" s="20" t="s">
        <v>1537</v>
      </c>
      <c r="H1375" s="20" t="s">
        <v>2070</v>
      </c>
      <c r="I1375" s="20" t="s">
        <v>678</v>
      </c>
      <c r="J1375" s="20" t="s">
        <v>8</v>
      </c>
      <c r="K1375" s="20" t="s">
        <v>107</v>
      </c>
      <c r="L1375" t="s">
        <v>108</v>
      </c>
      <c r="M1375" s="20" t="s">
        <v>1700</v>
      </c>
      <c r="N1375" s="20" t="s">
        <v>108</v>
      </c>
      <c r="Q1375" s="24" t="s">
        <v>680</v>
      </c>
    </row>
    <row r="1376" spans="1:17" hidden="1" x14ac:dyDescent="0.3">
      <c r="A1376" s="20">
        <f t="shared" si="21"/>
        <v>1375</v>
      </c>
      <c r="B1376" s="21" t="s">
        <v>87</v>
      </c>
      <c r="C1376" s="21" t="s">
        <v>91</v>
      </c>
      <c r="D1376" s="22" t="str">
        <f>IF($C1376="","",IFERROR(VLOOKUP($C1376,Map_Register!$A$2:$C$5,3,FALSE()),""))</f>
        <v>Cultural Heritage Area</v>
      </c>
      <c r="E1376" s="21" t="s">
        <v>15</v>
      </c>
      <c r="F1376" s="23">
        <v>209390</v>
      </c>
      <c r="G1376" s="20" t="s">
        <v>1537</v>
      </c>
      <c r="H1376" s="20" t="s">
        <v>2071</v>
      </c>
      <c r="I1376" s="20" t="s">
        <v>678</v>
      </c>
      <c r="J1376" s="20" t="s">
        <v>8</v>
      </c>
      <c r="K1376" s="20" t="s">
        <v>107</v>
      </c>
      <c r="L1376" s="20" t="s">
        <v>107</v>
      </c>
      <c r="M1376" s="20" t="s">
        <v>1705</v>
      </c>
      <c r="N1376" s="20" t="s">
        <v>108</v>
      </c>
      <c r="Q1376" s="24" t="s">
        <v>680</v>
      </c>
    </row>
    <row r="1377" spans="1:17" x14ac:dyDescent="0.3">
      <c r="A1377" s="20">
        <f t="shared" si="21"/>
        <v>1376</v>
      </c>
      <c r="B1377" s="21" t="s">
        <v>87</v>
      </c>
      <c r="C1377" s="21" t="s">
        <v>91</v>
      </c>
      <c r="D1377" s="22" t="str">
        <f>IF($C1377="","",IFERROR(VLOOKUP($C1377,Map_Register!$A$2:$C$5,3,FALSE()),""))</f>
        <v>Cultural Heritage Area</v>
      </c>
      <c r="E1377" s="21" t="s">
        <v>15</v>
      </c>
      <c r="F1377" s="23">
        <v>209511</v>
      </c>
      <c r="G1377" s="20" t="s">
        <v>1537</v>
      </c>
      <c r="H1377" s="20" t="s">
        <v>2072</v>
      </c>
      <c r="I1377" s="20" t="s">
        <v>678</v>
      </c>
      <c r="J1377" s="20" t="s">
        <v>8</v>
      </c>
      <c r="K1377" s="20" t="s">
        <v>107</v>
      </c>
      <c r="L1377" t="s">
        <v>108</v>
      </c>
      <c r="M1377" s="20" t="s">
        <v>1700</v>
      </c>
      <c r="N1377" s="20" t="s">
        <v>108</v>
      </c>
      <c r="Q1377" s="24" t="s">
        <v>680</v>
      </c>
    </row>
    <row r="1378" spans="1:17" hidden="1" x14ac:dyDescent="0.3">
      <c r="A1378" s="20">
        <f t="shared" si="21"/>
        <v>1377</v>
      </c>
      <c r="B1378" s="21" t="s">
        <v>87</v>
      </c>
      <c r="C1378" s="21" t="s">
        <v>91</v>
      </c>
      <c r="D1378" s="22" t="str">
        <f>IF($C1378="","",IFERROR(VLOOKUP($C1378,Map_Register!$A$2:$C$5,3,FALSE()),""))</f>
        <v>Cultural Heritage Area</v>
      </c>
      <c r="E1378" s="21" t="s">
        <v>15</v>
      </c>
      <c r="F1378" s="23">
        <v>209723</v>
      </c>
      <c r="G1378" s="20" t="s">
        <v>1537</v>
      </c>
      <c r="H1378" s="20" t="s">
        <v>2073</v>
      </c>
      <c r="I1378" s="20" t="s">
        <v>678</v>
      </c>
      <c r="J1378" s="20" t="s">
        <v>8</v>
      </c>
      <c r="K1378" s="20" t="s">
        <v>107</v>
      </c>
      <c r="L1378" s="20" t="s">
        <v>107</v>
      </c>
      <c r="M1378" s="20" t="s">
        <v>1696</v>
      </c>
      <c r="N1378" s="20" t="s">
        <v>108</v>
      </c>
      <c r="Q1378" s="24" t="s">
        <v>680</v>
      </c>
    </row>
    <row r="1379" spans="1:17" x14ac:dyDescent="0.3">
      <c r="A1379" s="20">
        <f t="shared" si="21"/>
        <v>1378</v>
      </c>
      <c r="B1379" s="21" t="s">
        <v>87</v>
      </c>
      <c r="C1379" s="21" t="s">
        <v>91</v>
      </c>
      <c r="D1379" s="22" t="str">
        <f>IF($C1379="","",IFERROR(VLOOKUP($C1379,Map_Register!$A$2:$C$5,3,FALSE()),""))</f>
        <v>Cultural Heritage Area</v>
      </c>
      <c r="E1379" s="21" t="s">
        <v>15</v>
      </c>
      <c r="F1379" s="23">
        <v>209758</v>
      </c>
      <c r="G1379" s="20" t="s">
        <v>1537</v>
      </c>
      <c r="H1379" s="20" t="s">
        <v>1695</v>
      </c>
      <c r="I1379" s="20" t="s">
        <v>678</v>
      </c>
      <c r="J1379" s="20" t="s">
        <v>8</v>
      </c>
      <c r="K1379" s="20" t="s">
        <v>107</v>
      </c>
      <c r="L1379" t="s">
        <v>108</v>
      </c>
      <c r="M1379" s="20" t="s">
        <v>1700</v>
      </c>
      <c r="N1379" s="20" t="s">
        <v>108</v>
      </c>
      <c r="Q1379" s="24" t="s">
        <v>680</v>
      </c>
    </row>
    <row r="1380" spans="1:17" hidden="1" x14ac:dyDescent="0.3">
      <c r="A1380" s="20">
        <f t="shared" si="21"/>
        <v>1379</v>
      </c>
      <c r="B1380" s="21" t="s">
        <v>87</v>
      </c>
      <c r="C1380" s="21" t="s">
        <v>91</v>
      </c>
      <c r="D1380" s="22" t="str">
        <f>IF($C1380="","",IFERROR(VLOOKUP($C1380,Map_Register!$A$2:$C$5,3,FALSE()),""))</f>
        <v>Cultural Heritage Area</v>
      </c>
      <c r="E1380" s="21" t="s">
        <v>15</v>
      </c>
      <c r="F1380" s="23">
        <v>210063</v>
      </c>
      <c r="G1380" s="20" t="s">
        <v>1537</v>
      </c>
      <c r="H1380" s="20" t="s">
        <v>2074</v>
      </c>
      <c r="I1380" s="20" t="s">
        <v>678</v>
      </c>
      <c r="J1380" s="20" t="s">
        <v>8</v>
      </c>
      <c r="K1380" s="20" t="s">
        <v>107</v>
      </c>
      <c r="L1380" s="20" t="s">
        <v>107</v>
      </c>
      <c r="M1380" s="20" t="s">
        <v>1696</v>
      </c>
      <c r="N1380" s="20" t="s">
        <v>108</v>
      </c>
      <c r="Q1380" s="24" t="s">
        <v>680</v>
      </c>
    </row>
    <row r="1381" spans="1:17" hidden="1" x14ac:dyDescent="0.3">
      <c r="A1381" s="20">
        <f t="shared" si="21"/>
        <v>1380</v>
      </c>
      <c r="B1381" s="21" t="s">
        <v>87</v>
      </c>
      <c r="C1381" s="21" t="s">
        <v>91</v>
      </c>
      <c r="D1381" s="22" t="str">
        <f>IF($C1381="","",IFERROR(VLOOKUP($C1381,Map_Register!$A$2:$C$5,3,FALSE()),""))</f>
        <v>Cultural Heritage Area</v>
      </c>
      <c r="E1381" s="21" t="s">
        <v>15</v>
      </c>
      <c r="F1381" s="23">
        <v>210549</v>
      </c>
      <c r="G1381" s="20" t="s">
        <v>1537</v>
      </c>
      <c r="H1381" s="20" t="s">
        <v>2075</v>
      </c>
      <c r="I1381" s="20" t="s">
        <v>678</v>
      </c>
      <c r="J1381" s="20" t="s">
        <v>6</v>
      </c>
      <c r="K1381" s="20" t="s">
        <v>137</v>
      </c>
      <c r="L1381" s="20" t="s">
        <v>137</v>
      </c>
      <c r="M1381" s="20" t="s">
        <v>1713</v>
      </c>
      <c r="Q1381" s="24" t="s">
        <v>680</v>
      </c>
    </row>
    <row r="1382" spans="1:17" hidden="1" x14ac:dyDescent="0.3">
      <c r="A1382" s="20">
        <f t="shared" si="21"/>
        <v>1381</v>
      </c>
      <c r="B1382" s="21" t="s">
        <v>87</v>
      </c>
      <c r="C1382" s="21" t="s">
        <v>91</v>
      </c>
      <c r="D1382" s="22" t="str">
        <f>IF($C1382="","",IFERROR(VLOOKUP($C1382,Map_Register!$A$2:$C$5,3,FALSE()),""))</f>
        <v>Cultural Heritage Area</v>
      </c>
      <c r="E1382" s="21" t="s">
        <v>15</v>
      </c>
      <c r="F1382" s="23">
        <v>210610</v>
      </c>
      <c r="G1382" s="20" t="s">
        <v>1537</v>
      </c>
      <c r="H1382" s="20" t="s">
        <v>2076</v>
      </c>
      <c r="I1382" s="20" t="s">
        <v>678</v>
      </c>
      <c r="J1382" s="20" t="s">
        <v>6</v>
      </c>
      <c r="K1382" s="20" t="s">
        <v>137</v>
      </c>
      <c r="L1382" s="20" t="s">
        <v>137</v>
      </c>
      <c r="M1382" s="20" t="s">
        <v>1713</v>
      </c>
      <c r="Q1382" s="24" t="s">
        <v>680</v>
      </c>
    </row>
    <row r="1383" spans="1:17" hidden="1" x14ac:dyDescent="0.3">
      <c r="A1383" s="20">
        <f t="shared" si="21"/>
        <v>1382</v>
      </c>
      <c r="B1383" s="21" t="s">
        <v>87</v>
      </c>
      <c r="C1383" s="21" t="s">
        <v>91</v>
      </c>
      <c r="D1383" s="22" t="str">
        <f>IF($C1383="","",IFERROR(VLOOKUP($C1383,Map_Register!$A$2:$C$5,3,FALSE()),""))</f>
        <v>Cultural Heritage Area</v>
      </c>
      <c r="E1383" s="21" t="s">
        <v>15</v>
      </c>
      <c r="F1383" s="23">
        <v>210847</v>
      </c>
      <c r="G1383" s="20" t="s">
        <v>1537</v>
      </c>
      <c r="H1383" s="20" t="s">
        <v>2077</v>
      </c>
      <c r="I1383" s="20" t="s">
        <v>678</v>
      </c>
      <c r="J1383" s="20" t="s">
        <v>6</v>
      </c>
      <c r="K1383" s="20" t="s">
        <v>137</v>
      </c>
      <c r="L1383" s="20" t="s">
        <v>137</v>
      </c>
      <c r="M1383" s="20" t="s">
        <v>1713</v>
      </c>
      <c r="Q1383" s="24" t="s">
        <v>680</v>
      </c>
    </row>
    <row r="1384" spans="1:17" hidden="1" x14ac:dyDescent="0.3">
      <c r="A1384" s="20">
        <f t="shared" si="21"/>
        <v>1383</v>
      </c>
      <c r="B1384" s="21" t="s">
        <v>87</v>
      </c>
      <c r="C1384" s="21" t="s">
        <v>91</v>
      </c>
      <c r="D1384" s="22" t="str">
        <f>IF($C1384="","",IFERROR(VLOOKUP($C1384,Map_Register!$A$2:$C$5,3,FALSE()),""))</f>
        <v>Cultural Heritage Area</v>
      </c>
      <c r="E1384" s="21" t="s">
        <v>15</v>
      </c>
      <c r="F1384" s="23">
        <v>211037</v>
      </c>
      <c r="G1384" s="20" t="s">
        <v>1537</v>
      </c>
      <c r="H1384" s="20" t="s">
        <v>2078</v>
      </c>
      <c r="I1384" s="20" t="s">
        <v>678</v>
      </c>
      <c r="J1384" s="20" t="s">
        <v>8</v>
      </c>
      <c r="K1384" s="20" t="s">
        <v>107</v>
      </c>
      <c r="L1384" s="20" t="s">
        <v>107</v>
      </c>
      <c r="M1384" s="20" t="s">
        <v>1696</v>
      </c>
      <c r="N1384" s="20" t="s">
        <v>108</v>
      </c>
      <c r="Q1384" s="24" t="s">
        <v>680</v>
      </c>
    </row>
    <row r="1385" spans="1:17" x14ac:dyDescent="0.3">
      <c r="A1385" s="20">
        <f t="shared" si="21"/>
        <v>1384</v>
      </c>
      <c r="B1385" s="21" t="s">
        <v>87</v>
      </c>
      <c r="C1385" s="21" t="s">
        <v>91</v>
      </c>
      <c r="D1385" s="22" t="str">
        <f>IF($C1385="","",IFERROR(VLOOKUP($C1385,Map_Register!$A$2:$C$5,3,FALSE()),""))</f>
        <v>Cultural Heritage Area</v>
      </c>
      <c r="E1385" s="21" t="s">
        <v>15</v>
      </c>
      <c r="F1385" s="23">
        <v>211517</v>
      </c>
      <c r="G1385" s="20" t="s">
        <v>1537</v>
      </c>
      <c r="H1385" s="20" t="s">
        <v>2079</v>
      </c>
      <c r="I1385" s="20" t="s">
        <v>678</v>
      </c>
      <c r="J1385" s="20" t="s">
        <v>8</v>
      </c>
      <c r="K1385" s="20" t="s">
        <v>107</v>
      </c>
      <c r="L1385" t="s">
        <v>108</v>
      </c>
      <c r="M1385" s="20" t="s">
        <v>2080</v>
      </c>
      <c r="N1385" s="20" t="s">
        <v>108</v>
      </c>
      <c r="Q1385" s="24" t="s">
        <v>680</v>
      </c>
    </row>
    <row r="1386" spans="1:17" hidden="1" x14ac:dyDescent="0.3">
      <c r="A1386" s="20">
        <f t="shared" si="21"/>
        <v>1385</v>
      </c>
      <c r="B1386" s="21" t="s">
        <v>87</v>
      </c>
      <c r="C1386" s="21" t="s">
        <v>91</v>
      </c>
      <c r="D1386" s="22" t="str">
        <f>IF($C1386="","",IFERROR(VLOOKUP($C1386,Map_Register!$A$2:$C$5,3,FALSE()),""))</f>
        <v>Cultural Heritage Area</v>
      </c>
      <c r="E1386" s="21" t="s">
        <v>15</v>
      </c>
      <c r="F1386" s="23">
        <v>211668</v>
      </c>
      <c r="G1386" s="20" t="s">
        <v>1537</v>
      </c>
      <c r="H1386" s="20" t="s">
        <v>2081</v>
      </c>
      <c r="I1386" s="20" t="s">
        <v>678</v>
      </c>
      <c r="J1386" s="20" t="s">
        <v>6</v>
      </c>
      <c r="K1386" s="20" t="s">
        <v>137</v>
      </c>
      <c r="L1386" s="20" t="s">
        <v>137</v>
      </c>
      <c r="M1386" s="20" t="s">
        <v>1713</v>
      </c>
      <c r="Q1386" s="24" t="s">
        <v>680</v>
      </c>
    </row>
    <row r="1387" spans="1:17" hidden="1" x14ac:dyDescent="0.3">
      <c r="A1387" s="20">
        <f t="shared" si="21"/>
        <v>1386</v>
      </c>
      <c r="B1387" s="21" t="s">
        <v>87</v>
      </c>
      <c r="C1387" s="21" t="s">
        <v>91</v>
      </c>
      <c r="D1387" s="22" t="str">
        <f>IF($C1387="","",IFERROR(VLOOKUP($C1387,Map_Register!$A$2:$C$5,3,FALSE()),""))</f>
        <v>Cultural Heritage Area</v>
      </c>
      <c r="E1387" s="21" t="s">
        <v>15</v>
      </c>
      <c r="F1387" s="23">
        <v>211780</v>
      </c>
      <c r="G1387" s="20" t="s">
        <v>1537</v>
      </c>
      <c r="H1387" s="20" t="s">
        <v>2082</v>
      </c>
      <c r="I1387" s="20" t="s">
        <v>678</v>
      </c>
      <c r="J1387" s="20" t="s">
        <v>8</v>
      </c>
      <c r="K1387" s="20" t="s">
        <v>107</v>
      </c>
      <c r="L1387" t="s">
        <v>107</v>
      </c>
      <c r="M1387" s="20" t="s">
        <v>2083</v>
      </c>
      <c r="N1387" s="20" t="s">
        <v>108</v>
      </c>
      <c r="Q1387" s="24" t="s">
        <v>680</v>
      </c>
    </row>
    <row r="1388" spans="1:17" x14ac:dyDescent="0.3">
      <c r="A1388" s="20">
        <f t="shared" si="21"/>
        <v>1387</v>
      </c>
      <c r="B1388" s="21" t="s">
        <v>87</v>
      </c>
      <c r="C1388" s="21" t="s">
        <v>91</v>
      </c>
      <c r="D1388" s="22" t="str">
        <f>IF($C1388="","",IFERROR(VLOOKUP($C1388,Map_Register!$A$2:$C$5,3,FALSE()),""))</f>
        <v>Cultural Heritage Area</v>
      </c>
      <c r="E1388" s="21" t="s">
        <v>15</v>
      </c>
      <c r="F1388" s="23">
        <v>211991</v>
      </c>
      <c r="G1388" s="20" t="s">
        <v>1537</v>
      </c>
      <c r="H1388" s="20" t="s">
        <v>2084</v>
      </c>
      <c r="I1388" s="20" t="s">
        <v>678</v>
      </c>
      <c r="J1388" s="20" t="s">
        <v>8</v>
      </c>
      <c r="K1388" s="20" t="s">
        <v>107</v>
      </c>
      <c r="L1388" t="s">
        <v>108</v>
      </c>
      <c r="M1388" s="20" t="s">
        <v>1700</v>
      </c>
      <c r="N1388" s="20" t="s">
        <v>108</v>
      </c>
      <c r="Q1388" s="24" t="s">
        <v>680</v>
      </c>
    </row>
    <row r="1389" spans="1:17" hidden="1" x14ac:dyDescent="0.3">
      <c r="A1389" s="20">
        <f t="shared" si="21"/>
        <v>1388</v>
      </c>
      <c r="B1389" s="21" t="s">
        <v>87</v>
      </c>
      <c r="C1389" s="21" t="s">
        <v>91</v>
      </c>
      <c r="D1389" s="22" t="str">
        <f>IF($C1389="","",IFERROR(VLOOKUP($C1389,Map_Register!$A$2:$C$5,3,FALSE()),""))</f>
        <v>Cultural Heritage Area</v>
      </c>
      <c r="E1389" s="21" t="s">
        <v>15</v>
      </c>
      <c r="F1389" s="23">
        <v>212164</v>
      </c>
      <c r="G1389" s="20" t="s">
        <v>1537</v>
      </c>
      <c r="H1389" s="20" t="s">
        <v>2085</v>
      </c>
      <c r="I1389" s="20" t="s">
        <v>678</v>
      </c>
      <c r="J1389" s="20" t="s">
        <v>8</v>
      </c>
      <c r="K1389" s="20" t="s">
        <v>107</v>
      </c>
      <c r="L1389" s="20" t="s">
        <v>107</v>
      </c>
      <c r="M1389" s="20" t="s">
        <v>1696</v>
      </c>
      <c r="N1389" s="20" t="s">
        <v>108</v>
      </c>
      <c r="Q1389" s="24" t="s">
        <v>680</v>
      </c>
    </row>
    <row r="1390" spans="1:17" x14ac:dyDescent="0.3">
      <c r="A1390" s="20">
        <f t="shared" si="21"/>
        <v>1389</v>
      </c>
      <c r="B1390" s="21" t="s">
        <v>87</v>
      </c>
      <c r="C1390" s="21" t="s">
        <v>91</v>
      </c>
      <c r="D1390" s="22" t="str">
        <f>IF($C1390="","",IFERROR(VLOOKUP($C1390,Map_Register!$A$2:$C$5,3,FALSE()),""))</f>
        <v>Cultural Heritage Area</v>
      </c>
      <c r="E1390" s="21" t="s">
        <v>15</v>
      </c>
      <c r="F1390" s="23">
        <v>212187</v>
      </c>
      <c r="G1390" s="20" t="s">
        <v>1537</v>
      </c>
      <c r="H1390" s="20" t="s">
        <v>2086</v>
      </c>
      <c r="I1390" s="20" t="s">
        <v>678</v>
      </c>
      <c r="J1390" s="20" t="s">
        <v>8</v>
      </c>
      <c r="K1390" s="20" t="s">
        <v>107</v>
      </c>
      <c r="L1390" t="s">
        <v>108</v>
      </c>
      <c r="M1390" s="20" t="s">
        <v>1722</v>
      </c>
      <c r="N1390" s="20" t="s">
        <v>108</v>
      </c>
      <c r="Q1390" s="24" t="s">
        <v>680</v>
      </c>
    </row>
    <row r="1391" spans="1:17" hidden="1" x14ac:dyDescent="0.3">
      <c r="A1391" s="20">
        <f t="shared" si="21"/>
        <v>1390</v>
      </c>
      <c r="B1391" s="21" t="s">
        <v>87</v>
      </c>
      <c r="C1391" s="21" t="s">
        <v>91</v>
      </c>
      <c r="D1391" s="22" t="str">
        <f>IF($C1391="","",IFERROR(VLOOKUP($C1391,Map_Register!$A$2:$C$5,3,FALSE()),""))</f>
        <v>Cultural Heritage Area</v>
      </c>
      <c r="E1391" s="21" t="s">
        <v>15</v>
      </c>
      <c r="F1391" s="23">
        <v>212291</v>
      </c>
      <c r="G1391" s="20" t="s">
        <v>1537</v>
      </c>
      <c r="H1391" s="20" t="s">
        <v>2087</v>
      </c>
      <c r="I1391" s="20" t="s">
        <v>678</v>
      </c>
      <c r="J1391" s="20" t="s">
        <v>6</v>
      </c>
      <c r="K1391" s="20" t="s">
        <v>137</v>
      </c>
      <c r="L1391" s="20" t="s">
        <v>137</v>
      </c>
      <c r="M1391" s="20" t="s">
        <v>1724</v>
      </c>
      <c r="Q1391" s="24" t="s">
        <v>680</v>
      </c>
    </row>
    <row r="1392" spans="1:17" hidden="1" x14ac:dyDescent="0.3">
      <c r="A1392" s="20">
        <f t="shared" si="21"/>
        <v>1391</v>
      </c>
      <c r="B1392" s="21" t="s">
        <v>87</v>
      </c>
      <c r="C1392" s="21" t="s">
        <v>91</v>
      </c>
      <c r="D1392" s="22" t="str">
        <f>IF($C1392="","",IFERROR(VLOOKUP($C1392,Map_Register!$A$2:$C$5,3,FALSE()),""))</f>
        <v>Cultural Heritage Area</v>
      </c>
      <c r="E1392" s="21" t="s">
        <v>15</v>
      </c>
      <c r="F1392" s="23">
        <v>212315</v>
      </c>
      <c r="G1392" s="20" t="s">
        <v>1537</v>
      </c>
      <c r="H1392" s="20" t="s">
        <v>2088</v>
      </c>
      <c r="I1392" s="20" t="s">
        <v>678</v>
      </c>
      <c r="J1392" s="20" t="s">
        <v>6</v>
      </c>
      <c r="K1392" s="20" t="s">
        <v>137</v>
      </c>
      <c r="L1392" s="20" t="s">
        <v>137</v>
      </c>
      <c r="M1392" s="20" t="s">
        <v>1713</v>
      </c>
      <c r="Q1392" s="24" t="s">
        <v>680</v>
      </c>
    </row>
    <row r="1393" spans="1:17" hidden="1" x14ac:dyDescent="0.3">
      <c r="A1393" s="20">
        <f t="shared" si="21"/>
        <v>1392</v>
      </c>
      <c r="B1393" s="21" t="s">
        <v>87</v>
      </c>
      <c r="C1393" s="21" t="s">
        <v>91</v>
      </c>
      <c r="D1393" s="22" t="str">
        <f>IF($C1393="","",IFERROR(VLOOKUP($C1393,Map_Register!$A$2:$C$5,3,FALSE()),""))</f>
        <v>Cultural Heritage Area</v>
      </c>
      <c r="E1393" s="21" t="s">
        <v>15</v>
      </c>
      <c r="F1393" s="23">
        <v>212805</v>
      </c>
      <c r="G1393" s="20" t="s">
        <v>1537</v>
      </c>
      <c r="H1393" s="20" t="s">
        <v>2089</v>
      </c>
      <c r="I1393" s="20" t="s">
        <v>678</v>
      </c>
      <c r="J1393" s="20" t="s">
        <v>6</v>
      </c>
      <c r="K1393" s="20" t="s">
        <v>137</v>
      </c>
      <c r="L1393" s="20" t="s">
        <v>137</v>
      </c>
      <c r="M1393" s="20" t="s">
        <v>1713</v>
      </c>
      <c r="Q1393" s="24" t="s">
        <v>680</v>
      </c>
    </row>
    <row r="1394" spans="1:17" hidden="1" x14ac:dyDescent="0.3">
      <c r="A1394" s="20">
        <f t="shared" si="21"/>
        <v>1393</v>
      </c>
      <c r="B1394" s="21" t="s">
        <v>87</v>
      </c>
      <c r="C1394" s="21" t="s">
        <v>91</v>
      </c>
      <c r="D1394" s="22" t="str">
        <f>IF($C1394="","",IFERROR(VLOOKUP($C1394,Map_Register!$A$2:$C$5,3,FALSE()),""))</f>
        <v>Cultural Heritage Area</v>
      </c>
      <c r="E1394" s="21" t="s">
        <v>15</v>
      </c>
      <c r="F1394" s="23">
        <v>213179</v>
      </c>
      <c r="G1394" s="20" t="s">
        <v>1537</v>
      </c>
      <c r="H1394" s="20" t="s">
        <v>2090</v>
      </c>
      <c r="I1394" s="20" t="s">
        <v>678</v>
      </c>
      <c r="J1394" s="20" t="s">
        <v>6</v>
      </c>
      <c r="K1394" s="20" t="s">
        <v>137</v>
      </c>
      <c r="L1394" s="20" t="s">
        <v>137</v>
      </c>
      <c r="M1394" s="20" t="s">
        <v>1724</v>
      </c>
      <c r="Q1394" s="24" t="s">
        <v>680</v>
      </c>
    </row>
    <row r="1395" spans="1:17" hidden="1" x14ac:dyDescent="0.3">
      <c r="A1395" s="20">
        <f t="shared" si="21"/>
        <v>1394</v>
      </c>
      <c r="B1395" s="21" t="s">
        <v>87</v>
      </c>
      <c r="C1395" s="21" t="s">
        <v>91</v>
      </c>
      <c r="D1395" s="22" t="str">
        <f>IF($C1395="","",IFERROR(VLOOKUP($C1395,Map_Register!$A$2:$C$5,3,FALSE()),""))</f>
        <v>Cultural Heritage Area</v>
      </c>
      <c r="E1395" s="21" t="s">
        <v>15</v>
      </c>
      <c r="F1395" s="23">
        <v>213206</v>
      </c>
      <c r="G1395" s="20" t="s">
        <v>1537</v>
      </c>
      <c r="H1395" s="20" t="s">
        <v>2091</v>
      </c>
      <c r="I1395" s="20" t="s">
        <v>678</v>
      </c>
      <c r="J1395" s="20" t="s">
        <v>6</v>
      </c>
      <c r="K1395" s="20" t="s">
        <v>137</v>
      </c>
      <c r="L1395" s="20" t="s">
        <v>137</v>
      </c>
      <c r="M1395" s="20" t="s">
        <v>1713</v>
      </c>
      <c r="Q1395" s="24" t="s">
        <v>680</v>
      </c>
    </row>
    <row r="1396" spans="1:17" hidden="1" x14ac:dyDescent="0.3">
      <c r="A1396" s="20">
        <f t="shared" si="21"/>
        <v>1395</v>
      </c>
      <c r="B1396" s="21" t="s">
        <v>87</v>
      </c>
      <c r="C1396" s="21" t="s">
        <v>91</v>
      </c>
      <c r="D1396" s="22" t="str">
        <f>IF($C1396="","",IFERROR(VLOOKUP($C1396,Map_Register!$A$2:$C$5,3,FALSE()),""))</f>
        <v>Cultural Heritage Area</v>
      </c>
      <c r="E1396" s="21" t="s">
        <v>15</v>
      </c>
      <c r="F1396" s="23">
        <v>213207</v>
      </c>
      <c r="G1396" s="20" t="s">
        <v>1537</v>
      </c>
      <c r="H1396" s="20" t="s">
        <v>2092</v>
      </c>
      <c r="I1396" s="20" t="s">
        <v>678</v>
      </c>
      <c r="J1396" s="20" t="s">
        <v>6</v>
      </c>
      <c r="K1396" s="20" t="s">
        <v>137</v>
      </c>
      <c r="L1396" s="20" t="s">
        <v>137</v>
      </c>
      <c r="M1396" s="20" t="s">
        <v>1713</v>
      </c>
      <c r="Q1396" s="24" t="s">
        <v>680</v>
      </c>
    </row>
    <row r="1397" spans="1:17" hidden="1" x14ac:dyDescent="0.3">
      <c r="A1397" s="20">
        <f t="shared" si="21"/>
        <v>1396</v>
      </c>
      <c r="B1397" s="21" t="s">
        <v>87</v>
      </c>
      <c r="C1397" s="21" t="s">
        <v>91</v>
      </c>
      <c r="D1397" s="22" t="str">
        <f>IF($C1397="","",IFERROR(VLOOKUP($C1397,Map_Register!$A$2:$C$5,3,FALSE()),""))</f>
        <v>Cultural Heritage Area</v>
      </c>
      <c r="E1397" s="21" t="s">
        <v>15</v>
      </c>
      <c r="F1397" s="23">
        <v>213270</v>
      </c>
      <c r="G1397" s="20" t="s">
        <v>1537</v>
      </c>
      <c r="H1397" s="20" t="s">
        <v>2093</v>
      </c>
      <c r="I1397" s="20" t="s">
        <v>678</v>
      </c>
      <c r="J1397" s="20" t="s">
        <v>8</v>
      </c>
      <c r="K1397" s="20" t="s">
        <v>107</v>
      </c>
      <c r="L1397" s="20" t="s">
        <v>107</v>
      </c>
      <c r="M1397" s="20" t="s">
        <v>1705</v>
      </c>
      <c r="N1397" s="20" t="s">
        <v>108</v>
      </c>
      <c r="Q1397" s="24" t="s">
        <v>680</v>
      </c>
    </row>
    <row r="1398" spans="1:17" hidden="1" x14ac:dyDescent="0.3">
      <c r="A1398" s="20">
        <f t="shared" si="21"/>
        <v>1397</v>
      </c>
      <c r="B1398" s="21" t="s">
        <v>87</v>
      </c>
      <c r="C1398" s="21" t="s">
        <v>91</v>
      </c>
      <c r="D1398" s="22" t="str">
        <f>IF($C1398="","",IFERROR(VLOOKUP($C1398,Map_Register!$A$2:$C$5,3,FALSE()),""))</f>
        <v>Cultural Heritage Area</v>
      </c>
      <c r="E1398" s="21" t="s">
        <v>15</v>
      </c>
      <c r="F1398" s="23">
        <v>213364</v>
      </c>
      <c r="G1398" s="20" t="s">
        <v>1537</v>
      </c>
      <c r="H1398" s="20" t="s">
        <v>2094</v>
      </c>
      <c r="I1398" s="20" t="s">
        <v>678</v>
      </c>
      <c r="J1398" s="20" t="s">
        <v>6</v>
      </c>
      <c r="K1398" s="20" t="s">
        <v>137</v>
      </c>
      <c r="L1398" s="20" t="s">
        <v>137</v>
      </c>
      <c r="M1398" s="20" t="s">
        <v>1713</v>
      </c>
      <c r="Q1398" s="24" t="s">
        <v>680</v>
      </c>
    </row>
    <row r="1399" spans="1:17" hidden="1" x14ac:dyDescent="0.3">
      <c r="A1399" s="20">
        <f t="shared" si="21"/>
        <v>1398</v>
      </c>
      <c r="B1399" s="21" t="s">
        <v>87</v>
      </c>
      <c r="C1399" s="21" t="s">
        <v>91</v>
      </c>
      <c r="D1399" s="22" t="str">
        <f>IF($C1399="","",IFERROR(VLOOKUP($C1399,Map_Register!$A$2:$C$5,3,FALSE()),""))</f>
        <v>Cultural Heritage Area</v>
      </c>
      <c r="E1399" s="21" t="s">
        <v>15</v>
      </c>
      <c r="F1399" s="23">
        <v>213401</v>
      </c>
      <c r="G1399" s="20" t="s">
        <v>1537</v>
      </c>
      <c r="H1399" s="20" t="s">
        <v>2095</v>
      </c>
      <c r="I1399" s="20" t="s">
        <v>678</v>
      </c>
      <c r="J1399" s="20" t="s">
        <v>6</v>
      </c>
      <c r="K1399" s="20" t="s">
        <v>137</v>
      </c>
      <c r="L1399" s="20" t="s">
        <v>137</v>
      </c>
      <c r="M1399" s="20" t="s">
        <v>1713</v>
      </c>
      <c r="Q1399" s="24" t="s">
        <v>680</v>
      </c>
    </row>
    <row r="1400" spans="1:17" hidden="1" x14ac:dyDescent="0.3">
      <c r="A1400" s="20">
        <f t="shared" si="21"/>
        <v>1399</v>
      </c>
      <c r="B1400" s="21" t="s">
        <v>87</v>
      </c>
      <c r="C1400" s="21" t="s">
        <v>91</v>
      </c>
      <c r="D1400" s="22" t="str">
        <f>IF($C1400="","",IFERROR(VLOOKUP($C1400,Map_Register!$A$2:$C$5,3,FALSE()),""))</f>
        <v>Cultural Heritage Area</v>
      </c>
      <c r="E1400" s="21" t="s">
        <v>15</v>
      </c>
      <c r="F1400" s="23">
        <v>213418</v>
      </c>
      <c r="G1400" s="20" t="s">
        <v>1537</v>
      </c>
      <c r="H1400" s="20" t="s">
        <v>2096</v>
      </c>
      <c r="I1400" s="20" t="s">
        <v>678</v>
      </c>
      <c r="J1400" s="20" t="s">
        <v>6</v>
      </c>
      <c r="K1400" s="20" t="s">
        <v>137</v>
      </c>
      <c r="L1400" s="20" t="s">
        <v>137</v>
      </c>
      <c r="M1400" s="20" t="s">
        <v>1713</v>
      </c>
      <c r="Q1400" s="24" t="s">
        <v>680</v>
      </c>
    </row>
    <row r="1401" spans="1:17" hidden="1" x14ac:dyDescent="0.3">
      <c r="A1401" s="20">
        <f t="shared" si="21"/>
        <v>1400</v>
      </c>
      <c r="B1401" s="21" t="s">
        <v>87</v>
      </c>
      <c r="C1401" s="21" t="s">
        <v>91</v>
      </c>
      <c r="D1401" s="22" t="str">
        <f>IF($C1401="","",IFERROR(VLOOKUP($C1401,Map_Register!$A$2:$C$5,3,FALSE()),""))</f>
        <v>Cultural Heritage Area</v>
      </c>
      <c r="E1401" s="21" t="s">
        <v>15</v>
      </c>
      <c r="F1401" s="23">
        <v>213718</v>
      </c>
      <c r="G1401" s="20" t="s">
        <v>1537</v>
      </c>
      <c r="H1401" s="20" t="s">
        <v>2097</v>
      </c>
      <c r="I1401" s="20" t="s">
        <v>678</v>
      </c>
      <c r="J1401" s="20" t="s">
        <v>8</v>
      </c>
      <c r="K1401" s="20" t="s">
        <v>107</v>
      </c>
      <c r="L1401" s="20" t="s">
        <v>107</v>
      </c>
      <c r="M1401" s="20" t="s">
        <v>1696</v>
      </c>
      <c r="N1401" s="20" t="s">
        <v>108</v>
      </c>
      <c r="Q1401" s="24" t="s">
        <v>680</v>
      </c>
    </row>
    <row r="1402" spans="1:17" x14ac:dyDescent="0.3">
      <c r="A1402" s="20">
        <f t="shared" si="21"/>
        <v>1401</v>
      </c>
      <c r="B1402" s="21" t="s">
        <v>87</v>
      </c>
      <c r="C1402" s="21" t="s">
        <v>91</v>
      </c>
      <c r="D1402" s="22" t="str">
        <f>IF($C1402="","",IFERROR(VLOOKUP($C1402,Map_Register!$A$2:$C$5,3,FALSE()),""))</f>
        <v>Cultural Heritage Area</v>
      </c>
      <c r="E1402" s="21" t="s">
        <v>15</v>
      </c>
      <c r="F1402" s="23">
        <v>213877</v>
      </c>
      <c r="G1402" s="20" t="s">
        <v>1537</v>
      </c>
      <c r="H1402" s="20" t="s">
        <v>2098</v>
      </c>
      <c r="I1402" s="20" t="s">
        <v>678</v>
      </c>
      <c r="J1402" s="20" t="s">
        <v>8</v>
      </c>
      <c r="K1402" s="20" t="s">
        <v>107</v>
      </c>
      <c r="L1402" t="s">
        <v>108</v>
      </c>
      <c r="M1402" s="20" t="s">
        <v>1700</v>
      </c>
      <c r="N1402" s="20" t="s">
        <v>108</v>
      </c>
      <c r="Q1402" s="24" t="s">
        <v>680</v>
      </c>
    </row>
    <row r="1403" spans="1:17" hidden="1" x14ac:dyDescent="0.3">
      <c r="A1403" s="20">
        <f t="shared" si="21"/>
        <v>1402</v>
      </c>
      <c r="B1403" s="21" t="s">
        <v>87</v>
      </c>
      <c r="C1403" s="21" t="s">
        <v>91</v>
      </c>
      <c r="D1403" s="22" t="str">
        <f>IF($C1403="","",IFERROR(VLOOKUP($C1403,Map_Register!$A$2:$C$5,3,FALSE()),""))</f>
        <v>Cultural Heritage Area</v>
      </c>
      <c r="E1403" s="21" t="s">
        <v>15</v>
      </c>
      <c r="F1403" s="23">
        <v>214019</v>
      </c>
      <c r="G1403" s="20" t="s">
        <v>1537</v>
      </c>
      <c r="H1403" s="20" t="s">
        <v>2099</v>
      </c>
      <c r="I1403" s="20" t="s">
        <v>678</v>
      </c>
      <c r="J1403" s="20" t="s">
        <v>8</v>
      </c>
      <c r="K1403" s="20" t="s">
        <v>107</v>
      </c>
      <c r="L1403" s="20" t="s">
        <v>107</v>
      </c>
      <c r="M1403" s="20" t="s">
        <v>1696</v>
      </c>
      <c r="N1403" s="20" t="s">
        <v>108</v>
      </c>
      <c r="Q1403" s="24" t="s">
        <v>680</v>
      </c>
    </row>
    <row r="1404" spans="1:17" x14ac:dyDescent="0.3">
      <c r="A1404" s="20">
        <f t="shared" si="21"/>
        <v>1403</v>
      </c>
      <c r="B1404" s="21" t="s">
        <v>87</v>
      </c>
      <c r="C1404" s="21" t="s">
        <v>91</v>
      </c>
      <c r="D1404" s="22" t="str">
        <f>IF($C1404="","",IFERROR(VLOOKUP($C1404,Map_Register!$A$2:$C$5,3,FALSE()),""))</f>
        <v>Cultural Heritage Area</v>
      </c>
      <c r="E1404" s="21" t="s">
        <v>15</v>
      </c>
      <c r="F1404" s="23">
        <v>214125</v>
      </c>
      <c r="G1404" s="20" t="s">
        <v>1537</v>
      </c>
      <c r="H1404" s="20" t="s">
        <v>2100</v>
      </c>
      <c r="I1404" s="20" t="s">
        <v>678</v>
      </c>
      <c r="J1404" s="20" t="s">
        <v>8</v>
      </c>
      <c r="K1404" s="20" t="s">
        <v>107</v>
      </c>
      <c r="L1404" t="s">
        <v>108</v>
      </c>
      <c r="M1404" s="20" t="s">
        <v>1700</v>
      </c>
      <c r="N1404" s="20" t="s">
        <v>108</v>
      </c>
      <c r="Q1404" s="24" t="s">
        <v>680</v>
      </c>
    </row>
    <row r="1405" spans="1:17" hidden="1" x14ac:dyDescent="0.3">
      <c r="A1405" s="20">
        <f t="shared" si="21"/>
        <v>1404</v>
      </c>
      <c r="B1405" s="21" t="s">
        <v>87</v>
      </c>
      <c r="C1405" s="21" t="s">
        <v>91</v>
      </c>
      <c r="D1405" s="22" t="str">
        <f>IF($C1405="","",IFERROR(VLOOKUP($C1405,Map_Register!$A$2:$C$5,3,FALSE()),""))</f>
        <v>Cultural Heritage Area</v>
      </c>
      <c r="E1405" s="21" t="s">
        <v>15</v>
      </c>
      <c r="F1405" s="23">
        <v>214298</v>
      </c>
      <c r="G1405" s="20" t="s">
        <v>1537</v>
      </c>
      <c r="H1405" s="20" t="s">
        <v>2101</v>
      </c>
      <c r="I1405" s="20" t="s">
        <v>678</v>
      </c>
      <c r="J1405" s="20" t="s">
        <v>8</v>
      </c>
      <c r="K1405" s="20" t="s">
        <v>107</v>
      </c>
      <c r="L1405" s="20" t="s">
        <v>107</v>
      </c>
      <c r="M1405" s="20" t="s">
        <v>1696</v>
      </c>
      <c r="N1405" s="20" t="s">
        <v>108</v>
      </c>
      <c r="Q1405" s="24" t="s">
        <v>680</v>
      </c>
    </row>
    <row r="1406" spans="1:17" hidden="1" x14ac:dyDescent="0.3">
      <c r="A1406" s="20">
        <f t="shared" si="21"/>
        <v>1405</v>
      </c>
      <c r="B1406" s="21" t="s">
        <v>87</v>
      </c>
      <c r="C1406" s="21" t="s">
        <v>91</v>
      </c>
      <c r="D1406" s="22" t="str">
        <f>IF($C1406="","",IFERROR(VLOOKUP($C1406,Map_Register!$A$2:$C$5,3,FALSE()),""))</f>
        <v>Cultural Heritage Area</v>
      </c>
      <c r="E1406" s="21" t="s">
        <v>15</v>
      </c>
      <c r="F1406" s="23">
        <v>214626</v>
      </c>
      <c r="G1406" s="20" t="s">
        <v>1537</v>
      </c>
      <c r="H1406" s="20" t="s">
        <v>2102</v>
      </c>
      <c r="I1406" s="20" t="s">
        <v>678</v>
      </c>
      <c r="J1406" s="20" t="s">
        <v>6</v>
      </c>
      <c r="K1406" s="20" t="s">
        <v>137</v>
      </c>
      <c r="L1406" s="20" t="s">
        <v>137</v>
      </c>
      <c r="M1406" s="20" t="s">
        <v>1713</v>
      </c>
      <c r="Q1406" s="24" t="s">
        <v>680</v>
      </c>
    </row>
    <row r="1407" spans="1:17" hidden="1" x14ac:dyDescent="0.3">
      <c r="A1407" s="20">
        <f t="shared" si="21"/>
        <v>1406</v>
      </c>
      <c r="B1407" s="21" t="s">
        <v>87</v>
      </c>
      <c r="C1407" s="21" t="s">
        <v>91</v>
      </c>
      <c r="D1407" s="22" t="str">
        <f>IF($C1407="","",IFERROR(VLOOKUP($C1407,Map_Register!$A$2:$C$5,3,FALSE()),""))</f>
        <v>Cultural Heritage Area</v>
      </c>
      <c r="E1407" s="21" t="s">
        <v>15</v>
      </c>
      <c r="F1407" s="23">
        <v>214878</v>
      </c>
      <c r="G1407" s="20" t="s">
        <v>1537</v>
      </c>
      <c r="H1407" s="20" t="s">
        <v>2103</v>
      </c>
      <c r="I1407" s="20" t="s">
        <v>678</v>
      </c>
      <c r="J1407" s="20" t="s">
        <v>8</v>
      </c>
      <c r="K1407" s="20" t="s">
        <v>107</v>
      </c>
      <c r="L1407" s="20" t="s">
        <v>107</v>
      </c>
      <c r="M1407" s="20" t="s">
        <v>1696</v>
      </c>
      <c r="N1407" s="20" t="s">
        <v>108</v>
      </c>
      <c r="Q1407" s="24" t="s">
        <v>680</v>
      </c>
    </row>
    <row r="1408" spans="1:17" hidden="1" x14ac:dyDescent="0.3">
      <c r="A1408" s="20">
        <f t="shared" si="21"/>
        <v>1407</v>
      </c>
      <c r="B1408" s="21" t="s">
        <v>87</v>
      </c>
      <c r="C1408" s="21" t="s">
        <v>91</v>
      </c>
      <c r="D1408" s="22" t="str">
        <f>IF($C1408="","",IFERROR(VLOOKUP($C1408,Map_Register!$A$2:$C$5,3,FALSE()),""))</f>
        <v>Cultural Heritage Area</v>
      </c>
      <c r="E1408" s="21" t="s">
        <v>15</v>
      </c>
      <c r="F1408" s="23">
        <v>215003</v>
      </c>
      <c r="G1408" s="20" t="s">
        <v>1537</v>
      </c>
      <c r="H1408" s="20" t="s">
        <v>2104</v>
      </c>
      <c r="I1408" s="20" t="s">
        <v>678</v>
      </c>
      <c r="J1408" s="20" t="s">
        <v>6</v>
      </c>
      <c r="K1408" s="20" t="s">
        <v>137</v>
      </c>
      <c r="L1408" s="20" t="s">
        <v>137</v>
      </c>
      <c r="M1408" s="20" t="s">
        <v>1713</v>
      </c>
      <c r="Q1408" s="24" t="s">
        <v>680</v>
      </c>
    </row>
    <row r="1409" spans="1:17" hidden="1" x14ac:dyDescent="0.3">
      <c r="A1409" s="20">
        <f t="shared" si="21"/>
        <v>1408</v>
      </c>
      <c r="B1409" s="21" t="s">
        <v>87</v>
      </c>
      <c r="C1409" s="21" t="s">
        <v>91</v>
      </c>
      <c r="D1409" s="22" t="str">
        <f>IF($C1409="","",IFERROR(VLOOKUP($C1409,Map_Register!$A$2:$C$5,3,FALSE()),""))</f>
        <v>Cultural Heritage Area</v>
      </c>
      <c r="E1409" s="21" t="s">
        <v>15</v>
      </c>
      <c r="F1409" s="23">
        <v>215126</v>
      </c>
      <c r="G1409" s="20" t="s">
        <v>1537</v>
      </c>
      <c r="H1409" s="20" t="s">
        <v>2105</v>
      </c>
      <c r="I1409" s="20" t="s">
        <v>678</v>
      </c>
      <c r="J1409" s="20" t="s">
        <v>8</v>
      </c>
      <c r="K1409" s="20" t="s">
        <v>107</v>
      </c>
      <c r="L1409" s="20" t="s">
        <v>107</v>
      </c>
      <c r="M1409" s="20" t="s">
        <v>1696</v>
      </c>
      <c r="N1409" s="20" t="s">
        <v>108</v>
      </c>
      <c r="Q1409" s="24" t="s">
        <v>680</v>
      </c>
    </row>
    <row r="1410" spans="1:17" hidden="1" x14ac:dyDescent="0.3">
      <c r="A1410" s="20">
        <f t="shared" ref="A1410:A1473" si="22">IF($B1410="","",ROW()-1)</f>
        <v>1409</v>
      </c>
      <c r="B1410" s="21" t="s">
        <v>87</v>
      </c>
      <c r="C1410" s="21" t="s">
        <v>91</v>
      </c>
      <c r="D1410" s="22" t="str">
        <f>IF($C1410="","",IFERROR(VLOOKUP($C1410,Map_Register!$A$2:$C$5,3,FALSE()),""))</f>
        <v>Cultural Heritage Area</v>
      </c>
      <c r="E1410" s="21" t="s">
        <v>15</v>
      </c>
      <c r="F1410" s="23">
        <v>215164</v>
      </c>
      <c r="G1410" s="20" t="s">
        <v>1537</v>
      </c>
      <c r="H1410" s="20" t="s">
        <v>2106</v>
      </c>
      <c r="I1410" s="20" t="s">
        <v>678</v>
      </c>
      <c r="J1410" s="20" t="s">
        <v>6</v>
      </c>
      <c r="K1410" s="20" t="s">
        <v>137</v>
      </c>
      <c r="L1410" s="20" t="s">
        <v>137</v>
      </c>
      <c r="M1410" s="20" t="s">
        <v>1713</v>
      </c>
      <c r="Q1410" s="24" t="s">
        <v>680</v>
      </c>
    </row>
    <row r="1411" spans="1:17" x14ac:dyDescent="0.3">
      <c r="A1411" s="20">
        <f t="shared" si="22"/>
        <v>1410</v>
      </c>
      <c r="B1411" s="21" t="s">
        <v>87</v>
      </c>
      <c r="C1411" s="21" t="s">
        <v>91</v>
      </c>
      <c r="D1411" s="22" t="str">
        <f>IF($C1411="","",IFERROR(VLOOKUP($C1411,Map_Register!$A$2:$C$5,3,FALSE()),""))</f>
        <v>Cultural Heritage Area</v>
      </c>
      <c r="E1411" s="21" t="s">
        <v>15</v>
      </c>
      <c r="F1411" s="23">
        <v>215168</v>
      </c>
      <c r="G1411" s="20" t="s">
        <v>1537</v>
      </c>
      <c r="H1411" s="20" t="s">
        <v>2107</v>
      </c>
      <c r="I1411" s="20" t="s">
        <v>678</v>
      </c>
      <c r="J1411" s="20" t="s">
        <v>8</v>
      </c>
      <c r="K1411" s="20" t="s">
        <v>107</v>
      </c>
      <c r="L1411" t="s">
        <v>108</v>
      </c>
      <c r="M1411" s="20" t="s">
        <v>1798</v>
      </c>
      <c r="N1411" s="20" t="s">
        <v>108</v>
      </c>
      <c r="Q1411" s="24" t="s">
        <v>680</v>
      </c>
    </row>
    <row r="1412" spans="1:17" hidden="1" x14ac:dyDescent="0.3">
      <c r="A1412" s="20">
        <f t="shared" si="22"/>
        <v>1411</v>
      </c>
      <c r="B1412" s="21" t="s">
        <v>87</v>
      </c>
      <c r="C1412" s="21" t="s">
        <v>91</v>
      </c>
      <c r="D1412" s="22" t="str">
        <f>IF($C1412="","",IFERROR(VLOOKUP($C1412,Map_Register!$A$2:$C$5,3,FALSE()),""))</f>
        <v>Cultural Heritage Area</v>
      </c>
      <c r="E1412" s="21" t="s">
        <v>15</v>
      </c>
      <c r="F1412" s="23">
        <v>215414</v>
      </c>
      <c r="G1412" s="20" t="s">
        <v>1537</v>
      </c>
      <c r="H1412" s="20" t="s">
        <v>1695</v>
      </c>
      <c r="I1412" s="20" t="s">
        <v>678</v>
      </c>
      <c r="J1412" s="20" t="s">
        <v>8</v>
      </c>
      <c r="K1412" s="20" t="s">
        <v>107</v>
      </c>
      <c r="L1412" s="20" t="s">
        <v>107</v>
      </c>
      <c r="M1412" s="20" t="s">
        <v>1696</v>
      </c>
      <c r="N1412" s="20" t="s">
        <v>108</v>
      </c>
      <c r="Q1412" s="24" t="s">
        <v>680</v>
      </c>
    </row>
    <row r="1413" spans="1:17" x14ac:dyDescent="0.3">
      <c r="A1413" s="20">
        <f t="shared" si="22"/>
        <v>1412</v>
      </c>
      <c r="B1413" s="21" t="s">
        <v>87</v>
      </c>
      <c r="C1413" s="21" t="s">
        <v>91</v>
      </c>
      <c r="D1413" s="22" t="str">
        <f>IF($C1413="","",IFERROR(VLOOKUP($C1413,Map_Register!$A$2:$C$5,3,FALSE()),""))</f>
        <v>Cultural Heritage Area</v>
      </c>
      <c r="E1413" s="21" t="s">
        <v>15</v>
      </c>
      <c r="F1413" s="23">
        <v>215490</v>
      </c>
      <c r="G1413" s="20" t="s">
        <v>1537</v>
      </c>
      <c r="H1413" s="20" t="s">
        <v>2108</v>
      </c>
      <c r="I1413" s="20" t="s">
        <v>678</v>
      </c>
      <c r="J1413" s="20" t="s">
        <v>8</v>
      </c>
      <c r="K1413" s="20" t="s">
        <v>107</v>
      </c>
      <c r="L1413" t="s">
        <v>108</v>
      </c>
      <c r="M1413" s="20" t="s">
        <v>1700</v>
      </c>
      <c r="N1413" s="20" t="s">
        <v>108</v>
      </c>
      <c r="Q1413" s="24" t="s">
        <v>680</v>
      </c>
    </row>
    <row r="1414" spans="1:17" hidden="1" x14ac:dyDescent="0.3">
      <c r="A1414" s="20">
        <f t="shared" si="22"/>
        <v>1413</v>
      </c>
      <c r="B1414" s="21" t="s">
        <v>87</v>
      </c>
      <c r="C1414" s="21" t="s">
        <v>91</v>
      </c>
      <c r="D1414" s="22" t="str">
        <f>IF($C1414="","",IFERROR(VLOOKUP($C1414,Map_Register!$A$2:$C$5,3,FALSE()),""))</f>
        <v>Cultural Heritage Area</v>
      </c>
      <c r="E1414" s="21" t="s">
        <v>15</v>
      </c>
      <c r="F1414" s="23">
        <v>215622</v>
      </c>
      <c r="G1414" s="20" t="s">
        <v>1537</v>
      </c>
      <c r="H1414" s="20" t="s">
        <v>2109</v>
      </c>
      <c r="I1414" s="20" t="s">
        <v>678</v>
      </c>
      <c r="J1414" s="20" t="s">
        <v>6</v>
      </c>
      <c r="K1414" s="20" t="s">
        <v>137</v>
      </c>
      <c r="L1414" s="20" t="s">
        <v>137</v>
      </c>
      <c r="M1414" s="20" t="s">
        <v>1694</v>
      </c>
      <c r="Q1414" s="24" t="s">
        <v>680</v>
      </c>
    </row>
    <row r="1415" spans="1:17" hidden="1" x14ac:dyDescent="0.3">
      <c r="A1415" s="20">
        <f t="shared" si="22"/>
        <v>1414</v>
      </c>
      <c r="B1415" s="21" t="s">
        <v>87</v>
      </c>
      <c r="C1415" s="21" t="s">
        <v>91</v>
      </c>
      <c r="D1415" s="22" t="str">
        <f>IF($C1415="","",IFERROR(VLOOKUP($C1415,Map_Register!$A$2:$C$5,3,FALSE()),""))</f>
        <v>Cultural Heritage Area</v>
      </c>
      <c r="E1415" s="21" t="s">
        <v>15</v>
      </c>
      <c r="F1415" s="23">
        <v>215689</v>
      </c>
      <c r="G1415" s="20" t="s">
        <v>1537</v>
      </c>
      <c r="H1415" s="20" t="s">
        <v>2110</v>
      </c>
      <c r="I1415" s="20" t="s">
        <v>678</v>
      </c>
      <c r="J1415" s="20" t="s">
        <v>6</v>
      </c>
      <c r="K1415" s="20" t="s">
        <v>137</v>
      </c>
      <c r="L1415" s="20" t="s">
        <v>137</v>
      </c>
      <c r="M1415" s="20" t="s">
        <v>1724</v>
      </c>
      <c r="Q1415" s="24" t="s">
        <v>680</v>
      </c>
    </row>
    <row r="1416" spans="1:17" hidden="1" x14ac:dyDescent="0.3">
      <c r="A1416" s="20">
        <f t="shared" si="22"/>
        <v>1415</v>
      </c>
      <c r="B1416" s="21" t="s">
        <v>87</v>
      </c>
      <c r="C1416" s="21" t="s">
        <v>91</v>
      </c>
      <c r="D1416" s="22" t="str">
        <f>IF($C1416="","",IFERROR(VLOOKUP($C1416,Map_Register!$A$2:$C$5,3,FALSE()),""))</f>
        <v>Cultural Heritage Area</v>
      </c>
      <c r="E1416" s="21" t="s">
        <v>15</v>
      </c>
      <c r="F1416" s="23">
        <v>215744</v>
      </c>
      <c r="G1416" s="20" t="s">
        <v>1537</v>
      </c>
      <c r="H1416" s="20" t="s">
        <v>2111</v>
      </c>
      <c r="I1416" s="20" t="s">
        <v>678</v>
      </c>
      <c r="J1416" s="20" t="s">
        <v>8</v>
      </c>
      <c r="K1416" s="20" t="s">
        <v>107</v>
      </c>
      <c r="L1416" s="20" t="s">
        <v>107</v>
      </c>
      <c r="M1416" s="20" t="s">
        <v>1696</v>
      </c>
      <c r="N1416" s="20" t="s">
        <v>108</v>
      </c>
      <c r="Q1416" s="24" t="s">
        <v>680</v>
      </c>
    </row>
    <row r="1417" spans="1:17" hidden="1" x14ac:dyDescent="0.3">
      <c r="A1417" s="20">
        <f t="shared" si="22"/>
        <v>1416</v>
      </c>
      <c r="B1417" s="21" t="s">
        <v>87</v>
      </c>
      <c r="C1417" s="21" t="s">
        <v>91</v>
      </c>
      <c r="D1417" s="22" t="str">
        <f>IF($C1417="","",IFERROR(VLOOKUP($C1417,Map_Register!$A$2:$C$5,3,FALSE()),""))</f>
        <v>Cultural Heritage Area</v>
      </c>
      <c r="E1417" s="21" t="s">
        <v>15</v>
      </c>
      <c r="F1417" s="23">
        <v>215942</v>
      </c>
      <c r="G1417" s="20" t="s">
        <v>1537</v>
      </c>
      <c r="H1417" s="20" t="s">
        <v>2112</v>
      </c>
      <c r="I1417" s="20" t="s">
        <v>678</v>
      </c>
      <c r="J1417" s="20" t="s">
        <v>6</v>
      </c>
      <c r="K1417" s="20" t="s">
        <v>137</v>
      </c>
      <c r="L1417" s="20" t="s">
        <v>137</v>
      </c>
      <c r="M1417" s="20" t="s">
        <v>1713</v>
      </c>
      <c r="Q1417" s="24" t="s">
        <v>680</v>
      </c>
    </row>
    <row r="1418" spans="1:17" hidden="1" x14ac:dyDescent="0.3">
      <c r="A1418" s="20">
        <f t="shared" si="22"/>
        <v>1417</v>
      </c>
      <c r="B1418" s="21" t="s">
        <v>87</v>
      </c>
      <c r="C1418" s="21" t="s">
        <v>91</v>
      </c>
      <c r="D1418" s="22" t="str">
        <f>IF($C1418="","",IFERROR(VLOOKUP($C1418,Map_Register!$A$2:$C$5,3,FALSE()),""))</f>
        <v>Cultural Heritage Area</v>
      </c>
      <c r="E1418" s="21" t="s">
        <v>15</v>
      </c>
      <c r="F1418" s="23">
        <v>216377</v>
      </c>
      <c r="G1418" s="20" t="s">
        <v>1537</v>
      </c>
      <c r="H1418" s="20" t="s">
        <v>2113</v>
      </c>
      <c r="I1418" s="20" t="s">
        <v>678</v>
      </c>
      <c r="J1418" s="20" t="s">
        <v>8</v>
      </c>
      <c r="K1418" s="20" t="s">
        <v>107</v>
      </c>
      <c r="L1418" s="20" t="s">
        <v>107</v>
      </c>
      <c r="M1418" s="20" t="s">
        <v>1696</v>
      </c>
      <c r="N1418" s="20" t="s">
        <v>108</v>
      </c>
      <c r="Q1418" s="24" t="s">
        <v>680</v>
      </c>
    </row>
    <row r="1419" spans="1:17" hidden="1" x14ac:dyDescent="0.3">
      <c r="A1419" s="20">
        <f t="shared" si="22"/>
        <v>1418</v>
      </c>
      <c r="B1419" s="21" t="s">
        <v>87</v>
      </c>
      <c r="C1419" s="21" t="s">
        <v>91</v>
      </c>
      <c r="D1419" s="22" t="str">
        <f>IF($C1419="","",IFERROR(VLOOKUP($C1419,Map_Register!$A$2:$C$5,3,FALSE()),""))</f>
        <v>Cultural Heritage Area</v>
      </c>
      <c r="E1419" s="21" t="s">
        <v>15</v>
      </c>
      <c r="F1419" s="23">
        <v>216475</v>
      </c>
      <c r="G1419" s="20" t="s">
        <v>1537</v>
      </c>
      <c r="H1419" s="20" t="s">
        <v>2114</v>
      </c>
      <c r="I1419" s="20" t="s">
        <v>678</v>
      </c>
      <c r="J1419" s="20" t="s">
        <v>6</v>
      </c>
      <c r="K1419" s="20" t="s">
        <v>137</v>
      </c>
      <c r="L1419" s="20" t="s">
        <v>137</v>
      </c>
      <c r="M1419" s="20" t="s">
        <v>1713</v>
      </c>
      <c r="Q1419" s="24" t="s">
        <v>680</v>
      </c>
    </row>
    <row r="1420" spans="1:17" x14ac:dyDescent="0.3">
      <c r="A1420" s="20">
        <f t="shared" si="22"/>
        <v>1419</v>
      </c>
      <c r="B1420" s="21" t="s">
        <v>87</v>
      </c>
      <c r="C1420" s="21" t="s">
        <v>91</v>
      </c>
      <c r="D1420" s="22" t="str">
        <f>IF($C1420="","",IFERROR(VLOOKUP($C1420,Map_Register!$A$2:$C$5,3,FALSE()),""))</f>
        <v>Cultural Heritage Area</v>
      </c>
      <c r="E1420" s="21" t="s">
        <v>15</v>
      </c>
      <c r="F1420" s="23">
        <v>216582</v>
      </c>
      <c r="G1420" s="20" t="s">
        <v>1537</v>
      </c>
      <c r="H1420" s="20" t="s">
        <v>2115</v>
      </c>
      <c r="I1420" s="20" t="s">
        <v>678</v>
      </c>
      <c r="J1420" s="20" t="s">
        <v>8</v>
      </c>
      <c r="K1420" s="20" t="s">
        <v>107</v>
      </c>
      <c r="L1420" t="s">
        <v>108</v>
      </c>
      <c r="M1420" s="20" t="s">
        <v>1700</v>
      </c>
      <c r="N1420" s="20" t="s">
        <v>108</v>
      </c>
      <c r="Q1420" s="24" t="s">
        <v>680</v>
      </c>
    </row>
    <row r="1421" spans="1:17" hidden="1" x14ac:dyDescent="0.3">
      <c r="A1421" s="20">
        <f t="shared" si="22"/>
        <v>1420</v>
      </c>
      <c r="B1421" s="21" t="s">
        <v>87</v>
      </c>
      <c r="C1421" s="21" t="s">
        <v>91</v>
      </c>
      <c r="D1421" s="22" t="str">
        <f>IF($C1421="","",IFERROR(VLOOKUP($C1421,Map_Register!$A$2:$C$5,3,FALSE()),""))</f>
        <v>Cultural Heritage Area</v>
      </c>
      <c r="E1421" s="21" t="s">
        <v>15</v>
      </c>
      <c r="F1421" s="23">
        <v>216736</v>
      </c>
      <c r="G1421" s="20" t="s">
        <v>1537</v>
      </c>
      <c r="H1421" s="20" t="s">
        <v>2116</v>
      </c>
      <c r="I1421" s="20" t="s">
        <v>678</v>
      </c>
      <c r="J1421" s="20" t="s">
        <v>6</v>
      </c>
      <c r="K1421" s="20" t="s">
        <v>137</v>
      </c>
      <c r="L1421" s="20" t="s">
        <v>137</v>
      </c>
      <c r="M1421" s="20" t="s">
        <v>1713</v>
      </c>
      <c r="Q1421" s="24" t="s">
        <v>680</v>
      </c>
    </row>
    <row r="1422" spans="1:17" x14ac:dyDescent="0.3">
      <c r="A1422" s="20">
        <f t="shared" si="22"/>
        <v>1421</v>
      </c>
      <c r="B1422" s="21" t="s">
        <v>87</v>
      </c>
      <c r="C1422" s="21" t="s">
        <v>91</v>
      </c>
      <c r="D1422" s="22" t="str">
        <f>IF($C1422="","",IFERROR(VLOOKUP($C1422,Map_Register!$A$2:$C$5,3,FALSE()),""))</f>
        <v>Cultural Heritage Area</v>
      </c>
      <c r="E1422" s="21" t="s">
        <v>15</v>
      </c>
      <c r="F1422" s="23">
        <v>216964</v>
      </c>
      <c r="G1422" s="20" t="s">
        <v>1537</v>
      </c>
      <c r="H1422" s="20" t="s">
        <v>2117</v>
      </c>
      <c r="I1422" s="20" t="s">
        <v>678</v>
      </c>
      <c r="J1422" s="20" t="s">
        <v>8</v>
      </c>
      <c r="K1422" s="20" t="s">
        <v>107</v>
      </c>
      <c r="L1422" t="s">
        <v>108</v>
      </c>
      <c r="M1422" s="20" t="s">
        <v>1722</v>
      </c>
      <c r="N1422" s="20" t="s">
        <v>108</v>
      </c>
      <c r="Q1422" s="24" t="s">
        <v>680</v>
      </c>
    </row>
    <row r="1423" spans="1:17" x14ac:dyDescent="0.3">
      <c r="A1423" s="20">
        <f t="shared" si="22"/>
        <v>1422</v>
      </c>
      <c r="B1423" s="21" t="s">
        <v>87</v>
      </c>
      <c r="C1423" s="21" t="s">
        <v>91</v>
      </c>
      <c r="D1423" s="22" t="str">
        <f>IF($C1423="","",IFERROR(VLOOKUP($C1423,Map_Register!$A$2:$C$5,3,FALSE()),""))</f>
        <v>Cultural Heritage Area</v>
      </c>
      <c r="E1423" s="21" t="s">
        <v>15</v>
      </c>
      <c r="F1423" s="23">
        <v>217212</v>
      </c>
      <c r="G1423" s="20" t="s">
        <v>1537</v>
      </c>
      <c r="H1423" s="20" t="s">
        <v>2118</v>
      </c>
      <c r="I1423" s="20" t="s">
        <v>678</v>
      </c>
      <c r="J1423" s="20" t="s">
        <v>8</v>
      </c>
      <c r="K1423" s="20" t="s">
        <v>107</v>
      </c>
      <c r="L1423" t="s">
        <v>108</v>
      </c>
      <c r="M1423" s="20" t="s">
        <v>1700</v>
      </c>
      <c r="N1423" s="20" t="s">
        <v>108</v>
      </c>
      <c r="Q1423" s="24" t="s">
        <v>680</v>
      </c>
    </row>
    <row r="1424" spans="1:17" hidden="1" x14ac:dyDescent="0.3">
      <c r="A1424" s="20">
        <f t="shared" si="22"/>
        <v>1423</v>
      </c>
      <c r="B1424" s="21" t="s">
        <v>87</v>
      </c>
      <c r="C1424" s="21" t="s">
        <v>91</v>
      </c>
      <c r="D1424" s="22" t="str">
        <f>IF($C1424="","",IFERROR(VLOOKUP($C1424,Map_Register!$A$2:$C$5,3,FALSE()),""))</f>
        <v>Cultural Heritage Area</v>
      </c>
      <c r="E1424" s="21" t="s">
        <v>15</v>
      </c>
      <c r="F1424" s="23">
        <v>217279</v>
      </c>
      <c r="G1424" s="20" t="s">
        <v>1537</v>
      </c>
      <c r="H1424" s="20" t="s">
        <v>2119</v>
      </c>
      <c r="I1424" s="20" t="s">
        <v>678</v>
      </c>
      <c r="J1424" s="20" t="s">
        <v>6</v>
      </c>
      <c r="K1424" s="20" t="s">
        <v>137</v>
      </c>
      <c r="L1424" s="20" t="s">
        <v>137</v>
      </c>
      <c r="M1424" s="20" t="s">
        <v>1713</v>
      </c>
      <c r="Q1424" s="24" t="s">
        <v>680</v>
      </c>
    </row>
    <row r="1425" spans="1:17" hidden="1" x14ac:dyDescent="0.3">
      <c r="A1425" s="20">
        <f t="shared" si="22"/>
        <v>1424</v>
      </c>
      <c r="B1425" s="21" t="s">
        <v>87</v>
      </c>
      <c r="C1425" s="21" t="s">
        <v>91</v>
      </c>
      <c r="D1425" s="22" t="str">
        <f>IF($C1425="","",IFERROR(VLOOKUP($C1425,Map_Register!$A$2:$C$5,3,FALSE()),""))</f>
        <v>Cultural Heritage Area</v>
      </c>
      <c r="E1425" s="21" t="s">
        <v>15</v>
      </c>
      <c r="F1425" s="23">
        <v>217451</v>
      </c>
      <c r="G1425" s="20" t="s">
        <v>1537</v>
      </c>
      <c r="H1425" s="20" t="s">
        <v>2120</v>
      </c>
      <c r="I1425" s="20" t="s">
        <v>678</v>
      </c>
      <c r="J1425" s="20" t="s">
        <v>8</v>
      </c>
      <c r="K1425" s="20" t="s">
        <v>107</v>
      </c>
      <c r="L1425" s="20" t="s">
        <v>107</v>
      </c>
      <c r="M1425" s="20" t="s">
        <v>1705</v>
      </c>
      <c r="N1425" s="20" t="s">
        <v>108</v>
      </c>
      <c r="Q1425" s="24" t="s">
        <v>680</v>
      </c>
    </row>
    <row r="1426" spans="1:17" x14ac:dyDescent="0.3">
      <c r="A1426" s="20">
        <f t="shared" si="22"/>
        <v>1425</v>
      </c>
      <c r="B1426" s="21" t="s">
        <v>87</v>
      </c>
      <c r="C1426" s="21" t="s">
        <v>91</v>
      </c>
      <c r="D1426" s="22" t="str">
        <f>IF($C1426="","",IFERROR(VLOOKUP($C1426,Map_Register!$A$2:$C$5,3,FALSE()),""))</f>
        <v>Cultural Heritage Area</v>
      </c>
      <c r="E1426" s="21" t="s">
        <v>15</v>
      </c>
      <c r="F1426" s="23">
        <v>217608</v>
      </c>
      <c r="G1426" s="20" t="s">
        <v>1537</v>
      </c>
      <c r="H1426" s="20" t="s">
        <v>2121</v>
      </c>
      <c r="I1426" s="20" t="s">
        <v>678</v>
      </c>
      <c r="J1426" s="20" t="s">
        <v>8</v>
      </c>
      <c r="K1426" s="20" t="s">
        <v>107</v>
      </c>
      <c r="L1426" t="s">
        <v>108</v>
      </c>
      <c r="M1426" s="20" t="s">
        <v>1722</v>
      </c>
      <c r="N1426" s="20" t="s">
        <v>108</v>
      </c>
      <c r="Q1426" s="24" t="s">
        <v>680</v>
      </c>
    </row>
    <row r="1427" spans="1:17" hidden="1" x14ac:dyDescent="0.3">
      <c r="A1427" s="20">
        <f t="shared" si="22"/>
        <v>1426</v>
      </c>
      <c r="B1427" s="21" t="s">
        <v>87</v>
      </c>
      <c r="C1427" s="21" t="s">
        <v>91</v>
      </c>
      <c r="D1427" s="22" t="str">
        <f>IF($C1427="","",IFERROR(VLOOKUP($C1427,Map_Register!$A$2:$C$5,3,FALSE()),""))</f>
        <v>Cultural Heritage Area</v>
      </c>
      <c r="E1427" s="21" t="s">
        <v>15</v>
      </c>
      <c r="F1427" s="23">
        <v>217782</v>
      </c>
      <c r="G1427" s="20" t="s">
        <v>1537</v>
      </c>
      <c r="H1427" s="20" t="s">
        <v>168</v>
      </c>
      <c r="I1427" s="20" t="s">
        <v>678</v>
      </c>
      <c r="J1427" s="20" t="s">
        <v>6</v>
      </c>
      <c r="K1427" s="20" t="s">
        <v>137</v>
      </c>
      <c r="L1427" s="20" t="s">
        <v>137</v>
      </c>
      <c r="M1427" s="20" t="s">
        <v>1713</v>
      </c>
      <c r="Q1427" s="24" t="s">
        <v>680</v>
      </c>
    </row>
    <row r="1428" spans="1:17" hidden="1" x14ac:dyDescent="0.3">
      <c r="A1428" s="20">
        <f t="shared" si="22"/>
        <v>1427</v>
      </c>
      <c r="B1428" s="21" t="s">
        <v>87</v>
      </c>
      <c r="C1428" s="21" t="s">
        <v>91</v>
      </c>
      <c r="D1428" s="22" t="str">
        <f>IF($C1428="","",IFERROR(VLOOKUP($C1428,Map_Register!$A$2:$C$5,3,FALSE()),""))</f>
        <v>Cultural Heritage Area</v>
      </c>
      <c r="E1428" s="21" t="s">
        <v>15</v>
      </c>
      <c r="F1428" s="23">
        <v>218010</v>
      </c>
      <c r="G1428" s="20" t="s">
        <v>1537</v>
      </c>
      <c r="H1428" s="20" t="s">
        <v>2122</v>
      </c>
      <c r="I1428" s="20" t="s">
        <v>678</v>
      </c>
      <c r="J1428" s="20" t="s">
        <v>6</v>
      </c>
      <c r="K1428" s="20" t="s">
        <v>137</v>
      </c>
      <c r="L1428" s="20" t="s">
        <v>137</v>
      </c>
      <c r="M1428" s="20" t="s">
        <v>1694</v>
      </c>
      <c r="Q1428" s="24" t="s">
        <v>680</v>
      </c>
    </row>
    <row r="1429" spans="1:17" hidden="1" x14ac:dyDescent="0.3">
      <c r="A1429" s="20">
        <f t="shared" si="22"/>
        <v>1428</v>
      </c>
      <c r="B1429" s="21" t="s">
        <v>87</v>
      </c>
      <c r="C1429" s="21" t="s">
        <v>91</v>
      </c>
      <c r="D1429" s="22" t="str">
        <f>IF($C1429="","",IFERROR(VLOOKUP($C1429,Map_Register!$A$2:$C$5,3,FALSE()),""))</f>
        <v>Cultural Heritage Area</v>
      </c>
      <c r="E1429" s="21" t="s">
        <v>15</v>
      </c>
      <c r="F1429" s="23">
        <v>218018</v>
      </c>
      <c r="G1429" s="20" t="s">
        <v>1537</v>
      </c>
      <c r="H1429" s="20" t="s">
        <v>2123</v>
      </c>
      <c r="I1429" s="20" t="s">
        <v>678</v>
      </c>
      <c r="J1429" s="20" t="s">
        <v>6</v>
      </c>
      <c r="K1429" s="20" t="s">
        <v>137</v>
      </c>
      <c r="L1429" s="20" t="s">
        <v>137</v>
      </c>
      <c r="M1429" s="20" t="s">
        <v>1713</v>
      </c>
      <c r="Q1429" s="24" t="s">
        <v>680</v>
      </c>
    </row>
    <row r="1430" spans="1:17" hidden="1" x14ac:dyDescent="0.3">
      <c r="A1430" s="20">
        <f t="shared" si="22"/>
        <v>1429</v>
      </c>
      <c r="B1430" s="21" t="s">
        <v>87</v>
      </c>
      <c r="C1430" s="21" t="s">
        <v>91</v>
      </c>
      <c r="D1430" s="22" t="str">
        <f>IF($C1430="","",IFERROR(VLOOKUP($C1430,Map_Register!$A$2:$C$5,3,FALSE()),""))</f>
        <v>Cultural Heritage Area</v>
      </c>
      <c r="E1430" s="21" t="s">
        <v>15</v>
      </c>
      <c r="F1430" s="23">
        <v>218066</v>
      </c>
      <c r="G1430" s="20" t="s">
        <v>1537</v>
      </c>
      <c r="H1430" s="20" t="s">
        <v>2124</v>
      </c>
      <c r="I1430" s="20" t="s">
        <v>678</v>
      </c>
      <c r="J1430" s="20" t="s">
        <v>6</v>
      </c>
      <c r="K1430" s="20" t="s">
        <v>137</v>
      </c>
      <c r="L1430" s="20" t="s">
        <v>137</v>
      </c>
      <c r="M1430" s="20" t="s">
        <v>1694</v>
      </c>
      <c r="Q1430" s="24" t="s">
        <v>680</v>
      </c>
    </row>
    <row r="1431" spans="1:17" hidden="1" x14ac:dyDescent="0.3">
      <c r="A1431" s="20">
        <f t="shared" si="22"/>
        <v>1430</v>
      </c>
      <c r="B1431" s="21" t="s">
        <v>87</v>
      </c>
      <c r="C1431" s="21" t="s">
        <v>91</v>
      </c>
      <c r="D1431" s="22" t="str">
        <f>IF($C1431="","",IFERROR(VLOOKUP($C1431,Map_Register!$A$2:$C$5,3,FALSE()),""))</f>
        <v>Cultural Heritage Area</v>
      </c>
      <c r="E1431" s="21" t="s">
        <v>15</v>
      </c>
      <c r="F1431" s="23">
        <v>218115</v>
      </c>
      <c r="G1431" s="20" t="s">
        <v>1537</v>
      </c>
      <c r="H1431" s="20" t="s">
        <v>2125</v>
      </c>
      <c r="I1431" s="20" t="s">
        <v>678</v>
      </c>
      <c r="J1431" s="20" t="s">
        <v>6</v>
      </c>
      <c r="K1431" s="20" t="s">
        <v>137</v>
      </c>
      <c r="L1431" s="20" t="s">
        <v>137</v>
      </c>
      <c r="M1431" s="20" t="s">
        <v>1694</v>
      </c>
      <c r="Q1431" s="24" t="s">
        <v>680</v>
      </c>
    </row>
    <row r="1432" spans="1:17" hidden="1" x14ac:dyDescent="0.3">
      <c r="A1432" s="20">
        <f t="shared" si="22"/>
        <v>1431</v>
      </c>
      <c r="B1432" s="21" t="s">
        <v>87</v>
      </c>
      <c r="C1432" s="21" t="s">
        <v>91</v>
      </c>
      <c r="D1432" s="22" t="str">
        <f>IF($C1432="","",IFERROR(VLOOKUP($C1432,Map_Register!$A$2:$C$5,3,FALSE()),""))</f>
        <v>Cultural Heritage Area</v>
      </c>
      <c r="E1432" s="21" t="s">
        <v>15</v>
      </c>
      <c r="F1432" s="23">
        <v>218263</v>
      </c>
      <c r="G1432" s="20" t="s">
        <v>1537</v>
      </c>
      <c r="H1432" s="20" t="s">
        <v>2126</v>
      </c>
      <c r="I1432" s="20" t="s">
        <v>678</v>
      </c>
      <c r="J1432" s="20" t="s">
        <v>6</v>
      </c>
      <c r="K1432" s="20" t="s">
        <v>137</v>
      </c>
      <c r="L1432" s="20" t="s">
        <v>137</v>
      </c>
      <c r="M1432" s="20" t="s">
        <v>1713</v>
      </c>
      <c r="Q1432" s="24" t="s">
        <v>680</v>
      </c>
    </row>
    <row r="1433" spans="1:17" x14ac:dyDescent="0.3">
      <c r="A1433" s="20">
        <f t="shared" si="22"/>
        <v>1432</v>
      </c>
      <c r="B1433" s="21" t="s">
        <v>87</v>
      </c>
      <c r="C1433" s="21" t="s">
        <v>91</v>
      </c>
      <c r="D1433" s="22" t="str">
        <f>IF($C1433="","",IFERROR(VLOOKUP($C1433,Map_Register!$A$2:$C$5,3,FALSE()),""))</f>
        <v>Cultural Heritage Area</v>
      </c>
      <c r="E1433" s="21" t="s">
        <v>15</v>
      </c>
      <c r="F1433" s="23">
        <v>218427</v>
      </c>
      <c r="G1433" s="20" t="s">
        <v>1537</v>
      </c>
      <c r="H1433" s="20" t="s">
        <v>2127</v>
      </c>
      <c r="I1433" s="20" t="s">
        <v>678</v>
      </c>
      <c r="J1433" s="20" t="s">
        <v>8</v>
      </c>
      <c r="K1433" s="20" t="s">
        <v>107</v>
      </c>
      <c r="L1433" t="s">
        <v>108</v>
      </c>
      <c r="M1433" s="20" t="s">
        <v>2044</v>
      </c>
      <c r="N1433" s="20" t="s">
        <v>108</v>
      </c>
      <c r="Q1433" s="24" t="s">
        <v>680</v>
      </c>
    </row>
    <row r="1434" spans="1:17" hidden="1" x14ac:dyDescent="0.3">
      <c r="A1434" s="20">
        <f t="shared" si="22"/>
        <v>1433</v>
      </c>
      <c r="B1434" s="21" t="s">
        <v>87</v>
      </c>
      <c r="C1434" s="21" t="s">
        <v>91</v>
      </c>
      <c r="D1434" s="22" t="str">
        <f>IF($C1434="","",IFERROR(VLOOKUP($C1434,Map_Register!$A$2:$C$5,3,FALSE()),""))</f>
        <v>Cultural Heritage Area</v>
      </c>
      <c r="E1434" s="21" t="s">
        <v>15</v>
      </c>
      <c r="F1434" s="23">
        <v>218455</v>
      </c>
      <c r="G1434" s="20" t="s">
        <v>1537</v>
      </c>
      <c r="H1434" s="20" t="s">
        <v>2128</v>
      </c>
      <c r="I1434" s="20" t="s">
        <v>678</v>
      </c>
      <c r="J1434" s="20" t="s">
        <v>8</v>
      </c>
      <c r="K1434" s="20" t="s">
        <v>107</v>
      </c>
      <c r="L1434" s="20" t="s">
        <v>107</v>
      </c>
      <c r="M1434" s="20" t="s">
        <v>1696</v>
      </c>
      <c r="N1434" s="20" t="s">
        <v>108</v>
      </c>
      <c r="Q1434" s="24" t="s">
        <v>680</v>
      </c>
    </row>
    <row r="1435" spans="1:17" hidden="1" x14ac:dyDescent="0.3">
      <c r="A1435" s="20">
        <f t="shared" si="22"/>
        <v>1434</v>
      </c>
      <c r="B1435" s="21" t="s">
        <v>87</v>
      </c>
      <c r="C1435" s="21" t="s">
        <v>91</v>
      </c>
      <c r="D1435" s="22" t="str">
        <f>IF($C1435="","",IFERROR(VLOOKUP($C1435,Map_Register!$A$2:$C$5,3,FALSE()),""))</f>
        <v>Cultural Heritage Area</v>
      </c>
      <c r="E1435" s="21" t="s">
        <v>15</v>
      </c>
      <c r="F1435" s="23">
        <v>218646</v>
      </c>
      <c r="G1435" s="20" t="s">
        <v>1537</v>
      </c>
      <c r="H1435" s="20" t="s">
        <v>2129</v>
      </c>
      <c r="I1435" s="20" t="s">
        <v>678</v>
      </c>
      <c r="J1435" s="20" t="s">
        <v>6</v>
      </c>
      <c r="K1435" s="20" t="s">
        <v>137</v>
      </c>
      <c r="L1435" s="20" t="s">
        <v>137</v>
      </c>
      <c r="M1435" s="20" t="s">
        <v>1713</v>
      </c>
      <c r="Q1435" s="24" t="s">
        <v>680</v>
      </c>
    </row>
    <row r="1436" spans="1:17" hidden="1" x14ac:dyDescent="0.3">
      <c r="A1436" s="20">
        <f t="shared" si="22"/>
        <v>1435</v>
      </c>
      <c r="B1436" s="21" t="s">
        <v>87</v>
      </c>
      <c r="C1436" s="21" t="s">
        <v>91</v>
      </c>
      <c r="D1436" s="22" t="str">
        <f>IF($C1436="","",IFERROR(VLOOKUP($C1436,Map_Register!$A$2:$C$5,3,FALSE()),""))</f>
        <v>Cultural Heritage Area</v>
      </c>
      <c r="E1436" s="21" t="s">
        <v>15</v>
      </c>
      <c r="F1436" s="23">
        <v>218818</v>
      </c>
      <c r="G1436" s="20" t="s">
        <v>1537</v>
      </c>
      <c r="H1436" s="20" t="s">
        <v>2130</v>
      </c>
      <c r="I1436" s="20" t="s">
        <v>678</v>
      </c>
      <c r="J1436" s="20" t="s">
        <v>8</v>
      </c>
      <c r="K1436" s="20" t="s">
        <v>107</v>
      </c>
      <c r="L1436" s="20" t="s">
        <v>107</v>
      </c>
      <c r="M1436" s="20" t="s">
        <v>1705</v>
      </c>
      <c r="N1436" s="20" t="s">
        <v>108</v>
      </c>
      <c r="Q1436" s="24" t="s">
        <v>680</v>
      </c>
    </row>
    <row r="1437" spans="1:17" hidden="1" x14ac:dyDescent="0.3">
      <c r="A1437" s="20">
        <f t="shared" si="22"/>
        <v>1436</v>
      </c>
      <c r="B1437" s="21" t="s">
        <v>87</v>
      </c>
      <c r="C1437" s="21" t="s">
        <v>91</v>
      </c>
      <c r="D1437" s="22" t="str">
        <f>IF($C1437="","",IFERROR(VLOOKUP($C1437,Map_Register!$A$2:$C$5,3,FALSE()),""))</f>
        <v>Cultural Heritage Area</v>
      </c>
      <c r="E1437" s="21" t="s">
        <v>15</v>
      </c>
      <c r="F1437" s="23">
        <v>219073</v>
      </c>
      <c r="G1437" s="20" t="s">
        <v>1537</v>
      </c>
      <c r="H1437" s="20" t="s">
        <v>2131</v>
      </c>
      <c r="I1437" s="20" t="s">
        <v>678</v>
      </c>
      <c r="J1437" s="20" t="s">
        <v>6</v>
      </c>
      <c r="K1437" s="20" t="s">
        <v>137</v>
      </c>
      <c r="L1437" s="20" t="s">
        <v>137</v>
      </c>
      <c r="M1437" s="20" t="s">
        <v>1713</v>
      </c>
      <c r="Q1437" s="24" t="s">
        <v>680</v>
      </c>
    </row>
    <row r="1438" spans="1:17" x14ac:dyDescent="0.3">
      <c r="A1438" s="20">
        <f t="shared" si="22"/>
        <v>1437</v>
      </c>
      <c r="B1438" s="21" t="s">
        <v>87</v>
      </c>
      <c r="C1438" s="21" t="s">
        <v>91</v>
      </c>
      <c r="D1438" s="22" t="str">
        <f>IF($C1438="","",IFERROR(VLOOKUP($C1438,Map_Register!$A$2:$C$5,3,FALSE()),""))</f>
        <v>Cultural Heritage Area</v>
      </c>
      <c r="E1438" s="21" t="s">
        <v>15</v>
      </c>
      <c r="F1438" s="23">
        <v>219104</v>
      </c>
      <c r="G1438" s="20" t="s">
        <v>1537</v>
      </c>
      <c r="H1438" s="20" t="s">
        <v>2132</v>
      </c>
      <c r="I1438" s="20" t="s">
        <v>678</v>
      </c>
      <c r="J1438" s="20" t="s">
        <v>8</v>
      </c>
      <c r="K1438" s="20" t="s">
        <v>107</v>
      </c>
      <c r="L1438" t="s">
        <v>108</v>
      </c>
      <c r="M1438" s="20" t="s">
        <v>1722</v>
      </c>
      <c r="N1438" s="20" t="s">
        <v>108</v>
      </c>
      <c r="Q1438" s="24" t="s">
        <v>680</v>
      </c>
    </row>
    <row r="1439" spans="1:17" x14ac:dyDescent="0.3">
      <c r="A1439" s="20">
        <f t="shared" si="22"/>
        <v>1438</v>
      </c>
      <c r="B1439" s="21" t="s">
        <v>87</v>
      </c>
      <c r="C1439" s="21" t="s">
        <v>91</v>
      </c>
      <c r="D1439" s="22" t="str">
        <f>IF($C1439="","",IFERROR(VLOOKUP($C1439,Map_Register!$A$2:$C$5,3,FALSE()),""))</f>
        <v>Cultural Heritage Area</v>
      </c>
      <c r="E1439" s="21" t="s">
        <v>15</v>
      </c>
      <c r="F1439" s="23">
        <v>219195</v>
      </c>
      <c r="G1439" s="20" t="s">
        <v>1537</v>
      </c>
      <c r="H1439" s="20" t="s">
        <v>2133</v>
      </c>
      <c r="I1439" s="20" t="s">
        <v>678</v>
      </c>
      <c r="J1439" s="20" t="s">
        <v>8</v>
      </c>
      <c r="K1439" s="20" t="s">
        <v>107</v>
      </c>
      <c r="L1439" t="s">
        <v>108</v>
      </c>
      <c r="M1439" s="20" t="s">
        <v>2134</v>
      </c>
      <c r="N1439" s="20" t="s">
        <v>108</v>
      </c>
      <c r="Q1439" s="24" t="s">
        <v>680</v>
      </c>
    </row>
    <row r="1440" spans="1:17" hidden="1" x14ac:dyDescent="0.3">
      <c r="A1440" s="20">
        <f t="shared" si="22"/>
        <v>1439</v>
      </c>
      <c r="B1440" s="21" t="s">
        <v>87</v>
      </c>
      <c r="C1440" s="21" t="s">
        <v>91</v>
      </c>
      <c r="D1440" s="22" t="str">
        <f>IF($C1440="","",IFERROR(VLOOKUP($C1440,Map_Register!$A$2:$C$5,3,FALSE()),""))</f>
        <v>Cultural Heritage Area</v>
      </c>
      <c r="E1440" s="21" t="s">
        <v>15</v>
      </c>
      <c r="F1440" s="23">
        <v>219379</v>
      </c>
      <c r="G1440" s="20" t="s">
        <v>1537</v>
      </c>
      <c r="H1440" s="20" t="s">
        <v>2135</v>
      </c>
      <c r="I1440" s="20" t="s">
        <v>678</v>
      </c>
      <c r="J1440" s="20" t="s">
        <v>6</v>
      </c>
      <c r="K1440" s="20" t="s">
        <v>137</v>
      </c>
      <c r="L1440" s="20" t="s">
        <v>137</v>
      </c>
      <c r="M1440" s="20" t="s">
        <v>1713</v>
      </c>
      <c r="Q1440" s="24" t="s">
        <v>680</v>
      </c>
    </row>
    <row r="1441" spans="1:17" hidden="1" x14ac:dyDescent="0.3">
      <c r="A1441" s="20">
        <f t="shared" si="22"/>
        <v>1440</v>
      </c>
      <c r="B1441" s="21" t="s">
        <v>87</v>
      </c>
      <c r="C1441" s="21" t="s">
        <v>91</v>
      </c>
      <c r="D1441" s="22" t="str">
        <f>IF($C1441="","",IFERROR(VLOOKUP($C1441,Map_Register!$A$2:$C$5,3,FALSE()),""))</f>
        <v>Cultural Heritage Area</v>
      </c>
      <c r="E1441" s="21" t="s">
        <v>15</v>
      </c>
      <c r="F1441" s="23">
        <v>219506</v>
      </c>
      <c r="G1441" s="20" t="s">
        <v>1537</v>
      </c>
      <c r="H1441" s="20" t="s">
        <v>2136</v>
      </c>
      <c r="I1441" s="20" t="s">
        <v>678</v>
      </c>
      <c r="J1441" s="20" t="s">
        <v>6</v>
      </c>
      <c r="K1441" s="20" t="s">
        <v>137</v>
      </c>
      <c r="L1441" s="20" t="s">
        <v>137</v>
      </c>
      <c r="M1441" s="20" t="s">
        <v>1724</v>
      </c>
      <c r="Q1441" s="24" t="s">
        <v>680</v>
      </c>
    </row>
    <row r="1442" spans="1:17" x14ac:dyDescent="0.3">
      <c r="A1442" s="20">
        <f t="shared" si="22"/>
        <v>1441</v>
      </c>
      <c r="B1442" s="21" t="s">
        <v>87</v>
      </c>
      <c r="C1442" s="21" t="s">
        <v>91</v>
      </c>
      <c r="D1442" s="22" t="str">
        <f>IF($C1442="","",IFERROR(VLOOKUP($C1442,Map_Register!$A$2:$C$5,3,FALSE()),""))</f>
        <v>Cultural Heritage Area</v>
      </c>
      <c r="E1442" s="21" t="s">
        <v>15</v>
      </c>
      <c r="F1442" s="23">
        <v>219529</v>
      </c>
      <c r="G1442" s="20" t="s">
        <v>1537</v>
      </c>
      <c r="H1442" s="20" t="s">
        <v>2137</v>
      </c>
      <c r="I1442" s="20" t="s">
        <v>678</v>
      </c>
      <c r="J1442" s="20" t="s">
        <v>8</v>
      </c>
      <c r="K1442" s="20" t="s">
        <v>107</v>
      </c>
      <c r="L1442" t="s">
        <v>108</v>
      </c>
      <c r="M1442" s="20" t="s">
        <v>1700</v>
      </c>
      <c r="N1442" s="20" t="s">
        <v>108</v>
      </c>
      <c r="Q1442" s="24" t="s">
        <v>680</v>
      </c>
    </row>
    <row r="1443" spans="1:17" hidden="1" x14ac:dyDescent="0.3">
      <c r="A1443" s="20">
        <f t="shared" si="22"/>
        <v>1442</v>
      </c>
      <c r="B1443" s="21" t="s">
        <v>87</v>
      </c>
      <c r="C1443" s="21" t="s">
        <v>91</v>
      </c>
      <c r="D1443" s="22" t="str">
        <f>IF($C1443="","",IFERROR(VLOOKUP($C1443,Map_Register!$A$2:$C$5,3,FALSE()),""))</f>
        <v>Cultural Heritage Area</v>
      </c>
      <c r="E1443" s="21" t="s">
        <v>15</v>
      </c>
      <c r="F1443" s="23">
        <v>219993</v>
      </c>
      <c r="G1443" s="20" t="s">
        <v>1537</v>
      </c>
      <c r="H1443" s="20" t="s">
        <v>2138</v>
      </c>
      <c r="I1443" s="20" t="s">
        <v>678</v>
      </c>
      <c r="J1443" s="20" t="s">
        <v>8</v>
      </c>
      <c r="K1443" s="20" t="s">
        <v>107</v>
      </c>
      <c r="L1443" s="20" t="s">
        <v>107</v>
      </c>
      <c r="M1443" s="20" t="s">
        <v>1696</v>
      </c>
      <c r="N1443" s="20" t="s">
        <v>108</v>
      </c>
      <c r="Q1443" s="24" t="s">
        <v>680</v>
      </c>
    </row>
    <row r="1444" spans="1:17" hidden="1" x14ac:dyDescent="0.3">
      <c r="A1444" s="20">
        <f t="shared" si="22"/>
        <v>1443</v>
      </c>
      <c r="B1444" s="21" t="s">
        <v>87</v>
      </c>
      <c r="C1444" s="21" t="s">
        <v>91</v>
      </c>
      <c r="D1444" s="22" t="str">
        <f>IF($C1444="","",IFERROR(VLOOKUP($C1444,Map_Register!$A$2:$C$5,3,FALSE()),""))</f>
        <v>Cultural Heritage Area</v>
      </c>
      <c r="E1444" s="21" t="s">
        <v>15</v>
      </c>
      <c r="F1444" s="23">
        <v>220391</v>
      </c>
      <c r="G1444" s="20" t="s">
        <v>1537</v>
      </c>
      <c r="H1444" s="20" t="s">
        <v>2139</v>
      </c>
      <c r="I1444" s="20" t="s">
        <v>678</v>
      </c>
      <c r="J1444" s="20" t="s">
        <v>6</v>
      </c>
      <c r="K1444" s="20" t="s">
        <v>137</v>
      </c>
      <c r="L1444" s="20" t="s">
        <v>137</v>
      </c>
      <c r="M1444" s="20" t="s">
        <v>1694</v>
      </c>
      <c r="Q1444" s="24" t="s">
        <v>680</v>
      </c>
    </row>
    <row r="1445" spans="1:17" hidden="1" x14ac:dyDescent="0.3">
      <c r="A1445" s="20">
        <f t="shared" si="22"/>
        <v>1444</v>
      </c>
      <c r="B1445" s="21" t="s">
        <v>87</v>
      </c>
      <c r="C1445" s="21" t="s">
        <v>91</v>
      </c>
      <c r="D1445" s="22" t="str">
        <f>IF($C1445="","",IFERROR(VLOOKUP($C1445,Map_Register!$A$2:$C$5,3,FALSE()),""))</f>
        <v>Cultural Heritage Area</v>
      </c>
      <c r="E1445" s="21" t="s">
        <v>15</v>
      </c>
      <c r="F1445" s="23">
        <v>220472</v>
      </c>
      <c r="G1445" s="20" t="s">
        <v>1537</v>
      </c>
      <c r="H1445" s="20" t="s">
        <v>2140</v>
      </c>
      <c r="I1445" s="20" t="s">
        <v>678</v>
      </c>
      <c r="J1445" s="20" t="s">
        <v>6</v>
      </c>
      <c r="K1445" s="20" t="s">
        <v>137</v>
      </c>
      <c r="L1445" s="20" t="s">
        <v>137</v>
      </c>
      <c r="M1445" s="20" t="s">
        <v>1713</v>
      </c>
      <c r="Q1445" s="24" t="s">
        <v>680</v>
      </c>
    </row>
    <row r="1446" spans="1:17" x14ac:dyDescent="0.3">
      <c r="A1446" s="20">
        <f t="shared" si="22"/>
        <v>1445</v>
      </c>
      <c r="B1446" s="21" t="s">
        <v>87</v>
      </c>
      <c r="C1446" s="21" t="s">
        <v>91</v>
      </c>
      <c r="D1446" s="22" t="str">
        <f>IF($C1446="","",IFERROR(VLOOKUP($C1446,Map_Register!$A$2:$C$5,3,FALSE()),""))</f>
        <v>Cultural Heritage Area</v>
      </c>
      <c r="E1446" s="21" t="s">
        <v>15</v>
      </c>
      <c r="F1446" s="23">
        <v>221025</v>
      </c>
      <c r="G1446" s="20" t="s">
        <v>1537</v>
      </c>
      <c r="H1446" s="20" t="s">
        <v>2141</v>
      </c>
      <c r="I1446" s="20" t="s">
        <v>678</v>
      </c>
      <c r="J1446" s="20" t="s">
        <v>8</v>
      </c>
      <c r="K1446" s="20" t="s">
        <v>107</v>
      </c>
      <c r="L1446" t="s">
        <v>108</v>
      </c>
      <c r="M1446" s="20" t="s">
        <v>1700</v>
      </c>
      <c r="N1446" s="20" t="s">
        <v>108</v>
      </c>
      <c r="Q1446" s="24" t="s">
        <v>680</v>
      </c>
    </row>
    <row r="1447" spans="1:17" hidden="1" x14ac:dyDescent="0.3">
      <c r="A1447" s="20">
        <f t="shared" si="22"/>
        <v>1446</v>
      </c>
      <c r="B1447" s="21" t="s">
        <v>87</v>
      </c>
      <c r="C1447" s="21" t="s">
        <v>91</v>
      </c>
      <c r="D1447" s="22" t="str">
        <f>IF($C1447="","",IFERROR(VLOOKUP($C1447,Map_Register!$A$2:$C$5,3,FALSE()),""))</f>
        <v>Cultural Heritage Area</v>
      </c>
      <c r="E1447" s="21" t="s">
        <v>15</v>
      </c>
      <c r="F1447" s="23">
        <v>221310</v>
      </c>
      <c r="G1447" s="20" t="s">
        <v>1537</v>
      </c>
      <c r="H1447" s="20" t="s">
        <v>2142</v>
      </c>
      <c r="I1447" s="20" t="s">
        <v>678</v>
      </c>
      <c r="J1447" s="20" t="s">
        <v>8</v>
      </c>
      <c r="K1447" s="20" t="s">
        <v>107</v>
      </c>
      <c r="L1447" s="20" t="s">
        <v>107</v>
      </c>
      <c r="M1447" s="20" t="s">
        <v>1696</v>
      </c>
      <c r="N1447" s="20" t="s">
        <v>108</v>
      </c>
      <c r="Q1447" s="24" t="s">
        <v>680</v>
      </c>
    </row>
    <row r="1448" spans="1:17" x14ac:dyDescent="0.3">
      <c r="A1448" s="20">
        <f t="shared" si="22"/>
        <v>1447</v>
      </c>
      <c r="B1448" s="21" t="s">
        <v>87</v>
      </c>
      <c r="C1448" s="21" t="s">
        <v>91</v>
      </c>
      <c r="D1448" s="22" t="str">
        <f>IF($C1448="","",IFERROR(VLOOKUP($C1448,Map_Register!$A$2:$C$5,3,FALSE()),""))</f>
        <v>Cultural Heritage Area</v>
      </c>
      <c r="E1448" s="21" t="s">
        <v>15</v>
      </c>
      <c r="F1448" s="23">
        <v>221357</v>
      </c>
      <c r="G1448" s="20" t="s">
        <v>1537</v>
      </c>
      <c r="H1448" s="20" t="s">
        <v>2143</v>
      </c>
      <c r="I1448" s="20" t="s">
        <v>678</v>
      </c>
      <c r="J1448" s="20" t="s">
        <v>8</v>
      </c>
      <c r="K1448" s="20" t="s">
        <v>107</v>
      </c>
      <c r="L1448" t="s">
        <v>108</v>
      </c>
      <c r="M1448" s="20" t="s">
        <v>1700</v>
      </c>
      <c r="N1448" s="20" t="s">
        <v>108</v>
      </c>
      <c r="Q1448" s="24" t="s">
        <v>680</v>
      </c>
    </row>
    <row r="1449" spans="1:17" x14ac:dyDescent="0.3">
      <c r="A1449" s="20">
        <f t="shared" si="22"/>
        <v>1448</v>
      </c>
      <c r="B1449" s="21" t="s">
        <v>87</v>
      </c>
      <c r="C1449" s="21" t="s">
        <v>91</v>
      </c>
      <c r="D1449" s="22" t="str">
        <f>IF($C1449="","",IFERROR(VLOOKUP($C1449,Map_Register!$A$2:$C$5,3,FALSE()),""))</f>
        <v>Cultural Heritage Area</v>
      </c>
      <c r="E1449" s="21" t="s">
        <v>15</v>
      </c>
      <c r="F1449" s="23">
        <v>221475</v>
      </c>
      <c r="G1449" s="20" t="s">
        <v>1537</v>
      </c>
      <c r="H1449" s="20" t="s">
        <v>2144</v>
      </c>
      <c r="I1449" s="20" t="s">
        <v>678</v>
      </c>
      <c r="J1449" s="20" t="s">
        <v>8</v>
      </c>
      <c r="K1449" s="20" t="s">
        <v>107</v>
      </c>
      <c r="L1449" t="s">
        <v>108</v>
      </c>
      <c r="M1449" s="20" t="s">
        <v>1722</v>
      </c>
      <c r="N1449" s="20" t="s">
        <v>108</v>
      </c>
      <c r="Q1449" s="24" t="s">
        <v>680</v>
      </c>
    </row>
    <row r="1450" spans="1:17" hidden="1" x14ac:dyDescent="0.3">
      <c r="A1450" s="20">
        <f t="shared" si="22"/>
        <v>1449</v>
      </c>
      <c r="B1450" s="21" t="s">
        <v>87</v>
      </c>
      <c r="C1450" s="21" t="s">
        <v>91</v>
      </c>
      <c r="D1450" s="22" t="str">
        <f>IF($C1450="","",IFERROR(VLOOKUP($C1450,Map_Register!$A$2:$C$5,3,FALSE()),""))</f>
        <v>Cultural Heritage Area</v>
      </c>
      <c r="E1450" s="21" t="s">
        <v>15</v>
      </c>
      <c r="F1450" s="23">
        <v>221610</v>
      </c>
      <c r="G1450" s="20" t="s">
        <v>1537</v>
      </c>
      <c r="H1450" s="20" t="s">
        <v>2145</v>
      </c>
      <c r="I1450" s="20" t="s">
        <v>678</v>
      </c>
      <c r="J1450" s="20" t="s">
        <v>8</v>
      </c>
      <c r="K1450" s="20" t="s">
        <v>107</v>
      </c>
      <c r="L1450" s="20" t="s">
        <v>107</v>
      </c>
      <c r="M1450" s="20" t="s">
        <v>1696</v>
      </c>
      <c r="N1450" s="20" t="s">
        <v>108</v>
      </c>
      <c r="Q1450" s="24" t="s">
        <v>680</v>
      </c>
    </row>
    <row r="1451" spans="1:17" x14ac:dyDescent="0.3">
      <c r="A1451" s="20">
        <f t="shared" si="22"/>
        <v>1450</v>
      </c>
      <c r="B1451" s="21" t="s">
        <v>87</v>
      </c>
      <c r="C1451" s="21" t="s">
        <v>91</v>
      </c>
      <c r="D1451" s="22" t="str">
        <f>IF($C1451="","",IFERROR(VLOOKUP($C1451,Map_Register!$A$2:$C$5,3,FALSE()),""))</f>
        <v>Cultural Heritage Area</v>
      </c>
      <c r="E1451" s="21" t="s">
        <v>15</v>
      </c>
      <c r="F1451" s="23">
        <v>221666</v>
      </c>
      <c r="G1451" s="20" t="s">
        <v>1537</v>
      </c>
      <c r="H1451" s="20" t="s">
        <v>2146</v>
      </c>
      <c r="I1451" s="20" t="s">
        <v>678</v>
      </c>
      <c r="J1451" s="20" t="s">
        <v>8</v>
      </c>
      <c r="K1451" s="20" t="s">
        <v>107</v>
      </c>
      <c r="L1451" t="s">
        <v>108</v>
      </c>
      <c r="M1451" s="20" t="s">
        <v>1700</v>
      </c>
      <c r="N1451" s="20" t="s">
        <v>108</v>
      </c>
      <c r="Q1451" s="24" t="s">
        <v>680</v>
      </c>
    </row>
    <row r="1452" spans="1:17" x14ac:dyDescent="0.3">
      <c r="A1452" s="20">
        <f t="shared" si="22"/>
        <v>1451</v>
      </c>
      <c r="B1452" s="21" t="s">
        <v>87</v>
      </c>
      <c r="C1452" s="21" t="s">
        <v>91</v>
      </c>
      <c r="D1452" s="22" t="str">
        <f>IF($C1452="","",IFERROR(VLOOKUP($C1452,Map_Register!$A$2:$C$5,3,FALSE()),""))</f>
        <v>Cultural Heritage Area</v>
      </c>
      <c r="E1452" s="21" t="s">
        <v>15</v>
      </c>
      <c r="F1452" s="23">
        <v>221712</v>
      </c>
      <c r="G1452" s="20" t="s">
        <v>1537</v>
      </c>
      <c r="H1452" s="20" t="s">
        <v>2147</v>
      </c>
      <c r="I1452" s="20" t="s">
        <v>678</v>
      </c>
      <c r="J1452" s="20" t="s">
        <v>8</v>
      </c>
      <c r="K1452" s="20" t="s">
        <v>107</v>
      </c>
      <c r="L1452" t="s">
        <v>108</v>
      </c>
      <c r="M1452" s="20" t="s">
        <v>1700</v>
      </c>
      <c r="N1452" s="20" t="s">
        <v>108</v>
      </c>
      <c r="Q1452" s="24" t="s">
        <v>680</v>
      </c>
    </row>
    <row r="1453" spans="1:17" hidden="1" x14ac:dyDescent="0.3">
      <c r="A1453" s="20">
        <f t="shared" si="22"/>
        <v>1452</v>
      </c>
      <c r="B1453" s="21" t="s">
        <v>87</v>
      </c>
      <c r="C1453" s="21" t="s">
        <v>91</v>
      </c>
      <c r="D1453" s="22" t="str">
        <f>IF($C1453="","",IFERROR(VLOOKUP($C1453,Map_Register!$A$2:$C$5,3,FALSE()),""))</f>
        <v>Cultural Heritage Area</v>
      </c>
      <c r="E1453" s="21" t="s">
        <v>15</v>
      </c>
      <c r="F1453" s="23">
        <v>221764</v>
      </c>
      <c r="G1453" s="20" t="s">
        <v>1537</v>
      </c>
      <c r="H1453" s="20" t="s">
        <v>2148</v>
      </c>
      <c r="I1453" s="20" t="s">
        <v>678</v>
      </c>
      <c r="J1453" s="20" t="s">
        <v>6</v>
      </c>
      <c r="K1453" s="20" t="s">
        <v>137</v>
      </c>
      <c r="L1453" s="20" t="s">
        <v>137</v>
      </c>
      <c r="M1453" s="20" t="s">
        <v>1694</v>
      </c>
      <c r="Q1453" s="24" t="s">
        <v>680</v>
      </c>
    </row>
    <row r="1454" spans="1:17" hidden="1" x14ac:dyDescent="0.3">
      <c r="A1454" s="20">
        <f t="shared" si="22"/>
        <v>1453</v>
      </c>
      <c r="B1454" s="21" t="s">
        <v>87</v>
      </c>
      <c r="C1454" s="21" t="s">
        <v>91</v>
      </c>
      <c r="D1454" s="22" t="str">
        <f>IF($C1454="","",IFERROR(VLOOKUP($C1454,Map_Register!$A$2:$C$5,3,FALSE()),""))</f>
        <v>Cultural Heritage Area</v>
      </c>
      <c r="E1454" s="21" t="s">
        <v>15</v>
      </c>
      <c r="F1454" s="23">
        <v>222048</v>
      </c>
      <c r="G1454" s="20" t="s">
        <v>1537</v>
      </c>
      <c r="H1454" s="20" t="s">
        <v>2149</v>
      </c>
      <c r="I1454" s="20" t="s">
        <v>678</v>
      </c>
      <c r="J1454" s="20" t="s">
        <v>6</v>
      </c>
      <c r="K1454" s="20" t="s">
        <v>137</v>
      </c>
      <c r="L1454" s="20" t="s">
        <v>137</v>
      </c>
      <c r="M1454" s="20" t="s">
        <v>1694</v>
      </c>
      <c r="Q1454" s="24" t="s">
        <v>680</v>
      </c>
    </row>
    <row r="1455" spans="1:17" hidden="1" x14ac:dyDescent="0.3">
      <c r="A1455" s="20">
        <f t="shared" si="22"/>
        <v>1454</v>
      </c>
      <c r="B1455" s="21" t="s">
        <v>87</v>
      </c>
      <c r="C1455" s="21" t="s">
        <v>91</v>
      </c>
      <c r="D1455" s="22" t="str">
        <f>IF($C1455="","",IFERROR(VLOOKUP($C1455,Map_Register!$A$2:$C$5,3,FALSE()),""))</f>
        <v>Cultural Heritage Area</v>
      </c>
      <c r="E1455" s="21" t="s">
        <v>15</v>
      </c>
      <c r="F1455" s="23">
        <v>222091</v>
      </c>
      <c r="G1455" s="20" t="s">
        <v>1537</v>
      </c>
      <c r="H1455" s="20" t="s">
        <v>2150</v>
      </c>
      <c r="I1455" s="20" t="s">
        <v>678</v>
      </c>
      <c r="J1455" s="20" t="s">
        <v>8</v>
      </c>
      <c r="K1455" s="20" t="s">
        <v>107</v>
      </c>
      <c r="L1455" s="20" t="s">
        <v>107</v>
      </c>
      <c r="M1455" s="20" t="s">
        <v>1705</v>
      </c>
      <c r="N1455" s="20" t="s">
        <v>108</v>
      </c>
      <c r="Q1455" s="24" t="s">
        <v>680</v>
      </c>
    </row>
    <row r="1456" spans="1:17" hidden="1" x14ac:dyDescent="0.3">
      <c r="A1456" s="20">
        <f t="shared" si="22"/>
        <v>1455</v>
      </c>
      <c r="B1456" s="21" t="s">
        <v>87</v>
      </c>
      <c r="C1456" s="21" t="s">
        <v>91</v>
      </c>
      <c r="D1456" s="22" t="str">
        <f>IF($C1456="","",IFERROR(VLOOKUP($C1456,Map_Register!$A$2:$C$5,3,FALSE()),""))</f>
        <v>Cultural Heritage Area</v>
      </c>
      <c r="E1456" s="21" t="s">
        <v>15</v>
      </c>
      <c r="F1456" s="23">
        <v>222399</v>
      </c>
      <c r="G1456" s="20" t="s">
        <v>1537</v>
      </c>
      <c r="H1456" s="20" t="s">
        <v>2151</v>
      </c>
      <c r="I1456" s="20" t="s">
        <v>678</v>
      </c>
      <c r="J1456" s="20" t="s">
        <v>6</v>
      </c>
      <c r="K1456" s="20" t="s">
        <v>137</v>
      </c>
      <c r="L1456" s="20" t="s">
        <v>137</v>
      </c>
      <c r="M1456" s="20" t="s">
        <v>1713</v>
      </c>
      <c r="Q1456" s="24" t="s">
        <v>680</v>
      </c>
    </row>
    <row r="1457" spans="1:17" hidden="1" x14ac:dyDescent="0.3">
      <c r="A1457" s="20">
        <f t="shared" si="22"/>
        <v>1456</v>
      </c>
      <c r="B1457" s="21" t="s">
        <v>87</v>
      </c>
      <c r="C1457" s="21" t="s">
        <v>91</v>
      </c>
      <c r="D1457" s="22" t="str">
        <f>IF($C1457="","",IFERROR(VLOOKUP($C1457,Map_Register!$A$2:$C$5,3,FALSE()),""))</f>
        <v>Cultural Heritage Area</v>
      </c>
      <c r="E1457" s="21" t="s">
        <v>15</v>
      </c>
      <c r="F1457" s="23">
        <v>222463</v>
      </c>
      <c r="G1457" s="20" t="s">
        <v>1537</v>
      </c>
      <c r="H1457" s="20" t="s">
        <v>2152</v>
      </c>
      <c r="I1457" s="20" t="s">
        <v>678</v>
      </c>
      <c r="J1457" s="20" t="s">
        <v>6</v>
      </c>
      <c r="K1457" s="20" t="s">
        <v>137</v>
      </c>
      <c r="L1457" s="20" t="s">
        <v>137</v>
      </c>
      <c r="M1457" s="20" t="s">
        <v>1713</v>
      </c>
      <c r="Q1457" s="24" t="s">
        <v>680</v>
      </c>
    </row>
    <row r="1458" spans="1:17" x14ac:dyDescent="0.3">
      <c r="A1458" s="20">
        <f t="shared" si="22"/>
        <v>1457</v>
      </c>
      <c r="B1458" s="21" t="s">
        <v>87</v>
      </c>
      <c r="C1458" s="21" t="s">
        <v>91</v>
      </c>
      <c r="D1458" s="22" t="str">
        <f>IF($C1458="","",IFERROR(VLOOKUP($C1458,Map_Register!$A$2:$C$5,3,FALSE()),""))</f>
        <v>Cultural Heritage Area</v>
      </c>
      <c r="E1458" s="21" t="s">
        <v>15</v>
      </c>
      <c r="F1458" s="23">
        <v>222474</v>
      </c>
      <c r="G1458" s="20" t="s">
        <v>1537</v>
      </c>
      <c r="H1458" s="20" t="s">
        <v>2153</v>
      </c>
      <c r="I1458" s="20" t="s">
        <v>678</v>
      </c>
      <c r="J1458" s="20" t="s">
        <v>8</v>
      </c>
      <c r="K1458" s="20" t="s">
        <v>107</v>
      </c>
      <c r="L1458" t="s">
        <v>108</v>
      </c>
      <c r="M1458" s="20" t="s">
        <v>1700</v>
      </c>
      <c r="N1458" s="20" t="s">
        <v>108</v>
      </c>
      <c r="Q1458" s="24" t="s">
        <v>680</v>
      </c>
    </row>
    <row r="1459" spans="1:17" hidden="1" x14ac:dyDescent="0.3">
      <c r="A1459" s="20">
        <f t="shared" si="22"/>
        <v>1458</v>
      </c>
      <c r="B1459" s="21" t="s">
        <v>87</v>
      </c>
      <c r="C1459" s="21" t="s">
        <v>91</v>
      </c>
      <c r="D1459" s="22" t="str">
        <f>IF($C1459="","",IFERROR(VLOOKUP($C1459,Map_Register!$A$2:$C$5,3,FALSE()),""))</f>
        <v>Cultural Heritage Area</v>
      </c>
      <c r="E1459" s="21" t="s">
        <v>15</v>
      </c>
      <c r="F1459" s="23">
        <v>222504</v>
      </c>
      <c r="G1459" s="20" t="s">
        <v>1537</v>
      </c>
      <c r="H1459" s="20" t="s">
        <v>2154</v>
      </c>
      <c r="I1459" s="20" t="s">
        <v>678</v>
      </c>
      <c r="J1459" s="20" t="s">
        <v>6</v>
      </c>
      <c r="K1459" s="20" t="s">
        <v>137</v>
      </c>
      <c r="L1459" s="20" t="s">
        <v>137</v>
      </c>
      <c r="M1459" s="20" t="s">
        <v>1694</v>
      </c>
      <c r="Q1459" s="24" t="s">
        <v>680</v>
      </c>
    </row>
    <row r="1460" spans="1:17" hidden="1" x14ac:dyDescent="0.3">
      <c r="A1460" s="20">
        <f t="shared" si="22"/>
        <v>1459</v>
      </c>
      <c r="B1460" s="21" t="s">
        <v>87</v>
      </c>
      <c r="C1460" s="21" t="s">
        <v>91</v>
      </c>
      <c r="D1460" s="22" t="str">
        <f>IF($C1460="","",IFERROR(VLOOKUP($C1460,Map_Register!$A$2:$C$5,3,FALSE()),""))</f>
        <v>Cultural Heritage Area</v>
      </c>
      <c r="E1460" s="21" t="s">
        <v>15</v>
      </c>
      <c r="F1460" s="23">
        <v>222797</v>
      </c>
      <c r="G1460" s="20" t="s">
        <v>1537</v>
      </c>
      <c r="H1460" s="20" t="s">
        <v>2155</v>
      </c>
      <c r="I1460" s="20" t="s">
        <v>678</v>
      </c>
      <c r="J1460" s="20" t="s">
        <v>8</v>
      </c>
      <c r="K1460" s="20" t="s">
        <v>107</v>
      </c>
      <c r="L1460" t="s">
        <v>107</v>
      </c>
      <c r="M1460" s="20" t="s">
        <v>2156</v>
      </c>
      <c r="N1460" s="20" t="s">
        <v>108</v>
      </c>
      <c r="Q1460" s="24" t="s">
        <v>680</v>
      </c>
    </row>
    <row r="1461" spans="1:17" x14ac:dyDescent="0.3">
      <c r="A1461" s="20">
        <f t="shared" si="22"/>
        <v>1460</v>
      </c>
      <c r="B1461" s="21" t="s">
        <v>87</v>
      </c>
      <c r="C1461" s="21" t="s">
        <v>91</v>
      </c>
      <c r="D1461" s="22" t="str">
        <f>IF($C1461="","",IFERROR(VLOOKUP($C1461,Map_Register!$A$2:$C$5,3,FALSE()),""))</f>
        <v>Cultural Heritage Area</v>
      </c>
      <c r="E1461" s="21" t="s">
        <v>15</v>
      </c>
      <c r="F1461" s="23">
        <v>222823</v>
      </c>
      <c r="G1461" s="20" t="s">
        <v>1537</v>
      </c>
      <c r="H1461" s="20" t="s">
        <v>2157</v>
      </c>
      <c r="I1461" s="20" t="s">
        <v>678</v>
      </c>
      <c r="J1461" s="20" t="s">
        <v>8</v>
      </c>
      <c r="K1461" s="20" t="s">
        <v>107</v>
      </c>
      <c r="L1461" t="s">
        <v>108</v>
      </c>
      <c r="M1461" s="20" t="s">
        <v>1700</v>
      </c>
      <c r="N1461" s="20" t="s">
        <v>108</v>
      </c>
      <c r="Q1461" s="24" t="s">
        <v>680</v>
      </c>
    </row>
    <row r="1462" spans="1:17" x14ac:dyDescent="0.3">
      <c r="A1462" s="20">
        <f t="shared" si="22"/>
        <v>1461</v>
      </c>
      <c r="B1462" s="21" t="s">
        <v>87</v>
      </c>
      <c r="C1462" s="21" t="s">
        <v>91</v>
      </c>
      <c r="D1462" s="22" t="str">
        <f>IF($C1462="","",IFERROR(VLOOKUP($C1462,Map_Register!$A$2:$C$5,3,FALSE()),""))</f>
        <v>Cultural Heritage Area</v>
      </c>
      <c r="E1462" s="21" t="s">
        <v>15</v>
      </c>
      <c r="F1462" s="23">
        <v>222920</v>
      </c>
      <c r="G1462" s="20" t="s">
        <v>1537</v>
      </c>
      <c r="H1462" s="20" t="s">
        <v>2158</v>
      </c>
      <c r="I1462" s="20" t="s">
        <v>678</v>
      </c>
      <c r="J1462" s="20" t="s">
        <v>8</v>
      </c>
      <c r="K1462" s="20" t="s">
        <v>107</v>
      </c>
      <c r="L1462" t="s">
        <v>108</v>
      </c>
      <c r="M1462" s="20" t="s">
        <v>2159</v>
      </c>
      <c r="N1462" s="20" t="s">
        <v>108</v>
      </c>
      <c r="Q1462" s="24" t="s">
        <v>680</v>
      </c>
    </row>
    <row r="1463" spans="1:17" hidden="1" x14ac:dyDescent="0.3">
      <c r="A1463" s="20">
        <f t="shared" si="22"/>
        <v>1462</v>
      </c>
      <c r="B1463" s="21" t="s">
        <v>87</v>
      </c>
      <c r="C1463" s="21" t="s">
        <v>91</v>
      </c>
      <c r="D1463" s="22" t="str">
        <f>IF($C1463="","",IFERROR(VLOOKUP($C1463,Map_Register!$A$2:$C$5,3,FALSE()),""))</f>
        <v>Cultural Heritage Area</v>
      </c>
      <c r="E1463" s="21" t="s">
        <v>15</v>
      </c>
      <c r="F1463" s="23">
        <v>223078</v>
      </c>
      <c r="G1463" s="20" t="s">
        <v>1537</v>
      </c>
      <c r="H1463" s="20" t="s">
        <v>2160</v>
      </c>
      <c r="I1463" s="20" t="s">
        <v>678</v>
      </c>
      <c r="J1463" s="20" t="s">
        <v>6</v>
      </c>
      <c r="K1463" s="20" t="s">
        <v>137</v>
      </c>
      <c r="L1463" s="20" t="s">
        <v>137</v>
      </c>
      <c r="M1463" s="20" t="s">
        <v>1713</v>
      </c>
      <c r="Q1463" s="24" t="s">
        <v>680</v>
      </c>
    </row>
    <row r="1464" spans="1:17" hidden="1" x14ac:dyDescent="0.3">
      <c r="A1464" s="20">
        <f t="shared" si="22"/>
        <v>1463</v>
      </c>
      <c r="B1464" s="21" t="s">
        <v>87</v>
      </c>
      <c r="C1464" s="21" t="s">
        <v>91</v>
      </c>
      <c r="D1464" s="22" t="str">
        <f>IF($C1464="","",IFERROR(VLOOKUP($C1464,Map_Register!$A$2:$C$5,3,FALSE()),""))</f>
        <v>Cultural Heritage Area</v>
      </c>
      <c r="E1464" s="21" t="s">
        <v>15</v>
      </c>
      <c r="F1464" s="23">
        <v>223803</v>
      </c>
      <c r="G1464" s="20" t="s">
        <v>1537</v>
      </c>
      <c r="H1464" s="20" t="s">
        <v>2161</v>
      </c>
      <c r="I1464" s="20" t="s">
        <v>678</v>
      </c>
      <c r="J1464" s="20" t="s">
        <v>6</v>
      </c>
      <c r="K1464" s="20" t="s">
        <v>137</v>
      </c>
      <c r="L1464" s="20" t="s">
        <v>137</v>
      </c>
      <c r="M1464" s="20" t="s">
        <v>1724</v>
      </c>
      <c r="Q1464" s="24" t="s">
        <v>680</v>
      </c>
    </row>
    <row r="1465" spans="1:17" hidden="1" x14ac:dyDescent="0.3">
      <c r="A1465" s="20">
        <f t="shared" si="22"/>
        <v>1464</v>
      </c>
      <c r="B1465" s="21" t="s">
        <v>87</v>
      </c>
      <c r="C1465" s="21" t="s">
        <v>91</v>
      </c>
      <c r="D1465" s="22" t="str">
        <f>IF($C1465="","",IFERROR(VLOOKUP($C1465,Map_Register!$A$2:$C$5,3,FALSE()),""))</f>
        <v>Cultural Heritage Area</v>
      </c>
      <c r="E1465" s="21" t="s">
        <v>15</v>
      </c>
      <c r="F1465" s="23">
        <v>224098</v>
      </c>
      <c r="G1465" s="20" t="s">
        <v>1537</v>
      </c>
      <c r="H1465" s="20" t="s">
        <v>2162</v>
      </c>
      <c r="I1465" s="20" t="s">
        <v>678</v>
      </c>
      <c r="J1465" s="20" t="s">
        <v>6</v>
      </c>
      <c r="K1465" s="20" t="s">
        <v>137</v>
      </c>
      <c r="L1465" s="20" t="s">
        <v>137</v>
      </c>
      <c r="M1465" s="20" t="s">
        <v>1713</v>
      </c>
      <c r="Q1465" s="24" t="s">
        <v>680</v>
      </c>
    </row>
    <row r="1466" spans="1:17" hidden="1" x14ac:dyDescent="0.3">
      <c r="A1466" s="20">
        <f t="shared" si="22"/>
        <v>1465</v>
      </c>
      <c r="B1466" s="21" t="s">
        <v>87</v>
      </c>
      <c r="C1466" s="21" t="s">
        <v>91</v>
      </c>
      <c r="D1466" s="22" t="str">
        <f>IF($C1466="","",IFERROR(VLOOKUP($C1466,Map_Register!$A$2:$C$5,3,FALSE()),""))</f>
        <v>Cultural Heritage Area</v>
      </c>
      <c r="E1466" s="21" t="s">
        <v>15</v>
      </c>
      <c r="F1466" s="23">
        <v>224131</v>
      </c>
      <c r="G1466" s="20" t="s">
        <v>1537</v>
      </c>
      <c r="H1466" s="20" t="s">
        <v>2163</v>
      </c>
      <c r="I1466" s="20" t="s">
        <v>678</v>
      </c>
      <c r="J1466" s="20" t="s">
        <v>8</v>
      </c>
      <c r="K1466" s="20" t="s">
        <v>107</v>
      </c>
      <c r="L1466" s="20" t="s">
        <v>107</v>
      </c>
      <c r="M1466" s="20" t="s">
        <v>1696</v>
      </c>
      <c r="N1466" s="20" t="s">
        <v>108</v>
      </c>
      <c r="Q1466" s="24" t="s">
        <v>680</v>
      </c>
    </row>
    <row r="1467" spans="1:17" hidden="1" x14ac:dyDescent="0.3">
      <c r="A1467" s="20">
        <f t="shared" si="22"/>
        <v>1466</v>
      </c>
      <c r="B1467" s="21" t="s">
        <v>87</v>
      </c>
      <c r="C1467" s="21" t="s">
        <v>91</v>
      </c>
      <c r="D1467" s="22" t="str">
        <f>IF($C1467="","",IFERROR(VLOOKUP($C1467,Map_Register!$A$2:$C$5,3,FALSE()),""))</f>
        <v>Cultural Heritage Area</v>
      </c>
      <c r="E1467" s="21" t="s">
        <v>15</v>
      </c>
      <c r="F1467" s="23">
        <v>224625</v>
      </c>
      <c r="G1467" s="20" t="s">
        <v>1537</v>
      </c>
      <c r="H1467" s="20" t="s">
        <v>2164</v>
      </c>
      <c r="I1467" s="20" t="s">
        <v>678</v>
      </c>
      <c r="J1467" s="20" t="s">
        <v>6</v>
      </c>
      <c r="K1467" s="20" t="s">
        <v>137</v>
      </c>
      <c r="L1467" s="20" t="s">
        <v>137</v>
      </c>
      <c r="M1467" s="20" t="s">
        <v>1694</v>
      </c>
      <c r="Q1467" s="24" t="s">
        <v>680</v>
      </c>
    </row>
    <row r="1468" spans="1:17" hidden="1" x14ac:dyDescent="0.3">
      <c r="A1468" s="20">
        <f t="shared" si="22"/>
        <v>1467</v>
      </c>
      <c r="B1468" s="21" t="s">
        <v>87</v>
      </c>
      <c r="C1468" s="21" t="s">
        <v>91</v>
      </c>
      <c r="D1468" s="22" t="str">
        <f>IF($C1468="","",IFERROR(VLOOKUP($C1468,Map_Register!$A$2:$C$5,3,FALSE()),""))</f>
        <v>Cultural Heritage Area</v>
      </c>
      <c r="E1468" s="21" t="s">
        <v>15</v>
      </c>
      <c r="F1468" s="23">
        <v>224714</v>
      </c>
      <c r="G1468" s="20" t="s">
        <v>1537</v>
      </c>
      <c r="H1468" s="20" t="s">
        <v>2165</v>
      </c>
      <c r="I1468" s="20" t="s">
        <v>678</v>
      </c>
      <c r="J1468" s="20" t="s">
        <v>6</v>
      </c>
      <c r="K1468" s="20" t="s">
        <v>137</v>
      </c>
      <c r="L1468" s="20" t="s">
        <v>137</v>
      </c>
      <c r="M1468" s="20" t="s">
        <v>1713</v>
      </c>
      <c r="Q1468" s="24" t="s">
        <v>680</v>
      </c>
    </row>
    <row r="1469" spans="1:17" hidden="1" x14ac:dyDescent="0.3">
      <c r="A1469" s="20">
        <f t="shared" si="22"/>
        <v>1468</v>
      </c>
      <c r="B1469" s="21" t="s">
        <v>87</v>
      </c>
      <c r="C1469" s="21" t="s">
        <v>91</v>
      </c>
      <c r="D1469" s="22" t="str">
        <f>IF($C1469="","",IFERROR(VLOOKUP($C1469,Map_Register!$A$2:$C$5,3,FALSE()),""))</f>
        <v>Cultural Heritage Area</v>
      </c>
      <c r="E1469" s="21" t="s">
        <v>15</v>
      </c>
      <c r="F1469" s="23">
        <v>224835</v>
      </c>
      <c r="G1469" s="20" t="s">
        <v>1537</v>
      </c>
      <c r="H1469" s="20" t="s">
        <v>2166</v>
      </c>
      <c r="I1469" s="20" t="s">
        <v>678</v>
      </c>
      <c r="J1469" s="20" t="s">
        <v>6</v>
      </c>
      <c r="K1469" s="20" t="s">
        <v>137</v>
      </c>
      <c r="L1469" s="20" t="s">
        <v>137</v>
      </c>
      <c r="M1469" s="20" t="s">
        <v>1713</v>
      </c>
      <c r="Q1469" s="24" t="s">
        <v>680</v>
      </c>
    </row>
    <row r="1470" spans="1:17" x14ac:dyDescent="0.3">
      <c r="A1470" s="20">
        <f t="shared" si="22"/>
        <v>1469</v>
      </c>
      <c r="B1470" s="21" t="s">
        <v>87</v>
      </c>
      <c r="C1470" s="21" t="s">
        <v>91</v>
      </c>
      <c r="D1470" s="22" t="str">
        <f>IF($C1470="","",IFERROR(VLOOKUP($C1470,Map_Register!$A$2:$C$5,3,FALSE()),""))</f>
        <v>Cultural Heritage Area</v>
      </c>
      <c r="E1470" s="21" t="s">
        <v>15</v>
      </c>
      <c r="F1470" s="23">
        <v>224860</v>
      </c>
      <c r="G1470" s="20" t="s">
        <v>1537</v>
      </c>
      <c r="H1470" s="20" t="s">
        <v>2167</v>
      </c>
      <c r="I1470" s="20" t="s">
        <v>678</v>
      </c>
      <c r="J1470" s="20" t="s">
        <v>8</v>
      </c>
      <c r="K1470" s="20" t="s">
        <v>107</v>
      </c>
      <c r="L1470" t="s">
        <v>108</v>
      </c>
      <c r="M1470" s="20" t="s">
        <v>1700</v>
      </c>
      <c r="N1470" s="20" t="s">
        <v>108</v>
      </c>
      <c r="Q1470" s="24" t="s">
        <v>680</v>
      </c>
    </row>
    <row r="1471" spans="1:17" x14ac:dyDescent="0.3">
      <c r="A1471" s="20">
        <f t="shared" si="22"/>
        <v>1470</v>
      </c>
      <c r="B1471" s="21" t="s">
        <v>87</v>
      </c>
      <c r="C1471" s="21" t="s">
        <v>91</v>
      </c>
      <c r="D1471" s="22" t="str">
        <f>IF($C1471="","",IFERROR(VLOOKUP($C1471,Map_Register!$A$2:$C$5,3,FALSE()),""))</f>
        <v>Cultural Heritage Area</v>
      </c>
      <c r="E1471" s="21" t="s">
        <v>15</v>
      </c>
      <c r="F1471" s="23">
        <v>224891</v>
      </c>
      <c r="G1471" s="20" t="s">
        <v>1537</v>
      </c>
      <c r="H1471" s="20" t="s">
        <v>2168</v>
      </c>
      <c r="I1471" s="20" t="s">
        <v>678</v>
      </c>
      <c r="J1471" s="20" t="s">
        <v>8</v>
      </c>
      <c r="K1471" s="20" t="s">
        <v>107</v>
      </c>
      <c r="L1471" t="s">
        <v>108</v>
      </c>
      <c r="M1471" s="20" t="s">
        <v>2169</v>
      </c>
      <c r="N1471" s="20" t="s">
        <v>108</v>
      </c>
      <c r="Q1471" s="24" t="s">
        <v>680</v>
      </c>
    </row>
    <row r="1472" spans="1:17" hidden="1" x14ac:dyDescent="0.3">
      <c r="A1472" s="20">
        <f t="shared" si="22"/>
        <v>1471</v>
      </c>
      <c r="B1472" s="21" t="s">
        <v>87</v>
      </c>
      <c r="C1472" s="21" t="s">
        <v>91</v>
      </c>
      <c r="D1472" s="22" t="str">
        <f>IF($C1472="","",IFERROR(VLOOKUP($C1472,Map_Register!$A$2:$C$5,3,FALSE()),""))</f>
        <v>Cultural Heritage Area</v>
      </c>
      <c r="E1472" s="21" t="s">
        <v>15</v>
      </c>
      <c r="F1472" s="23">
        <v>225040</v>
      </c>
      <c r="G1472" s="20" t="s">
        <v>1537</v>
      </c>
      <c r="H1472" s="20" t="s">
        <v>2170</v>
      </c>
      <c r="I1472" s="20" t="s">
        <v>678</v>
      </c>
      <c r="J1472" s="20" t="s">
        <v>6</v>
      </c>
      <c r="K1472" s="20" t="s">
        <v>137</v>
      </c>
      <c r="L1472" s="20" t="s">
        <v>137</v>
      </c>
      <c r="M1472" s="20" t="s">
        <v>1713</v>
      </c>
      <c r="Q1472" s="24" t="s">
        <v>680</v>
      </c>
    </row>
    <row r="1473" spans="1:17" hidden="1" x14ac:dyDescent="0.3">
      <c r="A1473" s="20">
        <f t="shared" si="22"/>
        <v>1472</v>
      </c>
      <c r="B1473" s="21" t="s">
        <v>87</v>
      </c>
      <c r="C1473" s="21" t="s">
        <v>91</v>
      </c>
      <c r="D1473" s="22" t="str">
        <f>IF($C1473="","",IFERROR(VLOOKUP($C1473,Map_Register!$A$2:$C$5,3,FALSE()),""))</f>
        <v>Cultural Heritage Area</v>
      </c>
      <c r="E1473" s="21" t="s">
        <v>15</v>
      </c>
      <c r="F1473" s="23">
        <v>225095</v>
      </c>
      <c r="G1473" s="20" t="s">
        <v>1537</v>
      </c>
      <c r="H1473" s="20" t="s">
        <v>2171</v>
      </c>
      <c r="I1473" s="20" t="s">
        <v>678</v>
      </c>
      <c r="J1473" s="20" t="s">
        <v>6</v>
      </c>
      <c r="K1473" s="20" t="s">
        <v>137</v>
      </c>
      <c r="L1473" s="20" t="s">
        <v>137</v>
      </c>
      <c r="M1473" s="20" t="s">
        <v>1724</v>
      </c>
      <c r="Q1473" s="24" t="s">
        <v>680</v>
      </c>
    </row>
    <row r="1474" spans="1:17" x14ac:dyDescent="0.3">
      <c r="A1474" s="20">
        <f t="shared" ref="A1474:A1537" si="23">IF($B1474="","",ROW()-1)</f>
        <v>1473</v>
      </c>
      <c r="B1474" s="21" t="s">
        <v>87</v>
      </c>
      <c r="C1474" s="21" t="s">
        <v>91</v>
      </c>
      <c r="D1474" s="22" t="str">
        <f>IF($C1474="","",IFERROR(VLOOKUP($C1474,Map_Register!$A$2:$C$5,3,FALSE()),""))</f>
        <v>Cultural Heritage Area</v>
      </c>
      <c r="E1474" s="21" t="s">
        <v>15</v>
      </c>
      <c r="F1474" s="23">
        <v>225395</v>
      </c>
      <c r="G1474" s="20" t="s">
        <v>1537</v>
      </c>
      <c r="H1474" s="20" t="s">
        <v>2172</v>
      </c>
      <c r="I1474" s="20" t="s">
        <v>678</v>
      </c>
      <c r="J1474" s="20" t="s">
        <v>8</v>
      </c>
      <c r="K1474" s="20" t="s">
        <v>107</v>
      </c>
      <c r="L1474" t="s">
        <v>108</v>
      </c>
      <c r="M1474" s="20" t="s">
        <v>2173</v>
      </c>
      <c r="N1474" s="20" t="s">
        <v>108</v>
      </c>
      <c r="Q1474" s="24" t="s">
        <v>680</v>
      </c>
    </row>
    <row r="1475" spans="1:17" x14ac:dyDescent="0.3">
      <c r="A1475" s="20">
        <f t="shared" si="23"/>
        <v>1474</v>
      </c>
      <c r="B1475" s="21" t="s">
        <v>87</v>
      </c>
      <c r="C1475" s="21" t="s">
        <v>91</v>
      </c>
      <c r="D1475" s="22" t="str">
        <f>IF($C1475="","",IFERROR(VLOOKUP($C1475,Map_Register!$A$2:$C$5,3,FALSE()),""))</f>
        <v>Cultural Heritage Area</v>
      </c>
      <c r="E1475" s="21" t="s">
        <v>15</v>
      </c>
      <c r="F1475" s="23">
        <v>225647</v>
      </c>
      <c r="G1475" s="20" t="s">
        <v>1537</v>
      </c>
      <c r="H1475" s="20" t="s">
        <v>2174</v>
      </c>
      <c r="I1475" s="20" t="s">
        <v>678</v>
      </c>
      <c r="J1475" s="20" t="s">
        <v>8</v>
      </c>
      <c r="K1475" s="20" t="s">
        <v>107</v>
      </c>
      <c r="L1475" t="s">
        <v>108</v>
      </c>
      <c r="M1475" s="20" t="s">
        <v>1700</v>
      </c>
      <c r="N1475" s="20" t="s">
        <v>108</v>
      </c>
      <c r="Q1475" s="24" t="s">
        <v>680</v>
      </c>
    </row>
    <row r="1476" spans="1:17" x14ac:dyDescent="0.3">
      <c r="A1476" s="20">
        <f t="shared" si="23"/>
        <v>1475</v>
      </c>
      <c r="B1476" s="21" t="s">
        <v>87</v>
      </c>
      <c r="C1476" s="21" t="s">
        <v>91</v>
      </c>
      <c r="D1476" s="22" t="str">
        <f>IF($C1476="","",IFERROR(VLOOKUP($C1476,Map_Register!$A$2:$C$5,3,FALSE()),""))</f>
        <v>Cultural Heritage Area</v>
      </c>
      <c r="E1476" s="21" t="s">
        <v>15</v>
      </c>
      <c r="F1476" s="23">
        <v>225927</v>
      </c>
      <c r="G1476" s="20" t="s">
        <v>1537</v>
      </c>
      <c r="H1476" s="20" t="s">
        <v>2175</v>
      </c>
      <c r="I1476" s="20" t="s">
        <v>678</v>
      </c>
      <c r="J1476" s="20" t="s">
        <v>8</v>
      </c>
      <c r="K1476" s="20" t="s">
        <v>107</v>
      </c>
      <c r="L1476" t="s">
        <v>108</v>
      </c>
      <c r="M1476" s="20" t="s">
        <v>1700</v>
      </c>
      <c r="N1476" s="20" t="s">
        <v>108</v>
      </c>
      <c r="Q1476" s="24" t="s">
        <v>680</v>
      </c>
    </row>
    <row r="1477" spans="1:17" hidden="1" x14ac:dyDescent="0.3">
      <c r="A1477" s="20">
        <f t="shared" si="23"/>
        <v>1476</v>
      </c>
      <c r="B1477" s="21" t="s">
        <v>87</v>
      </c>
      <c r="C1477" s="21" t="s">
        <v>91</v>
      </c>
      <c r="D1477" s="22" t="str">
        <f>IF($C1477="","",IFERROR(VLOOKUP($C1477,Map_Register!$A$2:$C$5,3,FALSE()),""))</f>
        <v>Cultural Heritage Area</v>
      </c>
      <c r="E1477" s="21" t="s">
        <v>15</v>
      </c>
      <c r="F1477" s="23">
        <v>225974</v>
      </c>
      <c r="G1477" s="20" t="s">
        <v>1537</v>
      </c>
      <c r="H1477" s="20" t="s">
        <v>2176</v>
      </c>
      <c r="I1477" s="20" t="s">
        <v>678</v>
      </c>
      <c r="J1477" s="20" t="s">
        <v>6</v>
      </c>
      <c r="K1477" s="20" t="s">
        <v>137</v>
      </c>
      <c r="L1477" s="20" t="s">
        <v>137</v>
      </c>
      <c r="M1477" s="20" t="s">
        <v>1713</v>
      </c>
      <c r="Q1477" s="24" t="s">
        <v>680</v>
      </c>
    </row>
    <row r="1478" spans="1:17" hidden="1" x14ac:dyDescent="0.3">
      <c r="A1478" s="20">
        <f t="shared" si="23"/>
        <v>1477</v>
      </c>
      <c r="B1478" s="21" t="s">
        <v>87</v>
      </c>
      <c r="C1478" s="21" t="s">
        <v>91</v>
      </c>
      <c r="D1478" s="22" t="str">
        <f>IF($C1478="","",IFERROR(VLOOKUP($C1478,Map_Register!$A$2:$C$5,3,FALSE()),""))</f>
        <v>Cultural Heritage Area</v>
      </c>
      <c r="E1478" s="21" t="s">
        <v>15</v>
      </c>
      <c r="F1478" s="23">
        <v>226187</v>
      </c>
      <c r="G1478" s="20" t="s">
        <v>1537</v>
      </c>
      <c r="H1478" s="20" t="s">
        <v>2177</v>
      </c>
      <c r="I1478" s="20" t="s">
        <v>678</v>
      </c>
      <c r="J1478" s="20" t="s">
        <v>6</v>
      </c>
      <c r="K1478" s="20" t="s">
        <v>137</v>
      </c>
      <c r="L1478" s="20" t="s">
        <v>137</v>
      </c>
      <c r="M1478" s="20" t="s">
        <v>1713</v>
      </c>
      <c r="Q1478" s="24" t="s">
        <v>680</v>
      </c>
    </row>
    <row r="1479" spans="1:17" hidden="1" x14ac:dyDescent="0.3">
      <c r="A1479" s="20">
        <f t="shared" si="23"/>
        <v>1478</v>
      </c>
      <c r="B1479" s="21" t="s">
        <v>87</v>
      </c>
      <c r="C1479" s="21" t="s">
        <v>91</v>
      </c>
      <c r="D1479" s="22" t="str">
        <f>IF($C1479="","",IFERROR(VLOOKUP($C1479,Map_Register!$A$2:$C$5,3,FALSE()),""))</f>
        <v>Cultural Heritage Area</v>
      </c>
      <c r="E1479" s="21" t="s">
        <v>15</v>
      </c>
      <c r="F1479" s="23">
        <v>226300</v>
      </c>
      <c r="G1479" s="20" t="s">
        <v>1537</v>
      </c>
      <c r="H1479" s="20" t="s">
        <v>2026</v>
      </c>
      <c r="I1479" s="20" t="s">
        <v>678</v>
      </c>
      <c r="J1479" s="20" t="s">
        <v>6</v>
      </c>
      <c r="K1479" s="20" t="s">
        <v>137</v>
      </c>
      <c r="L1479" s="20" t="s">
        <v>137</v>
      </c>
      <c r="M1479" s="20" t="s">
        <v>1694</v>
      </c>
      <c r="Q1479" s="24" t="s">
        <v>680</v>
      </c>
    </row>
    <row r="1480" spans="1:17" x14ac:dyDescent="0.3">
      <c r="A1480" s="20">
        <f t="shared" si="23"/>
        <v>1479</v>
      </c>
      <c r="B1480" s="21" t="s">
        <v>87</v>
      </c>
      <c r="C1480" s="21" t="s">
        <v>91</v>
      </c>
      <c r="D1480" s="22" t="str">
        <f>IF($C1480="","",IFERROR(VLOOKUP($C1480,Map_Register!$A$2:$C$5,3,FALSE()),""))</f>
        <v>Cultural Heritage Area</v>
      </c>
      <c r="E1480" s="21" t="s">
        <v>15</v>
      </c>
      <c r="F1480" s="23">
        <v>226528</v>
      </c>
      <c r="G1480" s="20" t="s">
        <v>1537</v>
      </c>
      <c r="H1480" s="20" t="s">
        <v>2178</v>
      </c>
      <c r="I1480" s="20" t="s">
        <v>678</v>
      </c>
      <c r="J1480" s="20" t="s">
        <v>8</v>
      </c>
      <c r="K1480" s="20" t="s">
        <v>107</v>
      </c>
      <c r="L1480" t="s">
        <v>108</v>
      </c>
      <c r="M1480" s="20" t="s">
        <v>1722</v>
      </c>
      <c r="N1480" s="20" t="s">
        <v>108</v>
      </c>
      <c r="Q1480" s="24" t="s">
        <v>680</v>
      </c>
    </row>
    <row r="1481" spans="1:17" x14ac:dyDescent="0.3">
      <c r="A1481" s="20">
        <f t="shared" si="23"/>
        <v>1480</v>
      </c>
      <c r="B1481" s="21" t="s">
        <v>87</v>
      </c>
      <c r="C1481" s="21" t="s">
        <v>91</v>
      </c>
      <c r="D1481" s="22" t="str">
        <f>IF($C1481="","",IFERROR(VLOOKUP($C1481,Map_Register!$A$2:$C$5,3,FALSE()),""))</f>
        <v>Cultural Heritage Area</v>
      </c>
      <c r="E1481" s="21" t="s">
        <v>15</v>
      </c>
      <c r="F1481" s="23">
        <v>226689</v>
      </c>
      <c r="G1481" s="20" t="s">
        <v>1537</v>
      </c>
      <c r="H1481" s="20" t="s">
        <v>2179</v>
      </c>
      <c r="I1481" s="20" t="s">
        <v>678</v>
      </c>
      <c r="J1481" s="20" t="s">
        <v>8</v>
      </c>
      <c r="K1481" s="20" t="s">
        <v>107</v>
      </c>
      <c r="L1481" t="s">
        <v>108</v>
      </c>
      <c r="M1481" s="20" t="s">
        <v>1700</v>
      </c>
      <c r="N1481" s="20" t="s">
        <v>108</v>
      </c>
      <c r="Q1481" s="24" t="s">
        <v>680</v>
      </c>
    </row>
    <row r="1482" spans="1:17" x14ac:dyDescent="0.3">
      <c r="A1482" s="20">
        <f t="shared" si="23"/>
        <v>1481</v>
      </c>
      <c r="B1482" s="21" t="s">
        <v>87</v>
      </c>
      <c r="C1482" s="21" t="s">
        <v>91</v>
      </c>
      <c r="D1482" s="22" t="str">
        <f>IF($C1482="","",IFERROR(VLOOKUP($C1482,Map_Register!$A$2:$C$5,3,FALSE()),""))</f>
        <v>Cultural Heritage Area</v>
      </c>
      <c r="E1482" s="21" t="s">
        <v>15</v>
      </c>
      <c r="F1482" s="23">
        <v>226836</v>
      </c>
      <c r="G1482" s="20" t="s">
        <v>1537</v>
      </c>
      <c r="H1482" s="20" t="s">
        <v>2180</v>
      </c>
      <c r="I1482" s="20" t="s">
        <v>678</v>
      </c>
      <c r="J1482" s="20" t="s">
        <v>8</v>
      </c>
      <c r="K1482" s="20" t="s">
        <v>107</v>
      </c>
      <c r="L1482" t="s">
        <v>108</v>
      </c>
      <c r="M1482" s="20" t="s">
        <v>1700</v>
      </c>
      <c r="N1482" s="20" t="s">
        <v>108</v>
      </c>
      <c r="Q1482" s="24" t="s">
        <v>680</v>
      </c>
    </row>
    <row r="1483" spans="1:17" hidden="1" x14ac:dyDescent="0.3">
      <c r="A1483" s="20">
        <f t="shared" si="23"/>
        <v>1482</v>
      </c>
      <c r="B1483" s="21" t="s">
        <v>87</v>
      </c>
      <c r="C1483" s="21" t="s">
        <v>91</v>
      </c>
      <c r="D1483" s="22" t="str">
        <f>IF($C1483="","",IFERROR(VLOOKUP($C1483,Map_Register!$A$2:$C$5,3,FALSE()),""))</f>
        <v>Cultural Heritage Area</v>
      </c>
      <c r="E1483" s="21" t="s">
        <v>15</v>
      </c>
      <c r="F1483" s="23">
        <v>227046</v>
      </c>
      <c r="G1483" s="20" t="s">
        <v>1537</v>
      </c>
      <c r="H1483" s="20" t="s">
        <v>2181</v>
      </c>
      <c r="I1483" s="20" t="s">
        <v>678</v>
      </c>
      <c r="J1483" s="20" t="s">
        <v>6</v>
      </c>
      <c r="K1483" s="20" t="s">
        <v>137</v>
      </c>
      <c r="L1483" s="20" t="s">
        <v>137</v>
      </c>
      <c r="M1483" s="20" t="s">
        <v>1713</v>
      </c>
      <c r="Q1483" s="24" t="s">
        <v>680</v>
      </c>
    </row>
    <row r="1484" spans="1:17" hidden="1" x14ac:dyDescent="0.3">
      <c r="A1484" s="20">
        <f t="shared" si="23"/>
        <v>1483</v>
      </c>
      <c r="B1484" s="21" t="s">
        <v>87</v>
      </c>
      <c r="C1484" s="21" t="s">
        <v>91</v>
      </c>
      <c r="D1484" s="22" t="str">
        <f>IF($C1484="","",IFERROR(VLOOKUP($C1484,Map_Register!$A$2:$C$5,3,FALSE()),""))</f>
        <v>Cultural Heritage Area</v>
      </c>
      <c r="E1484" s="21" t="s">
        <v>15</v>
      </c>
      <c r="F1484" s="23">
        <v>227218</v>
      </c>
      <c r="G1484" s="20" t="s">
        <v>1537</v>
      </c>
      <c r="H1484" s="20" t="s">
        <v>2182</v>
      </c>
      <c r="I1484" s="20" t="s">
        <v>678</v>
      </c>
      <c r="J1484" s="20" t="s">
        <v>8</v>
      </c>
      <c r="K1484" s="20" t="s">
        <v>107</v>
      </c>
      <c r="L1484" s="20" t="s">
        <v>107</v>
      </c>
      <c r="M1484" s="20" t="s">
        <v>1696</v>
      </c>
      <c r="N1484" s="20" t="s">
        <v>108</v>
      </c>
      <c r="Q1484" s="24" t="s">
        <v>680</v>
      </c>
    </row>
    <row r="1485" spans="1:17" hidden="1" x14ac:dyDescent="0.3">
      <c r="A1485" s="20">
        <f t="shared" si="23"/>
        <v>1484</v>
      </c>
      <c r="B1485" s="21" t="s">
        <v>87</v>
      </c>
      <c r="C1485" s="21" t="s">
        <v>91</v>
      </c>
      <c r="D1485" s="22" t="str">
        <f>IF($C1485="","",IFERROR(VLOOKUP($C1485,Map_Register!$A$2:$C$5,3,FALSE()),""))</f>
        <v>Cultural Heritage Area</v>
      </c>
      <c r="E1485" s="21" t="s">
        <v>15</v>
      </c>
      <c r="F1485" s="23">
        <v>227240</v>
      </c>
      <c r="G1485" s="20" t="s">
        <v>1537</v>
      </c>
      <c r="H1485" s="20" t="s">
        <v>2183</v>
      </c>
      <c r="I1485" s="20" t="s">
        <v>678</v>
      </c>
      <c r="J1485" s="20" t="s">
        <v>6</v>
      </c>
      <c r="K1485" s="20" t="s">
        <v>137</v>
      </c>
      <c r="L1485" s="20" t="s">
        <v>137</v>
      </c>
      <c r="M1485" s="20" t="s">
        <v>1713</v>
      </c>
      <c r="Q1485" s="24" t="s">
        <v>680</v>
      </c>
    </row>
    <row r="1486" spans="1:17" hidden="1" x14ac:dyDescent="0.3">
      <c r="A1486" s="20">
        <f t="shared" si="23"/>
        <v>1485</v>
      </c>
      <c r="B1486" s="21" t="s">
        <v>87</v>
      </c>
      <c r="C1486" s="21" t="s">
        <v>91</v>
      </c>
      <c r="D1486" s="22" t="str">
        <f>IF($C1486="","",IFERROR(VLOOKUP($C1486,Map_Register!$A$2:$C$5,3,FALSE()),""))</f>
        <v>Cultural Heritage Area</v>
      </c>
      <c r="E1486" s="21" t="s">
        <v>15</v>
      </c>
      <c r="F1486" s="23">
        <v>227258</v>
      </c>
      <c r="G1486" s="20" t="s">
        <v>1537</v>
      </c>
      <c r="H1486" s="20" t="s">
        <v>2184</v>
      </c>
      <c r="I1486" s="20" t="s">
        <v>678</v>
      </c>
      <c r="J1486" s="20" t="s">
        <v>6</v>
      </c>
      <c r="K1486" s="20" t="s">
        <v>137</v>
      </c>
      <c r="L1486" s="20" t="s">
        <v>137</v>
      </c>
      <c r="M1486" s="20" t="s">
        <v>1713</v>
      </c>
      <c r="Q1486" s="24" t="s">
        <v>680</v>
      </c>
    </row>
    <row r="1487" spans="1:17" x14ac:dyDescent="0.3">
      <c r="A1487" s="20">
        <f t="shared" si="23"/>
        <v>1486</v>
      </c>
      <c r="B1487" s="21" t="s">
        <v>87</v>
      </c>
      <c r="C1487" s="21" t="s">
        <v>91</v>
      </c>
      <c r="D1487" s="22" t="str">
        <f>IF($C1487="","",IFERROR(VLOOKUP($C1487,Map_Register!$A$2:$C$5,3,FALSE()),""))</f>
        <v>Cultural Heritage Area</v>
      </c>
      <c r="E1487" s="21" t="s">
        <v>15</v>
      </c>
      <c r="F1487" s="23">
        <v>227306</v>
      </c>
      <c r="G1487" s="20" t="s">
        <v>1537</v>
      </c>
      <c r="H1487" s="20" t="s">
        <v>2185</v>
      </c>
      <c r="I1487" s="20" t="s">
        <v>678</v>
      </c>
      <c r="J1487" s="20" t="s">
        <v>8</v>
      </c>
      <c r="K1487" s="20" t="s">
        <v>107</v>
      </c>
      <c r="L1487" t="s">
        <v>108</v>
      </c>
      <c r="M1487" s="20" t="s">
        <v>1722</v>
      </c>
      <c r="N1487" s="20" t="s">
        <v>108</v>
      </c>
      <c r="Q1487" s="24" t="s">
        <v>680</v>
      </c>
    </row>
    <row r="1488" spans="1:17" hidden="1" x14ac:dyDescent="0.3">
      <c r="A1488" s="20">
        <f t="shared" si="23"/>
        <v>1487</v>
      </c>
      <c r="B1488" s="21" t="s">
        <v>87</v>
      </c>
      <c r="C1488" s="21" t="s">
        <v>91</v>
      </c>
      <c r="D1488" s="22" t="str">
        <f>IF($C1488="","",IFERROR(VLOOKUP($C1488,Map_Register!$A$2:$C$5,3,FALSE()),""))</f>
        <v>Cultural Heritage Area</v>
      </c>
      <c r="E1488" s="21" t="s">
        <v>15</v>
      </c>
      <c r="F1488" s="23">
        <v>227566</v>
      </c>
      <c r="G1488" s="20" t="s">
        <v>1537</v>
      </c>
      <c r="H1488" s="20" t="s">
        <v>1727</v>
      </c>
      <c r="I1488" s="20" t="s">
        <v>678</v>
      </c>
      <c r="J1488" s="20" t="s">
        <v>8</v>
      </c>
      <c r="K1488" s="20" t="s">
        <v>107</v>
      </c>
      <c r="L1488" s="20" t="s">
        <v>107</v>
      </c>
      <c r="M1488" s="20" t="s">
        <v>1696</v>
      </c>
      <c r="N1488" s="20" t="s">
        <v>108</v>
      </c>
      <c r="Q1488" s="24" t="s">
        <v>680</v>
      </c>
    </row>
    <row r="1489" spans="1:17" x14ac:dyDescent="0.3">
      <c r="A1489" s="20">
        <f t="shared" si="23"/>
        <v>1488</v>
      </c>
      <c r="B1489" s="21" t="s">
        <v>87</v>
      </c>
      <c r="C1489" s="21" t="s">
        <v>91</v>
      </c>
      <c r="D1489" s="22" t="str">
        <f>IF($C1489="","",IFERROR(VLOOKUP($C1489,Map_Register!$A$2:$C$5,3,FALSE()),""))</f>
        <v>Cultural Heritage Area</v>
      </c>
      <c r="E1489" s="21" t="s">
        <v>15</v>
      </c>
      <c r="F1489" s="23">
        <v>227579</v>
      </c>
      <c r="G1489" s="20" t="s">
        <v>1537</v>
      </c>
      <c r="H1489" s="20" t="s">
        <v>2186</v>
      </c>
      <c r="I1489" s="20" t="s">
        <v>678</v>
      </c>
      <c r="J1489" s="20" t="s">
        <v>8</v>
      </c>
      <c r="K1489" s="20" t="s">
        <v>107</v>
      </c>
      <c r="L1489" t="s">
        <v>108</v>
      </c>
      <c r="M1489" s="20" t="s">
        <v>1700</v>
      </c>
      <c r="N1489" s="20" t="s">
        <v>108</v>
      </c>
      <c r="Q1489" s="24" t="s">
        <v>680</v>
      </c>
    </row>
    <row r="1490" spans="1:17" hidden="1" x14ac:dyDescent="0.3">
      <c r="A1490" s="20">
        <f t="shared" si="23"/>
        <v>1489</v>
      </c>
      <c r="B1490" s="21" t="s">
        <v>87</v>
      </c>
      <c r="C1490" s="21" t="s">
        <v>91</v>
      </c>
      <c r="D1490" s="22" t="str">
        <f>IF($C1490="","",IFERROR(VLOOKUP($C1490,Map_Register!$A$2:$C$5,3,FALSE()),""))</f>
        <v>Cultural Heritage Area</v>
      </c>
      <c r="E1490" s="21" t="s">
        <v>15</v>
      </c>
      <c r="F1490" s="23">
        <v>227646</v>
      </c>
      <c r="G1490" s="20" t="s">
        <v>1537</v>
      </c>
      <c r="H1490" s="20" t="s">
        <v>2187</v>
      </c>
      <c r="I1490" s="20" t="s">
        <v>678</v>
      </c>
      <c r="J1490" s="20" t="s">
        <v>8</v>
      </c>
      <c r="K1490" s="20" t="s">
        <v>107</v>
      </c>
      <c r="L1490" s="20" t="s">
        <v>107</v>
      </c>
      <c r="M1490" s="20" t="s">
        <v>1696</v>
      </c>
      <c r="N1490" s="20" t="s">
        <v>108</v>
      </c>
      <c r="Q1490" s="24" t="s">
        <v>680</v>
      </c>
    </row>
    <row r="1491" spans="1:17" hidden="1" x14ac:dyDescent="0.3">
      <c r="A1491" s="20">
        <f t="shared" si="23"/>
        <v>1490</v>
      </c>
      <c r="B1491" s="21" t="s">
        <v>87</v>
      </c>
      <c r="C1491" s="21" t="s">
        <v>91</v>
      </c>
      <c r="D1491" s="22" t="str">
        <f>IF($C1491="","",IFERROR(VLOOKUP($C1491,Map_Register!$A$2:$C$5,3,FALSE()),""))</f>
        <v>Cultural Heritage Area</v>
      </c>
      <c r="E1491" s="21" t="s">
        <v>15</v>
      </c>
      <c r="F1491" s="23">
        <v>227724</v>
      </c>
      <c r="G1491" s="20" t="s">
        <v>1537</v>
      </c>
      <c r="H1491" s="20" t="s">
        <v>2188</v>
      </c>
      <c r="I1491" s="20" t="s">
        <v>678</v>
      </c>
      <c r="J1491" s="20" t="s">
        <v>6</v>
      </c>
      <c r="K1491" s="20" t="s">
        <v>137</v>
      </c>
      <c r="L1491" s="20" t="s">
        <v>137</v>
      </c>
      <c r="M1491" s="20" t="s">
        <v>1713</v>
      </c>
      <c r="Q1491" s="24" t="s">
        <v>680</v>
      </c>
    </row>
    <row r="1492" spans="1:17" x14ac:dyDescent="0.3">
      <c r="A1492" s="20">
        <f t="shared" si="23"/>
        <v>1491</v>
      </c>
      <c r="B1492" s="21" t="s">
        <v>87</v>
      </c>
      <c r="C1492" s="21" t="s">
        <v>91</v>
      </c>
      <c r="D1492" s="22" t="str">
        <f>IF($C1492="","",IFERROR(VLOOKUP($C1492,Map_Register!$A$2:$C$5,3,FALSE()),""))</f>
        <v>Cultural Heritage Area</v>
      </c>
      <c r="E1492" s="21" t="s">
        <v>15</v>
      </c>
      <c r="F1492" s="23">
        <v>227794</v>
      </c>
      <c r="G1492" s="20" t="s">
        <v>1537</v>
      </c>
      <c r="H1492" s="20" t="s">
        <v>2189</v>
      </c>
      <c r="I1492" s="20" t="s">
        <v>678</v>
      </c>
      <c r="J1492" s="20" t="s">
        <v>8</v>
      </c>
      <c r="K1492" s="20" t="s">
        <v>107</v>
      </c>
      <c r="L1492" t="s">
        <v>108</v>
      </c>
      <c r="M1492" s="20" t="s">
        <v>1798</v>
      </c>
      <c r="N1492" s="20" t="s">
        <v>108</v>
      </c>
      <c r="Q1492" s="24" t="s">
        <v>680</v>
      </c>
    </row>
    <row r="1493" spans="1:17" hidden="1" x14ac:dyDescent="0.3">
      <c r="A1493" s="20">
        <f t="shared" si="23"/>
        <v>1492</v>
      </c>
      <c r="B1493" s="21" t="s">
        <v>87</v>
      </c>
      <c r="C1493" s="21" t="s">
        <v>91</v>
      </c>
      <c r="D1493" s="22" t="str">
        <f>IF($C1493="","",IFERROR(VLOOKUP($C1493,Map_Register!$A$2:$C$5,3,FALSE()),""))</f>
        <v>Cultural Heritage Area</v>
      </c>
      <c r="E1493" s="21" t="s">
        <v>15</v>
      </c>
      <c r="F1493" s="23">
        <v>228569</v>
      </c>
      <c r="G1493" s="20" t="s">
        <v>1537</v>
      </c>
      <c r="H1493" s="20" t="s">
        <v>2190</v>
      </c>
      <c r="I1493" s="20" t="s">
        <v>678</v>
      </c>
      <c r="J1493" s="20" t="s">
        <v>8</v>
      </c>
      <c r="K1493" s="20" t="s">
        <v>107</v>
      </c>
      <c r="L1493" s="20" t="s">
        <v>107</v>
      </c>
      <c r="M1493" s="20" t="s">
        <v>1705</v>
      </c>
      <c r="N1493" s="20" t="s">
        <v>108</v>
      </c>
      <c r="Q1493" s="24" t="s">
        <v>680</v>
      </c>
    </row>
    <row r="1494" spans="1:17" hidden="1" x14ac:dyDescent="0.3">
      <c r="A1494" s="20">
        <f t="shared" si="23"/>
        <v>1493</v>
      </c>
      <c r="B1494" s="21" t="s">
        <v>87</v>
      </c>
      <c r="C1494" s="21" t="s">
        <v>91</v>
      </c>
      <c r="D1494" s="22" t="str">
        <f>IF($C1494="","",IFERROR(VLOOKUP($C1494,Map_Register!$A$2:$C$5,3,FALSE()),""))</f>
        <v>Cultural Heritage Area</v>
      </c>
      <c r="E1494" s="21" t="s">
        <v>15</v>
      </c>
      <c r="F1494" s="23">
        <v>228575</v>
      </c>
      <c r="G1494" s="20" t="s">
        <v>1537</v>
      </c>
      <c r="H1494" s="20" t="s">
        <v>2191</v>
      </c>
      <c r="I1494" s="20" t="s">
        <v>678</v>
      </c>
      <c r="J1494" s="20" t="s">
        <v>6</v>
      </c>
      <c r="K1494" s="20" t="s">
        <v>137</v>
      </c>
      <c r="L1494" s="20" t="s">
        <v>137</v>
      </c>
      <c r="M1494" s="20" t="s">
        <v>1713</v>
      </c>
      <c r="Q1494" s="24" t="s">
        <v>680</v>
      </c>
    </row>
    <row r="1495" spans="1:17" hidden="1" x14ac:dyDescent="0.3">
      <c r="A1495" s="20">
        <f t="shared" si="23"/>
        <v>1494</v>
      </c>
      <c r="B1495" s="21" t="s">
        <v>87</v>
      </c>
      <c r="C1495" s="21" t="s">
        <v>91</v>
      </c>
      <c r="D1495" s="22" t="str">
        <f>IF($C1495="","",IFERROR(VLOOKUP($C1495,Map_Register!$A$2:$C$5,3,FALSE()),""))</f>
        <v>Cultural Heritage Area</v>
      </c>
      <c r="E1495" s="21" t="s">
        <v>15</v>
      </c>
      <c r="F1495" s="23">
        <v>228592</v>
      </c>
      <c r="G1495" s="20" t="s">
        <v>1537</v>
      </c>
      <c r="H1495" s="20" t="s">
        <v>2192</v>
      </c>
      <c r="I1495" s="20" t="s">
        <v>678</v>
      </c>
      <c r="J1495" s="20" t="s">
        <v>6</v>
      </c>
      <c r="K1495" s="20" t="s">
        <v>137</v>
      </c>
      <c r="L1495" s="20" t="s">
        <v>137</v>
      </c>
      <c r="M1495" s="20" t="s">
        <v>1713</v>
      </c>
      <c r="Q1495" s="24" t="s">
        <v>680</v>
      </c>
    </row>
    <row r="1496" spans="1:17" hidden="1" x14ac:dyDescent="0.3">
      <c r="A1496" s="20">
        <f t="shared" si="23"/>
        <v>1495</v>
      </c>
      <c r="B1496" s="21" t="s">
        <v>87</v>
      </c>
      <c r="C1496" s="21" t="s">
        <v>91</v>
      </c>
      <c r="D1496" s="22" t="str">
        <f>IF($C1496="","",IFERROR(VLOOKUP($C1496,Map_Register!$A$2:$C$5,3,FALSE()),""))</f>
        <v>Cultural Heritage Area</v>
      </c>
      <c r="E1496" s="21" t="s">
        <v>15</v>
      </c>
      <c r="F1496" s="23">
        <v>228597</v>
      </c>
      <c r="G1496" s="20" t="s">
        <v>1537</v>
      </c>
      <c r="H1496" s="20" t="s">
        <v>2193</v>
      </c>
      <c r="I1496" s="20" t="s">
        <v>678</v>
      </c>
      <c r="J1496" s="20" t="s">
        <v>6</v>
      </c>
      <c r="K1496" s="20" t="s">
        <v>137</v>
      </c>
      <c r="L1496" s="20" t="s">
        <v>137</v>
      </c>
      <c r="M1496" s="20" t="s">
        <v>1694</v>
      </c>
      <c r="Q1496" s="24" t="s">
        <v>680</v>
      </c>
    </row>
    <row r="1497" spans="1:17" hidden="1" x14ac:dyDescent="0.3">
      <c r="A1497" s="20">
        <f t="shared" si="23"/>
        <v>1496</v>
      </c>
      <c r="B1497" s="21" t="s">
        <v>87</v>
      </c>
      <c r="C1497" s="21" t="s">
        <v>91</v>
      </c>
      <c r="D1497" s="22" t="str">
        <f>IF($C1497="","",IFERROR(VLOOKUP($C1497,Map_Register!$A$2:$C$5,3,FALSE()),""))</f>
        <v>Cultural Heritage Area</v>
      </c>
      <c r="E1497" s="21" t="s">
        <v>15</v>
      </c>
      <c r="F1497" s="23">
        <v>228601</v>
      </c>
      <c r="G1497" s="20" t="s">
        <v>1537</v>
      </c>
      <c r="H1497" s="20" t="s">
        <v>2078</v>
      </c>
      <c r="I1497" s="20" t="s">
        <v>678</v>
      </c>
      <c r="J1497" s="20" t="s">
        <v>6</v>
      </c>
      <c r="K1497" s="20" t="s">
        <v>137</v>
      </c>
      <c r="L1497" s="20" t="s">
        <v>137</v>
      </c>
      <c r="M1497" s="20" t="s">
        <v>1713</v>
      </c>
      <c r="Q1497" s="24" t="s">
        <v>680</v>
      </c>
    </row>
    <row r="1498" spans="1:17" hidden="1" x14ac:dyDescent="0.3">
      <c r="A1498" s="20">
        <f t="shared" si="23"/>
        <v>1497</v>
      </c>
      <c r="B1498" s="21" t="s">
        <v>87</v>
      </c>
      <c r="C1498" s="21" t="s">
        <v>91</v>
      </c>
      <c r="D1498" s="22" t="str">
        <f>IF($C1498="","",IFERROR(VLOOKUP($C1498,Map_Register!$A$2:$C$5,3,FALSE()),""))</f>
        <v>Cultural Heritage Area</v>
      </c>
      <c r="E1498" s="21" t="s">
        <v>15</v>
      </c>
      <c r="F1498" s="23">
        <v>228607</v>
      </c>
      <c r="G1498" s="20" t="s">
        <v>1537</v>
      </c>
      <c r="H1498" s="20" t="s">
        <v>2194</v>
      </c>
      <c r="I1498" s="20" t="s">
        <v>678</v>
      </c>
      <c r="J1498" s="20" t="s">
        <v>6</v>
      </c>
      <c r="K1498" s="20" t="s">
        <v>137</v>
      </c>
      <c r="L1498" s="20" t="s">
        <v>137</v>
      </c>
      <c r="M1498" s="20" t="s">
        <v>1694</v>
      </c>
      <c r="Q1498" s="24" t="s">
        <v>680</v>
      </c>
    </row>
    <row r="1499" spans="1:17" hidden="1" x14ac:dyDescent="0.3">
      <c r="A1499" s="20">
        <f t="shared" si="23"/>
        <v>1498</v>
      </c>
      <c r="B1499" s="21" t="s">
        <v>87</v>
      </c>
      <c r="C1499" s="21" t="s">
        <v>91</v>
      </c>
      <c r="D1499" s="22" t="str">
        <f>IF($C1499="","",IFERROR(VLOOKUP($C1499,Map_Register!$A$2:$C$5,3,FALSE()),""))</f>
        <v>Cultural Heritage Area</v>
      </c>
      <c r="E1499" s="21" t="s">
        <v>15</v>
      </c>
      <c r="F1499" s="23">
        <v>228612</v>
      </c>
      <c r="G1499" s="20" t="s">
        <v>1537</v>
      </c>
      <c r="H1499" s="20" t="s">
        <v>2195</v>
      </c>
      <c r="I1499" s="20" t="s">
        <v>678</v>
      </c>
      <c r="J1499" s="20" t="s">
        <v>6</v>
      </c>
      <c r="K1499" s="20" t="s">
        <v>137</v>
      </c>
      <c r="L1499" s="20" t="s">
        <v>137</v>
      </c>
      <c r="M1499" s="20" t="s">
        <v>1694</v>
      </c>
      <c r="Q1499" s="24" t="s">
        <v>680</v>
      </c>
    </row>
    <row r="1500" spans="1:17" hidden="1" x14ac:dyDescent="0.3">
      <c r="A1500" s="20">
        <f t="shared" si="23"/>
        <v>1499</v>
      </c>
      <c r="B1500" s="21" t="s">
        <v>87</v>
      </c>
      <c r="C1500" s="21" t="s">
        <v>91</v>
      </c>
      <c r="D1500" s="22" t="str">
        <f>IF($C1500="","",IFERROR(VLOOKUP($C1500,Map_Register!$A$2:$C$5,3,FALSE()),""))</f>
        <v>Cultural Heritage Area</v>
      </c>
      <c r="E1500" s="21" t="s">
        <v>15</v>
      </c>
      <c r="F1500" s="23">
        <v>228625</v>
      </c>
      <c r="G1500" s="20" t="s">
        <v>1537</v>
      </c>
      <c r="H1500" s="20" t="s">
        <v>2196</v>
      </c>
      <c r="I1500" s="20" t="s">
        <v>678</v>
      </c>
      <c r="J1500" s="20" t="s">
        <v>6</v>
      </c>
      <c r="K1500" s="20" t="s">
        <v>137</v>
      </c>
      <c r="L1500" s="20" t="s">
        <v>137</v>
      </c>
      <c r="M1500" s="20" t="s">
        <v>1694</v>
      </c>
      <c r="Q1500" s="24" t="s">
        <v>680</v>
      </c>
    </row>
    <row r="1501" spans="1:17" hidden="1" x14ac:dyDescent="0.3">
      <c r="A1501" s="20">
        <f t="shared" si="23"/>
        <v>1500</v>
      </c>
      <c r="B1501" s="21" t="s">
        <v>87</v>
      </c>
      <c r="C1501" s="21" t="s">
        <v>91</v>
      </c>
      <c r="D1501" s="22" t="str">
        <f>IF($C1501="","",IFERROR(VLOOKUP($C1501,Map_Register!$A$2:$C$5,3,FALSE()),""))</f>
        <v>Cultural Heritage Area</v>
      </c>
      <c r="E1501" s="21" t="s">
        <v>15</v>
      </c>
      <c r="F1501" s="23">
        <v>228640</v>
      </c>
      <c r="G1501" s="20" t="s">
        <v>1537</v>
      </c>
      <c r="H1501" s="20" t="s">
        <v>1904</v>
      </c>
      <c r="I1501" s="20" t="s">
        <v>678</v>
      </c>
      <c r="J1501" s="20" t="s">
        <v>6</v>
      </c>
      <c r="K1501" s="20" t="s">
        <v>137</v>
      </c>
      <c r="L1501" s="20" t="s">
        <v>137</v>
      </c>
      <c r="M1501" s="20" t="s">
        <v>1694</v>
      </c>
      <c r="Q1501" s="24" t="s">
        <v>680</v>
      </c>
    </row>
    <row r="1502" spans="1:17" hidden="1" x14ac:dyDescent="0.3">
      <c r="A1502" s="20">
        <f t="shared" si="23"/>
        <v>1501</v>
      </c>
      <c r="B1502" s="21" t="s">
        <v>87</v>
      </c>
      <c r="C1502" s="21" t="s">
        <v>91</v>
      </c>
      <c r="D1502" s="22" t="str">
        <f>IF($C1502="","",IFERROR(VLOOKUP($C1502,Map_Register!$A$2:$C$5,3,FALSE()),""))</f>
        <v>Cultural Heritage Area</v>
      </c>
      <c r="E1502" s="21" t="s">
        <v>15</v>
      </c>
      <c r="F1502" s="23">
        <v>228666</v>
      </c>
      <c r="G1502" s="20" t="s">
        <v>1537</v>
      </c>
      <c r="H1502" s="20" t="s">
        <v>2197</v>
      </c>
      <c r="I1502" s="20" t="s">
        <v>678</v>
      </c>
      <c r="J1502" s="20" t="s">
        <v>8</v>
      </c>
      <c r="K1502" s="20" t="s">
        <v>107</v>
      </c>
      <c r="L1502" s="20" t="s">
        <v>107</v>
      </c>
      <c r="M1502" s="20" t="s">
        <v>1696</v>
      </c>
      <c r="N1502" s="20" t="s">
        <v>108</v>
      </c>
      <c r="Q1502" s="24" t="s">
        <v>680</v>
      </c>
    </row>
    <row r="1503" spans="1:17" hidden="1" x14ac:dyDescent="0.3">
      <c r="A1503" s="20">
        <f t="shared" si="23"/>
        <v>1502</v>
      </c>
      <c r="B1503" s="21" t="s">
        <v>87</v>
      </c>
      <c r="C1503" s="21" t="s">
        <v>91</v>
      </c>
      <c r="D1503" s="22" t="str">
        <f>IF($C1503="","",IFERROR(VLOOKUP($C1503,Map_Register!$A$2:$C$5,3,FALSE()),""))</f>
        <v>Cultural Heritage Area</v>
      </c>
      <c r="E1503" s="21" t="s">
        <v>15</v>
      </c>
      <c r="F1503" s="23">
        <v>228676</v>
      </c>
      <c r="G1503" s="20" t="s">
        <v>1537</v>
      </c>
      <c r="H1503" s="20" t="s">
        <v>2198</v>
      </c>
      <c r="I1503" s="20" t="s">
        <v>678</v>
      </c>
      <c r="J1503" s="20" t="s">
        <v>8</v>
      </c>
      <c r="K1503" s="20" t="s">
        <v>107</v>
      </c>
      <c r="L1503" s="20" t="s">
        <v>107</v>
      </c>
      <c r="M1503" s="20" t="s">
        <v>1696</v>
      </c>
      <c r="N1503" s="20" t="s">
        <v>108</v>
      </c>
      <c r="Q1503" s="24" t="s">
        <v>680</v>
      </c>
    </row>
    <row r="1504" spans="1:17" hidden="1" x14ac:dyDescent="0.3">
      <c r="A1504" s="20">
        <f t="shared" si="23"/>
        <v>1503</v>
      </c>
      <c r="B1504" s="21" t="s">
        <v>87</v>
      </c>
      <c r="C1504" s="21" t="s">
        <v>91</v>
      </c>
      <c r="D1504" s="22" t="str">
        <f>IF($C1504="","",IFERROR(VLOOKUP($C1504,Map_Register!$A$2:$C$5,3,FALSE()),""))</f>
        <v>Cultural Heritage Area</v>
      </c>
      <c r="E1504" s="21" t="s">
        <v>15</v>
      </c>
      <c r="F1504" s="23">
        <v>228684</v>
      </c>
      <c r="G1504" s="20" t="s">
        <v>1537</v>
      </c>
      <c r="H1504" s="20" t="s">
        <v>2199</v>
      </c>
      <c r="I1504" s="20" t="s">
        <v>678</v>
      </c>
      <c r="J1504" s="20" t="s">
        <v>6</v>
      </c>
      <c r="K1504" s="20" t="s">
        <v>137</v>
      </c>
      <c r="L1504" s="20" t="s">
        <v>137</v>
      </c>
      <c r="M1504" s="20" t="s">
        <v>1694</v>
      </c>
      <c r="Q1504" s="24" t="s">
        <v>680</v>
      </c>
    </row>
    <row r="1505" spans="1:17" hidden="1" x14ac:dyDescent="0.3">
      <c r="A1505" s="20">
        <f t="shared" si="23"/>
        <v>1504</v>
      </c>
      <c r="B1505" s="21" t="s">
        <v>87</v>
      </c>
      <c r="C1505" s="21" t="s">
        <v>91</v>
      </c>
      <c r="D1505" s="22" t="str">
        <f>IF($C1505="","",IFERROR(VLOOKUP($C1505,Map_Register!$A$2:$C$5,3,FALSE()),""))</f>
        <v>Cultural Heritage Area</v>
      </c>
      <c r="E1505" s="21" t="s">
        <v>15</v>
      </c>
      <c r="F1505" s="23">
        <v>228689</v>
      </c>
      <c r="G1505" s="20" t="s">
        <v>1537</v>
      </c>
      <c r="H1505" s="20" t="s">
        <v>2184</v>
      </c>
      <c r="I1505" s="20" t="s">
        <v>678</v>
      </c>
      <c r="J1505" s="20" t="s">
        <v>6</v>
      </c>
      <c r="K1505" s="20" t="s">
        <v>137</v>
      </c>
      <c r="L1505" s="20" t="s">
        <v>137</v>
      </c>
      <c r="M1505" s="20" t="s">
        <v>1694</v>
      </c>
      <c r="Q1505" s="24" t="s">
        <v>680</v>
      </c>
    </row>
    <row r="1506" spans="1:17" hidden="1" x14ac:dyDescent="0.3">
      <c r="A1506" s="20">
        <f t="shared" si="23"/>
        <v>1505</v>
      </c>
      <c r="B1506" s="21" t="s">
        <v>87</v>
      </c>
      <c r="C1506" s="21" t="s">
        <v>91</v>
      </c>
      <c r="D1506" s="22" t="str">
        <f>IF($C1506="","",IFERROR(VLOOKUP($C1506,Map_Register!$A$2:$C$5,3,FALSE()),""))</f>
        <v>Cultural Heritage Area</v>
      </c>
      <c r="E1506" s="21" t="s">
        <v>15</v>
      </c>
      <c r="F1506" s="23">
        <v>228704</v>
      </c>
      <c r="G1506" s="20" t="s">
        <v>1537</v>
      </c>
      <c r="H1506" s="20" t="s">
        <v>2200</v>
      </c>
      <c r="I1506" s="20" t="s">
        <v>678</v>
      </c>
      <c r="J1506" s="20" t="s">
        <v>6</v>
      </c>
      <c r="K1506" s="20" t="s">
        <v>137</v>
      </c>
      <c r="L1506" s="20" t="s">
        <v>137</v>
      </c>
      <c r="M1506" s="20" t="s">
        <v>1694</v>
      </c>
      <c r="Q1506" s="24" t="s">
        <v>680</v>
      </c>
    </row>
    <row r="1507" spans="1:17" hidden="1" x14ac:dyDescent="0.3">
      <c r="A1507" s="20">
        <f t="shared" si="23"/>
        <v>1506</v>
      </c>
      <c r="B1507" s="21" t="s">
        <v>87</v>
      </c>
      <c r="C1507" s="21" t="s">
        <v>91</v>
      </c>
      <c r="D1507" s="22" t="str">
        <f>IF($C1507="","",IFERROR(VLOOKUP($C1507,Map_Register!$A$2:$C$5,3,FALSE()),""))</f>
        <v>Cultural Heritage Area</v>
      </c>
      <c r="E1507" s="21" t="s">
        <v>15</v>
      </c>
      <c r="F1507" s="23">
        <v>228706</v>
      </c>
      <c r="G1507" s="20" t="s">
        <v>1537</v>
      </c>
      <c r="H1507" s="20" t="s">
        <v>2201</v>
      </c>
      <c r="I1507" s="20" t="s">
        <v>678</v>
      </c>
      <c r="J1507" s="20" t="s">
        <v>8</v>
      </c>
      <c r="K1507" s="20" t="s">
        <v>107</v>
      </c>
      <c r="L1507" s="20" t="s">
        <v>107</v>
      </c>
      <c r="M1507" s="20" t="s">
        <v>1705</v>
      </c>
      <c r="N1507" s="20" t="s">
        <v>108</v>
      </c>
      <c r="Q1507" s="24" t="s">
        <v>680</v>
      </c>
    </row>
    <row r="1508" spans="1:17" hidden="1" x14ac:dyDescent="0.3">
      <c r="A1508" s="20">
        <f t="shared" si="23"/>
        <v>1507</v>
      </c>
      <c r="B1508" s="21" t="s">
        <v>87</v>
      </c>
      <c r="C1508" s="21" t="s">
        <v>91</v>
      </c>
      <c r="D1508" s="22" t="str">
        <f>IF($C1508="","",IFERROR(VLOOKUP($C1508,Map_Register!$A$2:$C$5,3,FALSE()),""))</f>
        <v>Cultural Heritage Area</v>
      </c>
      <c r="E1508" s="21" t="s">
        <v>15</v>
      </c>
      <c r="F1508" s="23">
        <v>228720</v>
      </c>
      <c r="G1508" s="20" t="s">
        <v>1537</v>
      </c>
      <c r="H1508" s="20" t="s">
        <v>2202</v>
      </c>
      <c r="I1508" s="20" t="s">
        <v>678</v>
      </c>
      <c r="J1508" s="20" t="s">
        <v>6</v>
      </c>
      <c r="K1508" s="20" t="s">
        <v>137</v>
      </c>
      <c r="L1508" s="20" t="s">
        <v>137</v>
      </c>
      <c r="M1508" s="20" t="s">
        <v>1694</v>
      </c>
      <c r="Q1508" s="24" t="s">
        <v>680</v>
      </c>
    </row>
    <row r="1509" spans="1:17" hidden="1" x14ac:dyDescent="0.3">
      <c r="A1509" s="20">
        <f t="shared" si="23"/>
        <v>1508</v>
      </c>
      <c r="B1509" s="21" t="s">
        <v>87</v>
      </c>
      <c r="C1509" s="21" t="s">
        <v>91</v>
      </c>
      <c r="D1509" s="22" t="str">
        <f>IF($C1509="","",IFERROR(VLOOKUP($C1509,Map_Register!$A$2:$C$5,3,FALSE()),""))</f>
        <v>Cultural Heritage Area</v>
      </c>
      <c r="E1509" s="21" t="s">
        <v>15</v>
      </c>
      <c r="F1509" s="23">
        <v>228723</v>
      </c>
      <c r="G1509" s="20" t="s">
        <v>1537</v>
      </c>
      <c r="H1509" s="20" t="s">
        <v>2203</v>
      </c>
      <c r="I1509" s="20" t="s">
        <v>678</v>
      </c>
      <c r="J1509" s="20" t="s">
        <v>8</v>
      </c>
      <c r="K1509" s="20" t="s">
        <v>107</v>
      </c>
      <c r="L1509" s="20" t="s">
        <v>107</v>
      </c>
      <c r="M1509" s="20" t="s">
        <v>1705</v>
      </c>
      <c r="N1509" s="20" t="s">
        <v>108</v>
      </c>
      <c r="Q1509" s="24" t="s">
        <v>680</v>
      </c>
    </row>
    <row r="1510" spans="1:17" hidden="1" x14ac:dyDescent="0.3">
      <c r="A1510" s="20">
        <f t="shared" si="23"/>
        <v>1509</v>
      </c>
      <c r="B1510" s="21" t="s">
        <v>87</v>
      </c>
      <c r="C1510" s="21" t="s">
        <v>91</v>
      </c>
      <c r="D1510" s="22" t="str">
        <f>IF($C1510="","",IFERROR(VLOOKUP($C1510,Map_Register!$A$2:$C$5,3,FALSE()),""))</f>
        <v>Cultural Heritage Area</v>
      </c>
      <c r="E1510" s="21" t="s">
        <v>15</v>
      </c>
      <c r="F1510" s="23">
        <v>228732</v>
      </c>
      <c r="G1510" s="20" t="s">
        <v>1537</v>
      </c>
      <c r="H1510" s="20" t="s">
        <v>2204</v>
      </c>
      <c r="I1510" s="20" t="s">
        <v>678</v>
      </c>
      <c r="J1510" s="20" t="s">
        <v>8</v>
      </c>
      <c r="K1510" s="20" t="s">
        <v>107</v>
      </c>
      <c r="L1510" s="20" t="s">
        <v>107</v>
      </c>
      <c r="M1510" s="20" t="s">
        <v>1705</v>
      </c>
      <c r="N1510" s="20" t="s">
        <v>108</v>
      </c>
      <c r="Q1510" s="24" t="s">
        <v>680</v>
      </c>
    </row>
    <row r="1511" spans="1:17" hidden="1" x14ac:dyDescent="0.3">
      <c r="A1511" s="20">
        <f t="shared" si="23"/>
        <v>1510</v>
      </c>
      <c r="B1511" s="21" t="s">
        <v>87</v>
      </c>
      <c r="C1511" s="21" t="s">
        <v>91</v>
      </c>
      <c r="D1511" s="22" t="str">
        <f>IF($C1511="","",IFERROR(VLOOKUP($C1511,Map_Register!$A$2:$C$5,3,FALSE()),""))</f>
        <v>Cultural Heritage Area</v>
      </c>
      <c r="E1511" s="21" t="s">
        <v>15</v>
      </c>
      <c r="F1511" s="23">
        <v>228733</v>
      </c>
      <c r="G1511" s="20" t="s">
        <v>1537</v>
      </c>
      <c r="H1511" s="20" t="s">
        <v>2205</v>
      </c>
      <c r="I1511" s="20" t="s">
        <v>678</v>
      </c>
      <c r="J1511" s="20" t="s">
        <v>8</v>
      </c>
      <c r="K1511" s="20" t="s">
        <v>107</v>
      </c>
      <c r="L1511" t="s">
        <v>107</v>
      </c>
      <c r="M1511" s="20" t="s">
        <v>1698</v>
      </c>
      <c r="N1511" s="20" t="s">
        <v>108</v>
      </c>
      <c r="Q1511" s="24" t="s">
        <v>680</v>
      </c>
    </row>
    <row r="1512" spans="1:17" hidden="1" x14ac:dyDescent="0.3">
      <c r="A1512" s="20">
        <f t="shared" si="23"/>
        <v>1511</v>
      </c>
      <c r="B1512" s="21" t="s">
        <v>87</v>
      </c>
      <c r="C1512" s="21" t="s">
        <v>91</v>
      </c>
      <c r="D1512" s="22" t="str">
        <f>IF($C1512="","",IFERROR(VLOOKUP($C1512,Map_Register!$A$2:$C$5,3,FALSE()),""))</f>
        <v>Cultural Heritage Area</v>
      </c>
      <c r="E1512" s="21" t="s">
        <v>15</v>
      </c>
      <c r="F1512" s="23">
        <v>228737</v>
      </c>
      <c r="G1512" s="20" t="s">
        <v>1537</v>
      </c>
      <c r="H1512" s="20" t="s">
        <v>2206</v>
      </c>
      <c r="I1512" s="20" t="s">
        <v>678</v>
      </c>
      <c r="J1512" s="20" t="s">
        <v>6</v>
      </c>
      <c r="K1512" s="20" t="s">
        <v>137</v>
      </c>
      <c r="L1512" s="20" t="s">
        <v>137</v>
      </c>
      <c r="M1512" s="20" t="s">
        <v>1713</v>
      </c>
      <c r="Q1512" s="24" t="s">
        <v>680</v>
      </c>
    </row>
    <row r="1513" spans="1:17" hidden="1" x14ac:dyDescent="0.3">
      <c r="A1513" s="20">
        <f t="shared" si="23"/>
        <v>1512</v>
      </c>
      <c r="B1513" s="21" t="s">
        <v>87</v>
      </c>
      <c r="C1513" s="21" t="s">
        <v>91</v>
      </c>
      <c r="D1513" s="22" t="str">
        <f>IF($C1513="","",IFERROR(VLOOKUP($C1513,Map_Register!$A$2:$C$5,3,FALSE()),""))</f>
        <v>Cultural Heritage Area</v>
      </c>
      <c r="E1513" s="21" t="s">
        <v>15</v>
      </c>
      <c r="F1513" s="23">
        <v>228761</v>
      </c>
      <c r="G1513" s="20" t="s">
        <v>1537</v>
      </c>
      <c r="H1513" s="20" t="s">
        <v>2207</v>
      </c>
      <c r="I1513" s="20" t="s">
        <v>678</v>
      </c>
      <c r="J1513" s="20" t="s">
        <v>8</v>
      </c>
      <c r="K1513" s="20" t="s">
        <v>107</v>
      </c>
      <c r="L1513" s="20" t="s">
        <v>107</v>
      </c>
      <c r="M1513" s="20" t="s">
        <v>1696</v>
      </c>
      <c r="N1513" s="20" t="s">
        <v>108</v>
      </c>
      <c r="Q1513" s="24" t="s">
        <v>680</v>
      </c>
    </row>
    <row r="1514" spans="1:17" hidden="1" x14ac:dyDescent="0.3">
      <c r="A1514" s="20">
        <f t="shared" si="23"/>
        <v>1513</v>
      </c>
      <c r="B1514" s="21" t="s">
        <v>87</v>
      </c>
      <c r="C1514" s="21" t="s">
        <v>91</v>
      </c>
      <c r="D1514" s="22" t="str">
        <f>IF($C1514="","",IFERROR(VLOOKUP($C1514,Map_Register!$A$2:$C$5,3,FALSE()),""))</f>
        <v>Cultural Heritage Area</v>
      </c>
      <c r="E1514" s="21" t="s">
        <v>15</v>
      </c>
      <c r="F1514" s="23">
        <v>228762</v>
      </c>
      <c r="G1514" s="20" t="s">
        <v>1537</v>
      </c>
      <c r="H1514" s="20" t="s">
        <v>2208</v>
      </c>
      <c r="I1514" s="20" t="s">
        <v>678</v>
      </c>
      <c r="J1514" s="20" t="s">
        <v>6</v>
      </c>
      <c r="K1514" s="20" t="s">
        <v>137</v>
      </c>
      <c r="L1514" s="20" t="s">
        <v>137</v>
      </c>
      <c r="M1514" s="20" t="s">
        <v>1694</v>
      </c>
      <c r="Q1514" s="24" t="s">
        <v>680</v>
      </c>
    </row>
    <row r="1515" spans="1:17" hidden="1" x14ac:dyDescent="0.3">
      <c r="A1515" s="20">
        <f t="shared" si="23"/>
        <v>1514</v>
      </c>
      <c r="B1515" s="21" t="s">
        <v>87</v>
      </c>
      <c r="C1515" s="21" t="s">
        <v>91</v>
      </c>
      <c r="D1515" s="22" t="str">
        <f>IF($C1515="","",IFERROR(VLOOKUP($C1515,Map_Register!$A$2:$C$5,3,FALSE()),""))</f>
        <v>Cultural Heritage Area</v>
      </c>
      <c r="E1515" s="21" t="s">
        <v>15</v>
      </c>
      <c r="F1515" s="23">
        <v>228765</v>
      </c>
      <c r="G1515" s="20" t="s">
        <v>1537</v>
      </c>
      <c r="H1515" s="20" t="s">
        <v>2209</v>
      </c>
      <c r="I1515" s="20" t="s">
        <v>678</v>
      </c>
      <c r="J1515" s="20" t="s">
        <v>6</v>
      </c>
      <c r="K1515" s="20" t="s">
        <v>137</v>
      </c>
      <c r="L1515" s="20" t="s">
        <v>137</v>
      </c>
      <c r="M1515" s="20" t="s">
        <v>1713</v>
      </c>
      <c r="Q1515" s="24" t="s">
        <v>680</v>
      </c>
    </row>
    <row r="1516" spans="1:17" hidden="1" x14ac:dyDescent="0.3">
      <c r="A1516" s="20">
        <f t="shared" si="23"/>
        <v>1515</v>
      </c>
      <c r="B1516" s="21" t="s">
        <v>87</v>
      </c>
      <c r="C1516" s="21" t="s">
        <v>91</v>
      </c>
      <c r="D1516" s="22" t="str">
        <f>IF($C1516="","",IFERROR(VLOOKUP($C1516,Map_Register!$A$2:$C$5,3,FALSE()),""))</f>
        <v>Cultural Heritage Area</v>
      </c>
      <c r="E1516" s="21" t="s">
        <v>15</v>
      </c>
      <c r="F1516" s="23">
        <v>228771</v>
      </c>
      <c r="G1516" s="20" t="s">
        <v>1537</v>
      </c>
      <c r="H1516" s="20" t="s">
        <v>2210</v>
      </c>
      <c r="I1516" s="20" t="s">
        <v>678</v>
      </c>
      <c r="J1516" s="20" t="s">
        <v>8</v>
      </c>
      <c r="K1516" t="s">
        <v>107</v>
      </c>
      <c r="L1516" s="20" t="s">
        <v>1964</v>
      </c>
      <c r="M1516" s="20" t="s">
        <v>2060</v>
      </c>
      <c r="N1516" s="20" t="s">
        <v>108</v>
      </c>
      <c r="Q1516" s="24" t="s">
        <v>680</v>
      </c>
    </row>
    <row r="1517" spans="1:17" hidden="1" x14ac:dyDescent="0.3">
      <c r="A1517" s="20">
        <f t="shared" si="23"/>
        <v>1516</v>
      </c>
      <c r="B1517" s="21" t="s">
        <v>87</v>
      </c>
      <c r="C1517" s="21" t="s">
        <v>91</v>
      </c>
      <c r="D1517" s="22" t="str">
        <f>IF($C1517="","",IFERROR(VLOOKUP($C1517,Map_Register!$A$2:$C$5,3,FALSE()),""))</f>
        <v>Cultural Heritage Area</v>
      </c>
      <c r="E1517" s="21" t="s">
        <v>15</v>
      </c>
      <c r="F1517" s="23">
        <v>228781</v>
      </c>
      <c r="G1517" s="20" t="s">
        <v>1537</v>
      </c>
      <c r="H1517" s="20" t="s">
        <v>2211</v>
      </c>
      <c r="I1517" s="20" t="s">
        <v>678</v>
      </c>
      <c r="J1517" s="20" t="s">
        <v>6</v>
      </c>
      <c r="K1517" s="20" t="s">
        <v>137</v>
      </c>
      <c r="L1517" s="20" t="s">
        <v>137</v>
      </c>
      <c r="M1517" s="20" t="s">
        <v>1694</v>
      </c>
      <c r="Q1517" s="24" t="s">
        <v>680</v>
      </c>
    </row>
    <row r="1518" spans="1:17" hidden="1" x14ac:dyDescent="0.3">
      <c r="A1518" s="20">
        <f t="shared" si="23"/>
        <v>1517</v>
      </c>
      <c r="B1518" s="21" t="s">
        <v>87</v>
      </c>
      <c r="C1518" s="21" t="s">
        <v>91</v>
      </c>
      <c r="D1518" s="22" t="str">
        <f>IF($C1518="","",IFERROR(VLOOKUP($C1518,Map_Register!$A$2:$C$5,3,FALSE()),""))</f>
        <v>Cultural Heritage Area</v>
      </c>
      <c r="E1518" s="21" t="s">
        <v>15</v>
      </c>
      <c r="F1518" s="23">
        <v>228784</v>
      </c>
      <c r="G1518" s="20" t="s">
        <v>1537</v>
      </c>
      <c r="H1518" s="20" t="s">
        <v>2212</v>
      </c>
      <c r="I1518" s="20" t="s">
        <v>678</v>
      </c>
      <c r="J1518" s="20" t="s">
        <v>6</v>
      </c>
      <c r="K1518" s="20" t="s">
        <v>137</v>
      </c>
      <c r="L1518" s="20" t="s">
        <v>137</v>
      </c>
      <c r="M1518" s="20" t="s">
        <v>1713</v>
      </c>
      <c r="Q1518" s="24" t="s">
        <v>680</v>
      </c>
    </row>
    <row r="1519" spans="1:17" hidden="1" x14ac:dyDescent="0.3">
      <c r="A1519" s="20">
        <f t="shared" si="23"/>
        <v>1518</v>
      </c>
      <c r="B1519" s="21" t="s">
        <v>87</v>
      </c>
      <c r="C1519" s="21" t="s">
        <v>91</v>
      </c>
      <c r="D1519" s="22" t="str">
        <f>IF($C1519="","",IFERROR(VLOOKUP($C1519,Map_Register!$A$2:$C$5,3,FALSE()),""))</f>
        <v>Cultural Heritage Area</v>
      </c>
      <c r="E1519" s="21" t="s">
        <v>15</v>
      </c>
      <c r="F1519" s="23">
        <v>228833</v>
      </c>
      <c r="G1519" s="20" t="s">
        <v>1537</v>
      </c>
      <c r="H1519" s="20" t="s">
        <v>2213</v>
      </c>
      <c r="I1519" s="20" t="s">
        <v>678</v>
      </c>
      <c r="J1519" s="20" t="s">
        <v>6</v>
      </c>
      <c r="K1519" s="20" t="s">
        <v>137</v>
      </c>
      <c r="L1519" s="20" t="s">
        <v>137</v>
      </c>
      <c r="M1519" s="20" t="s">
        <v>1694</v>
      </c>
      <c r="Q1519" s="24" t="s">
        <v>680</v>
      </c>
    </row>
    <row r="1520" spans="1:17" hidden="1" x14ac:dyDescent="0.3">
      <c r="A1520" s="20">
        <f t="shared" si="23"/>
        <v>1519</v>
      </c>
      <c r="B1520" s="21" t="s">
        <v>87</v>
      </c>
      <c r="C1520" s="21" t="s">
        <v>91</v>
      </c>
      <c r="D1520" s="22" t="str">
        <f>IF($C1520="","",IFERROR(VLOOKUP($C1520,Map_Register!$A$2:$C$5,3,FALSE()),""))</f>
        <v>Cultural Heritage Area</v>
      </c>
      <c r="E1520" s="21" t="s">
        <v>15</v>
      </c>
      <c r="F1520" s="23">
        <v>228839</v>
      </c>
      <c r="G1520" s="20" t="s">
        <v>1537</v>
      </c>
      <c r="H1520" s="20" t="s">
        <v>2214</v>
      </c>
      <c r="I1520" s="20" t="s">
        <v>678</v>
      </c>
      <c r="J1520" s="20" t="s">
        <v>6</v>
      </c>
      <c r="K1520" s="20" t="s">
        <v>137</v>
      </c>
      <c r="L1520" s="20" t="s">
        <v>137</v>
      </c>
      <c r="M1520" s="20" t="s">
        <v>1694</v>
      </c>
      <c r="Q1520" s="24" t="s">
        <v>680</v>
      </c>
    </row>
    <row r="1521" spans="1:17" hidden="1" x14ac:dyDescent="0.3">
      <c r="A1521" s="20">
        <f t="shared" si="23"/>
        <v>1520</v>
      </c>
      <c r="B1521" s="21" t="s">
        <v>87</v>
      </c>
      <c r="C1521" s="21" t="s">
        <v>91</v>
      </c>
      <c r="D1521" s="22" t="str">
        <f>IF($C1521="","",IFERROR(VLOOKUP($C1521,Map_Register!$A$2:$C$5,3,FALSE()),""))</f>
        <v>Cultural Heritage Area</v>
      </c>
      <c r="E1521" s="21" t="s">
        <v>15</v>
      </c>
      <c r="F1521" s="23">
        <v>228852</v>
      </c>
      <c r="G1521" s="20" t="s">
        <v>1537</v>
      </c>
      <c r="H1521" s="20" t="s">
        <v>2215</v>
      </c>
      <c r="I1521" s="20" t="s">
        <v>678</v>
      </c>
      <c r="J1521" s="20" t="s">
        <v>8</v>
      </c>
      <c r="K1521" s="20" t="s">
        <v>107</v>
      </c>
      <c r="L1521" t="s">
        <v>107</v>
      </c>
      <c r="M1521" s="20" t="s">
        <v>2216</v>
      </c>
      <c r="N1521" s="20" t="s">
        <v>108</v>
      </c>
      <c r="Q1521" s="24" t="s">
        <v>680</v>
      </c>
    </row>
    <row r="1522" spans="1:17" hidden="1" x14ac:dyDescent="0.3">
      <c r="A1522" s="20">
        <f t="shared" si="23"/>
        <v>1521</v>
      </c>
      <c r="B1522" s="21" t="s">
        <v>87</v>
      </c>
      <c r="C1522" s="21" t="s">
        <v>91</v>
      </c>
      <c r="D1522" s="22" t="str">
        <f>IF($C1522="","",IFERROR(VLOOKUP($C1522,Map_Register!$A$2:$C$5,3,FALSE()),""))</f>
        <v>Cultural Heritage Area</v>
      </c>
      <c r="E1522" s="21" t="s">
        <v>15</v>
      </c>
      <c r="F1522" s="23">
        <v>228855</v>
      </c>
      <c r="G1522" s="20" t="s">
        <v>1537</v>
      </c>
      <c r="H1522" s="20" t="s">
        <v>2217</v>
      </c>
      <c r="I1522" s="20" t="s">
        <v>678</v>
      </c>
      <c r="J1522" s="20" t="s">
        <v>8</v>
      </c>
      <c r="K1522" s="20" t="s">
        <v>107</v>
      </c>
      <c r="L1522" t="s">
        <v>107</v>
      </c>
      <c r="M1522" s="20" t="s">
        <v>1698</v>
      </c>
      <c r="N1522" s="20" t="s">
        <v>108</v>
      </c>
      <c r="Q1522" s="24" t="s">
        <v>680</v>
      </c>
    </row>
    <row r="1523" spans="1:17" hidden="1" x14ac:dyDescent="0.3">
      <c r="A1523" s="20">
        <f t="shared" si="23"/>
        <v>1522</v>
      </c>
      <c r="B1523" s="21" t="s">
        <v>87</v>
      </c>
      <c r="C1523" s="21" t="s">
        <v>91</v>
      </c>
      <c r="D1523" s="22" t="str">
        <f>IF($C1523="","",IFERROR(VLOOKUP($C1523,Map_Register!$A$2:$C$5,3,FALSE()),""))</f>
        <v>Cultural Heritage Area</v>
      </c>
      <c r="E1523" s="21" t="s">
        <v>15</v>
      </c>
      <c r="F1523" s="23">
        <v>228864</v>
      </c>
      <c r="G1523" s="20" t="s">
        <v>1537</v>
      </c>
      <c r="H1523" s="20" t="s">
        <v>2218</v>
      </c>
      <c r="I1523" s="20" t="s">
        <v>678</v>
      </c>
      <c r="J1523" s="20" t="s">
        <v>6</v>
      </c>
      <c r="K1523" s="20" t="s">
        <v>137</v>
      </c>
      <c r="L1523" s="20" t="s">
        <v>137</v>
      </c>
      <c r="M1523" s="20" t="s">
        <v>1694</v>
      </c>
      <c r="Q1523" s="24" t="s">
        <v>680</v>
      </c>
    </row>
    <row r="1524" spans="1:17" hidden="1" x14ac:dyDescent="0.3">
      <c r="A1524" s="20">
        <f t="shared" si="23"/>
        <v>1523</v>
      </c>
      <c r="B1524" s="21" t="s">
        <v>87</v>
      </c>
      <c r="C1524" s="21" t="s">
        <v>91</v>
      </c>
      <c r="D1524" s="22" t="str">
        <f>IF($C1524="","",IFERROR(VLOOKUP($C1524,Map_Register!$A$2:$C$5,3,FALSE()),""))</f>
        <v>Cultural Heritage Area</v>
      </c>
      <c r="E1524" s="21" t="s">
        <v>15</v>
      </c>
      <c r="F1524" s="23">
        <v>228865</v>
      </c>
      <c r="G1524" s="20" t="s">
        <v>1537</v>
      </c>
      <c r="H1524" s="20" t="s">
        <v>2219</v>
      </c>
      <c r="I1524" s="20" t="s">
        <v>678</v>
      </c>
      <c r="J1524" s="20" t="s">
        <v>8</v>
      </c>
      <c r="K1524" s="20" t="s">
        <v>107</v>
      </c>
      <c r="L1524" s="20" t="s">
        <v>107</v>
      </c>
      <c r="M1524" s="20" t="s">
        <v>1705</v>
      </c>
      <c r="N1524" s="20" t="s">
        <v>108</v>
      </c>
      <c r="Q1524" s="24" t="s">
        <v>680</v>
      </c>
    </row>
    <row r="1525" spans="1:17" hidden="1" x14ac:dyDescent="0.3">
      <c r="A1525" s="20">
        <f t="shared" si="23"/>
        <v>1524</v>
      </c>
      <c r="B1525" s="21" t="s">
        <v>87</v>
      </c>
      <c r="C1525" s="21" t="s">
        <v>91</v>
      </c>
      <c r="D1525" s="22" t="str">
        <f>IF($C1525="","",IFERROR(VLOOKUP($C1525,Map_Register!$A$2:$C$5,3,FALSE()),""))</f>
        <v>Cultural Heritage Area</v>
      </c>
      <c r="E1525" s="21" t="s">
        <v>15</v>
      </c>
      <c r="F1525" s="23">
        <v>228871</v>
      </c>
      <c r="G1525" s="20" t="s">
        <v>1537</v>
      </c>
      <c r="H1525" s="20" t="s">
        <v>2220</v>
      </c>
      <c r="I1525" s="20" t="s">
        <v>678</v>
      </c>
      <c r="J1525" s="20" t="s">
        <v>6</v>
      </c>
      <c r="K1525" s="20" t="s">
        <v>137</v>
      </c>
      <c r="L1525" s="20" t="s">
        <v>137</v>
      </c>
      <c r="M1525" s="20" t="s">
        <v>1713</v>
      </c>
      <c r="Q1525" s="24" t="s">
        <v>680</v>
      </c>
    </row>
    <row r="1526" spans="1:17" hidden="1" x14ac:dyDescent="0.3">
      <c r="A1526" s="20">
        <f t="shared" si="23"/>
        <v>1525</v>
      </c>
      <c r="B1526" s="21" t="s">
        <v>87</v>
      </c>
      <c r="C1526" s="21" t="s">
        <v>91</v>
      </c>
      <c r="D1526" s="22" t="str">
        <f>IF($C1526="","",IFERROR(VLOOKUP($C1526,Map_Register!$A$2:$C$5,3,FALSE()),""))</f>
        <v>Cultural Heritage Area</v>
      </c>
      <c r="E1526" s="21" t="s">
        <v>15</v>
      </c>
      <c r="F1526" s="23">
        <v>228894</v>
      </c>
      <c r="G1526" s="20" t="s">
        <v>1537</v>
      </c>
      <c r="H1526" s="20" t="s">
        <v>2221</v>
      </c>
      <c r="I1526" s="20" t="s">
        <v>678</v>
      </c>
      <c r="J1526" s="20" t="s">
        <v>8</v>
      </c>
      <c r="K1526" s="20" t="s">
        <v>107</v>
      </c>
      <c r="L1526" s="20" t="s">
        <v>107</v>
      </c>
      <c r="M1526" s="20" t="s">
        <v>1696</v>
      </c>
      <c r="N1526" s="20" t="s">
        <v>108</v>
      </c>
      <c r="Q1526" s="24" t="s">
        <v>680</v>
      </c>
    </row>
    <row r="1527" spans="1:17" hidden="1" x14ac:dyDescent="0.3">
      <c r="A1527" s="20">
        <f t="shared" si="23"/>
        <v>1526</v>
      </c>
      <c r="B1527" s="21" t="s">
        <v>87</v>
      </c>
      <c r="C1527" s="21" t="s">
        <v>91</v>
      </c>
      <c r="D1527" s="22" t="str">
        <f>IF($C1527="","",IFERROR(VLOOKUP($C1527,Map_Register!$A$2:$C$5,3,FALSE()),""))</f>
        <v>Cultural Heritage Area</v>
      </c>
      <c r="E1527" s="21" t="s">
        <v>15</v>
      </c>
      <c r="F1527" s="23">
        <v>228899</v>
      </c>
      <c r="G1527" s="20" t="s">
        <v>1537</v>
      </c>
      <c r="H1527" s="20" t="s">
        <v>2222</v>
      </c>
      <c r="I1527" s="20" t="s">
        <v>678</v>
      </c>
      <c r="J1527" s="20" t="s">
        <v>8</v>
      </c>
      <c r="K1527" s="20" t="s">
        <v>107</v>
      </c>
      <c r="L1527" t="s">
        <v>107</v>
      </c>
      <c r="M1527" s="20" t="s">
        <v>1698</v>
      </c>
      <c r="N1527" s="20" t="s">
        <v>108</v>
      </c>
      <c r="Q1527" s="24" t="s">
        <v>680</v>
      </c>
    </row>
    <row r="1528" spans="1:17" hidden="1" x14ac:dyDescent="0.3">
      <c r="A1528" s="20">
        <f t="shared" si="23"/>
        <v>1527</v>
      </c>
      <c r="B1528" s="21" t="s">
        <v>87</v>
      </c>
      <c r="C1528" s="21" t="s">
        <v>91</v>
      </c>
      <c r="D1528" s="22" t="str">
        <f>IF($C1528="","",IFERROR(VLOOKUP($C1528,Map_Register!$A$2:$C$5,3,FALSE()),""))</f>
        <v>Cultural Heritage Area</v>
      </c>
      <c r="E1528" s="21" t="s">
        <v>15</v>
      </c>
      <c r="F1528" s="23">
        <v>228902</v>
      </c>
      <c r="G1528" s="20" t="s">
        <v>1537</v>
      </c>
      <c r="H1528" s="20" t="s">
        <v>2223</v>
      </c>
      <c r="I1528" s="20" t="s">
        <v>678</v>
      </c>
      <c r="J1528" s="20" t="s">
        <v>6</v>
      </c>
      <c r="K1528" s="20" t="s">
        <v>137</v>
      </c>
      <c r="L1528" s="20" t="s">
        <v>137</v>
      </c>
      <c r="M1528" s="20" t="s">
        <v>1694</v>
      </c>
      <c r="Q1528" s="24" t="s">
        <v>680</v>
      </c>
    </row>
    <row r="1529" spans="1:17" hidden="1" x14ac:dyDescent="0.3">
      <c r="A1529" s="20">
        <f t="shared" si="23"/>
        <v>1528</v>
      </c>
      <c r="B1529" s="21" t="s">
        <v>87</v>
      </c>
      <c r="C1529" s="21" t="s">
        <v>91</v>
      </c>
      <c r="D1529" s="22" t="str">
        <f>IF($C1529="","",IFERROR(VLOOKUP($C1529,Map_Register!$A$2:$C$5,3,FALSE()),""))</f>
        <v>Cultural Heritage Area</v>
      </c>
      <c r="E1529" s="21" t="s">
        <v>15</v>
      </c>
      <c r="F1529" s="23">
        <v>228913</v>
      </c>
      <c r="G1529" s="20" t="s">
        <v>1537</v>
      </c>
      <c r="H1529" s="20" t="s">
        <v>1958</v>
      </c>
      <c r="I1529" s="20" t="s">
        <v>678</v>
      </c>
      <c r="J1529" s="20" t="s">
        <v>6</v>
      </c>
      <c r="K1529" s="20" t="s">
        <v>137</v>
      </c>
      <c r="L1529" s="20" t="s">
        <v>137</v>
      </c>
      <c r="M1529" s="20" t="s">
        <v>1694</v>
      </c>
      <c r="Q1529" s="24" t="s">
        <v>680</v>
      </c>
    </row>
    <row r="1530" spans="1:17" hidden="1" x14ac:dyDescent="0.3">
      <c r="A1530" s="20">
        <f t="shared" si="23"/>
        <v>1529</v>
      </c>
      <c r="B1530" s="21" t="s">
        <v>87</v>
      </c>
      <c r="C1530" s="21" t="s">
        <v>91</v>
      </c>
      <c r="D1530" s="22" t="str">
        <f>IF($C1530="","",IFERROR(VLOOKUP($C1530,Map_Register!$A$2:$C$5,3,FALSE()),""))</f>
        <v>Cultural Heritage Area</v>
      </c>
      <c r="E1530" s="21" t="s">
        <v>15</v>
      </c>
      <c r="F1530" s="23">
        <v>228930</v>
      </c>
      <c r="G1530" s="20" t="s">
        <v>1537</v>
      </c>
      <c r="H1530" s="20" t="s">
        <v>2224</v>
      </c>
      <c r="I1530" s="20" t="s">
        <v>678</v>
      </c>
      <c r="J1530" s="20" t="s">
        <v>6</v>
      </c>
      <c r="K1530" s="20" t="s">
        <v>137</v>
      </c>
      <c r="L1530" s="20" t="s">
        <v>137</v>
      </c>
      <c r="M1530" s="20" t="s">
        <v>1694</v>
      </c>
      <c r="Q1530" s="24" t="s">
        <v>680</v>
      </c>
    </row>
    <row r="1531" spans="1:17" hidden="1" x14ac:dyDescent="0.3">
      <c r="A1531" s="20">
        <f t="shared" si="23"/>
        <v>1530</v>
      </c>
      <c r="B1531" s="21" t="s">
        <v>87</v>
      </c>
      <c r="C1531" s="21" t="s">
        <v>91</v>
      </c>
      <c r="D1531" s="22" t="str">
        <f>IF($C1531="","",IFERROR(VLOOKUP($C1531,Map_Register!$A$2:$C$5,3,FALSE()),""))</f>
        <v>Cultural Heritage Area</v>
      </c>
      <c r="E1531" s="21" t="s">
        <v>15</v>
      </c>
      <c r="F1531" s="23">
        <v>228931</v>
      </c>
      <c r="G1531" s="20" t="s">
        <v>1537</v>
      </c>
      <c r="H1531" s="20" t="s">
        <v>2225</v>
      </c>
      <c r="I1531" s="20" t="s">
        <v>678</v>
      </c>
      <c r="J1531" s="20" t="s">
        <v>6</v>
      </c>
      <c r="K1531" s="20" t="s">
        <v>137</v>
      </c>
      <c r="L1531" s="20" t="s">
        <v>137</v>
      </c>
      <c r="M1531" s="20" t="s">
        <v>1694</v>
      </c>
      <c r="Q1531" s="24" t="s">
        <v>680</v>
      </c>
    </row>
    <row r="1532" spans="1:17" hidden="1" x14ac:dyDescent="0.3">
      <c r="A1532" s="20">
        <f t="shared" si="23"/>
        <v>1531</v>
      </c>
      <c r="B1532" s="21" t="s">
        <v>87</v>
      </c>
      <c r="C1532" s="21" t="s">
        <v>91</v>
      </c>
      <c r="D1532" s="22" t="str">
        <f>IF($C1532="","",IFERROR(VLOOKUP($C1532,Map_Register!$A$2:$C$5,3,FALSE()),""))</f>
        <v>Cultural Heritage Area</v>
      </c>
      <c r="E1532" s="21" t="s">
        <v>15</v>
      </c>
      <c r="F1532" s="23">
        <v>228933</v>
      </c>
      <c r="G1532" s="20" t="s">
        <v>1537</v>
      </c>
      <c r="H1532" s="20" t="s">
        <v>2226</v>
      </c>
      <c r="I1532" s="20" t="s">
        <v>678</v>
      </c>
      <c r="J1532" s="20" t="s">
        <v>8</v>
      </c>
      <c r="K1532" s="20" t="s">
        <v>107</v>
      </c>
      <c r="L1532" s="20" t="s">
        <v>107</v>
      </c>
      <c r="M1532" s="20" t="s">
        <v>1696</v>
      </c>
      <c r="N1532" s="20" t="s">
        <v>108</v>
      </c>
      <c r="Q1532" s="24" t="s">
        <v>680</v>
      </c>
    </row>
    <row r="1533" spans="1:17" hidden="1" x14ac:dyDescent="0.3">
      <c r="A1533" s="20">
        <f t="shared" si="23"/>
        <v>1532</v>
      </c>
      <c r="B1533" s="21" t="s">
        <v>87</v>
      </c>
      <c r="C1533" s="21" t="s">
        <v>91</v>
      </c>
      <c r="D1533" s="22" t="str">
        <f>IF($C1533="","",IFERROR(VLOOKUP($C1533,Map_Register!$A$2:$C$5,3,FALSE()),""))</f>
        <v>Cultural Heritage Area</v>
      </c>
      <c r="E1533" s="21" t="s">
        <v>15</v>
      </c>
      <c r="F1533" s="23">
        <v>228934</v>
      </c>
      <c r="G1533" s="20" t="s">
        <v>1537</v>
      </c>
      <c r="H1533" s="20" t="s">
        <v>2227</v>
      </c>
      <c r="I1533" s="20" t="s">
        <v>678</v>
      </c>
      <c r="J1533" s="20" t="s">
        <v>6</v>
      </c>
      <c r="K1533" s="20" t="s">
        <v>137</v>
      </c>
      <c r="L1533" s="20" t="s">
        <v>137</v>
      </c>
      <c r="M1533" s="20" t="s">
        <v>1713</v>
      </c>
      <c r="Q1533" s="24" t="s">
        <v>680</v>
      </c>
    </row>
    <row r="1534" spans="1:17" x14ac:dyDescent="0.3">
      <c r="A1534" s="20">
        <f t="shared" si="23"/>
        <v>1533</v>
      </c>
      <c r="B1534" s="21" t="s">
        <v>87</v>
      </c>
      <c r="C1534" s="21" t="s">
        <v>91</v>
      </c>
      <c r="D1534" s="22" t="str">
        <f>IF($C1534="","",IFERROR(VLOOKUP($C1534,Map_Register!$A$2:$C$5,3,FALSE()),""))</f>
        <v>Cultural Heritage Area</v>
      </c>
      <c r="E1534" s="21" t="s">
        <v>15</v>
      </c>
      <c r="F1534" s="23">
        <v>228946</v>
      </c>
      <c r="G1534" s="20" t="s">
        <v>1537</v>
      </c>
      <c r="H1534" s="20" t="s">
        <v>2228</v>
      </c>
      <c r="I1534" s="20" t="s">
        <v>678</v>
      </c>
      <c r="J1534" s="20" t="s">
        <v>8</v>
      </c>
      <c r="K1534" s="20" t="s">
        <v>107</v>
      </c>
      <c r="L1534" t="s">
        <v>108</v>
      </c>
      <c r="M1534" s="20" t="s">
        <v>1700</v>
      </c>
      <c r="N1534" s="20" t="s">
        <v>108</v>
      </c>
      <c r="Q1534" s="24" t="s">
        <v>680</v>
      </c>
    </row>
    <row r="1535" spans="1:17" hidden="1" x14ac:dyDescent="0.3">
      <c r="A1535" s="20">
        <f t="shared" si="23"/>
        <v>1534</v>
      </c>
      <c r="B1535" s="21" t="s">
        <v>87</v>
      </c>
      <c r="C1535" s="21" t="s">
        <v>91</v>
      </c>
      <c r="D1535" s="22" t="str">
        <f>IF($C1535="","",IFERROR(VLOOKUP($C1535,Map_Register!$A$2:$C$5,3,FALSE()),""))</f>
        <v>Cultural Heritage Area</v>
      </c>
      <c r="E1535" s="21" t="s">
        <v>15</v>
      </c>
      <c r="F1535" s="23">
        <v>228958</v>
      </c>
      <c r="G1535" s="20" t="s">
        <v>1537</v>
      </c>
      <c r="H1535" s="20" t="s">
        <v>2229</v>
      </c>
      <c r="I1535" s="20" t="s">
        <v>678</v>
      </c>
      <c r="J1535" s="20" t="s">
        <v>6</v>
      </c>
      <c r="K1535" s="20" t="s">
        <v>137</v>
      </c>
      <c r="L1535" s="20" t="s">
        <v>137</v>
      </c>
      <c r="M1535" s="20" t="s">
        <v>1713</v>
      </c>
      <c r="Q1535" s="24" t="s">
        <v>680</v>
      </c>
    </row>
    <row r="1536" spans="1:17" hidden="1" x14ac:dyDescent="0.3">
      <c r="A1536" s="20">
        <f t="shared" si="23"/>
        <v>1535</v>
      </c>
      <c r="B1536" s="21" t="s">
        <v>87</v>
      </c>
      <c r="C1536" s="21" t="s">
        <v>91</v>
      </c>
      <c r="D1536" s="22" t="str">
        <f>IF($C1536="","",IFERROR(VLOOKUP($C1536,Map_Register!$A$2:$C$5,3,FALSE()),""))</f>
        <v>Cultural Heritage Area</v>
      </c>
      <c r="E1536" s="21" t="s">
        <v>15</v>
      </c>
      <c r="F1536" s="23">
        <v>228976</v>
      </c>
      <c r="G1536" s="20" t="s">
        <v>1537</v>
      </c>
      <c r="H1536" s="20" t="s">
        <v>2230</v>
      </c>
      <c r="I1536" s="20" t="s">
        <v>678</v>
      </c>
      <c r="J1536" s="20" t="s">
        <v>8</v>
      </c>
      <c r="K1536" s="20" t="s">
        <v>107</v>
      </c>
      <c r="L1536" s="20" t="s">
        <v>107</v>
      </c>
      <c r="M1536" s="20" t="s">
        <v>1696</v>
      </c>
      <c r="N1536" s="20" t="s">
        <v>108</v>
      </c>
      <c r="Q1536" s="24" t="s">
        <v>680</v>
      </c>
    </row>
    <row r="1537" spans="1:17" hidden="1" x14ac:dyDescent="0.3">
      <c r="A1537" s="20">
        <f t="shared" si="23"/>
        <v>1536</v>
      </c>
      <c r="B1537" s="21" t="s">
        <v>87</v>
      </c>
      <c r="C1537" s="21" t="s">
        <v>91</v>
      </c>
      <c r="D1537" s="22" t="str">
        <f>IF($C1537="","",IFERROR(VLOOKUP($C1537,Map_Register!$A$2:$C$5,3,FALSE()),""))</f>
        <v>Cultural Heritage Area</v>
      </c>
      <c r="E1537" s="21" t="s">
        <v>15</v>
      </c>
      <c r="F1537" s="23">
        <v>228979</v>
      </c>
      <c r="G1537" s="20" t="s">
        <v>1537</v>
      </c>
      <c r="H1537" s="20" t="s">
        <v>2185</v>
      </c>
      <c r="I1537" s="20" t="s">
        <v>678</v>
      </c>
      <c r="J1537" s="20" t="s">
        <v>6</v>
      </c>
      <c r="K1537" s="20" t="s">
        <v>137</v>
      </c>
      <c r="L1537" s="20" t="s">
        <v>137</v>
      </c>
      <c r="M1537" s="20" t="s">
        <v>1694</v>
      </c>
      <c r="Q1537" s="24" t="s">
        <v>680</v>
      </c>
    </row>
    <row r="1538" spans="1:17" hidden="1" x14ac:dyDescent="0.3">
      <c r="A1538" s="20">
        <f t="shared" ref="A1538:A1601" si="24">IF($B1538="","",ROW()-1)</f>
        <v>1537</v>
      </c>
      <c r="B1538" s="21" t="s">
        <v>87</v>
      </c>
      <c r="C1538" s="21" t="s">
        <v>91</v>
      </c>
      <c r="D1538" s="22" t="str">
        <f>IF($C1538="","",IFERROR(VLOOKUP($C1538,Map_Register!$A$2:$C$5,3,FALSE()),""))</f>
        <v>Cultural Heritage Area</v>
      </c>
      <c r="E1538" s="21" t="s">
        <v>15</v>
      </c>
      <c r="F1538" s="23">
        <v>228982</v>
      </c>
      <c r="G1538" s="20" t="s">
        <v>1537</v>
      </c>
      <c r="H1538" s="20" t="s">
        <v>2231</v>
      </c>
      <c r="I1538" s="20" t="s">
        <v>678</v>
      </c>
      <c r="J1538" s="20" t="s">
        <v>6</v>
      </c>
      <c r="K1538" s="20" t="s">
        <v>137</v>
      </c>
      <c r="L1538" s="20" t="s">
        <v>137</v>
      </c>
      <c r="M1538" s="20" t="s">
        <v>1694</v>
      </c>
      <c r="Q1538" s="24" t="s">
        <v>680</v>
      </c>
    </row>
    <row r="1539" spans="1:17" hidden="1" x14ac:dyDescent="0.3">
      <c r="A1539" s="20">
        <f t="shared" si="24"/>
        <v>1538</v>
      </c>
      <c r="B1539" s="21" t="s">
        <v>87</v>
      </c>
      <c r="C1539" s="21" t="s">
        <v>91</v>
      </c>
      <c r="D1539" s="22" t="str">
        <f>IF($C1539="","",IFERROR(VLOOKUP($C1539,Map_Register!$A$2:$C$5,3,FALSE()),""))</f>
        <v>Cultural Heritage Area</v>
      </c>
      <c r="E1539" s="21" t="s">
        <v>15</v>
      </c>
      <c r="F1539" s="23">
        <v>228995</v>
      </c>
      <c r="G1539" s="20" t="s">
        <v>1537</v>
      </c>
      <c r="H1539" s="20" t="s">
        <v>2232</v>
      </c>
      <c r="I1539" s="20" t="s">
        <v>678</v>
      </c>
      <c r="J1539" s="20" t="s">
        <v>8</v>
      </c>
      <c r="K1539" s="20" t="s">
        <v>107</v>
      </c>
      <c r="L1539" s="20" t="s">
        <v>107</v>
      </c>
      <c r="M1539" s="20" t="s">
        <v>1696</v>
      </c>
      <c r="N1539" s="20" t="s">
        <v>108</v>
      </c>
      <c r="Q1539" s="24" t="s">
        <v>680</v>
      </c>
    </row>
    <row r="1540" spans="1:17" hidden="1" x14ac:dyDescent="0.3">
      <c r="A1540" s="20">
        <f t="shared" si="24"/>
        <v>1539</v>
      </c>
      <c r="B1540" s="21" t="s">
        <v>87</v>
      </c>
      <c r="C1540" s="21" t="s">
        <v>91</v>
      </c>
      <c r="D1540" s="22" t="str">
        <f>IF($C1540="","",IFERROR(VLOOKUP($C1540,Map_Register!$A$2:$C$5,3,FALSE()),""))</f>
        <v>Cultural Heritage Area</v>
      </c>
      <c r="E1540" s="21" t="s">
        <v>15</v>
      </c>
      <c r="F1540" s="23">
        <v>229002</v>
      </c>
      <c r="G1540" s="20" t="s">
        <v>1537</v>
      </c>
      <c r="H1540" s="20" t="s">
        <v>2233</v>
      </c>
      <c r="I1540" s="20" t="s">
        <v>678</v>
      </c>
      <c r="J1540" s="20" t="s">
        <v>6</v>
      </c>
      <c r="K1540" s="20" t="s">
        <v>137</v>
      </c>
      <c r="L1540" s="20" t="s">
        <v>137</v>
      </c>
      <c r="M1540" s="20" t="s">
        <v>1713</v>
      </c>
      <c r="Q1540" s="24" t="s">
        <v>680</v>
      </c>
    </row>
    <row r="1541" spans="1:17" hidden="1" x14ac:dyDescent="0.3">
      <c r="A1541" s="20">
        <f t="shared" si="24"/>
        <v>1540</v>
      </c>
      <c r="B1541" s="21" t="s">
        <v>87</v>
      </c>
      <c r="C1541" s="21" t="s">
        <v>91</v>
      </c>
      <c r="D1541" s="22" t="str">
        <f>IF($C1541="","",IFERROR(VLOOKUP($C1541,Map_Register!$A$2:$C$5,3,FALSE()),""))</f>
        <v>Cultural Heritage Area</v>
      </c>
      <c r="E1541" s="21" t="s">
        <v>15</v>
      </c>
      <c r="F1541" s="23">
        <v>229007</v>
      </c>
      <c r="G1541" s="20" t="s">
        <v>1537</v>
      </c>
      <c r="H1541" s="20" t="s">
        <v>1761</v>
      </c>
      <c r="I1541" s="20" t="s">
        <v>678</v>
      </c>
      <c r="J1541" s="20" t="s">
        <v>6</v>
      </c>
      <c r="K1541" s="20" t="s">
        <v>137</v>
      </c>
      <c r="L1541" s="20" t="s">
        <v>137</v>
      </c>
      <c r="M1541" s="20" t="s">
        <v>1713</v>
      </c>
      <c r="Q1541" s="24" t="s">
        <v>680</v>
      </c>
    </row>
    <row r="1542" spans="1:17" hidden="1" x14ac:dyDescent="0.3">
      <c r="A1542" s="20">
        <f t="shared" si="24"/>
        <v>1541</v>
      </c>
      <c r="B1542" s="21" t="s">
        <v>87</v>
      </c>
      <c r="C1542" s="21" t="s">
        <v>91</v>
      </c>
      <c r="D1542" s="22" t="str">
        <f>IF($C1542="","",IFERROR(VLOOKUP($C1542,Map_Register!$A$2:$C$5,3,FALSE()),""))</f>
        <v>Cultural Heritage Area</v>
      </c>
      <c r="E1542" s="21" t="s">
        <v>15</v>
      </c>
      <c r="F1542" s="23">
        <v>229008</v>
      </c>
      <c r="G1542" s="20" t="s">
        <v>1537</v>
      </c>
      <c r="H1542" s="20" t="s">
        <v>2234</v>
      </c>
      <c r="I1542" s="20" t="s">
        <v>678</v>
      </c>
      <c r="J1542" s="20" t="s">
        <v>6</v>
      </c>
      <c r="K1542" s="20" t="s">
        <v>137</v>
      </c>
      <c r="L1542" s="20" t="s">
        <v>137</v>
      </c>
      <c r="M1542" s="20" t="s">
        <v>1713</v>
      </c>
      <c r="Q1542" s="24" t="s">
        <v>680</v>
      </c>
    </row>
    <row r="1543" spans="1:17" hidden="1" x14ac:dyDescent="0.3">
      <c r="A1543" s="20">
        <f t="shared" si="24"/>
        <v>1542</v>
      </c>
      <c r="B1543" s="21" t="s">
        <v>87</v>
      </c>
      <c r="C1543" s="21" t="s">
        <v>91</v>
      </c>
      <c r="D1543" s="22" t="str">
        <f>IF($C1543="","",IFERROR(VLOOKUP($C1543,Map_Register!$A$2:$C$5,3,FALSE()),""))</f>
        <v>Cultural Heritage Area</v>
      </c>
      <c r="E1543" s="21" t="s">
        <v>15</v>
      </c>
      <c r="F1543" s="23">
        <v>229013</v>
      </c>
      <c r="G1543" s="20" t="s">
        <v>1537</v>
      </c>
      <c r="H1543" s="20" t="s">
        <v>2235</v>
      </c>
      <c r="I1543" s="20" t="s">
        <v>678</v>
      </c>
      <c r="J1543" s="20" t="s">
        <v>8</v>
      </c>
      <c r="K1543" s="20" t="s">
        <v>107</v>
      </c>
      <c r="L1543" t="s">
        <v>107</v>
      </c>
      <c r="M1543" s="20" t="s">
        <v>1698</v>
      </c>
      <c r="N1543" s="20" t="s">
        <v>108</v>
      </c>
      <c r="Q1543" s="24" t="s">
        <v>680</v>
      </c>
    </row>
    <row r="1544" spans="1:17" x14ac:dyDescent="0.3">
      <c r="A1544" s="20">
        <f t="shared" si="24"/>
        <v>1543</v>
      </c>
      <c r="B1544" s="21" t="s">
        <v>87</v>
      </c>
      <c r="C1544" s="21" t="s">
        <v>91</v>
      </c>
      <c r="D1544" s="22" t="str">
        <f>IF($C1544="","",IFERROR(VLOOKUP($C1544,Map_Register!$A$2:$C$5,3,FALSE()),""))</f>
        <v>Cultural Heritage Area</v>
      </c>
      <c r="E1544" s="21" t="s">
        <v>15</v>
      </c>
      <c r="F1544" s="23">
        <v>229016</v>
      </c>
      <c r="G1544" s="20" t="s">
        <v>1537</v>
      </c>
      <c r="H1544" s="20" t="s">
        <v>2236</v>
      </c>
      <c r="I1544" s="20" t="s">
        <v>678</v>
      </c>
      <c r="J1544" s="20" t="s">
        <v>8</v>
      </c>
      <c r="K1544" s="20" t="s">
        <v>107</v>
      </c>
      <c r="L1544" t="s">
        <v>108</v>
      </c>
      <c r="M1544" s="20" t="s">
        <v>1700</v>
      </c>
      <c r="N1544" s="20" t="s">
        <v>108</v>
      </c>
      <c r="Q1544" s="24" t="s">
        <v>680</v>
      </c>
    </row>
    <row r="1545" spans="1:17" hidden="1" x14ac:dyDescent="0.3">
      <c r="A1545" s="20">
        <f t="shared" si="24"/>
        <v>1544</v>
      </c>
      <c r="B1545" s="21" t="s">
        <v>87</v>
      </c>
      <c r="C1545" s="21" t="s">
        <v>91</v>
      </c>
      <c r="D1545" s="22" t="str">
        <f>IF($C1545="","",IFERROR(VLOOKUP($C1545,Map_Register!$A$2:$C$5,3,FALSE()),""))</f>
        <v>Cultural Heritage Area</v>
      </c>
      <c r="E1545" s="21" t="s">
        <v>15</v>
      </c>
      <c r="F1545" s="23">
        <v>229023</v>
      </c>
      <c r="G1545" s="20" t="s">
        <v>1537</v>
      </c>
      <c r="H1545" s="20" t="s">
        <v>2237</v>
      </c>
      <c r="I1545" s="20" t="s">
        <v>678</v>
      </c>
      <c r="J1545" s="20" t="s">
        <v>6</v>
      </c>
      <c r="K1545" s="20" t="s">
        <v>137</v>
      </c>
      <c r="L1545" s="20" t="s">
        <v>137</v>
      </c>
      <c r="M1545" s="20" t="s">
        <v>1713</v>
      </c>
      <c r="Q1545" s="24" t="s">
        <v>680</v>
      </c>
    </row>
    <row r="1546" spans="1:17" hidden="1" x14ac:dyDescent="0.3">
      <c r="A1546" s="20">
        <f t="shared" si="24"/>
        <v>1545</v>
      </c>
      <c r="B1546" s="21" t="s">
        <v>87</v>
      </c>
      <c r="C1546" s="21" t="s">
        <v>91</v>
      </c>
      <c r="D1546" s="22" t="str">
        <f>IF($C1546="","",IFERROR(VLOOKUP($C1546,Map_Register!$A$2:$C$5,3,FALSE()),""))</f>
        <v>Cultural Heritage Area</v>
      </c>
      <c r="E1546" s="21" t="s">
        <v>15</v>
      </c>
      <c r="F1546" s="23">
        <v>229034</v>
      </c>
      <c r="G1546" s="20" t="s">
        <v>1537</v>
      </c>
      <c r="H1546" s="20" t="s">
        <v>2238</v>
      </c>
      <c r="I1546" s="20" t="s">
        <v>678</v>
      </c>
      <c r="J1546" s="20" t="s">
        <v>6</v>
      </c>
      <c r="K1546" s="20" t="s">
        <v>137</v>
      </c>
      <c r="L1546" s="20" t="s">
        <v>137</v>
      </c>
      <c r="M1546" s="20" t="s">
        <v>1694</v>
      </c>
      <c r="Q1546" s="24" t="s">
        <v>680</v>
      </c>
    </row>
    <row r="1547" spans="1:17" hidden="1" x14ac:dyDescent="0.3">
      <c r="A1547" s="20">
        <f t="shared" si="24"/>
        <v>1546</v>
      </c>
      <c r="B1547" s="21" t="s">
        <v>87</v>
      </c>
      <c r="C1547" s="21" t="s">
        <v>91</v>
      </c>
      <c r="D1547" s="22" t="str">
        <f>IF($C1547="","",IFERROR(VLOOKUP($C1547,Map_Register!$A$2:$C$5,3,FALSE()),""))</f>
        <v>Cultural Heritage Area</v>
      </c>
      <c r="E1547" s="21" t="s">
        <v>15</v>
      </c>
      <c r="F1547" s="23">
        <v>229038</v>
      </c>
      <c r="G1547" s="20" t="s">
        <v>1537</v>
      </c>
      <c r="H1547" s="20" t="s">
        <v>2239</v>
      </c>
      <c r="I1547" s="20" t="s">
        <v>678</v>
      </c>
      <c r="J1547" s="20" t="s">
        <v>6</v>
      </c>
      <c r="K1547" s="20" t="s">
        <v>137</v>
      </c>
      <c r="L1547" s="20" t="s">
        <v>137</v>
      </c>
      <c r="M1547" s="20" t="s">
        <v>1713</v>
      </c>
      <c r="Q1547" s="24" t="s">
        <v>680</v>
      </c>
    </row>
    <row r="1548" spans="1:17" hidden="1" x14ac:dyDescent="0.3">
      <c r="A1548" s="20">
        <f t="shared" si="24"/>
        <v>1547</v>
      </c>
      <c r="B1548" s="21" t="s">
        <v>87</v>
      </c>
      <c r="C1548" s="21" t="s">
        <v>91</v>
      </c>
      <c r="D1548" s="22" t="str">
        <f>IF($C1548="","",IFERROR(VLOOKUP($C1548,Map_Register!$A$2:$C$5,3,FALSE()),""))</f>
        <v>Cultural Heritage Area</v>
      </c>
      <c r="E1548" s="21" t="s">
        <v>15</v>
      </c>
      <c r="F1548" s="23">
        <v>229040</v>
      </c>
      <c r="G1548" s="20" t="s">
        <v>1537</v>
      </c>
      <c r="H1548" s="20" t="s">
        <v>2240</v>
      </c>
      <c r="I1548" s="20" t="s">
        <v>678</v>
      </c>
      <c r="J1548" s="20" t="s">
        <v>6</v>
      </c>
      <c r="K1548" s="20" t="s">
        <v>137</v>
      </c>
      <c r="L1548" s="20" t="s">
        <v>137</v>
      </c>
      <c r="M1548" s="20" t="s">
        <v>1713</v>
      </c>
      <c r="Q1548" s="24" t="s">
        <v>680</v>
      </c>
    </row>
    <row r="1549" spans="1:17" hidden="1" x14ac:dyDescent="0.3">
      <c r="A1549" s="20">
        <f t="shared" si="24"/>
        <v>1548</v>
      </c>
      <c r="B1549" s="21" t="s">
        <v>87</v>
      </c>
      <c r="C1549" s="21" t="s">
        <v>91</v>
      </c>
      <c r="D1549" s="22" t="str">
        <f>IF($C1549="","",IFERROR(VLOOKUP($C1549,Map_Register!$A$2:$C$5,3,FALSE()),""))</f>
        <v>Cultural Heritage Area</v>
      </c>
      <c r="E1549" s="21" t="s">
        <v>15</v>
      </c>
      <c r="F1549" s="23">
        <v>229041</v>
      </c>
      <c r="G1549" s="20" t="s">
        <v>1537</v>
      </c>
      <c r="H1549" s="20" t="s">
        <v>2241</v>
      </c>
      <c r="I1549" s="20" t="s">
        <v>678</v>
      </c>
      <c r="J1549" s="20" t="s">
        <v>6</v>
      </c>
      <c r="K1549" s="20" t="s">
        <v>137</v>
      </c>
      <c r="L1549" s="20" t="s">
        <v>137</v>
      </c>
      <c r="M1549" s="20" t="s">
        <v>2242</v>
      </c>
      <c r="Q1549" s="24" t="s">
        <v>680</v>
      </c>
    </row>
    <row r="1550" spans="1:17" hidden="1" x14ac:dyDescent="0.3">
      <c r="A1550" s="20">
        <f t="shared" si="24"/>
        <v>1549</v>
      </c>
      <c r="B1550" s="21" t="s">
        <v>87</v>
      </c>
      <c r="C1550" s="21" t="s">
        <v>91</v>
      </c>
      <c r="D1550" s="22" t="str">
        <f>IF($C1550="","",IFERROR(VLOOKUP($C1550,Map_Register!$A$2:$C$5,3,FALSE()),""))</f>
        <v>Cultural Heritage Area</v>
      </c>
      <c r="E1550" s="21" t="s">
        <v>15</v>
      </c>
      <c r="F1550" s="23">
        <v>229044</v>
      </c>
      <c r="G1550" s="20" t="s">
        <v>1537</v>
      </c>
      <c r="H1550" s="20" t="s">
        <v>2243</v>
      </c>
      <c r="I1550" s="20" t="s">
        <v>678</v>
      </c>
      <c r="J1550" s="20" t="s">
        <v>8</v>
      </c>
      <c r="K1550" s="20" t="s">
        <v>107</v>
      </c>
      <c r="L1550" s="20" t="s">
        <v>107</v>
      </c>
      <c r="M1550" s="20" t="s">
        <v>1696</v>
      </c>
      <c r="N1550" s="20" t="s">
        <v>108</v>
      </c>
      <c r="Q1550" s="24" t="s">
        <v>680</v>
      </c>
    </row>
    <row r="1551" spans="1:17" hidden="1" x14ac:dyDescent="0.3">
      <c r="A1551" s="20">
        <f t="shared" si="24"/>
        <v>1550</v>
      </c>
      <c r="B1551" s="21" t="s">
        <v>87</v>
      </c>
      <c r="C1551" s="21" t="s">
        <v>91</v>
      </c>
      <c r="D1551" s="22" t="str">
        <f>IF($C1551="","",IFERROR(VLOOKUP($C1551,Map_Register!$A$2:$C$5,3,FALSE()),""))</f>
        <v>Cultural Heritage Area</v>
      </c>
      <c r="E1551" s="21" t="s">
        <v>15</v>
      </c>
      <c r="F1551" s="23">
        <v>229048</v>
      </c>
      <c r="G1551" s="20" t="s">
        <v>1537</v>
      </c>
      <c r="H1551" s="20" t="s">
        <v>2244</v>
      </c>
      <c r="I1551" s="20" t="s">
        <v>678</v>
      </c>
      <c r="J1551" s="20" t="s">
        <v>6</v>
      </c>
      <c r="K1551" s="20" t="s">
        <v>137</v>
      </c>
      <c r="L1551" s="20" t="s">
        <v>137</v>
      </c>
      <c r="M1551" s="20" t="s">
        <v>1713</v>
      </c>
      <c r="Q1551" s="24" t="s">
        <v>680</v>
      </c>
    </row>
    <row r="1552" spans="1:17" hidden="1" x14ac:dyDescent="0.3">
      <c r="A1552" s="20">
        <f t="shared" si="24"/>
        <v>1551</v>
      </c>
      <c r="B1552" s="21" t="s">
        <v>87</v>
      </c>
      <c r="C1552" s="21" t="s">
        <v>91</v>
      </c>
      <c r="D1552" s="22" t="str">
        <f>IF($C1552="","",IFERROR(VLOOKUP($C1552,Map_Register!$A$2:$C$5,3,FALSE()),""))</f>
        <v>Cultural Heritage Area</v>
      </c>
      <c r="E1552" s="21" t="s">
        <v>15</v>
      </c>
      <c r="F1552" s="23">
        <v>229075</v>
      </c>
      <c r="G1552" s="20" t="s">
        <v>1537</v>
      </c>
      <c r="H1552" s="20" t="s">
        <v>2245</v>
      </c>
      <c r="I1552" s="20" t="s">
        <v>678</v>
      </c>
      <c r="J1552" s="20" t="s">
        <v>8</v>
      </c>
      <c r="K1552" s="20" t="s">
        <v>107</v>
      </c>
      <c r="L1552" s="20" t="s">
        <v>107</v>
      </c>
      <c r="M1552" s="20" t="s">
        <v>1696</v>
      </c>
      <c r="N1552" s="20" t="s">
        <v>108</v>
      </c>
      <c r="Q1552" s="24" t="s">
        <v>680</v>
      </c>
    </row>
    <row r="1553" spans="1:17" hidden="1" x14ac:dyDescent="0.3">
      <c r="A1553" s="20">
        <f t="shared" si="24"/>
        <v>1552</v>
      </c>
      <c r="B1553" s="21" t="s">
        <v>87</v>
      </c>
      <c r="C1553" s="21" t="s">
        <v>91</v>
      </c>
      <c r="D1553" s="22" t="str">
        <f>IF($C1553="","",IFERROR(VLOOKUP($C1553,Map_Register!$A$2:$C$5,3,FALSE()),""))</f>
        <v>Cultural Heritage Area</v>
      </c>
      <c r="E1553" s="21" t="s">
        <v>15</v>
      </c>
      <c r="F1553" s="23">
        <v>229079</v>
      </c>
      <c r="G1553" s="20" t="s">
        <v>1537</v>
      </c>
      <c r="H1553" s="20" t="s">
        <v>2246</v>
      </c>
      <c r="I1553" s="20" t="s">
        <v>678</v>
      </c>
      <c r="J1553" s="20" t="s">
        <v>6</v>
      </c>
      <c r="K1553" s="20" t="s">
        <v>137</v>
      </c>
      <c r="L1553" s="20" t="s">
        <v>137</v>
      </c>
      <c r="M1553" s="20" t="s">
        <v>1713</v>
      </c>
      <c r="Q1553" s="24" t="s">
        <v>680</v>
      </c>
    </row>
    <row r="1554" spans="1:17" hidden="1" x14ac:dyDescent="0.3">
      <c r="A1554" s="20">
        <f t="shared" si="24"/>
        <v>1553</v>
      </c>
      <c r="B1554" s="21" t="s">
        <v>87</v>
      </c>
      <c r="C1554" s="21" t="s">
        <v>91</v>
      </c>
      <c r="D1554" s="22" t="str">
        <f>IF($C1554="","",IFERROR(VLOOKUP($C1554,Map_Register!$A$2:$C$5,3,FALSE()),""))</f>
        <v>Cultural Heritage Area</v>
      </c>
      <c r="E1554" s="21" t="s">
        <v>15</v>
      </c>
      <c r="F1554" s="23">
        <v>229080</v>
      </c>
      <c r="G1554" s="20" t="s">
        <v>1537</v>
      </c>
      <c r="H1554" s="20" t="s">
        <v>2247</v>
      </c>
      <c r="I1554" s="20" t="s">
        <v>678</v>
      </c>
      <c r="J1554" s="20" t="s">
        <v>6</v>
      </c>
      <c r="K1554" s="20" t="s">
        <v>137</v>
      </c>
      <c r="L1554" s="20" t="s">
        <v>137</v>
      </c>
      <c r="M1554" s="20" t="s">
        <v>1694</v>
      </c>
      <c r="Q1554" s="24" t="s">
        <v>680</v>
      </c>
    </row>
    <row r="1555" spans="1:17" hidden="1" x14ac:dyDescent="0.3">
      <c r="A1555" s="20">
        <f t="shared" si="24"/>
        <v>1554</v>
      </c>
      <c r="B1555" s="21" t="s">
        <v>87</v>
      </c>
      <c r="C1555" s="21" t="s">
        <v>91</v>
      </c>
      <c r="D1555" s="22" t="str">
        <f>IF($C1555="","",IFERROR(VLOOKUP($C1555,Map_Register!$A$2:$C$5,3,FALSE()),""))</f>
        <v>Cultural Heritage Area</v>
      </c>
      <c r="E1555" s="21" t="s">
        <v>15</v>
      </c>
      <c r="F1555" s="23">
        <v>229082</v>
      </c>
      <c r="G1555" s="20" t="s">
        <v>1537</v>
      </c>
      <c r="H1555" s="20" t="s">
        <v>2140</v>
      </c>
      <c r="I1555" s="20" t="s">
        <v>678</v>
      </c>
      <c r="J1555" s="20" t="s">
        <v>6</v>
      </c>
      <c r="K1555" s="20" t="s">
        <v>137</v>
      </c>
      <c r="L1555" s="20" t="s">
        <v>137</v>
      </c>
      <c r="M1555" s="20" t="s">
        <v>1694</v>
      </c>
      <c r="Q1555" s="24" t="s">
        <v>680</v>
      </c>
    </row>
    <row r="1556" spans="1:17" hidden="1" x14ac:dyDescent="0.3">
      <c r="A1556" s="20">
        <f t="shared" si="24"/>
        <v>1555</v>
      </c>
      <c r="B1556" s="21" t="s">
        <v>87</v>
      </c>
      <c r="C1556" s="21" t="s">
        <v>91</v>
      </c>
      <c r="D1556" s="22" t="str">
        <f>IF($C1556="","",IFERROR(VLOOKUP($C1556,Map_Register!$A$2:$C$5,3,FALSE()),""))</f>
        <v>Cultural Heritage Area</v>
      </c>
      <c r="E1556" s="21" t="s">
        <v>15</v>
      </c>
      <c r="F1556" s="23">
        <v>229083</v>
      </c>
      <c r="G1556" s="20" t="s">
        <v>1537</v>
      </c>
      <c r="H1556" s="20" t="s">
        <v>2248</v>
      </c>
      <c r="I1556" s="20" t="s">
        <v>678</v>
      </c>
      <c r="J1556" s="20" t="s">
        <v>6</v>
      </c>
      <c r="K1556" s="20" t="s">
        <v>137</v>
      </c>
      <c r="L1556" s="20" t="s">
        <v>137</v>
      </c>
      <c r="M1556" s="20" t="s">
        <v>1713</v>
      </c>
      <c r="Q1556" s="24" t="s">
        <v>680</v>
      </c>
    </row>
    <row r="1557" spans="1:17" hidden="1" x14ac:dyDescent="0.3">
      <c r="A1557" s="20">
        <f t="shared" si="24"/>
        <v>1556</v>
      </c>
      <c r="B1557" s="21" t="s">
        <v>87</v>
      </c>
      <c r="C1557" s="21" t="s">
        <v>91</v>
      </c>
      <c r="D1557" s="22" t="str">
        <f>IF($C1557="","",IFERROR(VLOOKUP($C1557,Map_Register!$A$2:$C$5,3,FALSE()),""))</f>
        <v>Cultural Heritage Area</v>
      </c>
      <c r="E1557" s="21" t="s">
        <v>15</v>
      </c>
      <c r="F1557" s="23">
        <v>229090</v>
      </c>
      <c r="G1557" s="20" t="s">
        <v>1537</v>
      </c>
      <c r="H1557" s="20" t="s">
        <v>2249</v>
      </c>
      <c r="I1557" s="20" t="s">
        <v>678</v>
      </c>
      <c r="J1557" s="20" t="s">
        <v>8</v>
      </c>
      <c r="K1557" s="20" t="s">
        <v>107</v>
      </c>
      <c r="L1557" s="20" t="s">
        <v>107</v>
      </c>
      <c r="M1557" s="20" t="s">
        <v>1705</v>
      </c>
      <c r="N1557" s="20" t="s">
        <v>108</v>
      </c>
      <c r="Q1557" s="24" t="s">
        <v>680</v>
      </c>
    </row>
    <row r="1558" spans="1:17" x14ac:dyDescent="0.3">
      <c r="A1558" s="20">
        <f t="shared" si="24"/>
        <v>1557</v>
      </c>
      <c r="B1558" s="21" t="s">
        <v>87</v>
      </c>
      <c r="C1558" s="21" t="s">
        <v>91</v>
      </c>
      <c r="D1558" s="22" t="str">
        <f>IF($C1558="","",IFERROR(VLOOKUP($C1558,Map_Register!$A$2:$C$5,3,FALSE()),""))</f>
        <v>Cultural Heritage Area</v>
      </c>
      <c r="E1558" s="21" t="s">
        <v>15</v>
      </c>
      <c r="F1558" s="23">
        <v>229091</v>
      </c>
      <c r="G1558" s="20" t="s">
        <v>1537</v>
      </c>
      <c r="H1558" s="20" t="s">
        <v>2250</v>
      </c>
      <c r="I1558" s="20" t="s">
        <v>678</v>
      </c>
      <c r="J1558" s="20" t="s">
        <v>8</v>
      </c>
      <c r="K1558" s="20" t="s">
        <v>107</v>
      </c>
      <c r="L1558" t="s">
        <v>108</v>
      </c>
      <c r="M1558" s="20" t="s">
        <v>1722</v>
      </c>
      <c r="N1558" s="20" t="s">
        <v>108</v>
      </c>
      <c r="Q1558" s="24" t="s">
        <v>680</v>
      </c>
    </row>
    <row r="1559" spans="1:17" hidden="1" x14ac:dyDescent="0.3">
      <c r="A1559" s="20">
        <f t="shared" si="24"/>
        <v>1558</v>
      </c>
      <c r="B1559" s="21" t="s">
        <v>87</v>
      </c>
      <c r="C1559" s="21" t="s">
        <v>91</v>
      </c>
      <c r="D1559" s="22" t="str">
        <f>IF($C1559="","",IFERROR(VLOOKUP($C1559,Map_Register!$A$2:$C$5,3,FALSE()),""))</f>
        <v>Cultural Heritage Area</v>
      </c>
      <c r="E1559" s="21" t="s">
        <v>15</v>
      </c>
      <c r="F1559" s="23">
        <v>229106</v>
      </c>
      <c r="G1559" s="20" t="s">
        <v>1537</v>
      </c>
      <c r="H1559" s="20" t="s">
        <v>2251</v>
      </c>
      <c r="I1559" s="20" t="s">
        <v>678</v>
      </c>
      <c r="J1559" s="20" t="s">
        <v>6</v>
      </c>
      <c r="K1559" s="20" t="s">
        <v>137</v>
      </c>
      <c r="L1559" s="20" t="s">
        <v>137</v>
      </c>
      <c r="M1559" s="20" t="s">
        <v>1713</v>
      </c>
      <c r="Q1559" s="24" t="s">
        <v>680</v>
      </c>
    </row>
    <row r="1560" spans="1:17" hidden="1" x14ac:dyDescent="0.3">
      <c r="A1560" s="20">
        <f t="shared" si="24"/>
        <v>1559</v>
      </c>
      <c r="B1560" s="21" t="s">
        <v>87</v>
      </c>
      <c r="C1560" s="21" t="s">
        <v>91</v>
      </c>
      <c r="D1560" s="22" t="str">
        <f>IF($C1560="","",IFERROR(VLOOKUP($C1560,Map_Register!$A$2:$C$5,3,FALSE()),""))</f>
        <v>Cultural Heritage Area</v>
      </c>
      <c r="E1560" s="21" t="s">
        <v>15</v>
      </c>
      <c r="F1560" s="23">
        <v>229122</v>
      </c>
      <c r="G1560" s="20" t="s">
        <v>1537</v>
      </c>
      <c r="H1560" s="20" t="s">
        <v>2252</v>
      </c>
      <c r="I1560" s="20" t="s">
        <v>678</v>
      </c>
      <c r="J1560" s="20" t="s">
        <v>6</v>
      </c>
      <c r="K1560" s="20" t="s">
        <v>137</v>
      </c>
      <c r="L1560" s="20" t="s">
        <v>137</v>
      </c>
      <c r="M1560" s="20" t="s">
        <v>1694</v>
      </c>
      <c r="Q1560" s="24" t="s">
        <v>680</v>
      </c>
    </row>
    <row r="1561" spans="1:17" hidden="1" x14ac:dyDescent="0.3">
      <c r="A1561" s="20">
        <f t="shared" si="24"/>
        <v>1560</v>
      </c>
      <c r="B1561" s="21" t="s">
        <v>87</v>
      </c>
      <c r="C1561" s="21" t="s">
        <v>91</v>
      </c>
      <c r="D1561" s="22" t="str">
        <f>IF($C1561="","",IFERROR(VLOOKUP($C1561,Map_Register!$A$2:$C$5,3,FALSE()),""))</f>
        <v>Cultural Heritage Area</v>
      </c>
      <c r="E1561" s="21" t="s">
        <v>15</v>
      </c>
      <c r="F1561" s="23">
        <v>229141</v>
      </c>
      <c r="G1561" s="20" t="s">
        <v>1537</v>
      </c>
      <c r="H1561" s="20" t="s">
        <v>2253</v>
      </c>
      <c r="I1561" s="20" t="s">
        <v>678</v>
      </c>
      <c r="J1561" s="20" t="s">
        <v>6</v>
      </c>
      <c r="K1561" s="20" t="s">
        <v>137</v>
      </c>
      <c r="L1561" s="20" t="s">
        <v>137</v>
      </c>
      <c r="M1561" s="20" t="s">
        <v>1713</v>
      </c>
      <c r="Q1561" s="24" t="s">
        <v>680</v>
      </c>
    </row>
    <row r="1562" spans="1:17" hidden="1" x14ac:dyDescent="0.3">
      <c r="A1562" s="20">
        <f t="shared" si="24"/>
        <v>1561</v>
      </c>
      <c r="B1562" s="21" t="s">
        <v>87</v>
      </c>
      <c r="C1562" s="21" t="s">
        <v>91</v>
      </c>
      <c r="D1562" s="22" t="str">
        <f>IF($C1562="","",IFERROR(VLOOKUP($C1562,Map_Register!$A$2:$C$5,3,FALSE()),""))</f>
        <v>Cultural Heritage Area</v>
      </c>
      <c r="E1562" s="21" t="s">
        <v>15</v>
      </c>
      <c r="F1562" s="23">
        <v>229259</v>
      </c>
      <c r="G1562" s="20" t="s">
        <v>1537</v>
      </c>
      <c r="H1562" s="20" t="s">
        <v>2254</v>
      </c>
      <c r="I1562" s="20" t="s">
        <v>678</v>
      </c>
      <c r="J1562" s="20" t="s">
        <v>6</v>
      </c>
      <c r="K1562" s="20" t="s">
        <v>137</v>
      </c>
      <c r="L1562" s="20" t="s">
        <v>137</v>
      </c>
      <c r="M1562" s="20" t="s">
        <v>1713</v>
      </c>
      <c r="Q1562" s="24" t="s">
        <v>680</v>
      </c>
    </row>
    <row r="1563" spans="1:17" hidden="1" x14ac:dyDescent="0.3">
      <c r="A1563" s="20">
        <f t="shared" si="24"/>
        <v>1562</v>
      </c>
      <c r="B1563" s="21" t="s">
        <v>87</v>
      </c>
      <c r="C1563" s="21" t="s">
        <v>91</v>
      </c>
      <c r="D1563" s="22" t="str">
        <f>IF($C1563="","",IFERROR(VLOOKUP($C1563,Map_Register!$A$2:$C$5,3,FALSE()),""))</f>
        <v>Cultural Heritage Area</v>
      </c>
      <c r="E1563" s="21" t="s">
        <v>15</v>
      </c>
      <c r="F1563" s="23">
        <v>229335</v>
      </c>
      <c r="G1563" s="20" t="s">
        <v>1537</v>
      </c>
      <c r="H1563" s="20" t="s">
        <v>2255</v>
      </c>
      <c r="I1563" s="20" t="s">
        <v>678</v>
      </c>
      <c r="J1563" s="20" t="s">
        <v>6</v>
      </c>
      <c r="K1563" s="20" t="s">
        <v>137</v>
      </c>
      <c r="L1563" s="20" t="s">
        <v>137</v>
      </c>
      <c r="M1563" s="20" t="s">
        <v>1694</v>
      </c>
      <c r="Q1563" s="24" t="s">
        <v>680</v>
      </c>
    </row>
    <row r="1564" spans="1:17" hidden="1" x14ac:dyDescent="0.3">
      <c r="A1564" s="20">
        <f t="shared" si="24"/>
        <v>1563</v>
      </c>
      <c r="B1564" s="21" t="s">
        <v>87</v>
      </c>
      <c r="C1564" s="21" t="s">
        <v>91</v>
      </c>
      <c r="D1564" s="22" t="str">
        <f>IF($C1564="","",IFERROR(VLOOKUP($C1564,Map_Register!$A$2:$C$5,3,FALSE()),""))</f>
        <v>Cultural Heritage Area</v>
      </c>
      <c r="E1564" s="21" t="s">
        <v>15</v>
      </c>
      <c r="F1564" s="23">
        <v>229338</v>
      </c>
      <c r="G1564" s="20" t="s">
        <v>1537</v>
      </c>
      <c r="H1564" s="20" t="s">
        <v>2256</v>
      </c>
      <c r="I1564" s="20" t="s">
        <v>678</v>
      </c>
      <c r="J1564" s="20" t="s">
        <v>6</v>
      </c>
      <c r="K1564" s="20" t="s">
        <v>137</v>
      </c>
      <c r="L1564" s="20" t="s">
        <v>137</v>
      </c>
      <c r="M1564" s="20" t="s">
        <v>1713</v>
      </c>
      <c r="Q1564" s="24" t="s">
        <v>680</v>
      </c>
    </row>
    <row r="1565" spans="1:17" hidden="1" x14ac:dyDescent="0.3">
      <c r="A1565" s="20">
        <f t="shared" si="24"/>
        <v>1564</v>
      </c>
      <c r="B1565" s="21" t="s">
        <v>87</v>
      </c>
      <c r="C1565" s="21" t="s">
        <v>91</v>
      </c>
      <c r="D1565" s="22" t="str">
        <f>IF($C1565="","",IFERROR(VLOOKUP($C1565,Map_Register!$A$2:$C$5,3,FALSE()),""))</f>
        <v>Cultural Heritage Area</v>
      </c>
      <c r="E1565" s="21" t="s">
        <v>15</v>
      </c>
      <c r="F1565" s="23">
        <v>229348</v>
      </c>
      <c r="G1565" s="20" t="s">
        <v>1537</v>
      </c>
      <c r="H1565" s="20" t="s">
        <v>2257</v>
      </c>
      <c r="I1565" s="20" t="s">
        <v>678</v>
      </c>
      <c r="J1565" s="20" t="s">
        <v>6</v>
      </c>
      <c r="K1565" s="20" t="s">
        <v>137</v>
      </c>
      <c r="L1565" s="20" t="s">
        <v>137</v>
      </c>
      <c r="M1565" s="20" t="s">
        <v>1694</v>
      </c>
      <c r="Q1565" s="24" t="s">
        <v>680</v>
      </c>
    </row>
    <row r="1566" spans="1:17" hidden="1" x14ac:dyDescent="0.3">
      <c r="A1566" s="20">
        <f t="shared" si="24"/>
        <v>1565</v>
      </c>
      <c r="B1566" s="21" t="s">
        <v>87</v>
      </c>
      <c r="C1566" s="21" t="s">
        <v>91</v>
      </c>
      <c r="D1566" s="22" t="str">
        <f>IF($C1566="","",IFERROR(VLOOKUP($C1566,Map_Register!$A$2:$C$5,3,FALSE()),""))</f>
        <v>Cultural Heritage Area</v>
      </c>
      <c r="E1566" s="21" t="s">
        <v>15</v>
      </c>
      <c r="F1566" s="23">
        <v>229363</v>
      </c>
      <c r="G1566" s="20" t="s">
        <v>1537</v>
      </c>
      <c r="H1566" s="20" t="s">
        <v>1709</v>
      </c>
      <c r="I1566" s="20" t="s">
        <v>678</v>
      </c>
      <c r="J1566" s="20" t="s">
        <v>6</v>
      </c>
      <c r="K1566" s="20" t="s">
        <v>137</v>
      </c>
      <c r="L1566" s="20" t="s">
        <v>137</v>
      </c>
      <c r="M1566" s="20" t="s">
        <v>2258</v>
      </c>
      <c r="Q1566" s="24" t="s">
        <v>680</v>
      </c>
    </row>
    <row r="1567" spans="1:17" hidden="1" x14ac:dyDescent="0.3">
      <c r="A1567" s="20">
        <f t="shared" si="24"/>
        <v>1566</v>
      </c>
      <c r="B1567" s="21" t="s">
        <v>87</v>
      </c>
      <c r="C1567" s="21" t="s">
        <v>91</v>
      </c>
      <c r="D1567" s="22" t="str">
        <f>IF($C1567="","",IFERROR(VLOOKUP($C1567,Map_Register!$A$2:$C$5,3,FALSE()),""))</f>
        <v>Cultural Heritage Area</v>
      </c>
      <c r="E1567" s="21" t="s">
        <v>15</v>
      </c>
      <c r="F1567" s="23">
        <v>229385</v>
      </c>
      <c r="G1567" s="20" t="s">
        <v>1537</v>
      </c>
      <c r="H1567" s="20" t="s">
        <v>2259</v>
      </c>
      <c r="I1567" s="20" t="s">
        <v>678</v>
      </c>
      <c r="J1567" s="20" t="s">
        <v>8</v>
      </c>
      <c r="K1567" s="20" t="s">
        <v>107</v>
      </c>
      <c r="L1567" s="20" t="s">
        <v>107</v>
      </c>
      <c r="M1567" s="20" t="s">
        <v>1696</v>
      </c>
      <c r="N1567" s="20" t="s">
        <v>108</v>
      </c>
      <c r="Q1567" s="24" t="s">
        <v>680</v>
      </c>
    </row>
    <row r="1568" spans="1:17" hidden="1" x14ac:dyDescent="0.3">
      <c r="A1568" s="20">
        <f t="shared" si="24"/>
        <v>1567</v>
      </c>
      <c r="B1568" s="21" t="s">
        <v>87</v>
      </c>
      <c r="C1568" s="21" t="s">
        <v>91</v>
      </c>
      <c r="D1568" s="22" t="str">
        <f>IF($C1568="","",IFERROR(VLOOKUP($C1568,Map_Register!$A$2:$C$5,3,FALSE()),""))</f>
        <v>Cultural Heritage Area</v>
      </c>
      <c r="E1568" s="21" t="s">
        <v>15</v>
      </c>
      <c r="F1568" s="23">
        <v>229389</v>
      </c>
      <c r="G1568" s="20" t="s">
        <v>1537</v>
      </c>
      <c r="H1568" s="20" t="s">
        <v>2260</v>
      </c>
      <c r="I1568" s="20" t="s">
        <v>678</v>
      </c>
      <c r="J1568" s="20" t="s">
        <v>6</v>
      </c>
      <c r="K1568" s="20" t="s">
        <v>137</v>
      </c>
      <c r="L1568" s="20" t="s">
        <v>137</v>
      </c>
      <c r="M1568" s="20" t="s">
        <v>1713</v>
      </c>
      <c r="Q1568" s="24" t="s">
        <v>680</v>
      </c>
    </row>
    <row r="1569" spans="1:17" x14ac:dyDescent="0.3">
      <c r="A1569" s="20">
        <f t="shared" si="24"/>
        <v>1568</v>
      </c>
      <c r="B1569" s="21" t="s">
        <v>87</v>
      </c>
      <c r="C1569" s="21" t="s">
        <v>91</v>
      </c>
      <c r="D1569" s="22" t="str">
        <f>IF($C1569="","",IFERROR(VLOOKUP($C1569,Map_Register!$A$2:$C$5,3,FALSE()),""))</f>
        <v>Cultural Heritage Area</v>
      </c>
      <c r="E1569" s="21" t="s">
        <v>15</v>
      </c>
      <c r="F1569" s="23">
        <v>229397</v>
      </c>
      <c r="G1569" s="20" t="s">
        <v>1537</v>
      </c>
      <c r="H1569" s="20" t="s">
        <v>2261</v>
      </c>
      <c r="I1569" s="20" t="s">
        <v>678</v>
      </c>
      <c r="J1569" s="20" t="s">
        <v>8</v>
      </c>
      <c r="K1569" s="20" t="s">
        <v>107</v>
      </c>
      <c r="L1569" t="s">
        <v>108</v>
      </c>
      <c r="M1569" s="20" t="s">
        <v>1700</v>
      </c>
      <c r="N1569" s="20" t="s">
        <v>108</v>
      </c>
      <c r="Q1569" s="24" t="s">
        <v>680</v>
      </c>
    </row>
    <row r="1570" spans="1:17" hidden="1" x14ac:dyDescent="0.3">
      <c r="A1570" s="20">
        <f t="shared" si="24"/>
        <v>1569</v>
      </c>
      <c r="B1570" s="21" t="s">
        <v>87</v>
      </c>
      <c r="C1570" s="21" t="s">
        <v>91</v>
      </c>
      <c r="D1570" s="22" t="str">
        <f>IF($C1570="","",IFERROR(VLOOKUP($C1570,Map_Register!$A$2:$C$5,3,FALSE()),""))</f>
        <v>Cultural Heritage Area</v>
      </c>
      <c r="E1570" s="21" t="s">
        <v>15</v>
      </c>
      <c r="F1570" s="23">
        <v>229398</v>
      </c>
      <c r="G1570" s="20" t="s">
        <v>1537</v>
      </c>
      <c r="H1570" s="20" t="s">
        <v>2262</v>
      </c>
      <c r="I1570" s="20" t="s">
        <v>678</v>
      </c>
      <c r="J1570" s="20" t="s">
        <v>6</v>
      </c>
      <c r="K1570" s="20" t="s">
        <v>137</v>
      </c>
      <c r="L1570" s="20" t="s">
        <v>137</v>
      </c>
      <c r="M1570" s="20" t="s">
        <v>1694</v>
      </c>
      <c r="Q1570" s="24" t="s">
        <v>680</v>
      </c>
    </row>
    <row r="1571" spans="1:17" hidden="1" x14ac:dyDescent="0.3">
      <c r="A1571" s="20">
        <f t="shared" si="24"/>
        <v>1570</v>
      </c>
      <c r="B1571" s="21" t="s">
        <v>87</v>
      </c>
      <c r="C1571" s="21" t="s">
        <v>91</v>
      </c>
      <c r="D1571" s="22" t="str">
        <f>IF($C1571="","",IFERROR(VLOOKUP($C1571,Map_Register!$A$2:$C$5,3,FALSE()),""))</f>
        <v>Cultural Heritage Area</v>
      </c>
      <c r="E1571" s="21" t="s">
        <v>15</v>
      </c>
      <c r="F1571" s="23">
        <v>229400</v>
      </c>
      <c r="G1571" s="20" t="s">
        <v>1537</v>
      </c>
      <c r="H1571" s="20" t="s">
        <v>2263</v>
      </c>
      <c r="I1571" s="20" t="s">
        <v>678</v>
      </c>
      <c r="J1571" s="20" t="s">
        <v>6</v>
      </c>
      <c r="K1571" s="20" t="s">
        <v>137</v>
      </c>
      <c r="L1571" s="20" t="s">
        <v>137</v>
      </c>
      <c r="M1571" s="20" t="s">
        <v>1713</v>
      </c>
      <c r="Q1571" s="24" t="s">
        <v>680</v>
      </c>
    </row>
    <row r="1572" spans="1:17" hidden="1" x14ac:dyDescent="0.3">
      <c r="A1572" s="20">
        <f t="shared" si="24"/>
        <v>1571</v>
      </c>
      <c r="B1572" s="21" t="s">
        <v>87</v>
      </c>
      <c r="C1572" s="21" t="s">
        <v>91</v>
      </c>
      <c r="D1572" s="22" t="str">
        <f>IF($C1572="","",IFERROR(VLOOKUP($C1572,Map_Register!$A$2:$C$5,3,FALSE()),""))</f>
        <v>Cultural Heritage Area</v>
      </c>
      <c r="E1572" s="21" t="s">
        <v>15</v>
      </c>
      <c r="F1572" s="23">
        <v>229428</v>
      </c>
      <c r="G1572" s="20" t="s">
        <v>1537</v>
      </c>
      <c r="H1572" s="20" t="s">
        <v>2264</v>
      </c>
      <c r="I1572" s="20" t="s">
        <v>678</v>
      </c>
      <c r="J1572" s="20" t="s">
        <v>8</v>
      </c>
      <c r="K1572" t="s">
        <v>107</v>
      </c>
      <c r="L1572" s="20" t="s">
        <v>1964</v>
      </c>
      <c r="M1572" s="20" t="s">
        <v>1846</v>
      </c>
      <c r="N1572" s="20" t="s">
        <v>108</v>
      </c>
      <c r="Q1572" s="24" t="s">
        <v>680</v>
      </c>
    </row>
    <row r="1573" spans="1:17" hidden="1" x14ac:dyDescent="0.3">
      <c r="A1573" s="20">
        <f t="shared" si="24"/>
        <v>1572</v>
      </c>
      <c r="B1573" s="21" t="s">
        <v>87</v>
      </c>
      <c r="C1573" s="21" t="s">
        <v>91</v>
      </c>
      <c r="D1573" s="22" t="str">
        <f>IF($C1573="","",IFERROR(VLOOKUP($C1573,Map_Register!$A$2:$C$5,3,FALSE()),""))</f>
        <v>Cultural Heritage Area</v>
      </c>
      <c r="E1573" s="21" t="s">
        <v>15</v>
      </c>
      <c r="F1573" s="23">
        <v>229438</v>
      </c>
      <c r="G1573" s="20" t="s">
        <v>1537</v>
      </c>
      <c r="H1573" s="20" t="s">
        <v>2265</v>
      </c>
      <c r="I1573" s="20" t="s">
        <v>678</v>
      </c>
      <c r="J1573" s="20" t="s">
        <v>6</v>
      </c>
      <c r="K1573" s="20" t="s">
        <v>137</v>
      </c>
      <c r="L1573" s="20" t="s">
        <v>137</v>
      </c>
      <c r="M1573" s="20" t="s">
        <v>1694</v>
      </c>
      <c r="Q1573" s="24" t="s">
        <v>680</v>
      </c>
    </row>
    <row r="1574" spans="1:17" hidden="1" x14ac:dyDescent="0.3">
      <c r="A1574" s="20">
        <f t="shared" si="24"/>
        <v>1573</v>
      </c>
      <c r="B1574" s="21" t="s">
        <v>87</v>
      </c>
      <c r="C1574" s="21" t="s">
        <v>91</v>
      </c>
      <c r="D1574" s="22" t="str">
        <f>IF($C1574="","",IFERROR(VLOOKUP($C1574,Map_Register!$A$2:$C$5,3,FALSE()),""))</f>
        <v>Cultural Heritage Area</v>
      </c>
      <c r="E1574" s="21" t="s">
        <v>15</v>
      </c>
      <c r="F1574" s="23">
        <v>229441</v>
      </c>
      <c r="G1574" s="20" t="s">
        <v>1537</v>
      </c>
      <c r="H1574" s="20" t="s">
        <v>2266</v>
      </c>
      <c r="I1574" s="20" t="s">
        <v>678</v>
      </c>
      <c r="J1574" s="20" t="s">
        <v>6</v>
      </c>
      <c r="K1574" s="20" t="s">
        <v>137</v>
      </c>
      <c r="L1574" s="20" t="s">
        <v>137</v>
      </c>
      <c r="M1574" s="20" t="s">
        <v>1694</v>
      </c>
      <c r="Q1574" s="24" t="s">
        <v>680</v>
      </c>
    </row>
    <row r="1575" spans="1:17" hidden="1" x14ac:dyDescent="0.3">
      <c r="A1575" s="20">
        <f t="shared" si="24"/>
        <v>1574</v>
      </c>
      <c r="B1575" s="21" t="s">
        <v>87</v>
      </c>
      <c r="C1575" s="21" t="s">
        <v>91</v>
      </c>
      <c r="D1575" s="22" t="str">
        <f>IF($C1575="","",IFERROR(VLOOKUP($C1575,Map_Register!$A$2:$C$5,3,FALSE()),""))</f>
        <v>Cultural Heritage Area</v>
      </c>
      <c r="E1575" s="21" t="s">
        <v>15</v>
      </c>
      <c r="F1575" s="23">
        <v>229443</v>
      </c>
      <c r="G1575" s="20" t="s">
        <v>1537</v>
      </c>
      <c r="H1575" s="20" t="s">
        <v>2267</v>
      </c>
      <c r="I1575" s="20" t="s">
        <v>678</v>
      </c>
      <c r="J1575" s="20" t="s">
        <v>6</v>
      </c>
      <c r="K1575" s="20" t="s">
        <v>137</v>
      </c>
      <c r="L1575" s="20" t="s">
        <v>137</v>
      </c>
      <c r="M1575" s="20" t="s">
        <v>1713</v>
      </c>
      <c r="Q1575" s="24" t="s">
        <v>680</v>
      </c>
    </row>
    <row r="1576" spans="1:17" hidden="1" x14ac:dyDescent="0.3">
      <c r="A1576" s="20">
        <f t="shared" si="24"/>
        <v>1575</v>
      </c>
      <c r="B1576" s="21" t="s">
        <v>87</v>
      </c>
      <c r="C1576" s="21" t="s">
        <v>91</v>
      </c>
      <c r="D1576" s="22" t="str">
        <f>IF($C1576="","",IFERROR(VLOOKUP($C1576,Map_Register!$A$2:$C$5,3,FALSE()),""))</f>
        <v>Cultural Heritage Area</v>
      </c>
      <c r="E1576" s="21" t="s">
        <v>15</v>
      </c>
      <c r="F1576" s="23">
        <v>229451</v>
      </c>
      <c r="G1576" s="20" t="s">
        <v>1537</v>
      </c>
      <c r="H1576" s="20" t="s">
        <v>2268</v>
      </c>
      <c r="I1576" s="20" t="s">
        <v>678</v>
      </c>
      <c r="J1576" s="20" t="s">
        <v>6</v>
      </c>
      <c r="K1576" s="20" t="s">
        <v>137</v>
      </c>
      <c r="L1576" s="20" t="s">
        <v>137</v>
      </c>
      <c r="M1576" s="20" t="s">
        <v>1713</v>
      </c>
      <c r="Q1576" s="24" t="s">
        <v>680</v>
      </c>
    </row>
    <row r="1577" spans="1:17" hidden="1" x14ac:dyDescent="0.3">
      <c r="A1577" s="20">
        <f t="shared" si="24"/>
        <v>1576</v>
      </c>
      <c r="B1577" s="21" t="s">
        <v>87</v>
      </c>
      <c r="C1577" s="21" t="s">
        <v>91</v>
      </c>
      <c r="D1577" s="22" t="str">
        <f>IF($C1577="","",IFERROR(VLOOKUP($C1577,Map_Register!$A$2:$C$5,3,FALSE()),""))</f>
        <v>Cultural Heritage Area</v>
      </c>
      <c r="E1577" s="21" t="s">
        <v>15</v>
      </c>
      <c r="F1577" s="23">
        <v>229481</v>
      </c>
      <c r="G1577" s="20" t="s">
        <v>1537</v>
      </c>
      <c r="H1577" s="20" t="s">
        <v>2269</v>
      </c>
      <c r="I1577" s="20" t="s">
        <v>678</v>
      </c>
      <c r="J1577" s="20" t="s">
        <v>6</v>
      </c>
      <c r="K1577" s="20" t="s">
        <v>137</v>
      </c>
      <c r="L1577" s="20" t="s">
        <v>137</v>
      </c>
      <c r="M1577" s="20" t="s">
        <v>1713</v>
      </c>
      <c r="Q1577" s="24" t="s">
        <v>680</v>
      </c>
    </row>
    <row r="1578" spans="1:17" hidden="1" x14ac:dyDescent="0.3">
      <c r="A1578" s="20">
        <f t="shared" si="24"/>
        <v>1577</v>
      </c>
      <c r="B1578" s="21" t="s">
        <v>87</v>
      </c>
      <c r="C1578" s="21" t="s">
        <v>91</v>
      </c>
      <c r="D1578" s="22" t="str">
        <f>IF($C1578="","",IFERROR(VLOOKUP($C1578,Map_Register!$A$2:$C$5,3,FALSE()),""))</f>
        <v>Cultural Heritage Area</v>
      </c>
      <c r="E1578" s="21" t="s">
        <v>15</v>
      </c>
      <c r="F1578" s="23">
        <v>229484</v>
      </c>
      <c r="G1578" s="20" t="s">
        <v>1537</v>
      </c>
      <c r="H1578" s="20" t="s">
        <v>2270</v>
      </c>
      <c r="I1578" s="20" t="s">
        <v>678</v>
      </c>
      <c r="J1578" s="20" t="s">
        <v>6</v>
      </c>
      <c r="K1578" s="20" t="s">
        <v>137</v>
      </c>
      <c r="L1578" s="20" t="s">
        <v>137</v>
      </c>
      <c r="M1578" s="20" t="s">
        <v>1694</v>
      </c>
      <c r="Q1578" s="24" t="s">
        <v>680</v>
      </c>
    </row>
    <row r="1579" spans="1:17" hidden="1" x14ac:dyDescent="0.3">
      <c r="A1579" s="20">
        <f t="shared" si="24"/>
        <v>1578</v>
      </c>
      <c r="B1579" s="21" t="s">
        <v>87</v>
      </c>
      <c r="C1579" s="21" t="s">
        <v>91</v>
      </c>
      <c r="D1579" s="22" t="str">
        <f>IF($C1579="","",IFERROR(VLOOKUP($C1579,Map_Register!$A$2:$C$5,3,FALSE()),""))</f>
        <v>Cultural Heritage Area</v>
      </c>
      <c r="E1579" s="21" t="s">
        <v>15</v>
      </c>
      <c r="F1579" s="23">
        <v>229489</v>
      </c>
      <c r="G1579" s="20" t="s">
        <v>1537</v>
      </c>
      <c r="H1579" s="20" t="s">
        <v>2271</v>
      </c>
      <c r="I1579" s="20" t="s">
        <v>678</v>
      </c>
      <c r="J1579" s="20" t="s">
        <v>8</v>
      </c>
      <c r="K1579" s="20" t="s">
        <v>107</v>
      </c>
      <c r="L1579" s="20" t="s">
        <v>107</v>
      </c>
      <c r="M1579" s="20" t="s">
        <v>1696</v>
      </c>
      <c r="N1579" s="20" t="s">
        <v>108</v>
      </c>
      <c r="Q1579" s="24" t="s">
        <v>680</v>
      </c>
    </row>
    <row r="1580" spans="1:17" x14ac:dyDescent="0.3">
      <c r="A1580" s="20">
        <f t="shared" si="24"/>
        <v>1579</v>
      </c>
      <c r="B1580" s="21" t="s">
        <v>87</v>
      </c>
      <c r="C1580" s="21" t="s">
        <v>91</v>
      </c>
      <c r="D1580" s="22" t="str">
        <f>IF($C1580="","",IFERROR(VLOOKUP($C1580,Map_Register!$A$2:$C$5,3,FALSE()),""))</f>
        <v>Cultural Heritage Area</v>
      </c>
      <c r="E1580" s="21" t="s">
        <v>15</v>
      </c>
      <c r="F1580" s="23">
        <v>229502</v>
      </c>
      <c r="G1580" s="20" t="s">
        <v>1537</v>
      </c>
      <c r="H1580" s="20" t="s">
        <v>2272</v>
      </c>
      <c r="I1580" s="20" t="s">
        <v>678</v>
      </c>
      <c r="J1580" s="20" t="s">
        <v>8</v>
      </c>
      <c r="K1580" s="20" t="s">
        <v>107</v>
      </c>
      <c r="L1580" t="s">
        <v>108</v>
      </c>
      <c r="M1580" s="20" t="s">
        <v>2273</v>
      </c>
      <c r="N1580" s="20" t="s">
        <v>108</v>
      </c>
      <c r="Q1580" s="24" t="s">
        <v>680</v>
      </c>
    </row>
    <row r="1581" spans="1:17" hidden="1" x14ac:dyDescent="0.3">
      <c r="A1581" s="20">
        <f t="shared" si="24"/>
        <v>1580</v>
      </c>
      <c r="B1581" s="21" t="s">
        <v>87</v>
      </c>
      <c r="C1581" s="21" t="s">
        <v>91</v>
      </c>
      <c r="D1581" s="22" t="str">
        <f>IF($C1581="","",IFERROR(VLOOKUP($C1581,Map_Register!$A$2:$C$5,3,FALSE()),""))</f>
        <v>Cultural Heritage Area</v>
      </c>
      <c r="E1581" s="21" t="s">
        <v>15</v>
      </c>
      <c r="F1581" s="23">
        <v>229510</v>
      </c>
      <c r="G1581" s="20" t="s">
        <v>1537</v>
      </c>
      <c r="H1581" s="20" t="s">
        <v>2274</v>
      </c>
      <c r="I1581" s="20" t="s">
        <v>678</v>
      </c>
      <c r="J1581" s="20" t="s">
        <v>6</v>
      </c>
      <c r="K1581" s="20" t="s">
        <v>137</v>
      </c>
      <c r="L1581" s="20" t="s">
        <v>137</v>
      </c>
      <c r="M1581" s="20" t="s">
        <v>1713</v>
      </c>
      <c r="Q1581" s="24" t="s">
        <v>680</v>
      </c>
    </row>
    <row r="1582" spans="1:17" hidden="1" x14ac:dyDescent="0.3">
      <c r="A1582" s="20">
        <f t="shared" si="24"/>
        <v>1581</v>
      </c>
      <c r="B1582" s="21" t="s">
        <v>87</v>
      </c>
      <c r="C1582" s="21" t="s">
        <v>91</v>
      </c>
      <c r="D1582" s="22" t="str">
        <f>IF($C1582="","",IFERROR(VLOOKUP($C1582,Map_Register!$A$2:$C$5,3,FALSE()),""))</f>
        <v>Cultural Heritage Area</v>
      </c>
      <c r="E1582" s="21" t="s">
        <v>15</v>
      </c>
      <c r="F1582" s="23">
        <v>229511</v>
      </c>
      <c r="G1582" s="20" t="s">
        <v>1537</v>
      </c>
      <c r="H1582" s="20" t="s">
        <v>2275</v>
      </c>
      <c r="I1582" s="20" t="s">
        <v>678</v>
      </c>
      <c r="J1582" s="20" t="s">
        <v>6</v>
      </c>
      <c r="K1582" s="20" t="s">
        <v>137</v>
      </c>
      <c r="L1582" s="20" t="s">
        <v>137</v>
      </c>
      <c r="M1582" s="20" t="s">
        <v>2052</v>
      </c>
      <c r="Q1582" s="24" t="s">
        <v>680</v>
      </c>
    </row>
    <row r="1583" spans="1:17" hidden="1" x14ac:dyDescent="0.3">
      <c r="A1583" s="20">
        <f t="shared" si="24"/>
        <v>1582</v>
      </c>
      <c r="B1583" s="21" t="s">
        <v>87</v>
      </c>
      <c r="C1583" s="21" t="s">
        <v>91</v>
      </c>
      <c r="D1583" s="22" t="str">
        <f>IF($C1583="","",IFERROR(VLOOKUP($C1583,Map_Register!$A$2:$C$5,3,FALSE()),""))</f>
        <v>Cultural Heritage Area</v>
      </c>
      <c r="E1583" s="21" t="s">
        <v>15</v>
      </c>
      <c r="F1583" s="23">
        <v>229543</v>
      </c>
      <c r="G1583" s="20" t="s">
        <v>1537</v>
      </c>
      <c r="H1583" s="20" t="s">
        <v>2276</v>
      </c>
      <c r="I1583" s="20" t="s">
        <v>678</v>
      </c>
      <c r="J1583" s="20" t="s">
        <v>6</v>
      </c>
      <c r="K1583" s="20" t="s">
        <v>137</v>
      </c>
      <c r="L1583" s="20" t="s">
        <v>137</v>
      </c>
      <c r="M1583" s="20" t="s">
        <v>1713</v>
      </c>
      <c r="Q1583" s="24" t="s">
        <v>680</v>
      </c>
    </row>
    <row r="1584" spans="1:17" hidden="1" x14ac:dyDescent="0.3">
      <c r="A1584" s="20">
        <f t="shared" si="24"/>
        <v>1583</v>
      </c>
      <c r="B1584" s="21" t="s">
        <v>87</v>
      </c>
      <c r="C1584" s="21" t="s">
        <v>91</v>
      </c>
      <c r="D1584" s="22" t="str">
        <f>IF($C1584="","",IFERROR(VLOOKUP($C1584,Map_Register!$A$2:$C$5,3,FALSE()),""))</f>
        <v>Cultural Heritage Area</v>
      </c>
      <c r="E1584" s="21" t="s">
        <v>15</v>
      </c>
      <c r="F1584" s="23">
        <v>229547</v>
      </c>
      <c r="G1584" s="20" t="s">
        <v>1537</v>
      </c>
      <c r="H1584" s="20" t="s">
        <v>2277</v>
      </c>
      <c r="I1584" s="20" t="s">
        <v>678</v>
      </c>
      <c r="J1584" s="20" t="s">
        <v>6</v>
      </c>
      <c r="K1584" s="20" t="s">
        <v>137</v>
      </c>
      <c r="L1584" s="20" t="s">
        <v>137</v>
      </c>
      <c r="M1584" s="20" t="s">
        <v>1694</v>
      </c>
      <c r="Q1584" s="24" t="s">
        <v>680</v>
      </c>
    </row>
    <row r="1585" spans="1:17" hidden="1" x14ac:dyDescent="0.3">
      <c r="A1585" s="20">
        <f t="shared" si="24"/>
        <v>1584</v>
      </c>
      <c r="B1585" s="21" t="s">
        <v>87</v>
      </c>
      <c r="C1585" s="21" t="s">
        <v>91</v>
      </c>
      <c r="D1585" s="22" t="str">
        <f>IF($C1585="","",IFERROR(VLOOKUP($C1585,Map_Register!$A$2:$C$5,3,FALSE()),""))</f>
        <v>Cultural Heritage Area</v>
      </c>
      <c r="E1585" s="21" t="s">
        <v>15</v>
      </c>
      <c r="F1585" s="23">
        <v>232829</v>
      </c>
      <c r="G1585" s="20" t="s">
        <v>1537</v>
      </c>
      <c r="H1585" s="20" t="s">
        <v>1895</v>
      </c>
      <c r="I1585" s="20" t="s">
        <v>678</v>
      </c>
      <c r="J1585" s="20" t="s">
        <v>220</v>
      </c>
      <c r="K1585" s="20" t="s">
        <v>137</v>
      </c>
      <c r="L1585" s="20" t="s">
        <v>137</v>
      </c>
      <c r="M1585" s="20" t="s">
        <v>2278</v>
      </c>
      <c r="P1585" s="20" t="s">
        <v>1869</v>
      </c>
      <c r="Q1585" s="24" t="s">
        <v>680</v>
      </c>
    </row>
    <row r="1586" spans="1:17" hidden="1" x14ac:dyDescent="0.3">
      <c r="A1586" s="20">
        <f t="shared" si="24"/>
        <v>1585</v>
      </c>
      <c r="B1586" s="21" t="s">
        <v>87</v>
      </c>
      <c r="C1586" s="21" t="s">
        <v>91</v>
      </c>
      <c r="D1586" s="22" t="str">
        <f>IF($C1586="","",IFERROR(VLOOKUP($C1586,Map_Register!$A$2:$C$5,3,FALSE()),""))</f>
        <v>Cultural Heritage Area</v>
      </c>
      <c r="E1586" s="21" t="s">
        <v>15</v>
      </c>
      <c r="F1586" s="23">
        <v>233937</v>
      </c>
      <c r="G1586" s="20" t="s">
        <v>1537</v>
      </c>
      <c r="H1586" s="20" t="s">
        <v>1892</v>
      </c>
      <c r="I1586" s="20" t="s">
        <v>678</v>
      </c>
      <c r="J1586" s="20" t="s">
        <v>220</v>
      </c>
      <c r="K1586" s="20" t="s">
        <v>137</v>
      </c>
      <c r="L1586" s="20" t="s">
        <v>137</v>
      </c>
      <c r="M1586" s="20" t="s">
        <v>2279</v>
      </c>
      <c r="P1586" s="20" t="s">
        <v>2280</v>
      </c>
      <c r="Q1586" s="24" t="s">
        <v>680</v>
      </c>
    </row>
    <row r="1587" spans="1:17" hidden="1" x14ac:dyDescent="0.3">
      <c r="A1587" s="20">
        <f t="shared" si="24"/>
        <v>1586</v>
      </c>
      <c r="B1587" s="21" t="s">
        <v>87</v>
      </c>
      <c r="C1587" s="21" t="s">
        <v>91</v>
      </c>
      <c r="D1587" s="22" t="str">
        <f>IF($C1587="","",IFERROR(VLOOKUP($C1587,Map_Register!$A$2:$C$5,3,FALSE()),""))</f>
        <v>Cultural Heritage Area</v>
      </c>
      <c r="E1587" s="21" t="s">
        <v>15</v>
      </c>
      <c r="F1587" s="23">
        <v>236438</v>
      </c>
      <c r="G1587" s="20" t="s">
        <v>1560</v>
      </c>
      <c r="H1587" s="20" t="s">
        <v>1870</v>
      </c>
      <c r="I1587" s="20" t="s">
        <v>678</v>
      </c>
      <c r="J1587" s="20" t="s">
        <v>8</v>
      </c>
      <c r="K1587" s="20" t="s">
        <v>107</v>
      </c>
      <c r="L1587" t="s">
        <v>107</v>
      </c>
      <c r="M1587" s="20" t="s">
        <v>2281</v>
      </c>
      <c r="N1587" s="20" t="s">
        <v>108</v>
      </c>
      <c r="Q1587" s="24" t="s">
        <v>680</v>
      </c>
    </row>
    <row r="1588" spans="1:17" hidden="1" x14ac:dyDescent="0.3">
      <c r="A1588" s="20">
        <f t="shared" si="24"/>
        <v>1587</v>
      </c>
      <c r="B1588" s="21" t="s">
        <v>87</v>
      </c>
      <c r="C1588" s="21" t="s">
        <v>91</v>
      </c>
      <c r="D1588" s="22" t="str">
        <f>IF($C1588="","",IFERROR(VLOOKUP($C1588,Map_Register!$A$2:$C$5,3,FALSE()),""))</f>
        <v>Cultural Heritage Area</v>
      </c>
      <c r="E1588" s="21" t="s">
        <v>15</v>
      </c>
      <c r="F1588" s="23">
        <v>236961</v>
      </c>
      <c r="G1588" s="20" t="s">
        <v>1537</v>
      </c>
      <c r="H1588" s="20" t="s">
        <v>1918</v>
      </c>
      <c r="I1588" s="20" t="s">
        <v>678</v>
      </c>
      <c r="J1588" s="20" t="s">
        <v>220</v>
      </c>
      <c r="K1588" s="20" t="s">
        <v>137</v>
      </c>
      <c r="L1588" s="20" t="s">
        <v>137</v>
      </c>
      <c r="M1588" s="20" t="s">
        <v>2282</v>
      </c>
      <c r="Q1588" s="24" t="s">
        <v>680</v>
      </c>
    </row>
    <row r="1589" spans="1:17" hidden="1" x14ac:dyDescent="0.3">
      <c r="A1589" s="20">
        <f t="shared" si="24"/>
        <v>1588</v>
      </c>
      <c r="B1589" s="21" t="s">
        <v>87</v>
      </c>
      <c r="C1589" s="21" t="s">
        <v>91</v>
      </c>
      <c r="D1589" s="22" t="str">
        <f>IF($C1589="","",IFERROR(VLOOKUP($C1589,Map_Register!$A$2:$C$5,3,FALSE()),""))</f>
        <v>Cultural Heritage Area</v>
      </c>
      <c r="E1589" s="21" t="s">
        <v>15</v>
      </c>
      <c r="F1589" s="23">
        <v>237144</v>
      </c>
      <c r="G1589" s="20" t="s">
        <v>1537</v>
      </c>
      <c r="H1589" s="20" t="s">
        <v>2283</v>
      </c>
      <c r="I1589" s="20" t="s">
        <v>678</v>
      </c>
      <c r="J1589" s="20" t="s">
        <v>6</v>
      </c>
      <c r="K1589" s="20" t="s">
        <v>137</v>
      </c>
      <c r="L1589" s="20" t="s">
        <v>137</v>
      </c>
      <c r="M1589" s="20" t="s">
        <v>1713</v>
      </c>
      <c r="Q1589" s="24" t="s">
        <v>680</v>
      </c>
    </row>
    <row r="1590" spans="1:17" hidden="1" x14ac:dyDescent="0.3">
      <c r="A1590" s="20">
        <f t="shared" si="24"/>
        <v>1589</v>
      </c>
      <c r="B1590" s="21" t="s">
        <v>87</v>
      </c>
      <c r="C1590" s="21" t="s">
        <v>91</v>
      </c>
      <c r="D1590" s="22" t="str">
        <f>IF($C1590="","",IFERROR(VLOOKUP($C1590,Map_Register!$A$2:$C$5,3,FALSE()),""))</f>
        <v>Cultural Heritage Area</v>
      </c>
      <c r="E1590" s="21" t="s">
        <v>15</v>
      </c>
      <c r="F1590" s="23">
        <v>237177</v>
      </c>
      <c r="G1590" s="20" t="s">
        <v>1537</v>
      </c>
      <c r="H1590" s="20" t="s">
        <v>2066</v>
      </c>
      <c r="I1590" s="20" t="s">
        <v>678</v>
      </c>
      <c r="J1590" s="20" t="s">
        <v>8</v>
      </c>
      <c r="K1590" s="20" t="s">
        <v>107</v>
      </c>
      <c r="L1590" s="20" t="s">
        <v>107</v>
      </c>
      <c r="M1590" s="20" t="s">
        <v>1705</v>
      </c>
      <c r="N1590" s="20" t="s">
        <v>108</v>
      </c>
      <c r="Q1590" s="24" t="s">
        <v>680</v>
      </c>
    </row>
    <row r="1591" spans="1:17" hidden="1" x14ac:dyDescent="0.3">
      <c r="A1591" s="20">
        <f t="shared" si="24"/>
        <v>1590</v>
      </c>
      <c r="B1591" s="21" t="s">
        <v>87</v>
      </c>
      <c r="C1591" s="21" t="s">
        <v>91</v>
      </c>
      <c r="D1591" s="22" t="str">
        <f>IF($C1591="","",IFERROR(VLOOKUP($C1591,Map_Register!$A$2:$C$5,3,FALSE()),""))</f>
        <v>Cultural Heritage Area</v>
      </c>
      <c r="E1591" s="21" t="s">
        <v>15</v>
      </c>
      <c r="F1591" s="23">
        <v>237450</v>
      </c>
      <c r="G1591" s="20" t="s">
        <v>1537</v>
      </c>
      <c r="H1591" s="20" t="s">
        <v>2284</v>
      </c>
      <c r="I1591" s="20" t="s">
        <v>678</v>
      </c>
      <c r="J1591" s="20" t="s">
        <v>6</v>
      </c>
      <c r="K1591" s="20" t="s">
        <v>137</v>
      </c>
      <c r="L1591" s="20" t="s">
        <v>137</v>
      </c>
      <c r="M1591" s="20" t="s">
        <v>1713</v>
      </c>
      <c r="Q1591" s="24" t="s">
        <v>680</v>
      </c>
    </row>
    <row r="1592" spans="1:17" hidden="1" x14ac:dyDescent="0.3">
      <c r="A1592" s="20">
        <f t="shared" si="24"/>
        <v>1591</v>
      </c>
      <c r="B1592" s="21" t="s">
        <v>87</v>
      </c>
      <c r="C1592" s="21" t="s">
        <v>91</v>
      </c>
      <c r="D1592" s="22" t="str">
        <f>IF($C1592="","",IFERROR(VLOOKUP($C1592,Map_Register!$A$2:$C$5,3,FALSE()),""))</f>
        <v>Cultural Heritage Area</v>
      </c>
      <c r="E1592" s="21" t="s">
        <v>15</v>
      </c>
      <c r="F1592" s="23">
        <v>239004</v>
      </c>
      <c r="G1592" s="20" t="s">
        <v>1537</v>
      </c>
      <c r="H1592" s="20" t="s">
        <v>2054</v>
      </c>
      <c r="I1592" s="20" t="s">
        <v>678</v>
      </c>
      <c r="J1592" s="20" t="s">
        <v>6</v>
      </c>
      <c r="K1592" s="20" t="s">
        <v>137</v>
      </c>
      <c r="L1592" s="20" t="s">
        <v>137</v>
      </c>
      <c r="M1592" s="20" t="s">
        <v>1713</v>
      </c>
      <c r="Q1592" s="24" t="s">
        <v>680</v>
      </c>
    </row>
    <row r="1593" spans="1:17" hidden="1" x14ac:dyDescent="0.3">
      <c r="A1593" s="20">
        <f t="shared" si="24"/>
        <v>1592</v>
      </c>
      <c r="B1593" s="21" t="s">
        <v>87</v>
      </c>
      <c r="C1593" s="21" t="s">
        <v>91</v>
      </c>
      <c r="D1593" s="22" t="str">
        <f>IF($C1593="","",IFERROR(VLOOKUP($C1593,Map_Register!$A$2:$C$5,3,FALSE()),""))</f>
        <v>Cultural Heritage Area</v>
      </c>
      <c r="E1593" s="21" t="s">
        <v>15</v>
      </c>
      <c r="F1593" s="23">
        <v>241231</v>
      </c>
      <c r="G1593" s="20" t="s">
        <v>1537</v>
      </c>
      <c r="H1593" s="20" t="s">
        <v>2285</v>
      </c>
      <c r="I1593" s="20" t="s">
        <v>678</v>
      </c>
      <c r="J1593" s="20" t="s">
        <v>6</v>
      </c>
      <c r="K1593" s="20" t="s">
        <v>137</v>
      </c>
      <c r="L1593" s="20" t="s">
        <v>137</v>
      </c>
      <c r="M1593" s="20" t="s">
        <v>1713</v>
      </c>
      <c r="Q1593" s="24" t="s">
        <v>680</v>
      </c>
    </row>
    <row r="1594" spans="1:17" hidden="1" x14ac:dyDescent="0.3">
      <c r="A1594" s="20">
        <f t="shared" si="24"/>
        <v>1593</v>
      </c>
      <c r="B1594" s="21" t="s">
        <v>87</v>
      </c>
      <c r="C1594" s="21" t="s">
        <v>91</v>
      </c>
      <c r="D1594" s="22" t="str">
        <f>IF($C1594="","",IFERROR(VLOOKUP($C1594,Map_Register!$A$2:$C$5,3,FALSE()),""))</f>
        <v>Cultural Heritage Area</v>
      </c>
      <c r="E1594" s="21" t="s">
        <v>15</v>
      </c>
      <c r="F1594" s="23">
        <v>241344</v>
      </c>
      <c r="G1594" s="20" t="s">
        <v>1769</v>
      </c>
      <c r="H1594" s="20" t="s">
        <v>2286</v>
      </c>
      <c r="I1594" s="20" t="s">
        <v>678</v>
      </c>
      <c r="J1594" s="20" t="s">
        <v>8</v>
      </c>
      <c r="K1594" s="20" t="s">
        <v>107</v>
      </c>
      <c r="L1594" t="s">
        <v>107</v>
      </c>
      <c r="M1594" s="20" t="s">
        <v>2287</v>
      </c>
      <c r="N1594" s="20" t="s">
        <v>108</v>
      </c>
      <c r="Q1594" s="24" t="s">
        <v>680</v>
      </c>
    </row>
    <row r="1595" spans="1:17" x14ac:dyDescent="0.3">
      <c r="A1595" s="20">
        <f t="shared" si="24"/>
        <v>1594</v>
      </c>
      <c r="B1595" s="21" t="s">
        <v>87</v>
      </c>
      <c r="C1595" s="21" t="s">
        <v>91</v>
      </c>
      <c r="D1595" s="22" t="str">
        <f>IF($C1595="","",IFERROR(VLOOKUP($C1595,Map_Register!$A$2:$C$5,3,FALSE()),""))</f>
        <v>Cultural Heritage Area</v>
      </c>
      <c r="E1595" s="21" t="s">
        <v>15</v>
      </c>
      <c r="F1595" s="23">
        <v>241384</v>
      </c>
      <c r="G1595" s="20" t="s">
        <v>1537</v>
      </c>
      <c r="H1595" s="20" t="s">
        <v>2288</v>
      </c>
      <c r="I1595" s="20" t="s">
        <v>678</v>
      </c>
      <c r="J1595" s="20" t="s">
        <v>8</v>
      </c>
      <c r="K1595" s="20" t="s">
        <v>107</v>
      </c>
      <c r="L1595" t="s">
        <v>108</v>
      </c>
      <c r="M1595" s="20" t="s">
        <v>1700</v>
      </c>
      <c r="N1595" s="20" t="s">
        <v>108</v>
      </c>
      <c r="Q1595" s="24" t="s">
        <v>680</v>
      </c>
    </row>
    <row r="1596" spans="1:17" hidden="1" x14ac:dyDescent="0.3">
      <c r="A1596" s="20">
        <f t="shared" si="24"/>
        <v>1595</v>
      </c>
      <c r="B1596" s="21" t="s">
        <v>87</v>
      </c>
      <c r="C1596" s="21" t="s">
        <v>91</v>
      </c>
      <c r="D1596" s="22" t="str">
        <f>IF($C1596="","",IFERROR(VLOOKUP($C1596,Map_Register!$A$2:$C$5,3,FALSE()),""))</f>
        <v>Cultural Heritage Area</v>
      </c>
      <c r="E1596" s="21" t="s">
        <v>15</v>
      </c>
      <c r="F1596" s="23">
        <v>241417</v>
      </c>
      <c r="G1596" s="20" t="s">
        <v>1537</v>
      </c>
      <c r="H1596" s="20" t="s">
        <v>2289</v>
      </c>
      <c r="I1596" s="20" t="s">
        <v>678</v>
      </c>
      <c r="J1596" s="20" t="s">
        <v>6</v>
      </c>
      <c r="K1596" s="20" t="s">
        <v>137</v>
      </c>
      <c r="L1596" s="20" t="s">
        <v>137</v>
      </c>
      <c r="M1596" s="20" t="s">
        <v>1713</v>
      </c>
      <c r="Q1596" s="24" t="s">
        <v>680</v>
      </c>
    </row>
    <row r="1597" spans="1:17" hidden="1" x14ac:dyDescent="0.3">
      <c r="A1597" s="20">
        <f t="shared" si="24"/>
        <v>1596</v>
      </c>
      <c r="B1597" s="21" t="s">
        <v>87</v>
      </c>
      <c r="C1597" s="21" t="s">
        <v>91</v>
      </c>
      <c r="D1597" s="22" t="str">
        <f>IF($C1597="","",IFERROR(VLOOKUP($C1597,Map_Register!$A$2:$C$5,3,FALSE()),""))</f>
        <v>Cultural Heritage Area</v>
      </c>
      <c r="E1597" s="21" t="s">
        <v>15</v>
      </c>
      <c r="F1597" s="23">
        <v>242057</v>
      </c>
      <c r="G1597" s="20" t="s">
        <v>1537</v>
      </c>
      <c r="H1597" s="20" t="s">
        <v>2290</v>
      </c>
      <c r="I1597" s="20" t="s">
        <v>678</v>
      </c>
      <c r="J1597" s="20" t="s">
        <v>6</v>
      </c>
      <c r="K1597" s="20" t="s">
        <v>137</v>
      </c>
      <c r="L1597" s="20" t="s">
        <v>137</v>
      </c>
      <c r="M1597" s="20" t="s">
        <v>1713</v>
      </c>
      <c r="Q1597" s="24" t="s">
        <v>680</v>
      </c>
    </row>
    <row r="1598" spans="1:17" hidden="1" x14ac:dyDescent="0.3">
      <c r="A1598" s="20">
        <f t="shared" si="24"/>
        <v>1597</v>
      </c>
      <c r="B1598" s="21" t="s">
        <v>87</v>
      </c>
      <c r="C1598" s="21" t="s">
        <v>91</v>
      </c>
      <c r="D1598" s="22" t="str">
        <f>IF($C1598="","",IFERROR(VLOOKUP($C1598,Map_Register!$A$2:$C$5,3,FALSE()),""))</f>
        <v>Cultural Heritage Area</v>
      </c>
      <c r="E1598" s="21" t="s">
        <v>15</v>
      </c>
      <c r="F1598" s="23">
        <v>242141</v>
      </c>
      <c r="G1598" s="20" t="s">
        <v>1537</v>
      </c>
      <c r="H1598" s="20" t="s">
        <v>2291</v>
      </c>
      <c r="I1598" s="20" t="s">
        <v>678</v>
      </c>
      <c r="J1598" s="20" t="s">
        <v>8</v>
      </c>
      <c r="K1598" s="20" t="s">
        <v>107</v>
      </c>
      <c r="L1598" s="20" t="s">
        <v>107</v>
      </c>
      <c r="M1598" s="20" t="s">
        <v>1705</v>
      </c>
      <c r="N1598" s="20" t="s">
        <v>108</v>
      </c>
      <c r="Q1598" s="24" t="s">
        <v>680</v>
      </c>
    </row>
    <row r="1599" spans="1:17" x14ac:dyDescent="0.3">
      <c r="A1599" s="20">
        <f t="shared" si="24"/>
        <v>1598</v>
      </c>
      <c r="B1599" s="21" t="s">
        <v>87</v>
      </c>
      <c r="C1599" s="21" t="s">
        <v>91</v>
      </c>
      <c r="D1599" s="22" t="str">
        <f>IF($C1599="","",IFERROR(VLOOKUP($C1599,Map_Register!$A$2:$C$5,3,FALSE()),""))</f>
        <v>Cultural Heritage Area</v>
      </c>
      <c r="E1599" s="21" t="s">
        <v>15</v>
      </c>
      <c r="F1599" s="23">
        <v>242235</v>
      </c>
      <c r="G1599" s="20" t="s">
        <v>1537</v>
      </c>
      <c r="H1599" s="20" t="s">
        <v>2292</v>
      </c>
      <c r="I1599" s="20" t="s">
        <v>678</v>
      </c>
      <c r="J1599" s="20" t="s">
        <v>8</v>
      </c>
      <c r="K1599" s="20" t="s">
        <v>107</v>
      </c>
      <c r="L1599" t="s">
        <v>108</v>
      </c>
      <c r="M1599" s="20" t="s">
        <v>1700</v>
      </c>
      <c r="N1599" s="20" t="s">
        <v>108</v>
      </c>
      <c r="Q1599" s="24" t="s">
        <v>680</v>
      </c>
    </row>
    <row r="1600" spans="1:17" hidden="1" x14ac:dyDescent="0.3">
      <c r="A1600" s="20">
        <f t="shared" si="24"/>
        <v>1599</v>
      </c>
      <c r="B1600" s="21" t="s">
        <v>87</v>
      </c>
      <c r="C1600" s="21" t="s">
        <v>91</v>
      </c>
      <c r="D1600" s="22" t="str">
        <f>IF($C1600="","",IFERROR(VLOOKUP($C1600,Map_Register!$A$2:$C$5,3,FALSE()),""))</f>
        <v>Cultural Heritage Area</v>
      </c>
      <c r="E1600" s="21" t="s">
        <v>15</v>
      </c>
      <c r="F1600" s="23">
        <v>242439</v>
      </c>
      <c r="G1600" s="20" t="s">
        <v>1537</v>
      </c>
      <c r="H1600" s="20" t="s">
        <v>1701</v>
      </c>
      <c r="I1600" s="20" t="s">
        <v>678</v>
      </c>
      <c r="J1600" s="20" t="s">
        <v>6</v>
      </c>
      <c r="K1600" s="20" t="s">
        <v>137</v>
      </c>
      <c r="L1600" s="20" t="s">
        <v>137</v>
      </c>
      <c r="M1600" s="20" t="s">
        <v>1713</v>
      </c>
      <c r="Q1600" s="24" t="s">
        <v>680</v>
      </c>
    </row>
    <row r="1601" spans="1:17" hidden="1" x14ac:dyDescent="0.3">
      <c r="A1601" s="20">
        <f t="shared" si="24"/>
        <v>1600</v>
      </c>
      <c r="B1601" s="21" t="s">
        <v>87</v>
      </c>
      <c r="C1601" s="21" t="s">
        <v>91</v>
      </c>
      <c r="D1601" s="22" t="str">
        <f>IF($C1601="","",IFERROR(VLOOKUP($C1601,Map_Register!$A$2:$C$5,3,FALSE()),""))</f>
        <v>Cultural Heritage Area</v>
      </c>
      <c r="E1601" s="21" t="s">
        <v>15</v>
      </c>
      <c r="F1601" s="23">
        <v>242788</v>
      </c>
      <c r="G1601" s="20" t="s">
        <v>1537</v>
      </c>
      <c r="H1601" s="20" t="s">
        <v>2293</v>
      </c>
      <c r="I1601" s="20" t="s">
        <v>678</v>
      </c>
      <c r="J1601" s="20" t="s">
        <v>6</v>
      </c>
      <c r="K1601" s="20" t="s">
        <v>137</v>
      </c>
      <c r="L1601" s="20" t="s">
        <v>137</v>
      </c>
      <c r="M1601" s="20" t="s">
        <v>1713</v>
      </c>
      <c r="Q1601" s="24" t="s">
        <v>680</v>
      </c>
    </row>
    <row r="1602" spans="1:17" hidden="1" x14ac:dyDescent="0.3">
      <c r="A1602" s="20">
        <f t="shared" ref="A1602:A1665" si="25">IF($B1602="","",ROW()-1)</f>
        <v>1601</v>
      </c>
      <c r="B1602" s="21" t="s">
        <v>87</v>
      </c>
      <c r="C1602" s="21" t="s">
        <v>91</v>
      </c>
      <c r="D1602" s="22" t="str">
        <f>IF($C1602="","",IFERROR(VLOOKUP($C1602,Map_Register!$A$2:$C$5,3,FALSE()),""))</f>
        <v>Cultural Heritage Area</v>
      </c>
      <c r="E1602" s="21" t="s">
        <v>15</v>
      </c>
      <c r="F1602" s="23">
        <v>242959</v>
      </c>
      <c r="G1602" s="20" t="s">
        <v>1769</v>
      </c>
      <c r="H1602" s="20" t="s">
        <v>2294</v>
      </c>
      <c r="I1602" s="20" t="s">
        <v>678</v>
      </c>
      <c r="J1602" s="20" t="s">
        <v>6</v>
      </c>
      <c r="K1602" s="20" t="s">
        <v>137</v>
      </c>
      <c r="L1602" s="20" t="s">
        <v>137</v>
      </c>
      <c r="M1602" s="20" t="s">
        <v>1724</v>
      </c>
      <c r="Q1602" s="24" t="s">
        <v>680</v>
      </c>
    </row>
    <row r="1603" spans="1:17" hidden="1" x14ac:dyDescent="0.3">
      <c r="A1603" s="20">
        <f t="shared" si="25"/>
        <v>1602</v>
      </c>
      <c r="B1603" s="21" t="s">
        <v>87</v>
      </c>
      <c r="C1603" s="21" t="s">
        <v>91</v>
      </c>
      <c r="D1603" s="22" t="str">
        <f>IF($C1603="","",IFERROR(VLOOKUP($C1603,Map_Register!$A$2:$C$5,3,FALSE()),""))</f>
        <v>Cultural Heritage Area</v>
      </c>
      <c r="E1603" s="21" t="s">
        <v>15</v>
      </c>
      <c r="F1603" s="23">
        <v>243014</v>
      </c>
      <c r="G1603" s="20" t="s">
        <v>1769</v>
      </c>
      <c r="H1603" s="20" t="s">
        <v>1850</v>
      </c>
      <c r="I1603" s="20" t="s">
        <v>678</v>
      </c>
      <c r="J1603" s="20" t="s">
        <v>6</v>
      </c>
      <c r="K1603" s="20" t="s">
        <v>137</v>
      </c>
      <c r="L1603" s="20" t="s">
        <v>137</v>
      </c>
      <c r="M1603" s="20" t="s">
        <v>1724</v>
      </c>
      <c r="Q1603" s="24" t="s">
        <v>680</v>
      </c>
    </row>
    <row r="1604" spans="1:17" hidden="1" x14ac:dyDescent="0.3">
      <c r="A1604" s="20">
        <f t="shared" si="25"/>
        <v>1603</v>
      </c>
      <c r="B1604" s="21" t="s">
        <v>87</v>
      </c>
      <c r="C1604" s="21" t="s">
        <v>91</v>
      </c>
      <c r="D1604" s="22" t="str">
        <f>IF($C1604="","",IFERROR(VLOOKUP($C1604,Map_Register!$A$2:$C$5,3,FALSE()),""))</f>
        <v>Cultural Heritage Area</v>
      </c>
      <c r="E1604" s="21" t="s">
        <v>15</v>
      </c>
      <c r="F1604" s="23">
        <v>243492</v>
      </c>
      <c r="G1604" s="20" t="s">
        <v>1537</v>
      </c>
      <c r="H1604" s="20" t="s">
        <v>2295</v>
      </c>
      <c r="I1604" s="20" t="s">
        <v>678</v>
      </c>
      <c r="J1604" s="20" t="s">
        <v>8</v>
      </c>
      <c r="K1604" s="20" t="s">
        <v>107</v>
      </c>
      <c r="L1604" s="20" t="s">
        <v>107</v>
      </c>
      <c r="M1604" s="20" t="s">
        <v>1696</v>
      </c>
      <c r="N1604" s="20" t="s">
        <v>108</v>
      </c>
      <c r="Q1604" s="24" t="s">
        <v>680</v>
      </c>
    </row>
    <row r="1605" spans="1:17" hidden="1" x14ac:dyDescent="0.3">
      <c r="A1605" s="20">
        <f t="shared" si="25"/>
        <v>1604</v>
      </c>
      <c r="B1605" s="21" t="s">
        <v>87</v>
      </c>
      <c r="C1605" s="21" t="s">
        <v>91</v>
      </c>
      <c r="D1605" s="22" t="str">
        <f>IF($C1605="","",IFERROR(VLOOKUP($C1605,Map_Register!$A$2:$C$5,3,FALSE()),""))</f>
        <v>Cultural Heritage Area</v>
      </c>
      <c r="E1605" s="21" t="s">
        <v>15</v>
      </c>
      <c r="F1605" s="23">
        <v>244239</v>
      </c>
      <c r="G1605" s="20" t="s">
        <v>1537</v>
      </c>
      <c r="H1605" s="20" t="s">
        <v>2296</v>
      </c>
      <c r="I1605" s="20" t="s">
        <v>678</v>
      </c>
      <c r="J1605" s="20" t="s">
        <v>8</v>
      </c>
      <c r="K1605" s="20" t="s">
        <v>107</v>
      </c>
      <c r="L1605" s="20" t="s">
        <v>107</v>
      </c>
      <c r="M1605" s="20" t="s">
        <v>1705</v>
      </c>
      <c r="N1605" s="20" t="s">
        <v>108</v>
      </c>
      <c r="Q1605" s="24" t="s">
        <v>680</v>
      </c>
    </row>
    <row r="1606" spans="1:17" hidden="1" x14ac:dyDescent="0.3">
      <c r="A1606" s="20">
        <f t="shared" si="25"/>
        <v>1605</v>
      </c>
      <c r="B1606" s="21" t="s">
        <v>87</v>
      </c>
      <c r="C1606" s="21" t="s">
        <v>91</v>
      </c>
      <c r="D1606" s="22" t="str">
        <f>IF($C1606="","",IFERROR(VLOOKUP($C1606,Map_Register!$A$2:$C$5,3,FALSE()),""))</f>
        <v>Cultural Heritage Area</v>
      </c>
      <c r="E1606" s="21" t="s">
        <v>15</v>
      </c>
      <c r="F1606" s="23">
        <v>244299</v>
      </c>
      <c r="G1606" s="20" t="s">
        <v>1537</v>
      </c>
      <c r="H1606" s="20" t="s">
        <v>2297</v>
      </c>
      <c r="I1606" s="20" t="s">
        <v>678</v>
      </c>
      <c r="J1606" s="20" t="s">
        <v>6</v>
      </c>
      <c r="K1606" s="20" t="s">
        <v>137</v>
      </c>
      <c r="L1606" s="20" t="s">
        <v>137</v>
      </c>
      <c r="M1606" s="20" t="s">
        <v>1713</v>
      </c>
      <c r="Q1606" s="24" t="s">
        <v>680</v>
      </c>
    </row>
    <row r="1607" spans="1:17" hidden="1" x14ac:dyDescent="0.3">
      <c r="A1607" s="20">
        <f t="shared" si="25"/>
        <v>1606</v>
      </c>
      <c r="B1607" s="21" t="s">
        <v>87</v>
      </c>
      <c r="C1607" s="21" t="s">
        <v>91</v>
      </c>
      <c r="D1607" s="22" t="str">
        <f>IF($C1607="","",IFERROR(VLOOKUP($C1607,Map_Register!$A$2:$C$5,3,FALSE()),""))</f>
        <v>Cultural Heritage Area</v>
      </c>
      <c r="E1607" s="21" t="s">
        <v>15</v>
      </c>
      <c r="F1607" s="23">
        <v>244329</v>
      </c>
      <c r="G1607" s="20" t="s">
        <v>1537</v>
      </c>
      <c r="H1607" s="20" t="s">
        <v>2298</v>
      </c>
      <c r="I1607" s="20" t="s">
        <v>678</v>
      </c>
      <c r="J1607" s="20" t="s">
        <v>8</v>
      </c>
      <c r="K1607" s="20" t="s">
        <v>107</v>
      </c>
      <c r="L1607" s="20" t="s">
        <v>107</v>
      </c>
      <c r="M1607" s="20" t="s">
        <v>1696</v>
      </c>
      <c r="N1607" s="20" t="s">
        <v>108</v>
      </c>
      <c r="Q1607" s="24" t="s">
        <v>680</v>
      </c>
    </row>
    <row r="1608" spans="1:17" hidden="1" x14ac:dyDescent="0.3">
      <c r="A1608" s="20">
        <f t="shared" si="25"/>
        <v>1607</v>
      </c>
      <c r="B1608" s="21" t="s">
        <v>87</v>
      </c>
      <c r="C1608" s="21" t="s">
        <v>91</v>
      </c>
      <c r="D1608" s="22" t="str">
        <f>IF($C1608="","",IFERROR(VLOOKUP($C1608,Map_Register!$A$2:$C$5,3,FALSE()),""))</f>
        <v>Cultural Heritage Area</v>
      </c>
      <c r="E1608" s="21" t="s">
        <v>15</v>
      </c>
      <c r="F1608" s="23">
        <v>244784</v>
      </c>
      <c r="G1608" s="20" t="s">
        <v>1537</v>
      </c>
      <c r="H1608" s="20" t="s">
        <v>2299</v>
      </c>
      <c r="I1608" s="20" t="s">
        <v>678</v>
      </c>
      <c r="J1608" s="20" t="s">
        <v>6</v>
      </c>
      <c r="K1608" s="20" t="s">
        <v>137</v>
      </c>
      <c r="L1608" s="20" t="s">
        <v>137</v>
      </c>
      <c r="M1608" s="20" t="s">
        <v>1713</v>
      </c>
      <c r="Q1608" s="24" t="s">
        <v>680</v>
      </c>
    </row>
    <row r="1609" spans="1:17" hidden="1" x14ac:dyDescent="0.3">
      <c r="A1609" s="20">
        <f t="shared" si="25"/>
        <v>1608</v>
      </c>
      <c r="B1609" s="21" t="s">
        <v>87</v>
      </c>
      <c r="C1609" s="21" t="s">
        <v>91</v>
      </c>
      <c r="D1609" s="22" t="str">
        <f>IF($C1609="","",IFERROR(VLOOKUP($C1609,Map_Register!$A$2:$C$5,3,FALSE()),""))</f>
        <v>Cultural Heritage Area</v>
      </c>
      <c r="E1609" s="21" t="s">
        <v>15</v>
      </c>
      <c r="F1609" s="23">
        <v>244881</v>
      </c>
      <c r="G1609" s="20" t="s">
        <v>1537</v>
      </c>
      <c r="H1609" s="20" t="s">
        <v>2300</v>
      </c>
      <c r="I1609" s="20" t="s">
        <v>678</v>
      </c>
      <c r="J1609" s="20" t="s">
        <v>6</v>
      </c>
      <c r="K1609" s="20" t="s">
        <v>137</v>
      </c>
      <c r="L1609" s="20" t="s">
        <v>137</v>
      </c>
      <c r="M1609" s="20" t="s">
        <v>1694</v>
      </c>
      <c r="Q1609" s="24" t="s">
        <v>680</v>
      </c>
    </row>
    <row r="1610" spans="1:17" x14ac:dyDescent="0.3">
      <c r="A1610" s="20">
        <f t="shared" si="25"/>
        <v>1609</v>
      </c>
      <c r="B1610" s="21" t="s">
        <v>87</v>
      </c>
      <c r="C1610" s="21" t="s">
        <v>91</v>
      </c>
      <c r="D1610" s="22" t="str">
        <f>IF($C1610="","",IFERROR(VLOOKUP($C1610,Map_Register!$A$2:$C$5,3,FALSE()),""))</f>
        <v>Cultural Heritage Area</v>
      </c>
      <c r="E1610" s="21" t="s">
        <v>15</v>
      </c>
      <c r="F1610" s="23">
        <v>245002</v>
      </c>
      <c r="G1610" s="20" t="s">
        <v>1537</v>
      </c>
      <c r="H1610" s="20" t="s">
        <v>2301</v>
      </c>
      <c r="I1610" s="20" t="s">
        <v>678</v>
      </c>
      <c r="J1610" s="20" t="s">
        <v>8</v>
      </c>
      <c r="K1610" s="20" t="s">
        <v>107</v>
      </c>
      <c r="L1610" t="s">
        <v>108</v>
      </c>
      <c r="M1610" s="20" t="s">
        <v>1700</v>
      </c>
      <c r="N1610" s="20" t="s">
        <v>108</v>
      </c>
      <c r="Q1610" s="24" t="s">
        <v>680</v>
      </c>
    </row>
    <row r="1611" spans="1:17" hidden="1" x14ac:dyDescent="0.3">
      <c r="A1611" s="20">
        <f t="shared" si="25"/>
        <v>1610</v>
      </c>
      <c r="B1611" s="21" t="s">
        <v>87</v>
      </c>
      <c r="C1611" s="21" t="s">
        <v>86</v>
      </c>
      <c r="D1611" s="22" t="str">
        <f>IF($C1611="","",IFERROR(VLOOKUP($C1611,Map_Register!$A$2:$C$5,3,FALSE()),""))</f>
        <v>Border Region</v>
      </c>
      <c r="E1611" s="21" t="s">
        <v>15</v>
      </c>
      <c r="F1611" s="23">
        <v>9336</v>
      </c>
      <c r="G1611" s="20" t="s">
        <v>1537</v>
      </c>
      <c r="H1611" s="20" t="s">
        <v>2302</v>
      </c>
      <c r="I1611" s="20" t="s">
        <v>678</v>
      </c>
      <c r="J1611" s="20" t="s">
        <v>6</v>
      </c>
      <c r="K1611" s="20" t="s">
        <v>137</v>
      </c>
      <c r="L1611" s="20" t="s">
        <v>137</v>
      </c>
      <c r="M1611" s="20" t="s">
        <v>2303</v>
      </c>
      <c r="Q1611" s="24" t="s">
        <v>680</v>
      </c>
    </row>
    <row r="1612" spans="1:17" hidden="1" x14ac:dyDescent="0.3">
      <c r="A1612" s="20">
        <f t="shared" si="25"/>
        <v>1611</v>
      </c>
      <c r="B1612" s="21" t="s">
        <v>87</v>
      </c>
      <c r="C1612" s="21" t="s">
        <v>86</v>
      </c>
      <c r="D1612" s="22" t="str">
        <f>IF($C1612="","",IFERROR(VLOOKUP($C1612,Map_Register!$A$2:$C$5,3,FALSE()),""))</f>
        <v>Border Region</v>
      </c>
      <c r="E1612" s="21" t="s">
        <v>15</v>
      </c>
      <c r="F1612" s="23">
        <v>10532</v>
      </c>
      <c r="G1612" s="20" t="s">
        <v>1537</v>
      </c>
      <c r="H1612" s="20" t="s">
        <v>2304</v>
      </c>
      <c r="I1612" s="20" t="s">
        <v>678</v>
      </c>
      <c r="J1612" s="20" t="s">
        <v>8</v>
      </c>
      <c r="K1612" t="s">
        <v>107</v>
      </c>
      <c r="L1612" s="20" t="s">
        <v>1964</v>
      </c>
      <c r="M1612" s="20" t="s">
        <v>2305</v>
      </c>
      <c r="N1612" s="20" t="s">
        <v>108</v>
      </c>
      <c r="Q1612" s="24" t="s">
        <v>680</v>
      </c>
    </row>
    <row r="1613" spans="1:17" hidden="1" x14ac:dyDescent="0.3">
      <c r="A1613" s="20">
        <f t="shared" si="25"/>
        <v>1612</v>
      </c>
      <c r="B1613" s="21" t="s">
        <v>87</v>
      </c>
      <c r="C1613" s="21" t="s">
        <v>86</v>
      </c>
      <c r="D1613" s="22" t="str">
        <f>IF($C1613="","",IFERROR(VLOOKUP($C1613,Map_Register!$A$2:$C$5,3,FALSE()),""))</f>
        <v>Border Region</v>
      </c>
      <c r="E1613" s="21" t="s">
        <v>15</v>
      </c>
      <c r="F1613" s="23">
        <v>11271</v>
      </c>
      <c r="G1613" s="20" t="s">
        <v>1537</v>
      </c>
      <c r="H1613" s="20" t="s">
        <v>2306</v>
      </c>
      <c r="I1613" s="20" t="s">
        <v>678</v>
      </c>
      <c r="J1613" s="20" t="s">
        <v>6</v>
      </c>
      <c r="K1613" s="20" t="s">
        <v>137</v>
      </c>
      <c r="L1613" s="20" t="s">
        <v>137</v>
      </c>
      <c r="M1613" s="20" t="s">
        <v>2307</v>
      </c>
      <c r="Q1613" s="24" t="s">
        <v>680</v>
      </c>
    </row>
    <row r="1614" spans="1:17" hidden="1" x14ac:dyDescent="0.3">
      <c r="A1614" s="20">
        <f t="shared" si="25"/>
        <v>1613</v>
      </c>
      <c r="B1614" s="21" t="s">
        <v>87</v>
      </c>
      <c r="C1614" s="21" t="s">
        <v>86</v>
      </c>
      <c r="D1614" s="22" t="str">
        <f>IF($C1614="","",IFERROR(VLOOKUP($C1614,Map_Register!$A$2:$C$5,3,FALSE()),""))</f>
        <v>Border Region</v>
      </c>
      <c r="E1614" s="21" t="s">
        <v>15</v>
      </c>
      <c r="F1614" s="23">
        <v>11917</v>
      </c>
      <c r="G1614" s="20" t="s">
        <v>1537</v>
      </c>
      <c r="H1614" s="20" t="s">
        <v>2308</v>
      </c>
      <c r="I1614" s="20" t="s">
        <v>678</v>
      </c>
      <c r="J1614" s="20" t="s">
        <v>6</v>
      </c>
      <c r="K1614" s="20" t="s">
        <v>137</v>
      </c>
      <c r="L1614" s="20" t="s">
        <v>137</v>
      </c>
      <c r="M1614" t="s">
        <v>1537</v>
      </c>
      <c r="Q1614" s="24" t="s">
        <v>680</v>
      </c>
    </row>
    <row r="1615" spans="1:17" hidden="1" x14ac:dyDescent="0.3">
      <c r="A1615" s="20">
        <f t="shared" si="25"/>
        <v>1614</v>
      </c>
      <c r="B1615" s="21" t="s">
        <v>87</v>
      </c>
      <c r="C1615" s="21" t="s">
        <v>86</v>
      </c>
      <c r="D1615" s="22" t="str">
        <f>IF($C1615="","",IFERROR(VLOOKUP($C1615,Map_Register!$A$2:$C$5,3,FALSE()),""))</f>
        <v>Border Region</v>
      </c>
      <c r="E1615" s="21" t="s">
        <v>15</v>
      </c>
      <c r="F1615" s="23">
        <v>16197</v>
      </c>
      <c r="G1615" s="20" t="s">
        <v>1537</v>
      </c>
      <c r="H1615" s="20" t="s">
        <v>2309</v>
      </c>
      <c r="I1615" s="20" t="s">
        <v>678</v>
      </c>
      <c r="J1615" s="20" t="s">
        <v>6</v>
      </c>
      <c r="K1615" s="20" t="s">
        <v>137</v>
      </c>
      <c r="M1615" s="20" t="s">
        <v>2310</v>
      </c>
      <c r="Q1615" s="24" t="s">
        <v>680</v>
      </c>
    </row>
    <row r="1616" spans="1:17" hidden="1" x14ac:dyDescent="0.3">
      <c r="A1616" s="20">
        <f t="shared" si="25"/>
        <v>1615</v>
      </c>
      <c r="B1616" s="21" t="s">
        <v>87</v>
      </c>
      <c r="C1616" s="21" t="s">
        <v>86</v>
      </c>
      <c r="D1616" s="22" t="str">
        <f>IF($C1616="","",IFERROR(VLOOKUP($C1616,Map_Register!$A$2:$C$5,3,FALSE()),""))</f>
        <v>Border Region</v>
      </c>
      <c r="E1616" s="21" t="s">
        <v>15</v>
      </c>
      <c r="F1616" s="23">
        <v>17788</v>
      </c>
      <c r="G1616" s="20" t="s">
        <v>1537</v>
      </c>
      <c r="H1616" s="20" t="s">
        <v>2311</v>
      </c>
      <c r="I1616" s="20" t="s">
        <v>678</v>
      </c>
      <c r="J1616" s="20" t="s">
        <v>6</v>
      </c>
      <c r="K1616" s="20" t="s">
        <v>137</v>
      </c>
      <c r="L1616" s="20" t="s">
        <v>137</v>
      </c>
      <c r="M1616" s="20" t="s">
        <v>2312</v>
      </c>
      <c r="Q1616" s="24" t="s">
        <v>680</v>
      </c>
    </row>
    <row r="1617" spans="1:17" hidden="1" x14ac:dyDescent="0.3">
      <c r="A1617" s="20">
        <f t="shared" si="25"/>
        <v>1616</v>
      </c>
      <c r="B1617" s="21" t="s">
        <v>87</v>
      </c>
      <c r="C1617" s="21" t="s">
        <v>86</v>
      </c>
      <c r="D1617" s="22" t="str">
        <f>IF($C1617="","",IFERROR(VLOOKUP($C1617,Map_Register!$A$2:$C$5,3,FALSE()),""))</f>
        <v>Border Region</v>
      </c>
      <c r="E1617" s="21" t="s">
        <v>15</v>
      </c>
      <c r="F1617" s="23">
        <v>19916</v>
      </c>
      <c r="G1617" s="20" t="s">
        <v>1537</v>
      </c>
      <c r="H1617" s="20" t="s">
        <v>2313</v>
      </c>
      <c r="I1617" s="20" t="s">
        <v>678</v>
      </c>
      <c r="J1617" s="20" t="s">
        <v>6</v>
      </c>
      <c r="K1617" s="20" t="s">
        <v>137</v>
      </c>
      <c r="L1617" s="20" t="s">
        <v>137</v>
      </c>
      <c r="M1617" s="20" t="s">
        <v>2314</v>
      </c>
      <c r="Q1617" s="24" t="s">
        <v>680</v>
      </c>
    </row>
    <row r="1618" spans="1:17" hidden="1" x14ac:dyDescent="0.3">
      <c r="A1618" s="20">
        <f t="shared" si="25"/>
        <v>1617</v>
      </c>
      <c r="B1618" s="21" t="s">
        <v>87</v>
      </c>
      <c r="C1618" s="21" t="s">
        <v>86</v>
      </c>
      <c r="D1618" s="22" t="str">
        <f>IF($C1618="","",IFERROR(VLOOKUP($C1618,Map_Register!$A$2:$C$5,3,FALSE()),""))</f>
        <v>Border Region</v>
      </c>
      <c r="E1618" s="21" t="s">
        <v>15</v>
      </c>
      <c r="F1618" s="23">
        <v>20488</v>
      </c>
      <c r="G1618" s="20" t="s">
        <v>1537</v>
      </c>
      <c r="H1618" s="20" t="s">
        <v>2315</v>
      </c>
      <c r="I1618" s="20" t="s">
        <v>678</v>
      </c>
      <c r="J1618" s="20" t="s">
        <v>6</v>
      </c>
      <c r="K1618" s="20" t="s">
        <v>137</v>
      </c>
      <c r="L1618" s="20" t="s">
        <v>137</v>
      </c>
      <c r="M1618" s="20" t="s">
        <v>2307</v>
      </c>
      <c r="Q1618" s="24" t="s">
        <v>680</v>
      </c>
    </row>
    <row r="1619" spans="1:17" hidden="1" x14ac:dyDescent="0.3">
      <c r="A1619" s="20">
        <f t="shared" si="25"/>
        <v>1618</v>
      </c>
      <c r="B1619" s="21" t="s">
        <v>87</v>
      </c>
      <c r="C1619" s="21" t="s">
        <v>86</v>
      </c>
      <c r="D1619" s="22" t="str">
        <f>IF($C1619="","",IFERROR(VLOOKUP($C1619,Map_Register!$A$2:$C$5,3,FALSE()),""))</f>
        <v>Border Region</v>
      </c>
      <c r="E1619" s="21" t="s">
        <v>15</v>
      </c>
      <c r="F1619" s="23">
        <v>31577</v>
      </c>
      <c r="G1619" s="20" t="s">
        <v>1537</v>
      </c>
      <c r="H1619" s="20" t="s">
        <v>2316</v>
      </c>
      <c r="I1619" s="20" t="s">
        <v>678</v>
      </c>
      <c r="J1619" s="20" t="s">
        <v>6</v>
      </c>
      <c r="K1619" s="20" t="s">
        <v>137</v>
      </c>
      <c r="L1619" s="20" t="s">
        <v>137</v>
      </c>
      <c r="M1619" s="20" t="s">
        <v>2317</v>
      </c>
      <c r="Q1619" s="24" t="s">
        <v>680</v>
      </c>
    </row>
    <row r="1620" spans="1:17" x14ac:dyDescent="0.3">
      <c r="A1620" s="20">
        <f t="shared" si="25"/>
        <v>1619</v>
      </c>
      <c r="B1620" s="21" t="s">
        <v>87</v>
      </c>
      <c r="C1620" s="21" t="s">
        <v>86</v>
      </c>
      <c r="D1620" s="22" t="str">
        <f>IF($C1620="","",IFERROR(VLOOKUP($C1620,Map_Register!$A$2:$C$5,3,FALSE()),""))</f>
        <v>Border Region</v>
      </c>
      <c r="E1620" s="21" t="s">
        <v>15</v>
      </c>
      <c r="F1620" s="23">
        <v>32699</v>
      </c>
      <c r="G1620" s="20" t="s">
        <v>1537</v>
      </c>
      <c r="H1620" s="20" t="s">
        <v>2318</v>
      </c>
      <c r="I1620" s="20" t="s">
        <v>678</v>
      </c>
      <c r="J1620" s="20" t="s">
        <v>8</v>
      </c>
      <c r="K1620" t="s">
        <v>107</v>
      </c>
      <c r="L1620" t="s">
        <v>108</v>
      </c>
      <c r="M1620" s="20" t="s">
        <v>1846</v>
      </c>
      <c r="N1620" s="20" t="s">
        <v>108</v>
      </c>
      <c r="Q1620" s="24" t="s">
        <v>680</v>
      </c>
    </row>
    <row r="1621" spans="1:17" hidden="1" x14ac:dyDescent="0.3">
      <c r="A1621" s="20">
        <f t="shared" si="25"/>
        <v>1620</v>
      </c>
      <c r="B1621" s="21" t="s">
        <v>87</v>
      </c>
      <c r="C1621" s="21" t="s">
        <v>86</v>
      </c>
      <c r="D1621" s="22" t="str">
        <f>IF($C1621="","",IFERROR(VLOOKUP($C1621,Map_Register!$A$2:$C$5,3,FALSE()),""))</f>
        <v>Border Region</v>
      </c>
      <c r="E1621" s="21" t="s">
        <v>15</v>
      </c>
      <c r="F1621" s="23">
        <v>35725</v>
      </c>
      <c r="G1621" s="20" t="s">
        <v>1537</v>
      </c>
      <c r="H1621" s="20" t="s">
        <v>2319</v>
      </c>
      <c r="I1621" s="20" t="s">
        <v>678</v>
      </c>
      <c r="J1621" s="20" t="s">
        <v>6</v>
      </c>
      <c r="K1621" s="20" t="s">
        <v>137</v>
      </c>
      <c r="L1621" s="20" t="s">
        <v>137</v>
      </c>
      <c r="M1621" s="20" t="s">
        <v>2060</v>
      </c>
      <c r="Q1621" s="24" t="s">
        <v>680</v>
      </c>
    </row>
    <row r="1622" spans="1:17" hidden="1" x14ac:dyDescent="0.3">
      <c r="A1622" s="20">
        <f t="shared" si="25"/>
        <v>1621</v>
      </c>
      <c r="B1622" s="21" t="s">
        <v>87</v>
      </c>
      <c r="C1622" s="21" t="s">
        <v>86</v>
      </c>
      <c r="D1622" s="22" t="str">
        <f>IF($C1622="","",IFERROR(VLOOKUP($C1622,Map_Register!$A$2:$C$5,3,FALSE()),""))</f>
        <v>Border Region</v>
      </c>
      <c r="E1622" s="21" t="s">
        <v>15</v>
      </c>
      <c r="F1622" s="23">
        <v>39019</v>
      </c>
      <c r="G1622" s="20" t="s">
        <v>1537</v>
      </c>
      <c r="H1622" s="20" t="s">
        <v>2320</v>
      </c>
      <c r="I1622" s="20" t="s">
        <v>678</v>
      </c>
      <c r="J1622" s="20" t="s">
        <v>6</v>
      </c>
      <c r="K1622" s="20" t="s">
        <v>137</v>
      </c>
      <c r="L1622" s="20" t="s">
        <v>137</v>
      </c>
      <c r="M1622" t="s">
        <v>1537</v>
      </c>
      <c r="Q1622" s="24" t="s">
        <v>680</v>
      </c>
    </row>
    <row r="1623" spans="1:17" hidden="1" x14ac:dyDescent="0.3">
      <c r="A1623" s="20">
        <f t="shared" si="25"/>
        <v>1622</v>
      </c>
      <c r="B1623" s="21" t="s">
        <v>87</v>
      </c>
      <c r="C1623" s="21" t="s">
        <v>86</v>
      </c>
      <c r="D1623" s="22" t="str">
        <f>IF($C1623="","",IFERROR(VLOOKUP($C1623,Map_Register!$A$2:$C$5,3,FALSE()),""))</f>
        <v>Border Region</v>
      </c>
      <c r="E1623" s="21" t="s">
        <v>15</v>
      </c>
      <c r="F1623" s="23">
        <v>48630</v>
      </c>
      <c r="G1623" s="20" t="s">
        <v>1537</v>
      </c>
      <c r="H1623" s="20" t="s">
        <v>2321</v>
      </c>
      <c r="I1623" s="20" t="s">
        <v>678</v>
      </c>
      <c r="J1623" s="20" t="s">
        <v>6</v>
      </c>
      <c r="K1623" s="20" t="s">
        <v>137</v>
      </c>
      <c r="L1623" s="20" t="s">
        <v>137</v>
      </c>
      <c r="M1623" t="s">
        <v>2322</v>
      </c>
      <c r="Q1623" s="24" t="s">
        <v>680</v>
      </c>
    </row>
    <row r="1624" spans="1:17" hidden="1" x14ac:dyDescent="0.3">
      <c r="A1624" s="20">
        <f t="shared" si="25"/>
        <v>1623</v>
      </c>
      <c r="B1624" s="21" t="s">
        <v>87</v>
      </c>
      <c r="C1624" s="21" t="s">
        <v>86</v>
      </c>
      <c r="D1624" s="22" t="str">
        <f>IF($C1624="","",IFERROR(VLOOKUP($C1624,Map_Register!$A$2:$C$5,3,FALSE()),""))</f>
        <v>Border Region</v>
      </c>
      <c r="E1624" s="21" t="s">
        <v>15</v>
      </c>
      <c r="F1624" s="23">
        <v>53689</v>
      </c>
      <c r="G1624" s="20" t="s">
        <v>1537</v>
      </c>
      <c r="H1624" s="20" t="s">
        <v>2323</v>
      </c>
      <c r="I1624" s="20" t="s">
        <v>678</v>
      </c>
      <c r="J1624" s="20" t="s">
        <v>6</v>
      </c>
      <c r="K1624" s="20" t="s">
        <v>137</v>
      </c>
      <c r="L1624" s="20" t="s">
        <v>137</v>
      </c>
      <c r="M1624" s="20" t="s">
        <v>1846</v>
      </c>
      <c r="Q1624" s="24" t="s">
        <v>680</v>
      </c>
    </row>
    <row r="1625" spans="1:17" hidden="1" x14ac:dyDescent="0.3">
      <c r="A1625" s="20">
        <f t="shared" si="25"/>
        <v>1624</v>
      </c>
      <c r="B1625" s="21" t="s">
        <v>87</v>
      </c>
      <c r="C1625" s="21" t="s">
        <v>86</v>
      </c>
      <c r="D1625" s="22" t="str">
        <f>IF($C1625="","",IFERROR(VLOOKUP($C1625,Map_Register!$A$2:$C$5,3,FALSE()),""))</f>
        <v>Border Region</v>
      </c>
      <c r="E1625" s="21" t="s">
        <v>15</v>
      </c>
      <c r="F1625" s="23">
        <v>74981</v>
      </c>
      <c r="G1625" s="20" t="s">
        <v>1537</v>
      </c>
      <c r="H1625" s="20" t="s">
        <v>2324</v>
      </c>
      <c r="I1625" s="20" t="s">
        <v>678</v>
      </c>
      <c r="J1625" s="20" t="s">
        <v>220</v>
      </c>
      <c r="K1625" s="20" t="s">
        <v>137</v>
      </c>
      <c r="L1625" s="20" t="s">
        <v>137</v>
      </c>
      <c r="M1625" t="s">
        <v>2325</v>
      </c>
      <c r="P1625" s="20" t="s">
        <v>2280</v>
      </c>
      <c r="Q1625" s="24" t="s">
        <v>680</v>
      </c>
    </row>
    <row r="1626" spans="1:17" hidden="1" x14ac:dyDescent="0.3">
      <c r="A1626" s="20">
        <f t="shared" si="25"/>
        <v>1625</v>
      </c>
      <c r="B1626" s="21" t="s">
        <v>87</v>
      </c>
      <c r="C1626" s="21" t="s">
        <v>86</v>
      </c>
      <c r="D1626" s="22" t="str">
        <f>IF($C1626="","",IFERROR(VLOOKUP($C1626,Map_Register!$A$2:$C$5,3,FALSE()),""))</f>
        <v>Border Region</v>
      </c>
      <c r="E1626" s="21" t="s">
        <v>15</v>
      </c>
      <c r="F1626" s="23">
        <v>86517</v>
      </c>
      <c r="G1626" s="20" t="s">
        <v>1537</v>
      </c>
      <c r="H1626" s="20" t="s">
        <v>2326</v>
      </c>
      <c r="I1626" s="20" t="s">
        <v>678</v>
      </c>
      <c r="J1626" s="20" t="s">
        <v>6</v>
      </c>
      <c r="K1626" s="20" t="s">
        <v>137</v>
      </c>
      <c r="L1626" s="20" t="s">
        <v>137</v>
      </c>
      <c r="M1626" s="20" t="s">
        <v>2317</v>
      </c>
      <c r="Q1626" s="24" t="s">
        <v>680</v>
      </c>
    </row>
    <row r="1627" spans="1:17" hidden="1" x14ac:dyDescent="0.3">
      <c r="A1627" s="20">
        <f t="shared" si="25"/>
        <v>1626</v>
      </c>
      <c r="B1627" s="21" t="s">
        <v>87</v>
      </c>
      <c r="C1627" s="21" t="s">
        <v>86</v>
      </c>
      <c r="D1627" s="22" t="str">
        <f>IF($C1627="","",IFERROR(VLOOKUP($C1627,Map_Register!$A$2:$C$5,3,FALSE()),""))</f>
        <v>Border Region</v>
      </c>
      <c r="E1627" s="21" t="s">
        <v>15</v>
      </c>
      <c r="F1627" s="23">
        <v>87443</v>
      </c>
      <c r="G1627" s="20" t="s">
        <v>1537</v>
      </c>
      <c r="H1627" s="20" t="s">
        <v>2327</v>
      </c>
      <c r="I1627" s="20" t="s">
        <v>678</v>
      </c>
      <c r="J1627" s="20" t="s">
        <v>6</v>
      </c>
      <c r="K1627" s="20" t="s">
        <v>137</v>
      </c>
      <c r="L1627" s="20" t="s">
        <v>137</v>
      </c>
      <c r="M1627" t="s">
        <v>1537</v>
      </c>
      <c r="Q1627" s="24" t="s">
        <v>680</v>
      </c>
    </row>
    <row r="1628" spans="1:17" hidden="1" x14ac:dyDescent="0.3">
      <c r="A1628" s="20">
        <f t="shared" si="25"/>
        <v>1627</v>
      </c>
      <c r="B1628" s="21" t="s">
        <v>87</v>
      </c>
      <c r="C1628" s="21" t="s">
        <v>86</v>
      </c>
      <c r="D1628" s="22" t="str">
        <f>IF($C1628="","",IFERROR(VLOOKUP($C1628,Map_Register!$A$2:$C$5,3,FALSE()),""))</f>
        <v>Border Region</v>
      </c>
      <c r="E1628" s="21" t="s">
        <v>15</v>
      </c>
      <c r="F1628" s="23">
        <v>91599</v>
      </c>
      <c r="G1628" s="20" t="s">
        <v>1537</v>
      </c>
      <c r="H1628" s="20" t="s">
        <v>2328</v>
      </c>
      <c r="I1628" s="20" t="s">
        <v>678</v>
      </c>
      <c r="J1628" s="20" t="s">
        <v>6</v>
      </c>
      <c r="K1628" s="20" t="s">
        <v>137</v>
      </c>
      <c r="L1628" s="20" t="s">
        <v>137</v>
      </c>
      <c r="M1628" t="s">
        <v>1537</v>
      </c>
      <c r="Q1628" s="24" t="s">
        <v>680</v>
      </c>
    </row>
    <row r="1629" spans="1:17" hidden="1" x14ac:dyDescent="0.3">
      <c r="A1629" s="20">
        <f t="shared" si="25"/>
        <v>1628</v>
      </c>
      <c r="B1629" s="21" t="s">
        <v>87</v>
      </c>
      <c r="C1629" s="21" t="s">
        <v>86</v>
      </c>
      <c r="D1629" s="22" t="str">
        <f>IF($C1629="","",IFERROR(VLOOKUP($C1629,Map_Register!$A$2:$C$5,3,FALSE()),""))</f>
        <v>Border Region</v>
      </c>
      <c r="E1629" s="21" t="s">
        <v>15</v>
      </c>
      <c r="F1629" s="23">
        <v>108236</v>
      </c>
      <c r="G1629" s="20" t="s">
        <v>1537</v>
      </c>
      <c r="H1629" s="20" t="s">
        <v>2324</v>
      </c>
      <c r="I1629" s="20" t="s">
        <v>678</v>
      </c>
      <c r="J1629" s="20" t="s">
        <v>6</v>
      </c>
      <c r="K1629" s="20" t="s">
        <v>137</v>
      </c>
      <c r="L1629" s="20" t="s">
        <v>137</v>
      </c>
      <c r="M1629" t="s">
        <v>1537</v>
      </c>
      <c r="Q1629" s="24" t="s">
        <v>680</v>
      </c>
    </row>
    <row r="1630" spans="1:17" hidden="1" x14ac:dyDescent="0.3">
      <c r="A1630" s="20">
        <f t="shared" si="25"/>
        <v>1629</v>
      </c>
      <c r="B1630" s="21" t="s">
        <v>87</v>
      </c>
      <c r="C1630" s="21" t="s">
        <v>86</v>
      </c>
      <c r="D1630" s="22" t="str">
        <f>IF($C1630="","",IFERROR(VLOOKUP($C1630,Map_Register!$A$2:$C$5,3,FALSE()),""))</f>
        <v>Border Region</v>
      </c>
      <c r="E1630" s="21" t="s">
        <v>15</v>
      </c>
      <c r="F1630" s="23">
        <v>115290</v>
      </c>
      <c r="G1630" s="20" t="s">
        <v>1537</v>
      </c>
      <c r="H1630" s="20" t="s">
        <v>2324</v>
      </c>
      <c r="I1630" s="20" t="s">
        <v>678</v>
      </c>
      <c r="J1630" s="20" t="s">
        <v>6</v>
      </c>
      <c r="K1630" s="20" t="s">
        <v>137</v>
      </c>
      <c r="L1630" s="20" t="s">
        <v>137</v>
      </c>
      <c r="M1630" s="20" t="s">
        <v>2329</v>
      </c>
      <c r="Q1630" s="24" t="s">
        <v>680</v>
      </c>
    </row>
    <row r="1631" spans="1:17" x14ac:dyDescent="0.3">
      <c r="A1631" s="20">
        <f t="shared" si="25"/>
        <v>1630</v>
      </c>
      <c r="B1631" s="21" t="s">
        <v>87</v>
      </c>
      <c r="C1631" s="21" t="s">
        <v>86</v>
      </c>
      <c r="D1631" s="22" t="str">
        <f>IF($C1631="","",IFERROR(VLOOKUP($C1631,Map_Register!$A$2:$C$5,3,FALSE()),""))</f>
        <v>Border Region</v>
      </c>
      <c r="E1631" s="21" t="s">
        <v>15</v>
      </c>
      <c r="F1631" s="23">
        <v>151947</v>
      </c>
      <c r="G1631" s="20" t="s">
        <v>1537</v>
      </c>
      <c r="H1631" s="20" t="s">
        <v>2330</v>
      </c>
      <c r="I1631" s="20" t="s">
        <v>678</v>
      </c>
      <c r="J1631" s="20" t="s">
        <v>8</v>
      </c>
      <c r="K1631" t="s">
        <v>562</v>
      </c>
      <c r="L1631" t="s">
        <v>108</v>
      </c>
      <c r="M1631" s="20" t="s">
        <v>2331</v>
      </c>
      <c r="N1631" s="20" t="s">
        <v>108</v>
      </c>
      <c r="Q1631" s="24" t="s">
        <v>680</v>
      </c>
    </row>
    <row r="1632" spans="1:17" hidden="1" x14ac:dyDescent="0.3">
      <c r="A1632" s="20">
        <f t="shared" si="25"/>
        <v>1631</v>
      </c>
      <c r="B1632" s="21" t="s">
        <v>87</v>
      </c>
      <c r="C1632" s="21" t="s">
        <v>86</v>
      </c>
      <c r="D1632" s="22" t="str">
        <f>IF($C1632="","",IFERROR(VLOOKUP($C1632,Map_Register!$A$2:$C$5,3,FALSE()),""))</f>
        <v>Border Region</v>
      </c>
      <c r="E1632" s="21" t="s">
        <v>15</v>
      </c>
      <c r="F1632" s="23">
        <v>152210</v>
      </c>
      <c r="G1632" s="20" t="s">
        <v>1537</v>
      </c>
      <c r="H1632" s="20" t="s">
        <v>2332</v>
      </c>
      <c r="I1632" s="20" t="s">
        <v>678</v>
      </c>
      <c r="J1632" s="20" t="s">
        <v>6</v>
      </c>
      <c r="K1632" s="20" t="s">
        <v>137</v>
      </c>
      <c r="L1632" s="20" t="s">
        <v>137</v>
      </c>
      <c r="M1632" s="20" t="s">
        <v>2333</v>
      </c>
      <c r="Q1632" s="24" t="s">
        <v>680</v>
      </c>
    </row>
    <row r="1633" spans="1:17" hidden="1" x14ac:dyDescent="0.3">
      <c r="A1633" s="20">
        <f t="shared" si="25"/>
        <v>1632</v>
      </c>
      <c r="B1633" s="21" t="s">
        <v>87</v>
      </c>
      <c r="C1633" s="21" t="s">
        <v>86</v>
      </c>
      <c r="D1633" s="22" t="str">
        <f>IF($C1633="","",IFERROR(VLOOKUP($C1633,Map_Register!$A$2:$C$5,3,FALSE()),""))</f>
        <v>Border Region</v>
      </c>
      <c r="E1633" s="21" t="s">
        <v>15</v>
      </c>
      <c r="F1633" s="23">
        <v>195955</v>
      </c>
      <c r="G1633" s="20" t="s">
        <v>1560</v>
      </c>
      <c r="H1633" s="20" t="s">
        <v>2328</v>
      </c>
      <c r="I1633" s="20" t="s">
        <v>678</v>
      </c>
      <c r="J1633" s="20" t="s">
        <v>6</v>
      </c>
      <c r="K1633" s="20" t="s">
        <v>137</v>
      </c>
      <c r="L1633" s="20" t="s">
        <v>137</v>
      </c>
      <c r="M1633" t="s">
        <v>1713</v>
      </c>
      <c r="Q1633" s="24" t="s">
        <v>680</v>
      </c>
    </row>
    <row r="1634" spans="1:17" hidden="1" x14ac:dyDescent="0.3">
      <c r="A1634" s="20">
        <f t="shared" si="25"/>
        <v>1633</v>
      </c>
      <c r="B1634" s="21" t="s">
        <v>87</v>
      </c>
      <c r="C1634" s="21" t="s">
        <v>86</v>
      </c>
      <c r="D1634" s="22" t="str">
        <f>IF($C1634="","",IFERROR(VLOOKUP($C1634,Map_Register!$A$2:$C$5,3,FALSE()),""))</f>
        <v>Border Region</v>
      </c>
      <c r="E1634" s="21" t="s">
        <v>15</v>
      </c>
      <c r="F1634" s="23">
        <v>202039</v>
      </c>
      <c r="G1634" s="20" t="s">
        <v>1537</v>
      </c>
      <c r="H1634" s="20" t="s">
        <v>2334</v>
      </c>
      <c r="I1634" s="20" t="s">
        <v>678</v>
      </c>
      <c r="J1634" s="20" t="s">
        <v>220</v>
      </c>
      <c r="K1634" s="20" t="s">
        <v>137</v>
      </c>
      <c r="L1634" s="20" t="s">
        <v>137</v>
      </c>
      <c r="M1634" t="s">
        <v>2335</v>
      </c>
      <c r="P1634" s="20" t="s">
        <v>2280</v>
      </c>
      <c r="Q1634" s="24" t="s">
        <v>680</v>
      </c>
    </row>
    <row r="1635" spans="1:17" hidden="1" x14ac:dyDescent="0.3">
      <c r="A1635" s="20">
        <f t="shared" si="25"/>
        <v>1634</v>
      </c>
      <c r="B1635" s="21" t="s">
        <v>87</v>
      </c>
      <c r="C1635" s="21" t="s">
        <v>86</v>
      </c>
      <c r="D1635" s="22" t="str">
        <f>IF($C1635="","",IFERROR(VLOOKUP($C1635,Map_Register!$A$2:$C$5,3,FALSE()),""))</f>
        <v>Border Region</v>
      </c>
      <c r="E1635" s="21" t="s">
        <v>15</v>
      </c>
      <c r="F1635" s="23">
        <v>206358</v>
      </c>
      <c r="G1635" s="20" t="s">
        <v>1537</v>
      </c>
      <c r="H1635" s="20" t="s">
        <v>2323</v>
      </c>
      <c r="I1635" s="20" t="s">
        <v>678</v>
      </c>
      <c r="J1635" s="20" t="s">
        <v>6</v>
      </c>
      <c r="K1635" s="20" t="s">
        <v>137</v>
      </c>
      <c r="L1635" s="20" t="s">
        <v>137</v>
      </c>
      <c r="M1635" s="20" t="s">
        <v>2336</v>
      </c>
      <c r="Q1635" s="24" t="s">
        <v>680</v>
      </c>
    </row>
    <row r="1636" spans="1:17" hidden="1" x14ac:dyDescent="0.3">
      <c r="A1636" s="20">
        <f t="shared" si="25"/>
        <v>1635</v>
      </c>
      <c r="B1636" s="21" t="s">
        <v>87</v>
      </c>
      <c r="C1636" s="21" t="s">
        <v>86</v>
      </c>
      <c r="D1636" s="22" t="str">
        <f>IF($C1636="","",IFERROR(VLOOKUP($C1636,Map_Register!$A$2:$C$5,3,FALSE()),""))</f>
        <v>Border Region</v>
      </c>
      <c r="E1636" s="21" t="s">
        <v>15</v>
      </c>
      <c r="F1636" s="23">
        <v>208842</v>
      </c>
      <c r="G1636" s="20" t="s">
        <v>1537</v>
      </c>
      <c r="H1636" s="20" t="s">
        <v>2337</v>
      </c>
      <c r="I1636" s="20" t="s">
        <v>678</v>
      </c>
      <c r="J1636" s="20" t="s">
        <v>8</v>
      </c>
      <c r="K1636" t="s">
        <v>107</v>
      </c>
      <c r="L1636" t="s">
        <v>107</v>
      </c>
      <c r="M1636" s="20" t="s">
        <v>2338</v>
      </c>
      <c r="N1636" s="20" t="s">
        <v>108</v>
      </c>
      <c r="Q1636" s="24" t="s">
        <v>680</v>
      </c>
    </row>
    <row r="1637" spans="1:17" hidden="1" x14ac:dyDescent="0.3">
      <c r="A1637" s="20">
        <f t="shared" si="25"/>
        <v>1636</v>
      </c>
      <c r="B1637" s="21" t="s">
        <v>87</v>
      </c>
      <c r="C1637" s="21" t="s">
        <v>86</v>
      </c>
      <c r="D1637" s="22" t="str">
        <f>IF($C1637="","",IFERROR(VLOOKUP($C1637,Map_Register!$A$2:$C$5,3,FALSE()),""))</f>
        <v>Border Region</v>
      </c>
      <c r="E1637" s="21" t="s">
        <v>15</v>
      </c>
      <c r="F1637" s="23">
        <v>209086</v>
      </c>
      <c r="G1637" s="20" t="s">
        <v>1537</v>
      </c>
      <c r="H1637" s="20" t="s">
        <v>2339</v>
      </c>
      <c r="I1637" s="20" t="s">
        <v>678</v>
      </c>
      <c r="J1637" s="20" t="s">
        <v>6</v>
      </c>
      <c r="K1637" s="20" t="s">
        <v>137</v>
      </c>
      <c r="M1637" s="20" t="s">
        <v>2340</v>
      </c>
      <c r="Q1637" s="24" t="s">
        <v>680</v>
      </c>
    </row>
    <row r="1638" spans="1:17" hidden="1" x14ac:dyDescent="0.3">
      <c r="A1638" s="20">
        <f t="shared" si="25"/>
        <v>1637</v>
      </c>
      <c r="B1638" s="21" t="s">
        <v>87</v>
      </c>
      <c r="C1638" s="21" t="s">
        <v>86</v>
      </c>
      <c r="D1638" s="22" t="str">
        <f>IF($C1638="","",IFERROR(VLOOKUP($C1638,Map_Register!$A$2:$C$5,3,FALSE()),""))</f>
        <v>Border Region</v>
      </c>
      <c r="E1638" s="21" t="s">
        <v>15</v>
      </c>
      <c r="F1638" s="23">
        <v>209712</v>
      </c>
      <c r="G1638" s="20" t="s">
        <v>1537</v>
      </c>
      <c r="H1638" s="20" t="s">
        <v>2341</v>
      </c>
      <c r="I1638" s="20" t="s">
        <v>678</v>
      </c>
      <c r="J1638" s="20" t="s">
        <v>6</v>
      </c>
      <c r="K1638" s="20" t="s">
        <v>137</v>
      </c>
      <c r="L1638" s="20" t="s">
        <v>137</v>
      </c>
      <c r="M1638" t="s">
        <v>1537</v>
      </c>
      <c r="Q1638" s="24" t="s">
        <v>680</v>
      </c>
    </row>
    <row r="1639" spans="1:17" hidden="1" x14ac:dyDescent="0.3">
      <c r="A1639" s="20">
        <f t="shared" si="25"/>
        <v>1638</v>
      </c>
      <c r="B1639" s="21" t="s">
        <v>87</v>
      </c>
      <c r="C1639" s="21" t="s">
        <v>86</v>
      </c>
      <c r="D1639" s="22" t="str">
        <f>IF($C1639="","",IFERROR(VLOOKUP($C1639,Map_Register!$A$2:$C$5,3,FALSE()),""))</f>
        <v>Border Region</v>
      </c>
      <c r="E1639" s="21" t="s">
        <v>15</v>
      </c>
      <c r="F1639" s="23">
        <v>210612</v>
      </c>
      <c r="G1639" s="20" t="s">
        <v>1537</v>
      </c>
      <c r="H1639" s="20" t="s">
        <v>2342</v>
      </c>
      <c r="I1639" s="20" t="s">
        <v>678</v>
      </c>
      <c r="J1639" s="20" t="s">
        <v>6</v>
      </c>
      <c r="K1639" s="20" t="s">
        <v>137</v>
      </c>
      <c r="L1639" s="20" t="s">
        <v>137</v>
      </c>
      <c r="M1639" s="20" t="s">
        <v>2343</v>
      </c>
      <c r="Q1639" s="24" t="s">
        <v>680</v>
      </c>
    </row>
    <row r="1640" spans="1:17" hidden="1" x14ac:dyDescent="0.3">
      <c r="A1640" s="20">
        <f t="shared" si="25"/>
        <v>1639</v>
      </c>
      <c r="B1640" s="21" t="s">
        <v>87</v>
      </c>
      <c r="C1640" s="21" t="s">
        <v>86</v>
      </c>
      <c r="D1640" s="22" t="str">
        <f>IF($C1640="","",IFERROR(VLOOKUP($C1640,Map_Register!$A$2:$C$5,3,FALSE()),""))</f>
        <v>Border Region</v>
      </c>
      <c r="E1640" s="21" t="s">
        <v>15</v>
      </c>
      <c r="F1640" s="23">
        <v>211468</v>
      </c>
      <c r="G1640" s="20" t="s">
        <v>1537</v>
      </c>
      <c r="H1640" s="20" t="s">
        <v>2344</v>
      </c>
      <c r="I1640" s="20" t="s">
        <v>678</v>
      </c>
      <c r="J1640" s="20" t="s">
        <v>6</v>
      </c>
      <c r="K1640" s="20" t="s">
        <v>137</v>
      </c>
      <c r="L1640" s="20" t="s">
        <v>137</v>
      </c>
      <c r="M1640" s="20" t="s">
        <v>2345</v>
      </c>
      <c r="Q1640" s="24" t="s">
        <v>680</v>
      </c>
    </row>
    <row r="1641" spans="1:17" hidden="1" x14ac:dyDescent="0.3">
      <c r="A1641" s="20">
        <f t="shared" si="25"/>
        <v>1640</v>
      </c>
      <c r="B1641" s="21" t="s">
        <v>87</v>
      </c>
      <c r="C1641" s="21" t="s">
        <v>86</v>
      </c>
      <c r="D1641" s="22" t="str">
        <f>IF($C1641="","",IFERROR(VLOOKUP($C1641,Map_Register!$A$2:$C$5,3,FALSE()),""))</f>
        <v>Border Region</v>
      </c>
      <c r="E1641" s="21" t="s">
        <v>15</v>
      </c>
      <c r="F1641" s="23">
        <v>212947</v>
      </c>
      <c r="G1641" s="20" t="s">
        <v>1537</v>
      </c>
      <c r="H1641" s="20" t="s">
        <v>2346</v>
      </c>
      <c r="I1641" s="20" t="s">
        <v>678</v>
      </c>
      <c r="J1641" s="20" t="s">
        <v>8</v>
      </c>
      <c r="K1641" t="s">
        <v>107</v>
      </c>
      <c r="L1641" t="s">
        <v>107</v>
      </c>
      <c r="M1641" s="20" t="s">
        <v>2347</v>
      </c>
      <c r="N1641" s="20" t="s">
        <v>108</v>
      </c>
      <c r="Q1641" s="24" t="s">
        <v>680</v>
      </c>
    </row>
    <row r="1642" spans="1:17" hidden="1" x14ac:dyDescent="0.3">
      <c r="A1642" s="20">
        <f t="shared" si="25"/>
        <v>1641</v>
      </c>
      <c r="B1642" s="21" t="s">
        <v>87</v>
      </c>
      <c r="C1642" s="21" t="s">
        <v>86</v>
      </c>
      <c r="D1642" s="22" t="str">
        <f>IF($C1642="","",IFERROR(VLOOKUP($C1642,Map_Register!$A$2:$C$5,3,FALSE()),""))</f>
        <v>Border Region</v>
      </c>
      <c r="E1642" s="21" t="s">
        <v>15</v>
      </c>
      <c r="F1642" s="23">
        <v>219893</v>
      </c>
      <c r="G1642" s="20" t="s">
        <v>1537</v>
      </c>
      <c r="H1642" s="20" t="s">
        <v>2348</v>
      </c>
      <c r="I1642" s="20" t="s">
        <v>678</v>
      </c>
      <c r="J1642" s="20" t="s">
        <v>6</v>
      </c>
      <c r="K1642" s="20" t="s">
        <v>137</v>
      </c>
      <c r="L1642" s="20" t="s">
        <v>137</v>
      </c>
      <c r="M1642" s="20" t="s">
        <v>2303</v>
      </c>
      <c r="Q1642" s="24" t="s">
        <v>680</v>
      </c>
    </row>
    <row r="1643" spans="1:17" hidden="1" x14ac:dyDescent="0.3">
      <c r="A1643" s="20">
        <f t="shared" si="25"/>
        <v>1642</v>
      </c>
      <c r="B1643" s="21" t="s">
        <v>87</v>
      </c>
      <c r="C1643" s="21" t="s">
        <v>86</v>
      </c>
      <c r="D1643" s="22" t="str">
        <f>IF($C1643="","",IFERROR(VLOOKUP($C1643,Map_Register!$A$2:$C$5,3,FALSE()),""))</f>
        <v>Border Region</v>
      </c>
      <c r="E1643" s="21" t="s">
        <v>15</v>
      </c>
      <c r="F1643" s="23">
        <v>221121</v>
      </c>
      <c r="G1643" s="20" t="s">
        <v>1537</v>
      </c>
      <c r="H1643" s="20" t="s">
        <v>2349</v>
      </c>
      <c r="I1643" s="20" t="s">
        <v>678</v>
      </c>
      <c r="J1643" s="20" t="s">
        <v>6</v>
      </c>
      <c r="K1643" s="20" t="s">
        <v>137</v>
      </c>
      <c r="L1643" s="20" t="s">
        <v>137</v>
      </c>
      <c r="M1643" s="20" t="s">
        <v>1846</v>
      </c>
      <c r="Q1643" s="24" t="s">
        <v>680</v>
      </c>
    </row>
    <row r="1644" spans="1:17" hidden="1" x14ac:dyDescent="0.3">
      <c r="A1644" s="20">
        <f t="shared" si="25"/>
        <v>1643</v>
      </c>
      <c r="B1644" s="21" t="s">
        <v>87</v>
      </c>
      <c r="C1644" s="21" t="s">
        <v>86</v>
      </c>
      <c r="D1644" s="22" t="str">
        <f>IF($C1644="","",IFERROR(VLOOKUP($C1644,Map_Register!$A$2:$C$5,3,FALSE()),""))</f>
        <v>Border Region</v>
      </c>
      <c r="E1644" s="21" t="s">
        <v>15</v>
      </c>
      <c r="F1644" s="23">
        <v>224105</v>
      </c>
      <c r="G1644" s="20" t="s">
        <v>1537</v>
      </c>
      <c r="H1644" s="20" t="s">
        <v>2350</v>
      </c>
      <c r="I1644" s="20" t="s">
        <v>678</v>
      </c>
      <c r="J1644" s="20" t="s">
        <v>6</v>
      </c>
      <c r="K1644" s="20" t="s">
        <v>137</v>
      </c>
      <c r="L1644" s="20" t="s">
        <v>137</v>
      </c>
      <c r="M1644" s="20" t="s">
        <v>2351</v>
      </c>
      <c r="Q1644" s="24" t="s">
        <v>680</v>
      </c>
    </row>
    <row r="1645" spans="1:17" hidden="1" x14ac:dyDescent="0.3">
      <c r="A1645" s="20">
        <f t="shared" si="25"/>
        <v>1644</v>
      </c>
      <c r="B1645" s="21" t="s">
        <v>87</v>
      </c>
      <c r="C1645" s="21" t="s">
        <v>86</v>
      </c>
      <c r="D1645" s="22" t="str">
        <f>IF($C1645="","",IFERROR(VLOOKUP($C1645,Map_Register!$A$2:$C$5,3,FALSE()),""))</f>
        <v>Border Region</v>
      </c>
      <c r="E1645" s="21" t="s">
        <v>15</v>
      </c>
      <c r="F1645" s="23">
        <v>227181</v>
      </c>
      <c r="G1645" s="20" t="s">
        <v>1537</v>
      </c>
      <c r="H1645" s="20" t="s">
        <v>2352</v>
      </c>
      <c r="I1645" s="20" t="s">
        <v>678</v>
      </c>
      <c r="J1645" s="20" t="s">
        <v>8</v>
      </c>
      <c r="K1645" t="s">
        <v>107</v>
      </c>
      <c r="L1645" s="20" t="s">
        <v>1964</v>
      </c>
      <c r="M1645" s="20" t="s">
        <v>2307</v>
      </c>
      <c r="N1645" s="20" t="s">
        <v>108</v>
      </c>
      <c r="Q1645" s="24" t="s">
        <v>680</v>
      </c>
    </row>
    <row r="1646" spans="1:17" hidden="1" x14ac:dyDescent="0.3">
      <c r="A1646" s="20">
        <f t="shared" si="25"/>
        <v>1645</v>
      </c>
      <c r="B1646" s="21" t="s">
        <v>87</v>
      </c>
      <c r="C1646" s="21" t="s">
        <v>86</v>
      </c>
      <c r="D1646" s="22" t="str">
        <f>IF($C1646="","",IFERROR(VLOOKUP($C1646,Map_Register!$A$2:$C$5,3,FALSE()),""))</f>
        <v>Border Region</v>
      </c>
      <c r="E1646" s="21" t="s">
        <v>15</v>
      </c>
      <c r="F1646" s="23">
        <v>228228</v>
      </c>
      <c r="G1646" s="20" t="s">
        <v>1560</v>
      </c>
      <c r="H1646" s="20" t="s">
        <v>2323</v>
      </c>
      <c r="I1646" s="20" t="s">
        <v>678</v>
      </c>
      <c r="J1646" s="20" t="s">
        <v>6</v>
      </c>
      <c r="K1646" s="20" t="s">
        <v>137</v>
      </c>
      <c r="L1646" s="20" t="s">
        <v>137</v>
      </c>
      <c r="M1646" s="20" t="s">
        <v>1846</v>
      </c>
      <c r="Q1646" s="24" t="s">
        <v>680</v>
      </c>
    </row>
    <row r="1647" spans="1:17" hidden="1" x14ac:dyDescent="0.3">
      <c r="A1647" s="20">
        <f t="shared" si="25"/>
        <v>1646</v>
      </c>
      <c r="B1647" s="21" t="s">
        <v>87</v>
      </c>
      <c r="C1647" s="21" t="s">
        <v>86</v>
      </c>
      <c r="D1647" s="22" t="str">
        <f>IF($C1647="","",IFERROR(VLOOKUP($C1647,Map_Register!$A$2:$C$5,3,FALSE()),""))</f>
        <v>Border Region</v>
      </c>
      <c r="E1647" s="21" t="s">
        <v>15</v>
      </c>
      <c r="F1647" s="23">
        <v>228574</v>
      </c>
      <c r="G1647" s="20" t="s">
        <v>1537</v>
      </c>
      <c r="H1647" s="20" t="s">
        <v>2353</v>
      </c>
      <c r="I1647" s="20" t="s">
        <v>678</v>
      </c>
      <c r="J1647" s="20" t="s">
        <v>8</v>
      </c>
      <c r="K1647" t="s">
        <v>107</v>
      </c>
      <c r="L1647" s="20" t="s">
        <v>1964</v>
      </c>
      <c r="M1647" s="20" t="s">
        <v>1846</v>
      </c>
      <c r="N1647" s="20" t="s">
        <v>108</v>
      </c>
      <c r="Q1647" s="24" t="s">
        <v>680</v>
      </c>
    </row>
    <row r="1648" spans="1:17" hidden="1" x14ac:dyDescent="0.3">
      <c r="A1648" s="20">
        <f t="shared" si="25"/>
        <v>1647</v>
      </c>
      <c r="B1648" s="21" t="s">
        <v>87</v>
      </c>
      <c r="C1648" s="21" t="s">
        <v>86</v>
      </c>
      <c r="D1648" s="22" t="str">
        <f>IF($C1648="","",IFERROR(VLOOKUP($C1648,Map_Register!$A$2:$C$5,3,FALSE()),""))</f>
        <v>Border Region</v>
      </c>
      <c r="E1648" s="21" t="s">
        <v>15</v>
      </c>
      <c r="F1648" s="23">
        <v>228887</v>
      </c>
      <c r="G1648" s="20" t="s">
        <v>1537</v>
      </c>
      <c r="H1648" s="20" t="s">
        <v>2354</v>
      </c>
      <c r="I1648" s="20" t="s">
        <v>678</v>
      </c>
      <c r="J1648" s="20" t="s">
        <v>6</v>
      </c>
      <c r="K1648" s="20" t="s">
        <v>137</v>
      </c>
      <c r="L1648" s="20" t="s">
        <v>137</v>
      </c>
      <c r="M1648" s="20" t="s">
        <v>2355</v>
      </c>
      <c r="Q1648" s="24" t="s">
        <v>680</v>
      </c>
    </row>
    <row r="1649" spans="1:17" hidden="1" x14ac:dyDescent="0.3">
      <c r="A1649" s="20">
        <f t="shared" si="25"/>
        <v>1648</v>
      </c>
      <c r="B1649" s="21" t="s">
        <v>87</v>
      </c>
      <c r="C1649" s="21" t="s">
        <v>86</v>
      </c>
      <c r="D1649" s="22" t="str">
        <f>IF($C1649="","",IFERROR(VLOOKUP($C1649,Map_Register!$A$2:$C$5,3,FALSE()),""))</f>
        <v>Border Region</v>
      </c>
      <c r="E1649" s="21" t="s">
        <v>15</v>
      </c>
      <c r="F1649" s="23">
        <v>229508</v>
      </c>
      <c r="G1649" s="20" t="s">
        <v>1537</v>
      </c>
      <c r="H1649" s="20" t="s">
        <v>2356</v>
      </c>
      <c r="I1649" s="20" t="s">
        <v>678</v>
      </c>
      <c r="J1649" s="20" t="s">
        <v>6</v>
      </c>
      <c r="K1649" s="20" t="s">
        <v>137</v>
      </c>
      <c r="L1649" s="20" t="s">
        <v>137</v>
      </c>
      <c r="M1649" s="20" t="s">
        <v>2357</v>
      </c>
      <c r="Q1649" s="24" t="s">
        <v>680</v>
      </c>
    </row>
    <row r="1650" spans="1:17" hidden="1" x14ac:dyDescent="0.3">
      <c r="A1650" s="20">
        <f t="shared" si="25"/>
        <v>1649</v>
      </c>
      <c r="B1650" s="21" t="s">
        <v>87</v>
      </c>
      <c r="C1650" s="21" t="s">
        <v>86</v>
      </c>
      <c r="D1650" s="22" t="str">
        <f>IF($C1650="","",IFERROR(VLOOKUP($C1650,Map_Register!$A$2:$C$5,3,FALSE()),""))</f>
        <v>Border Region</v>
      </c>
      <c r="E1650" s="21" t="s">
        <v>15</v>
      </c>
      <c r="F1650" s="23">
        <v>229531</v>
      </c>
      <c r="G1650" s="20" t="s">
        <v>1537</v>
      </c>
      <c r="H1650" s="20" t="s">
        <v>2358</v>
      </c>
      <c r="I1650" s="20" t="s">
        <v>678</v>
      </c>
      <c r="J1650" t="s">
        <v>2359</v>
      </c>
      <c r="K1650" s="20" t="s">
        <v>137</v>
      </c>
      <c r="L1650" s="20" t="s">
        <v>137</v>
      </c>
      <c r="M1650" s="20" t="s">
        <v>1846</v>
      </c>
      <c r="Q1650" s="24" t="s">
        <v>680</v>
      </c>
    </row>
    <row r="1651" spans="1:17" hidden="1" x14ac:dyDescent="0.3">
      <c r="A1651" s="20">
        <f t="shared" si="25"/>
        <v>1650</v>
      </c>
      <c r="B1651" s="21" t="s">
        <v>87</v>
      </c>
      <c r="C1651" s="21" t="s">
        <v>86</v>
      </c>
      <c r="D1651" s="22" t="str">
        <f>IF($C1651="","",IFERROR(VLOOKUP($C1651,Map_Register!$A$2:$C$5,3,FALSE()),""))</f>
        <v>Border Region</v>
      </c>
      <c r="E1651" s="21" t="s">
        <v>15</v>
      </c>
      <c r="F1651" s="23">
        <v>229535</v>
      </c>
      <c r="G1651" s="20" t="s">
        <v>1537</v>
      </c>
      <c r="H1651" s="20" t="s">
        <v>2360</v>
      </c>
      <c r="I1651" s="20" t="s">
        <v>678</v>
      </c>
      <c r="J1651" s="20" t="s">
        <v>6</v>
      </c>
      <c r="K1651" s="20" t="s">
        <v>137</v>
      </c>
      <c r="L1651" s="20" t="s">
        <v>137</v>
      </c>
      <c r="M1651" s="20" t="s">
        <v>2361</v>
      </c>
      <c r="Q1651" s="24" t="s">
        <v>680</v>
      </c>
    </row>
    <row r="1652" spans="1:17" hidden="1" x14ac:dyDescent="0.3">
      <c r="A1652" s="20">
        <f t="shared" si="25"/>
        <v>1651</v>
      </c>
      <c r="B1652" s="21" t="s">
        <v>87</v>
      </c>
      <c r="C1652" s="21" t="s">
        <v>86</v>
      </c>
      <c r="D1652" s="22" t="str">
        <f>IF($C1652="","",IFERROR(VLOOKUP($C1652,Map_Register!$A$2:$C$5,3,FALSE()),""))</f>
        <v>Border Region</v>
      </c>
      <c r="E1652" s="21" t="s">
        <v>15</v>
      </c>
      <c r="F1652" s="23">
        <v>229542</v>
      </c>
      <c r="G1652" s="20" t="s">
        <v>1537</v>
      </c>
      <c r="H1652" s="20" t="s">
        <v>2362</v>
      </c>
      <c r="I1652" s="20" t="s">
        <v>678</v>
      </c>
      <c r="J1652" s="20" t="s">
        <v>8</v>
      </c>
      <c r="K1652" t="s">
        <v>107</v>
      </c>
      <c r="L1652" t="s">
        <v>107</v>
      </c>
      <c r="M1652" s="20" t="s">
        <v>2363</v>
      </c>
      <c r="N1652" s="20" t="s">
        <v>108</v>
      </c>
      <c r="Q1652" s="24" t="s">
        <v>680</v>
      </c>
    </row>
    <row r="1653" spans="1:17" hidden="1" x14ac:dyDescent="0.3">
      <c r="A1653" s="20">
        <f t="shared" si="25"/>
        <v>1652</v>
      </c>
      <c r="B1653" s="21" t="s">
        <v>87</v>
      </c>
      <c r="C1653" s="21" t="s">
        <v>86</v>
      </c>
      <c r="D1653" s="22" t="str">
        <f>IF($C1653="","",IFERROR(VLOOKUP($C1653,Map_Register!$A$2:$C$5,3,FALSE()),""))</f>
        <v>Border Region</v>
      </c>
      <c r="E1653" s="21" t="s">
        <v>15</v>
      </c>
      <c r="F1653" s="23">
        <v>229554</v>
      </c>
      <c r="G1653" s="20" t="s">
        <v>1537</v>
      </c>
      <c r="H1653" s="20" t="s">
        <v>2364</v>
      </c>
      <c r="I1653" s="20" t="s">
        <v>678</v>
      </c>
      <c r="J1653" s="20" t="s">
        <v>6</v>
      </c>
      <c r="K1653" s="20" t="s">
        <v>137</v>
      </c>
      <c r="L1653" s="20" t="s">
        <v>137</v>
      </c>
      <c r="M1653" t="s">
        <v>1537</v>
      </c>
      <c r="Q1653" s="24" t="s">
        <v>680</v>
      </c>
    </row>
    <row r="1654" spans="1:17" x14ac:dyDescent="0.3">
      <c r="A1654" s="20">
        <f t="shared" si="25"/>
        <v>1653</v>
      </c>
      <c r="B1654" s="21" t="s">
        <v>87</v>
      </c>
      <c r="C1654" s="21" t="s">
        <v>86</v>
      </c>
      <c r="D1654" s="22" t="str">
        <f>IF($C1654="","",IFERROR(VLOOKUP($C1654,Map_Register!$A$2:$C$5,3,FALSE()),""))</f>
        <v>Border Region</v>
      </c>
      <c r="E1654" s="21" t="s">
        <v>15</v>
      </c>
      <c r="F1654" s="23">
        <v>229575</v>
      </c>
      <c r="G1654" s="20" t="s">
        <v>1537</v>
      </c>
      <c r="H1654" s="20" t="s">
        <v>2365</v>
      </c>
      <c r="I1654" s="20" t="s">
        <v>678</v>
      </c>
      <c r="J1654" s="20" t="s">
        <v>8</v>
      </c>
      <c r="K1654" t="s">
        <v>107</v>
      </c>
      <c r="L1654" t="s">
        <v>108</v>
      </c>
      <c r="M1654" s="20" t="s">
        <v>2331</v>
      </c>
      <c r="N1654" s="20" t="s">
        <v>108</v>
      </c>
      <c r="Q1654" s="24" t="s">
        <v>680</v>
      </c>
    </row>
    <row r="1655" spans="1:17" hidden="1" x14ac:dyDescent="0.3">
      <c r="A1655" s="20">
        <f t="shared" si="25"/>
        <v>1654</v>
      </c>
      <c r="B1655" s="21" t="s">
        <v>87</v>
      </c>
      <c r="C1655" s="21" t="s">
        <v>86</v>
      </c>
      <c r="D1655" s="22" t="str">
        <f>IF($C1655="","",IFERROR(VLOOKUP($C1655,Map_Register!$A$2:$C$5,3,FALSE()),""))</f>
        <v>Border Region</v>
      </c>
      <c r="E1655" s="21" t="s">
        <v>15</v>
      </c>
      <c r="F1655" s="23">
        <v>229597</v>
      </c>
      <c r="G1655" s="20" t="s">
        <v>1537</v>
      </c>
      <c r="H1655" s="20" t="s">
        <v>2366</v>
      </c>
      <c r="I1655" s="20" t="s">
        <v>678</v>
      </c>
      <c r="J1655" s="20" t="s">
        <v>6</v>
      </c>
      <c r="K1655" s="20" t="s">
        <v>137</v>
      </c>
      <c r="L1655" s="20" t="s">
        <v>137</v>
      </c>
      <c r="M1655" t="s">
        <v>1537</v>
      </c>
      <c r="Q1655" s="24" t="s">
        <v>680</v>
      </c>
    </row>
    <row r="1656" spans="1:17" hidden="1" x14ac:dyDescent="0.3">
      <c r="A1656" s="20">
        <f t="shared" si="25"/>
        <v>1655</v>
      </c>
      <c r="B1656" s="21" t="s">
        <v>87</v>
      </c>
      <c r="C1656" s="21" t="s">
        <v>86</v>
      </c>
      <c r="D1656" s="22" t="str">
        <f>IF($C1656="","",IFERROR(VLOOKUP($C1656,Map_Register!$A$2:$C$5,3,FALSE()),""))</f>
        <v>Border Region</v>
      </c>
      <c r="E1656" s="21" t="s">
        <v>15</v>
      </c>
      <c r="F1656" s="23">
        <v>229618</v>
      </c>
      <c r="G1656" s="20" t="s">
        <v>1537</v>
      </c>
      <c r="H1656" s="20" t="s">
        <v>2367</v>
      </c>
      <c r="I1656" s="20" t="s">
        <v>678</v>
      </c>
      <c r="J1656" s="20" t="s">
        <v>6</v>
      </c>
      <c r="K1656" s="20" t="s">
        <v>137</v>
      </c>
      <c r="L1656" s="20" t="s">
        <v>137</v>
      </c>
      <c r="M1656" t="s">
        <v>1537</v>
      </c>
      <c r="Q1656" s="24" t="s">
        <v>680</v>
      </c>
    </row>
    <row r="1657" spans="1:17" hidden="1" x14ac:dyDescent="0.3">
      <c r="A1657" s="20">
        <f t="shared" si="25"/>
        <v>1656</v>
      </c>
      <c r="B1657" s="21" t="s">
        <v>87</v>
      </c>
      <c r="C1657" s="21" t="s">
        <v>86</v>
      </c>
      <c r="D1657" s="22" t="str">
        <f>IF($C1657="","",IFERROR(VLOOKUP($C1657,Map_Register!$A$2:$C$5,3,FALSE()),""))</f>
        <v>Border Region</v>
      </c>
      <c r="E1657" s="21" t="s">
        <v>15</v>
      </c>
      <c r="F1657" s="23">
        <v>229626</v>
      </c>
      <c r="G1657" s="20" t="s">
        <v>1537</v>
      </c>
      <c r="H1657" s="20" t="s">
        <v>2368</v>
      </c>
      <c r="I1657" s="20" t="s">
        <v>678</v>
      </c>
      <c r="J1657" s="20" t="s">
        <v>6</v>
      </c>
      <c r="K1657" s="20" t="s">
        <v>137</v>
      </c>
      <c r="L1657" s="20" t="s">
        <v>137</v>
      </c>
      <c r="M1657" s="20" t="s">
        <v>2369</v>
      </c>
      <c r="Q1657" s="24" t="s">
        <v>680</v>
      </c>
    </row>
    <row r="1658" spans="1:17" hidden="1" x14ac:dyDescent="0.3">
      <c r="A1658" s="20">
        <f t="shared" si="25"/>
        <v>1657</v>
      </c>
      <c r="B1658" s="21" t="s">
        <v>87</v>
      </c>
      <c r="C1658" s="21" t="s">
        <v>86</v>
      </c>
      <c r="D1658" s="22" t="str">
        <f>IF($C1658="","",IFERROR(VLOOKUP($C1658,Map_Register!$A$2:$C$5,3,FALSE()),""))</f>
        <v>Border Region</v>
      </c>
      <c r="E1658" s="21" t="s">
        <v>15</v>
      </c>
      <c r="F1658" s="23">
        <v>229653</v>
      </c>
      <c r="G1658" s="20" t="s">
        <v>1537</v>
      </c>
      <c r="H1658" s="20" t="s">
        <v>2370</v>
      </c>
      <c r="I1658" s="20" t="s">
        <v>678</v>
      </c>
      <c r="J1658" s="20" t="s">
        <v>6</v>
      </c>
      <c r="K1658" s="20" t="s">
        <v>137</v>
      </c>
      <c r="L1658" s="20" t="s">
        <v>137</v>
      </c>
      <c r="M1658" s="20" t="s">
        <v>1846</v>
      </c>
      <c r="Q1658" s="24" t="s">
        <v>680</v>
      </c>
    </row>
    <row r="1659" spans="1:17" x14ac:dyDescent="0.3">
      <c r="A1659" s="20">
        <f t="shared" si="25"/>
        <v>1658</v>
      </c>
      <c r="B1659" s="21" t="s">
        <v>87</v>
      </c>
      <c r="C1659" s="21" t="s">
        <v>86</v>
      </c>
      <c r="D1659" s="22" t="str">
        <f>IF($C1659="","",IFERROR(VLOOKUP($C1659,Map_Register!$A$2:$C$5,3,FALSE()),""))</f>
        <v>Border Region</v>
      </c>
      <c r="E1659" s="21" t="s">
        <v>15</v>
      </c>
      <c r="F1659" s="23">
        <v>229655</v>
      </c>
      <c r="G1659" s="20" t="s">
        <v>1537</v>
      </c>
      <c r="H1659" s="20" t="s">
        <v>2371</v>
      </c>
      <c r="I1659" s="20" t="s">
        <v>678</v>
      </c>
      <c r="J1659" s="20" t="s">
        <v>8</v>
      </c>
      <c r="K1659" t="s">
        <v>107</v>
      </c>
      <c r="L1659" t="s">
        <v>108</v>
      </c>
      <c r="M1659" s="20" t="s">
        <v>2372</v>
      </c>
      <c r="N1659" s="20" t="s">
        <v>108</v>
      </c>
      <c r="Q1659" s="24" t="s">
        <v>680</v>
      </c>
    </row>
    <row r="1660" spans="1:17" hidden="1" x14ac:dyDescent="0.3">
      <c r="A1660" s="20">
        <f t="shared" si="25"/>
        <v>1659</v>
      </c>
      <c r="B1660" s="21" t="s">
        <v>87</v>
      </c>
      <c r="C1660" s="21" t="s">
        <v>86</v>
      </c>
      <c r="D1660" s="22" t="str">
        <f>IF($C1660="","",IFERROR(VLOOKUP($C1660,Map_Register!$A$2:$C$5,3,FALSE()),""))</f>
        <v>Border Region</v>
      </c>
      <c r="E1660" s="21" t="s">
        <v>15</v>
      </c>
      <c r="F1660" s="23">
        <v>229683</v>
      </c>
      <c r="G1660" s="20" t="s">
        <v>1537</v>
      </c>
      <c r="H1660" s="20" t="s">
        <v>2373</v>
      </c>
      <c r="I1660" s="20" t="s">
        <v>678</v>
      </c>
      <c r="J1660" s="20" t="s">
        <v>6</v>
      </c>
      <c r="K1660" s="20" t="s">
        <v>137</v>
      </c>
      <c r="L1660" s="20" t="s">
        <v>137</v>
      </c>
      <c r="M1660" s="20" t="s">
        <v>1846</v>
      </c>
      <c r="Q1660" s="24" t="s">
        <v>680</v>
      </c>
    </row>
    <row r="1661" spans="1:17" hidden="1" x14ac:dyDescent="0.3">
      <c r="A1661" s="20">
        <f t="shared" si="25"/>
        <v>1660</v>
      </c>
      <c r="B1661" s="21" t="s">
        <v>87</v>
      </c>
      <c r="C1661" s="21" t="s">
        <v>86</v>
      </c>
      <c r="D1661" s="22" t="str">
        <f>IF($C1661="","",IFERROR(VLOOKUP($C1661,Map_Register!$A$2:$C$5,3,FALSE()),""))</f>
        <v>Border Region</v>
      </c>
      <c r="E1661" s="21" t="s">
        <v>15</v>
      </c>
      <c r="F1661" s="23">
        <v>229696</v>
      </c>
      <c r="G1661" s="20" t="s">
        <v>1537</v>
      </c>
      <c r="H1661" s="20" t="s">
        <v>2374</v>
      </c>
      <c r="I1661" s="20" t="s">
        <v>678</v>
      </c>
      <c r="J1661" s="20" t="s">
        <v>8</v>
      </c>
      <c r="K1661" t="s">
        <v>107</v>
      </c>
      <c r="L1661" s="20" t="s">
        <v>1964</v>
      </c>
      <c r="M1661" s="20" t="s">
        <v>2375</v>
      </c>
      <c r="N1661" s="20" t="s">
        <v>108</v>
      </c>
      <c r="Q1661" s="24" t="s">
        <v>680</v>
      </c>
    </row>
    <row r="1662" spans="1:17" hidden="1" x14ac:dyDescent="0.3">
      <c r="A1662" s="20">
        <f t="shared" si="25"/>
        <v>1661</v>
      </c>
      <c r="B1662" s="21" t="s">
        <v>87</v>
      </c>
      <c r="C1662" s="21" t="s">
        <v>86</v>
      </c>
      <c r="D1662" s="22" t="str">
        <f>IF($C1662="","",IFERROR(VLOOKUP($C1662,Map_Register!$A$2:$C$5,3,FALSE()),""))</f>
        <v>Border Region</v>
      </c>
      <c r="E1662" s="21" t="s">
        <v>15</v>
      </c>
      <c r="F1662" s="23">
        <v>229701</v>
      </c>
      <c r="G1662" s="20" t="s">
        <v>1537</v>
      </c>
      <c r="H1662" s="20" t="s">
        <v>2376</v>
      </c>
      <c r="I1662" s="20" t="s">
        <v>678</v>
      </c>
      <c r="J1662" s="20" t="s">
        <v>6</v>
      </c>
      <c r="K1662" s="20" t="s">
        <v>137</v>
      </c>
      <c r="L1662" s="20" t="s">
        <v>137</v>
      </c>
      <c r="M1662" t="s">
        <v>1537</v>
      </c>
      <c r="Q1662" s="24" t="s">
        <v>680</v>
      </c>
    </row>
    <row r="1663" spans="1:17" x14ac:dyDescent="0.3">
      <c r="A1663" s="20">
        <f t="shared" si="25"/>
        <v>1662</v>
      </c>
      <c r="B1663" s="21" t="s">
        <v>87</v>
      </c>
      <c r="C1663" s="21" t="s">
        <v>86</v>
      </c>
      <c r="D1663" s="22" t="str">
        <f>IF($C1663="","",IFERROR(VLOOKUP($C1663,Map_Register!$A$2:$C$5,3,FALSE()),""))</f>
        <v>Border Region</v>
      </c>
      <c r="E1663" s="21" t="s">
        <v>15</v>
      </c>
      <c r="F1663" s="23">
        <v>229715</v>
      </c>
      <c r="G1663" s="20" t="s">
        <v>1537</v>
      </c>
      <c r="H1663" s="20" t="s">
        <v>2377</v>
      </c>
      <c r="I1663" s="20" t="s">
        <v>678</v>
      </c>
      <c r="J1663" s="20" t="s">
        <v>8</v>
      </c>
      <c r="K1663" t="s">
        <v>107</v>
      </c>
      <c r="L1663" t="s">
        <v>108</v>
      </c>
      <c r="M1663" s="20" t="s">
        <v>2331</v>
      </c>
      <c r="N1663" s="20" t="s">
        <v>108</v>
      </c>
      <c r="Q1663" s="24" t="s">
        <v>680</v>
      </c>
    </row>
    <row r="1664" spans="1:17" hidden="1" x14ac:dyDescent="0.3">
      <c r="A1664" s="20">
        <f t="shared" si="25"/>
        <v>1663</v>
      </c>
      <c r="B1664" s="21" t="s">
        <v>87</v>
      </c>
      <c r="C1664" s="21" t="s">
        <v>86</v>
      </c>
      <c r="D1664" s="22" t="str">
        <f>IF($C1664="","",IFERROR(VLOOKUP($C1664,Map_Register!$A$2:$C$5,3,FALSE()),""))</f>
        <v>Border Region</v>
      </c>
      <c r="E1664" s="21" t="s">
        <v>15</v>
      </c>
      <c r="F1664" s="23">
        <v>229734</v>
      </c>
      <c r="G1664" s="20" t="s">
        <v>1537</v>
      </c>
      <c r="H1664" s="20" t="s">
        <v>1936</v>
      </c>
      <c r="I1664" s="20" t="s">
        <v>678</v>
      </c>
      <c r="J1664" s="20" t="s">
        <v>6</v>
      </c>
      <c r="K1664" s="20" t="s">
        <v>137</v>
      </c>
      <c r="L1664" s="20" t="s">
        <v>137</v>
      </c>
      <c r="M1664" t="s">
        <v>1537</v>
      </c>
      <c r="Q1664" s="24" t="s">
        <v>680</v>
      </c>
    </row>
    <row r="1665" spans="1:17" hidden="1" x14ac:dyDescent="0.3">
      <c r="A1665" s="20">
        <f t="shared" si="25"/>
        <v>1664</v>
      </c>
      <c r="B1665" s="21" t="s">
        <v>87</v>
      </c>
      <c r="C1665" s="21" t="s">
        <v>86</v>
      </c>
      <c r="D1665" s="22" t="str">
        <f>IF($C1665="","",IFERROR(VLOOKUP($C1665,Map_Register!$A$2:$C$5,3,FALSE()),""))</f>
        <v>Border Region</v>
      </c>
      <c r="E1665" s="21" t="s">
        <v>15</v>
      </c>
      <c r="F1665" s="23">
        <v>229741</v>
      </c>
      <c r="G1665" s="20" t="s">
        <v>1537</v>
      </c>
      <c r="H1665" s="20" t="s">
        <v>2378</v>
      </c>
      <c r="I1665" s="20" t="s">
        <v>678</v>
      </c>
      <c r="J1665" s="20" t="s">
        <v>6</v>
      </c>
      <c r="K1665" s="20" t="s">
        <v>137</v>
      </c>
      <c r="L1665" s="20" t="s">
        <v>137</v>
      </c>
      <c r="M1665" t="s">
        <v>1537</v>
      </c>
      <c r="Q1665" s="24" t="s">
        <v>680</v>
      </c>
    </row>
    <row r="1666" spans="1:17" hidden="1" x14ac:dyDescent="0.3">
      <c r="A1666" s="20">
        <f t="shared" ref="A1666:A1729" si="26">IF($B1666="","",ROW()-1)</f>
        <v>1665</v>
      </c>
      <c r="B1666" s="21" t="s">
        <v>87</v>
      </c>
      <c r="C1666" s="21" t="s">
        <v>86</v>
      </c>
      <c r="D1666" s="22" t="str">
        <f>IF($C1666="","",IFERROR(VLOOKUP($C1666,Map_Register!$A$2:$C$5,3,FALSE()),""))</f>
        <v>Border Region</v>
      </c>
      <c r="E1666" s="21" t="s">
        <v>15</v>
      </c>
      <c r="F1666" s="23">
        <v>229748</v>
      </c>
      <c r="G1666" s="20" t="s">
        <v>1537</v>
      </c>
      <c r="H1666" s="20" t="s">
        <v>2379</v>
      </c>
      <c r="I1666" s="20" t="s">
        <v>678</v>
      </c>
      <c r="J1666" s="20" t="s">
        <v>6</v>
      </c>
      <c r="K1666" s="20" t="s">
        <v>137</v>
      </c>
      <c r="L1666" s="20" t="s">
        <v>137</v>
      </c>
      <c r="M1666" t="s">
        <v>1537</v>
      </c>
      <c r="Q1666" s="24" t="s">
        <v>680</v>
      </c>
    </row>
    <row r="1667" spans="1:17" hidden="1" x14ac:dyDescent="0.3">
      <c r="A1667" s="20">
        <f t="shared" si="26"/>
        <v>1666</v>
      </c>
      <c r="B1667" s="21" t="s">
        <v>87</v>
      </c>
      <c r="C1667" s="21" t="s">
        <v>86</v>
      </c>
      <c r="D1667" s="22" t="str">
        <f>IF($C1667="","",IFERROR(VLOOKUP($C1667,Map_Register!$A$2:$C$5,3,FALSE()),""))</f>
        <v>Border Region</v>
      </c>
      <c r="E1667" s="21" t="s">
        <v>15</v>
      </c>
      <c r="F1667" s="23">
        <v>229757</v>
      </c>
      <c r="G1667" s="20" t="s">
        <v>1537</v>
      </c>
      <c r="H1667" s="20" t="s">
        <v>2380</v>
      </c>
      <c r="I1667" s="20" t="s">
        <v>678</v>
      </c>
      <c r="J1667" s="20" t="s">
        <v>6</v>
      </c>
      <c r="K1667" s="20" t="s">
        <v>137</v>
      </c>
      <c r="L1667" s="20" t="s">
        <v>137</v>
      </c>
      <c r="M1667" t="s">
        <v>1537</v>
      </c>
      <c r="Q1667" s="24" t="s">
        <v>680</v>
      </c>
    </row>
    <row r="1668" spans="1:17" x14ac:dyDescent="0.3">
      <c r="A1668" s="20">
        <f t="shared" si="26"/>
        <v>1667</v>
      </c>
      <c r="B1668" s="21" t="s">
        <v>87</v>
      </c>
      <c r="C1668" s="21" t="s">
        <v>86</v>
      </c>
      <c r="D1668" s="22" t="str">
        <f>IF($C1668="","",IFERROR(VLOOKUP($C1668,Map_Register!$A$2:$C$5,3,FALSE()),""))</f>
        <v>Border Region</v>
      </c>
      <c r="E1668" s="21" t="s">
        <v>15</v>
      </c>
      <c r="F1668" s="23">
        <v>229765</v>
      </c>
      <c r="G1668" s="20" t="s">
        <v>1537</v>
      </c>
      <c r="H1668" s="20" t="s">
        <v>2381</v>
      </c>
      <c r="I1668" s="20" t="s">
        <v>678</v>
      </c>
      <c r="J1668" s="20" t="s">
        <v>8</v>
      </c>
      <c r="K1668" t="s">
        <v>562</v>
      </c>
      <c r="L1668" t="s">
        <v>108</v>
      </c>
      <c r="M1668" s="20" t="s">
        <v>2382</v>
      </c>
      <c r="N1668" s="20" t="s">
        <v>108</v>
      </c>
      <c r="Q1668" s="24" t="s">
        <v>680</v>
      </c>
    </row>
    <row r="1669" spans="1:17" hidden="1" x14ac:dyDescent="0.3">
      <c r="A1669" s="20">
        <f t="shared" si="26"/>
        <v>1668</v>
      </c>
      <c r="B1669" s="21" t="s">
        <v>87</v>
      </c>
      <c r="C1669" s="21" t="s">
        <v>86</v>
      </c>
      <c r="D1669" s="22" t="str">
        <f>IF($C1669="","",IFERROR(VLOOKUP($C1669,Map_Register!$A$2:$C$5,3,FALSE()),""))</f>
        <v>Border Region</v>
      </c>
      <c r="E1669" s="21" t="s">
        <v>15</v>
      </c>
      <c r="F1669" s="23">
        <v>229778</v>
      </c>
      <c r="G1669" s="20" t="s">
        <v>1537</v>
      </c>
      <c r="H1669" s="20" t="s">
        <v>2383</v>
      </c>
      <c r="I1669" s="20" t="s">
        <v>678</v>
      </c>
      <c r="J1669" s="20" t="s">
        <v>6</v>
      </c>
      <c r="K1669" s="20" t="s">
        <v>137</v>
      </c>
      <c r="L1669" s="20" t="s">
        <v>137</v>
      </c>
      <c r="M1669" t="s">
        <v>1537</v>
      </c>
      <c r="Q1669" s="24" t="s">
        <v>680</v>
      </c>
    </row>
    <row r="1670" spans="1:17" x14ac:dyDescent="0.3">
      <c r="A1670" s="20">
        <f t="shared" si="26"/>
        <v>1669</v>
      </c>
      <c r="B1670" s="21" t="s">
        <v>87</v>
      </c>
      <c r="C1670" s="21" t="s">
        <v>86</v>
      </c>
      <c r="D1670" s="22" t="str">
        <f>IF($C1670="","",IFERROR(VLOOKUP($C1670,Map_Register!$A$2:$C$5,3,FALSE()),""))</f>
        <v>Border Region</v>
      </c>
      <c r="E1670" s="21" t="s">
        <v>15</v>
      </c>
      <c r="F1670" s="23">
        <v>229820</v>
      </c>
      <c r="G1670" s="20" t="s">
        <v>1537</v>
      </c>
      <c r="H1670" s="20" t="s">
        <v>1946</v>
      </c>
      <c r="I1670" s="20" t="s">
        <v>678</v>
      </c>
      <c r="J1670" s="20" t="s">
        <v>8</v>
      </c>
      <c r="K1670" t="s">
        <v>107</v>
      </c>
      <c r="L1670" t="s">
        <v>108</v>
      </c>
      <c r="M1670" s="20" t="s">
        <v>2052</v>
      </c>
      <c r="N1670" s="20" t="s">
        <v>108</v>
      </c>
      <c r="Q1670" s="24" t="s">
        <v>680</v>
      </c>
    </row>
    <row r="1671" spans="1:17" hidden="1" x14ac:dyDescent="0.3">
      <c r="A1671" s="20">
        <f t="shared" si="26"/>
        <v>1670</v>
      </c>
      <c r="B1671" s="21" t="s">
        <v>87</v>
      </c>
      <c r="C1671" s="21" t="s">
        <v>86</v>
      </c>
      <c r="D1671" s="22" t="str">
        <f>IF($C1671="","",IFERROR(VLOOKUP($C1671,Map_Register!$A$2:$C$5,3,FALSE()),""))</f>
        <v>Border Region</v>
      </c>
      <c r="E1671" s="21" t="s">
        <v>15</v>
      </c>
      <c r="F1671" s="23">
        <v>234172</v>
      </c>
      <c r="G1671" s="20" t="s">
        <v>1537</v>
      </c>
      <c r="H1671" s="20" t="s">
        <v>2384</v>
      </c>
      <c r="I1671" s="20" t="s">
        <v>678</v>
      </c>
      <c r="J1671" s="20" t="s">
        <v>6</v>
      </c>
      <c r="K1671" s="20" t="s">
        <v>137</v>
      </c>
      <c r="L1671" s="20" t="s">
        <v>137</v>
      </c>
      <c r="M1671" t="s">
        <v>1537</v>
      </c>
      <c r="Q1671" s="24" t="s">
        <v>680</v>
      </c>
    </row>
    <row r="1672" spans="1:17" hidden="1" x14ac:dyDescent="0.3">
      <c r="A1672" s="20">
        <f t="shared" si="26"/>
        <v>1671</v>
      </c>
      <c r="B1672" s="21" t="s">
        <v>87</v>
      </c>
      <c r="C1672" s="21" t="s">
        <v>86</v>
      </c>
      <c r="D1672" s="22" t="str">
        <f>IF($C1672="","",IFERROR(VLOOKUP($C1672,Map_Register!$A$2:$C$5,3,FALSE()),""))</f>
        <v>Border Region</v>
      </c>
      <c r="E1672" s="21" t="s">
        <v>15</v>
      </c>
      <c r="F1672" s="23">
        <v>241128</v>
      </c>
      <c r="G1672" s="20" t="s">
        <v>1537</v>
      </c>
      <c r="H1672" s="20" t="s">
        <v>2385</v>
      </c>
      <c r="I1672" s="20" t="s">
        <v>678</v>
      </c>
      <c r="J1672" s="20" t="s">
        <v>6</v>
      </c>
      <c r="K1672" s="20" t="s">
        <v>137</v>
      </c>
      <c r="L1672" s="20" t="s">
        <v>137</v>
      </c>
      <c r="M1672" t="s">
        <v>1537</v>
      </c>
      <c r="Q1672" s="24" t="s">
        <v>680</v>
      </c>
    </row>
    <row r="1673" spans="1:17" hidden="1" x14ac:dyDescent="0.3">
      <c r="A1673" s="20">
        <f t="shared" si="26"/>
        <v>1672</v>
      </c>
      <c r="B1673" s="21" t="s">
        <v>87</v>
      </c>
      <c r="C1673" s="21" t="s">
        <v>94</v>
      </c>
      <c r="D1673" s="22" t="str">
        <f>IF($C1673="","",IFERROR(VLOOKUP($C1673,Map_Register!$A$2:$C$5,3,FALSE()),""))</f>
        <v>Military Zone</v>
      </c>
      <c r="E1673" s="21" t="s">
        <v>15</v>
      </c>
      <c r="F1673" s="23">
        <v>16437</v>
      </c>
      <c r="G1673" s="20" t="s">
        <v>1537</v>
      </c>
      <c r="H1673" s="20" t="s">
        <v>2386</v>
      </c>
      <c r="I1673" s="20" t="s">
        <v>678</v>
      </c>
      <c r="J1673" s="20" t="s">
        <v>6</v>
      </c>
      <c r="K1673" s="20" t="s">
        <v>137</v>
      </c>
      <c r="L1673" s="20" t="s">
        <v>137</v>
      </c>
      <c r="M1673" s="20" t="s">
        <v>1713</v>
      </c>
      <c r="Q1673" s="24" t="s">
        <v>680</v>
      </c>
    </row>
    <row r="1674" spans="1:17" hidden="1" x14ac:dyDescent="0.3">
      <c r="A1674" s="20">
        <f t="shared" si="26"/>
        <v>1673</v>
      </c>
      <c r="B1674" s="21" t="s">
        <v>87</v>
      </c>
      <c r="C1674" s="21" t="s">
        <v>94</v>
      </c>
      <c r="D1674" s="22" t="str">
        <f>IF($C1674="","",IFERROR(VLOOKUP($C1674,Map_Register!$A$2:$C$5,3,FALSE()),""))</f>
        <v>Military Zone</v>
      </c>
      <c r="E1674" s="21" t="s">
        <v>15</v>
      </c>
      <c r="F1674" s="23">
        <v>16991</v>
      </c>
      <c r="G1674" s="20" t="s">
        <v>1537</v>
      </c>
      <c r="H1674" s="20" t="s">
        <v>2387</v>
      </c>
      <c r="I1674" s="20" t="s">
        <v>678</v>
      </c>
      <c r="J1674" s="20" t="s">
        <v>6</v>
      </c>
      <c r="K1674" s="20" t="s">
        <v>137</v>
      </c>
      <c r="L1674" s="20" t="s">
        <v>137</v>
      </c>
      <c r="M1674" s="20" t="s">
        <v>1713</v>
      </c>
      <c r="Q1674" s="24" t="s">
        <v>680</v>
      </c>
    </row>
    <row r="1675" spans="1:17" hidden="1" x14ac:dyDescent="0.3">
      <c r="A1675" s="20">
        <f t="shared" si="26"/>
        <v>1674</v>
      </c>
      <c r="B1675" s="21" t="s">
        <v>87</v>
      </c>
      <c r="C1675" s="21" t="s">
        <v>94</v>
      </c>
      <c r="D1675" s="22" t="str">
        <f>IF($C1675="","",IFERROR(VLOOKUP($C1675,Map_Register!$A$2:$C$5,3,FALSE()),""))</f>
        <v>Military Zone</v>
      </c>
      <c r="E1675" s="21" t="s">
        <v>15</v>
      </c>
      <c r="F1675" s="23">
        <v>25828</v>
      </c>
      <c r="G1675" s="20" t="s">
        <v>1537</v>
      </c>
      <c r="H1675" s="20" t="s">
        <v>2388</v>
      </c>
      <c r="I1675" s="20" t="s">
        <v>678</v>
      </c>
      <c r="J1675" s="20" t="s">
        <v>6</v>
      </c>
      <c r="K1675" s="20" t="s">
        <v>137</v>
      </c>
      <c r="L1675" s="20" t="s">
        <v>137</v>
      </c>
      <c r="M1675" s="20" t="s">
        <v>1713</v>
      </c>
      <c r="Q1675" s="24" t="s">
        <v>680</v>
      </c>
    </row>
    <row r="1676" spans="1:17" x14ac:dyDescent="0.3">
      <c r="A1676" s="20">
        <f t="shared" si="26"/>
        <v>1675</v>
      </c>
      <c r="B1676" s="21" t="s">
        <v>87</v>
      </c>
      <c r="C1676" s="21" t="s">
        <v>94</v>
      </c>
      <c r="D1676" s="22" t="str">
        <f>IF($C1676="","",IFERROR(VLOOKUP($C1676,Map_Register!$A$2:$C$5,3,FALSE()),""))</f>
        <v>Military Zone</v>
      </c>
      <c r="E1676" s="21" t="s">
        <v>15</v>
      </c>
      <c r="F1676" s="23">
        <v>28094</v>
      </c>
      <c r="G1676" s="20" t="s">
        <v>1537</v>
      </c>
      <c r="H1676" s="20" t="s">
        <v>2389</v>
      </c>
      <c r="I1676" s="20" t="s">
        <v>678</v>
      </c>
      <c r="J1676" s="20" t="s">
        <v>8</v>
      </c>
      <c r="K1676" t="s">
        <v>107</v>
      </c>
      <c r="L1676" t="s">
        <v>108</v>
      </c>
      <c r="M1676" s="20" t="s">
        <v>2390</v>
      </c>
      <c r="N1676" s="20" t="s">
        <v>108</v>
      </c>
      <c r="Q1676" s="24" t="s">
        <v>680</v>
      </c>
    </row>
    <row r="1677" spans="1:17" hidden="1" x14ac:dyDescent="0.3">
      <c r="A1677" s="20">
        <f t="shared" si="26"/>
        <v>1676</v>
      </c>
      <c r="B1677" s="21" t="s">
        <v>87</v>
      </c>
      <c r="C1677" s="21" t="s">
        <v>94</v>
      </c>
      <c r="D1677" s="22" t="str">
        <f>IF($C1677="","",IFERROR(VLOOKUP($C1677,Map_Register!$A$2:$C$5,3,FALSE()),""))</f>
        <v>Military Zone</v>
      </c>
      <c r="E1677" s="21" t="s">
        <v>15</v>
      </c>
      <c r="F1677" s="23">
        <v>29405</v>
      </c>
      <c r="G1677" s="20" t="s">
        <v>1537</v>
      </c>
      <c r="H1677" s="20" t="s">
        <v>2391</v>
      </c>
      <c r="I1677" s="20" t="s">
        <v>678</v>
      </c>
      <c r="J1677" s="20" t="s">
        <v>6</v>
      </c>
      <c r="K1677" s="20" t="s">
        <v>137</v>
      </c>
      <c r="L1677" s="20" t="s">
        <v>137</v>
      </c>
      <c r="M1677" s="20" t="s">
        <v>1713</v>
      </c>
      <c r="Q1677" s="24" t="s">
        <v>680</v>
      </c>
    </row>
    <row r="1678" spans="1:17" hidden="1" x14ac:dyDescent="0.3">
      <c r="A1678" s="20">
        <f t="shared" si="26"/>
        <v>1677</v>
      </c>
      <c r="B1678" s="21" t="s">
        <v>87</v>
      </c>
      <c r="C1678" s="21" t="s">
        <v>94</v>
      </c>
      <c r="D1678" s="22" t="str">
        <f>IF($C1678="","",IFERROR(VLOOKUP($C1678,Map_Register!$A$2:$C$5,3,FALSE()),""))</f>
        <v>Military Zone</v>
      </c>
      <c r="E1678" s="21" t="s">
        <v>15</v>
      </c>
      <c r="F1678" s="23">
        <v>30365</v>
      </c>
      <c r="G1678" s="20" t="s">
        <v>1537</v>
      </c>
      <c r="H1678" s="20" t="s">
        <v>2392</v>
      </c>
      <c r="I1678" s="20" t="s">
        <v>678</v>
      </c>
      <c r="J1678" s="20" t="s">
        <v>6</v>
      </c>
      <c r="K1678" s="20" t="s">
        <v>137</v>
      </c>
      <c r="L1678" s="20" t="s">
        <v>137</v>
      </c>
      <c r="M1678" s="20" t="s">
        <v>1713</v>
      </c>
      <c r="Q1678" s="24" t="s">
        <v>680</v>
      </c>
    </row>
    <row r="1679" spans="1:17" hidden="1" x14ac:dyDescent="0.3">
      <c r="A1679" s="20">
        <f t="shared" si="26"/>
        <v>1678</v>
      </c>
      <c r="B1679" s="21" t="s">
        <v>87</v>
      </c>
      <c r="C1679" s="21" t="s">
        <v>94</v>
      </c>
      <c r="D1679" s="22" t="str">
        <f>IF($C1679="","",IFERROR(VLOOKUP($C1679,Map_Register!$A$2:$C$5,3,FALSE()),""))</f>
        <v>Military Zone</v>
      </c>
      <c r="E1679" s="21" t="s">
        <v>15</v>
      </c>
      <c r="F1679" s="23">
        <v>35007</v>
      </c>
      <c r="G1679" s="20" t="s">
        <v>1537</v>
      </c>
      <c r="H1679" s="20" t="s">
        <v>2393</v>
      </c>
      <c r="I1679" s="20" t="s">
        <v>678</v>
      </c>
      <c r="J1679" s="20" t="s">
        <v>6</v>
      </c>
      <c r="K1679" s="20" t="s">
        <v>137</v>
      </c>
      <c r="L1679" s="20" t="s">
        <v>137</v>
      </c>
      <c r="M1679" s="20" t="s">
        <v>1713</v>
      </c>
      <c r="Q1679" s="24" t="s">
        <v>680</v>
      </c>
    </row>
    <row r="1680" spans="1:17" hidden="1" x14ac:dyDescent="0.3">
      <c r="A1680" s="20">
        <f t="shared" si="26"/>
        <v>1679</v>
      </c>
      <c r="B1680" s="21" t="s">
        <v>87</v>
      </c>
      <c r="C1680" s="21" t="s">
        <v>94</v>
      </c>
      <c r="D1680" s="22" t="str">
        <f>IF($C1680="","",IFERROR(VLOOKUP($C1680,Map_Register!$A$2:$C$5,3,FALSE()),""))</f>
        <v>Military Zone</v>
      </c>
      <c r="E1680" s="21" t="s">
        <v>15</v>
      </c>
      <c r="F1680" s="23">
        <v>35372</v>
      </c>
      <c r="G1680" s="20" t="s">
        <v>1537</v>
      </c>
      <c r="H1680" s="20" t="s">
        <v>2394</v>
      </c>
      <c r="I1680" s="20" t="s">
        <v>678</v>
      </c>
      <c r="J1680" s="20" t="s">
        <v>6</v>
      </c>
      <c r="K1680" s="20" t="s">
        <v>137</v>
      </c>
      <c r="L1680" s="20" t="s">
        <v>137</v>
      </c>
      <c r="M1680" s="20" t="s">
        <v>1713</v>
      </c>
      <c r="Q1680" s="24" t="s">
        <v>680</v>
      </c>
    </row>
    <row r="1681" spans="1:17" hidden="1" x14ac:dyDescent="0.3">
      <c r="A1681" s="20">
        <f t="shared" si="26"/>
        <v>1680</v>
      </c>
      <c r="B1681" s="21" t="s">
        <v>87</v>
      </c>
      <c r="C1681" s="21" t="s">
        <v>94</v>
      </c>
      <c r="D1681" s="22" t="str">
        <f>IF($C1681="","",IFERROR(VLOOKUP($C1681,Map_Register!$A$2:$C$5,3,FALSE()),""))</f>
        <v>Military Zone</v>
      </c>
      <c r="E1681" s="21" t="s">
        <v>15</v>
      </c>
      <c r="F1681" s="23">
        <v>44722</v>
      </c>
      <c r="G1681" s="20" t="s">
        <v>1537</v>
      </c>
      <c r="H1681" s="20" t="s">
        <v>2395</v>
      </c>
      <c r="I1681" s="20" t="s">
        <v>678</v>
      </c>
      <c r="J1681" s="20" t="s">
        <v>6</v>
      </c>
      <c r="K1681" s="20" t="s">
        <v>137</v>
      </c>
      <c r="L1681" s="20" t="s">
        <v>137</v>
      </c>
      <c r="M1681" s="20" t="s">
        <v>1713</v>
      </c>
      <c r="Q1681" s="24" t="s">
        <v>680</v>
      </c>
    </row>
    <row r="1682" spans="1:17" hidden="1" x14ac:dyDescent="0.3">
      <c r="A1682" s="20">
        <f t="shared" si="26"/>
        <v>1681</v>
      </c>
      <c r="B1682" s="21" t="s">
        <v>87</v>
      </c>
      <c r="C1682" s="21" t="s">
        <v>94</v>
      </c>
      <c r="D1682" s="22" t="str">
        <f>IF($C1682="","",IFERROR(VLOOKUP($C1682,Map_Register!$A$2:$C$5,3,FALSE()),""))</f>
        <v>Military Zone</v>
      </c>
      <c r="E1682" s="21" t="s">
        <v>15</v>
      </c>
      <c r="F1682" s="23">
        <v>45396</v>
      </c>
      <c r="G1682" s="20" t="s">
        <v>1537</v>
      </c>
      <c r="H1682" s="20" t="s">
        <v>2396</v>
      </c>
      <c r="I1682" s="20" t="s">
        <v>678</v>
      </c>
      <c r="J1682" s="20" t="s">
        <v>6</v>
      </c>
      <c r="K1682" s="20" t="s">
        <v>137</v>
      </c>
      <c r="L1682" s="20" t="s">
        <v>137</v>
      </c>
      <c r="M1682" s="20" t="s">
        <v>1713</v>
      </c>
      <c r="Q1682" s="24" t="s">
        <v>680</v>
      </c>
    </row>
    <row r="1683" spans="1:17" hidden="1" x14ac:dyDescent="0.3">
      <c r="A1683" s="20">
        <f t="shared" si="26"/>
        <v>1682</v>
      </c>
      <c r="B1683" s="21" t="s">
        <v>87</v>
      </c>
      <c r="C1683" s="21" t="s">
        <v>94</v>
      </c>
      <c r="D1683" s="22" t="str">
        <f>IF($C1683="","",IFERROR(VLOOKUP($C1683,Map_Register!$A$2:$C$5,3,FALSE()),""))</f>
        <v>Military Zone</v>
      </c>
      <c r="E1683" s="21" t="s">
        <v>15</v>
      </c>
      <c r="F1683" s="23">
        <v>47909</v>
      </c>
      <c r="G1683" s="20" t="s">
        <v>1537</v>
      </c>
      <c r="H1683" s="20" t="s">
        <v>2397</v>
      </c>
      <c r="I1683" s="20" t="s">
        <v>678</v>
      </c>
      <c r="J1683" s="20" t="s">
        <v>6</v>
      </c>
      <c r="K1683" s="20" t="s">
        <v>137</v>
      </c>
      <c r="L1683" s="20" t="s">
        <v>137</v>
      </c>
      <c r="M1683" s="20" t="s">
        <v>1713</v>
      </c>
      <c r="Q1683" s="24" t="s">
        <v>680</v>
      </c>
    </row>
    <row r="1684" spans="1:17" hidden="1" x14ac:dyDescent="0.3">
      <c r="A1684" s="20">
        <f t="shared" si="26"/>
        <v>1683</v>
      </c>
      <c r="B1684" s="21" t="s">
        <v>87</v>
      </c>
      <c r="C1684" s="21" t="s">
        <v>94</v>
      </c>
      <c r="D1684" s="22" t="str">
        <f>IF($C1684="","",IFERROR(VLOOKUP($C1684,Map_Register!$A$2:$C$5,3,FALSE()),""))</f>
        <v>Military Zone</v>
      </c>
      <c r="E1684" s="21" t="s">
        <v>15</v>
      </c>
      <c r="F1684" s="23">
        <v>48355</v>
      </c>
      <c r="G1684" s="20" t="s">
        <v>1537</v>
      </c>
      <c r="H1684" s="20" t="s">
        <v>2398</v>
      </c>
      <c r="I1684" s="20" t="s">
        <v>678</v>
      </c>
      <c r="J1684" s="20" t="s">
        <v>6</v>
      </c>
      <c r="K1684" s="20" t="s">
        <v>137</v>
      </c>
      <c r="L1684" s="20" t="s">
        <v>137</v>
      </c>
      <c r="M1684" s="20" t="s">
        <v>1713</v>
      </c>
      <c r="Q1684" s="24" t="s">
        <v>680</v>
      </c>
    </row>
    <row r="1685" spans="1:17" hidden="1" x14ac:dyDescent="0.3">
      <c r="A1685" s="20">
        <f t="shared" si="26"/>
        <v>1684</v>
      </c>
      <c r="B1685" s="21" t="s">
        <v>87</v>
      </c>
      <c r="C1685" s="21" t="s">
        <v>94</v>
      </c>
      <c r="D1685" s="22" t="str">
        <f>IF($C1685="","",IFERROR(VLOOKUP($C1685,Map_Register!$A$2:$C$5,3,FALSE()),""))</f>
        <v>Military Zone</v>
      </c>
      <c r="E1685" s="21" t="s">
        <v>15</v>
      </c>
      <c r="F1685" s="23">
        <v>48797</v>
      </c>
      <c r="G1685" s="20" t="s">
        <v>1537</v>
      </c>
      <c r="H1685" s="20" t="s">
        <v>2399</v>
      </c>
      <c r="I1685" s="20" t="s">
        <v>678</v>
      </c>
      <c r="J1685" s="20" t="s">
        <v>220</v>
      </c>
      <c r="K1685" s="20" t="s">
        <v>137</v>
      </c>
      <c r="L1685" s="20" t="s">
        <v>137</v>
      </c>
      <c r="M1685" s="20" t="s">
        <v>2400</v>
      </c>
      <c r="P1685" s="20" t="s">
        <v>2280</v>
      </c>
      <c r="Q1685" s="24" t="s">
        <v>680</v>
      </c>
    </row>
    <row r="1686" spans="1:17" hidden="1" x14ac:dyDescent="0.3">
      <c r="A1686" s="20">
        <f t="shared" si="26"/>
        <v>1685</v>
      </c>
      <c r="B1686" s="21" t="s">
        <v>87</v>
      </c>
      <c r="C1686" s="21" t="s">
        <v>94</v>
      </c>
      <c r="D1686" s="22" t="str">
        <f>IF($C1686="","",IFERROR(VLOOKUP($C1686,Map_Register!$A$2:$C$5,3,FALSE()),""))</f>
        <v>Military Zone</v>
      </c>
      <c r="E1686" s="21" t="s">
        <v>15</v>
      </c>
      <c r="F1686" s="23">
        <v>49225</v>
      </c>
      <c r="G1686" s="20" t="s">
        <v>1537</v>
      </c>
      <c r="H1686" s="20" t="s">
        <v>2401</v>
      </c>
      <c r="I1686" s="20" t="s">
        <v>678</v>
      </c>
      <c r="J1686" s="20" t="s">
        <v>6</v>
      </c>
      <c r="K1686" s="20" t="s">
        <v>137</v>
      </c>
      <c r="L1686" s="20" t="s">
        <v>137</v>
      </c>
      <c r="M1686" s="20" t="s">
        <v>1713</v>
      </c>
      <c r="Q1686" s="24" t="s">
        <v>680</v>
      </c>
    </row>
    <row r="1687" spans="1:17" hidden="1" x14ac:dyDescent="0.3">
      <c r="A1687" s="20">
        <f t="shared" si="26"/>
        <v>1686</v>
      </c>
      <c r="B1687" s="21" t="s">
        <v>87</v>
      </c>
      <c r="C1687" s="21" t="s">
        <v>94</v>
      </c>
      <c r="D1687" s="22" t="str">
        <f>IF($C1687="","",IFERROR(VLOOKUP($C1687,Map_Register!$A$2:$C$5,3,FALSE()),""))</f>
        <v>Military Zone</v>
      </c>
      <c r="E1687" s="21" t="s">
        <v>15</v>
      </c>
      <c r="F1687" s="23">
        <v>58382</v>
      </c>
      <c r="G1687" s="20" t="s">
        <v>1537</v>
      </c>
      <c r="H1687" s="20" t="s">
        <v>2402</v>
      </c>
      <c r="I1687" s="20" t="s">
        <v>678</v>
      </c>
      <c r="J1687" s="20" t="s">
        <v>220</v>
      </c>
      <c r="K1687" s="20" t="s">
        <v>137</v>
      </c>
      <c r="L1687" s="20" t="s">
        <v>137</v>
      </c>
      <c r="M1687" s="20" t="s">
        <v>2403</v>
      </c>
      <c r="P1687" s="20" t="s">
        <v>2280</v>
      </c>
      <c r="Q1687" s="24" t="s">
        <v>680</v>
      </c>
    </row>
    <row r="1688" spans="1:17" hidden="1" x14ac:dyDescent="0.3">
      <c r="A1688" s="20">
        <f t="shared" si="26"/>
        <v>1687</v>
      </c>
      <c r="B1688" s="21" t="s">
        <v>87</v>
      </c>
      <c r="C1688" s="21" t="s">
        <v>94</v>
      </c>
      <c r="D1688" s="22" t="str">
        <f>IF($C1688="","",IFERROR(VLOOKUP($C1688,Map_Register!$A$2:$C$5,3,FALSE()),""))</f>
        <v>Military Zone</v>
      </c>
      <c r="E1688" s="21" t="s">
        <v>15</v>
      </c>
      <c r="F1688" s="23">
        <v>62732</v>
      </c>
      <c r="G1688" s="20" t="s">
        <v>1560</v>
      </c>
      <c r="H1688" s="20" t="s">
        <v>2404</v>
      </c>
      <c r="I1688" s="20" t="s">
        <v>678</v>
      </c>
      <c r="J1688" s="20" t="s">
        <v>6</v>
      </c>
      <c r="K1688" s="20" t="s">
        <v>137</v>
      </c>
      <c r="L1688" s="20" t="s">
        <v>137</v>
      </c>
      <c r="M1688" s="20" t="s">
        <v>1713</v>
      </c>
      <c r="Q1688" s="24" t="s">
        <v>680</v>
      </c>
    </row>
    <row r="1689" spans="1:17" hidden="1" x14ac:dyDescent="0.3">
      <c r="A1689" s="20">
        <f t="shared" si="26"/>
        <v>1688</v>
      </c>
      <c r="B1689" s="21" t="s">
        <v>87</v>
      </c>
      <c r="C1689" s="21" t="s">
        <v>94</v>
      </c>
      <c r="D1689" s="22" t="str">
        <f>IF($C1689="","",IFERROR(VLOOKUP($C1689,Map_Register!$A$2:$C$5,3,FALSE()),""))</f>
        <v>Military Zone</v>
      </c>
      <c r="E1689" s="21" t="s">
        <v>15</v>
      </c>
      <c r="F1689" s="23">
        <v>69919</v>
      </c>
      <c r="G1689" s="20" t="s">
        <v>1537</v>
      </c>
      <c r="H1689" s="20" t="s">
        <v>2399</v>
      </c>
      <c r="I1689" s="20" t="s">
        <v>678</v>
      </c>
      <c r="J1689" s="20" t="s">
        <v>220</v>
      </c>
      <c r="K1689" s="20" t="s">
        <v>137</v>
      </c>
      <c r="L1689" s="20" t="s">
        <v>137</v>
      </c>
      <c r="M1689" s="20" t="s">
        <v>2400</v>
      </c>
      <c r="P1689" s="20" t="s">
        <v>2280</v>
      </c>
      <c r="Q1689" s="24" t="s">
        <v>680</v>
      </c>
    </row>
    <row r="1690" spans="1:17" hidden="1" x14ac:dyDescent="0.3">
      <c r="A1690" s="20">
        <f t="shared" si="26"/>
        <v>1689</v>
      </c>
      <c r="B1690" s="21" t="s">
        <v>87</v>
      </c>
      <c r="C1690" s="21" t="s">
        <v>94</v>
      </c>
      <c r="D1690" s="22" t="str">
        <f>IF($C1690="","",IFERROR(VLOOKUP($C1690,Map_Register!$A$2:$C$5,3,FALSE()),""))</f>
        <v>Military Zone</v>
      </c>
      <c r="E1690" s="21" t="s">
        <v>15</v>
      </c>
      <c r="F1690" s="23">
        <v>72497</v>
      </c>
      <c r="G1690" s="20" t="s">
        <v>1560</v>
      </c>
      <c r="H1690" s="20" t="s">
        <v>2405</v>
      </c>
      <c r="I1690" s="20" t="s">
        <v>678</v>
      </c>
      <c r="J1690" s="20" t="s">
        <v>6</v>
      </c>
      <c r="K1690" s="20" t="s">
        <v>137</v>
      </c>
      <c r="L1690" s="20" t="s">
        <v>137</v>
      </c>
      <c r="M1690" s="20" t="s">
        <v>1846</v>
      </c>
      <c r="Q1690" s="24" t="s">
        <v>680</v>
      </c>
    </row>
    <row r="1691" spans="1:17" hidden="1" x14ac:dyDescent="0.3">
      <c r="A1691" s="20">
        <f t="shared" si="26"/>
        <v>1690</v>
      </c>
      <c r="B1691" s="21" t="s">
        <v>87</v>
      </c>
      <c r="C1691" s="21" t="s">
        <v>94</v>
      </c>
      <c r="D1691" s="22" t="str">
        <f>IF($C1691="","",IFERROR(VLOOKUP($C1691,Map_Register!$A$2:$C$5,3,FALSE()),""))</f>
        <v>Military Zone</v>
      </c>
      <c r="E1691" s="21" t="s">
        <v>15</v>
      </c>
      <c r="F1691" s="23">
        <v>78749</v>
      </c>
      <c r="G1691" s="20" t="s">
        <v>1537</v>
      </c>
      <c r="H1691" s="20" t="s">
        <v>2404</v>
      </c>
      <c r="I1691" s="20" t="s">
        <v>678</v>
      </c>
      <c r="J1691" s="20" t="s">
        <v>6</v>
      </c>
      <c r="K1691" s="20" t="s">
        <v>137</v>
      </c>
      <c r="L1691" s="20" t="s">
        <v>137</v>
      </c>
      <c r="M1691" s="20" t="s">
        <v>2406</v>
      </c>
      <c r="Q1691" s="24" t="s">
        <v>680</v>
      </c>
    </row>
    <row r="1692" spans="1:17" hidden="1" x14ac:dyDescent="0.3">
      <c r="A1692" s="20">
        <f t="shared" si="26"/>
        <v>1691</v>
      </c>
      <c r="B1692" s="21" t="s">
        <v>87</v>
      </c>
      <c r="C1692" s="21" t="s">
        <v>94</v>
      </c>
      <c r="D1692" s="22" t="str">
        <f>IF($C1692="","",IFERROR(VLOOKUP($C1692,Map_Register!$A$2:$C$5,3,FALSE()),""))</f>
        <v>Military Zone</v>
      </c>
      <c r="E1692" s="21" t="s">
        <v>15</v>
      </c>
      <c r="F1692" s="23">
        <v>82799</v>
      </c>
      <c r="G1692" s="20" t="s">
        <v>1537</v>
      </c>
      <c r="H1692" s="20" t="s">
        <v>2407</v>
      </c>
      <c r="I1692" s="20" t="s">
        <v>678</v>
      </c>
      <c r="J1692" s="20" t="s">
        <v>6</v>
      </c>
      <c r="K1692" s="20" t="s">
        <v>137</v>
      </c>
      <c r="L1692" s="20" t="s">
        <v>137</v>
      </c>
      <c r="M1692" s="20" t="s">
        <v>1713</v>
      </c>
      <c r="Q1692" s="24" t="s">
        <v>680</v>
      </c>
    </row>
    <row r="1693" spans="1:17" hidden="1" x14ac:dyDescent="0.3">
      <c r="A1693" s="20">
        <f t="shared" si="26"/>
        <v>1692</v>
      </c>
      <c r="B1693" s="21" t="s">
        <v>87</v>
      </c>
      <c r="C1693" s="21" t="s">
        <v>94</v>
      </c>
      <c r="D1693" s="22" t="str">
        <f>IF($C1693="","",IFERROR(VLOOKUP($C1693,Map_Register!$A$2:$C$5,3,FALSE()),""))</f>
        <v>Military Zone</v>
      </c>
      <c r="E1693" s="21" t="s">
        <v>15</v>
      </c>
      <c r="F1693" s="23">
        <v>82942</v>
      </c>
      <c r="G1693" s="20" t="s">
        <v>1560</v>
      </c>
      <c r="H1693" s="20" t="s">
        <v>2408</v>
      </c>
      <c r="I1693" s="20" t="s">
        <v>678</v>
      </c>
      <c r="J1693" s="20" t="s">
        <v>6</v>
      </c>
      <c r="K1693" s="20" t="s">
        <v>137</v>
      </c>
      <c r="L1693" s="20" t="s">
        <v>137</v>
      </c>
      <c r="M1693" s="20" t="s">
        <v>2409</v>
      </c>
      <c r="Q1693" s="24" t="s">
        <v>680</v>
      </c>
    </row>
    <row r="1694" spans="1:17" hidden="1" x14ac:dyDescent="0.3">
      <c r="A1694" s="20">
        <f t="shared" si="26"/>
        <v>1693</v>
      </c>
      <c r="B1694" s="21" t="s">
        <v>87</v>
      </c>
      <c r="C1694" s="21" t="s">
        <v>94</v>
      </c>
      <c r="D1694" s="22" t="str">
        <f>IF($C1694="","",IFERROR(VLOOKUP($C1694,Map_Register!$A$2:$C$5,3,FALSE()),""))</f>
        <v>Military Zone</v>
      </c>
      <c r="E1694" s="21" t="s">
        <v>15</v>
      </c>
      <c r="F1694" s="23">
        <v>83582</v>
      </c>
      <c r="G1694" s="20" t="s">
        <v>1560</v>
      </c>
      <c r="H1694" s="20" t="s">
        <v>2410</v>
      </c>
      <c r="I1694" s="20" t="s">
        <v>678</v>
      </c>
      <c r="J1694" s="20" t="s">
        <v>6</v>
      </c>
      <c r="K1694" s="20" t="s">
        <v>137</v>
      </c>
      <c r="L1694" s="20" t="s">
        <v>137</v>
      </c>
      <c r="M1694" s="20" t="s">
        <v>1846</v>
      </c>
      <c r="Q1694" s="24" t="s">
        <v>680</v>
      </c>
    </row>
    <row r="1695" spans="1:17" hidden="1" x14ac:dyDescent="0.3">
      <c r="A1695" s="20">
        <f t="shared" si="26"/>
        <v>1694</v>
      </c>
      <c r="B1695" s="21" t="s">
        <v>87</v>
      </c>
      <c r="C1695" s="21" t="s">
        <v>94</v>
      </c>
      <c r="D1695" s="22" t="str">
        <f>IF($C1695="","",IFERROR(VLOOKUP($C1695,Map_Register!$A$2:$C$5,3,FALSE()),""))</f>
        <v>Military Zone</v>
      </c>
      <c r="E1695" s="21" t="s">
        <v>15</v>
      </c>
      <c r="F1695" s="23">
        <v>88934</v>
      </c>
      <c r="G1695" s="20" t="s">
        <v>1537</v>
      </c>
      <c r="H1695" s="20" t="s">
        <v>2411</v>
      </c>
      <c r="I1695" s="20" t="s">
        <v>678</v>
      </c>
      <c r="J1695" s="20" t="s">
        <v>6</v>
      </c>
      <c r="K1695" s="20" t="s">
        <v>137</v>
      </c>
      <c r="L1695" s="20" t="s">
        <v>137</v>
      </c>
      <c r="M1695" s="20" t="s">
        <v>2406</v>
      </c>
      <c r="Q1695" s="24" t="s">
        <v>680</v>
      </c>
    </row>
    <row r="1696" spans="1:17" hidden="1" x14ac:dyDescent="0.3">
      <c r="A1696" s="20">
        <f t="shared" si="26"/>
        <v>1695</v>
      </c>
      <c r="B1696" s="21" t="s">
        <v>87</v>
      </c>
      <c r="C1696" s="21" t="s">
        <v>94</v>
      </c>
      <c r="D1696" s="22" t="str">
        <f>IF($C1696="","",IFERROR(VLOOKUP($C1696,Map_Register!$A$2:$C$5,3,FALSE()),""))</f>
        <v>Military Zone</v>
      </c>
      <c r="E1696" s="21" t="s">
        <v>15</v>
      </c>
      <c r="F1696" s="23">
        <v>89859</v>
      </c>
      <c r="G1696" s="20" t="s">
        <v>1537</v>
      </c>
      <c r="H1696" s="20" t="s">
        <v>2412</v>
      </c>
      <c r="I1696" s="20" t="s">
        <v>678</v>
      </c>
      <c r="J1696" s="20" t="s">
        <v>6</v>
      </c>
      <c r="K1696" s="20" t="s">
        <v>137</v>
      </c>
      <c r="L1696" s="20" t="s">
        <v>137</v>
      </c>
      <c r="M1696" s="20" t="s">
        <v>1713</v>
      </c>
      <c r="Q1696" s="24" t="s">
        <v>680</v>
      </c>
    </row>
    <row r="1697" spans="1:17" hidden="1" x14ac:dyDescent="0.3">
      <c r="A1697" s="20">
        <f t="shared" si="26"/>
        <v>1696</v>
      </c>
      <c r="B1697" s="21" t="s">
        <v>87</v>
      </c>
      <c r="C1697" s="21" t="s">
        <v>94</v>
      </c>
      <c r="D1697" s="22" t="str">
        <f>IF($C1697="","",IFERROR(VLOOKUP($C1697,Map_Register!$A$2:$C$5,3,FALSE()),""))</f>
        <v>Military Zone</v>
      </c>
      <c r="E1697" s="21" t="s">
        <v>15</v>
      </c>
      <c r="F1697" s="23">
        <v>93646</v>
      </c>
      <c r="G1697" s="20" t="s">
        <v>1537</v>
      </c>
      <c r="H1697" s="20" t="s">
        <v>2410</v>
      </c>
      <c r="I1697" s="20" t="s">
        <v>678</v>
      </c>
      <c r="J1697" s="20" t="s">
        <v>6</v>
      </c>
      <c r="K1697" s="20" t="s">
        <v>137</v>
      </c>
      <c r="L1697" s="20" t="s">
        <v>137</v>
      </c>
      <c r="M1697" s="20" t="s">
        <v>1846</v>
      </c>
      <c r="Q1697" s="24" t="s">
        <v>680</v>
      </c>
    </row>
    <row r="1698" spans="1:17" hidden="1" x14ac:dyDescent="0.3">
      <c r="A1698" s="20">
        <f t="shared" si="26"/>
        <v>1697</v>
      </c>
      <c r="B1698" s="21" t="s">
        <v>87</v>
      </c>
      <c r="C1698" s="21" t="s">
        <v>94</v>
      </c>
      <c r="D1698" s="22" t="str">
        <f>IF($C1698="","",IFERROR(VLOOKUP($C1698,Map_Register!$A$2:$C$5,3,FALSE()),""))</f>
        <v>Military Zone</v>
      </c>
      <c r="E1698" s="21" t="s">
        <v>15</v>
      </c>
      <c r="F1698" s="23">
        <v>95637</v>
      </c>
      <c r="G1698" s="20" t="s">
        <v>1537</v>
      </c>
      <c r="H1698" s="20" t="s">
        <v>2413</v>
      </c>
      <c r="I1698" s="20" t="s">
        <v>678</v>
      </c>
      <c r="J1698" s="20" t="s">
        <v>8</v>
      </c>
      <c r="K1698" t="s">
        <v>107</v>
      </c>
      <c r="L1698" s="20" t="s">
        <v>107</v>
      </c>
      <c r="M1698" s="20" t="s">
        <v>2414</v>
      </c>
      <c r="N1698" s="20" t="s">
        <v>108</v>
      </c>
      <c r="Q1698" s="24" t="s">
        <v>680</v>
      </c>
    </row>
    <row r="1699" spans="1:17" hidden="1" x14ac:dyDescent="0.3">
      <c r="A1699" s="20">
        <f t="shared" si="26"/>
        <v>1698</v>
      </c>
      <c r="B1699" s="21" t="s">
        <v>87</v>
      </c>
      <c r="C1699" s="21" t="s">
        <v>94</v>
      </c>
      <c r="D1699" s="22" t="str">
        <f>IF($C1699="","",IFERROR(VLOOKUP($C1699,Map_Register!$A$2:$C$5,3,FALSE()),""))</f>
        <v>Military Zone</v>
      </c>
      <c r="E1699" s="21" t="s">
        <v>15</v>
      </c>
      <c r="F1699" s="23">
        <v>96285</v>
      </c>
      <c r="G1699" s="20" t="s">
        <v>1537</v>
      </c>
      <c r="H1699" s="20" t="s">
        <v>2415</v>
      </c>
      <c r="I1699" s="20" t="s">
        <v>678</v>
      </c>
      <c r="J1699" s="20" t="s">
        <v>6</v>
      </c>
      <c r="K1699" s="20" t="s">
        <v>137</v>
      </c>
      <c r="L1699" s="20" t="s">
        <v>137</v>
      </c>
      <c r="M1699" s="20" t="s">
        <v>1713</v>
      </c>
      <c r="Q1699" s="24" t="s">
        <v>680</v>
      </c>
    </row>
    <row r="1700" spans="1:17" hidden="1" x14ac:dyDescent="0.3">
      <c r="A1700" s="20">
        <f t="shared" si="26"/>
        <v>1699</v>
      </c>
      <c r="B1700" s="21" t="s">
        <v>87</v>
      </c>
      <c r="C1700" s="21" t="s">
        <v>94</v>
      </c>
      <c r="D1700" s="22" t="str">
        <f>IF($C1700="","",IFERROR(VLOOKUP($C1700,Map_Register!$A$2:$C$5,3,FALSE()),""))</f>
        <v>Military Zone</v>
      </c>
      <c r="E1700" s="21" t="s">
        <v>15</v>
      </c>
      <c r="F1700" s="23">
        <v>97683</v>
      </c>
      <c r="G1700" s="20" t="s">
        <v>1537</v>
      </c>
      <c r="H1700" s="20" t="s">
        <v>2416</v>
      </c>
      <c r="I1700" s="20" t="s">
        <v>678</v>
      </c>
      <c r="J1700" s="20" t="s">
        <v>220</v>
      </c>
      <c r="K1700" s="20" t="s">
        <v>137</v>
      </c>
      <c r="L1700" s="20" t="s">
        <v>137</v>
      </c>
      <c r="M1700" s="20" t="s">
        <v>2417</v>
      </c>
      <c r="P1700" s="20" t="s">
        <v>2280</v>
      </c>
      <c r="Q1700" s="24" t="s">
        <v>680</v>
      </c>
    </row>
    <row r="1701" spans="1:17" hidden="1" x14ac:dyDescent="0.3">
      <c r="A1701" s="20">
        <f t="shared" si="26"/>
        <v>1700</v>
      </c>
      <c r="B1701" s="21" t="s">
        <v>87</v>
      </c>
      <c r="C1701" s="21" t="s">
        <v>94</v>
      </c>
      <c r="D1701" s="22" t="str">
        <f>IF($C1701="","",IFERROR(VLOOKUP($C1701,Map_Register!$A$2:$C$5,3,FALSE()),""))</f>
        <v>Military Zone</v>
      </c>
      <c r="E1701" s="21" t="s">
        <v>15</v>
      </c>
      <c r="F1701" s="23">
        <v>97898</v>
      </c>
      <c r="G1701" s="20" t="s">
        <v>1537</v>
      </c>
      <c r="H1701" s="20" t="s">
        <v>2402</v>
      </c>
      <c r="I1701" s="20" t="s">
        <v>678</v>
      </c>
      <c r="J1701" s="20" t="s">
        <v>220</v>
      </c>
      <c r="K1701" s="20" t="s">
        <v>137</v>
      </c>
      <c r="L1701" s="20" t="s">
        <v>137</v>
      </c>
      <c r="M1701" s="20" t="s">
        <v>2403</v>
      </c>
      <c r="P1701" s="20" t="s">
        <v>2280</v>
      </c>
      <c r="Q1701" s="24" t="s">
        <v>680</v>
      </c>
    </row>
    <row r="1702" spans="1:17" hidden="1" x14ac:dyDescent="0.3">
      <c r="A1702" s="20">
        <f t="shared" si="26"/>
        <v>1701</v>
      </c>
      <c r="B1702" s="21" t="s">
        <v>87</v>
      </c>
      <c r="C1702" s="21" t="s">
        <v>94</v>
      </c>
      <c r="D1702" s="22" t="str">
        <f>IF($C1702="","",IFERROR(VLOOKUP($C1702,Map_Register!$A$2:$C$5,3,FALSE()),""))</f>
        <v>Military Zone</v>
      </c>
      <c r="E1702" s="21" t="s">
        <v>15</v>
      </c>
      <c r="F1702" s="23">
        <v>102024</v>
      </c>
      <c r="G1702" s="20" t="s">
        <v>1537</v>
      </c>
      <c r="H1702" s="20" t="s">
        <v>2418</v>
      </c>
      <c r="I1702" s="20" t="s">
        <v>678</v>
      </c>
      <c r="J1702" s="20" t="s">
        <v>6</v>
      </c>
      <c r="K1702" s="20" t="s">
        <v>137</v>
      </c>
      <c r="L1702" s="20" t="s">
        <v>137</v>
      </c>
      <c r="M1702" s="20" t="s">
        <v>2406</v>
      </c>
      <c r="Q1702" s="24" t="s">
        <v>680</v>
      </c>
    </row>
    <row r="1703" spans="1:17" hidden="1" x14ac:dyDescent="0.3">
      <c r="A1703" s="20">
        <f t="shared" si="26"/>
        <v>1702</v>
      </c>
      <c r="B1703" s="21" t="s">
        <v>87</v>
      </c>
      <c r="C1703" s="21" t="s">
        <v>94</v>
      </c>
      <c r="D1703" s="22" t="str">
        <f>IF($C1703="","",IFERROR(VLOOKUP($C1703,Map_Register!$A$2:$C$5,3,FALSE()),""))</f>
        <v>Military Zone</v>
      </c>
      <c r="E1703" s="21" t="s">
        <v>15</v>
      </c>
      <c r="F1703" s="23">
        <v>104116</v>
      </c>
      <c r="G1703" s="20" t="s">
        <v>1537</v>
      </c>
      <c r="H1703" s="20" t="s">
        <v>2419</v>
      </c>
      <c r="I1703" s="20" t="s">
        <v>678</v>
      </c>
      <c r="J1703" s="20" t="s">
        <v>6</v>
      </c>
      <c r="K1703" s="20" t="s">
        <v>137</v>
      </c>
      <c r="L1703" s="20" t="s">
        <v>137</v>
      </c>
      <c r="M1703" s="20" t="s">
        <v>2351</v>
      </c>
      <c r="Q1703" s="24" t="s">
        <v>680</v>
      </c>
    </row>
    <row r="1704" spans="1:17" hidden="1" x14ac:dyDescent="0.3">
      <c r="A1704" s="20">
        <f t="shared" si="26"/>
        <v>1703</v>
      </c>
      <c r="B1704" s="21" t="s">
        <v>87</v>
      </c>
      <c r="C1704" s="21" t="s">
        <v>94</v>
      </c>
      <c r="D1704" s="22" t="str">
        <f>IF($C1704="","",IFERROR(VLOOKUP($C1704,Map_Register!$A$2:$C$5,3,FALSE()),""))</f>
        <v>Military Zone</v>
      </c>
      <c r="E1704" s="21" t="s">
        <v>15</v>
      </c>
      <c r="F1704" s="23">
        <v>105181</v>
      </c>
      <c r="G1704" s="20" t="s">
        <v>1537</v>
      </c>
      <c r="H1704" s="20" t="s">
        <v>2389</v>
      </c>
      <c r="I1704" s="20" t="s">
        <v>678</v>
      </c>
      <c r="J1704" s="20" t="s">
        <v>6</v>
      </c>
      <c r="K1704" s="20" t="s">
        <v>137</v>
      </c>
      <c r="L1704" s="20" t="s">
        <v>137</v>
      </c>
      <c r="M1704" s="20" t="s">
        <v>2409</v>
      </c>
      <c r="Q1704" s="24" t="s">
        <v>680</v>
      </c>
    </row>
    <row r="1705" spans="1:17" hidden="1" x14ac:dyDescent="0.3">
      <c r="A1705" s="20">
        <f t="shared" si="26"/>
        <v>1704</v>
      </c>
      <c r="B1705" s="21" t="s">
        <v>87</v>
      </c>
      <c r="C1705" s="21" t="s">
        <v>94</v>
      </c>
      <c r="D1705" s="22" t="str">
        <f>IF($C1705="","",IFERROR(VLOOKUP($C1705,Map_Register!$A$2:$C$5,3,FALSE()),""))</f>
        <v>Military Zone</v>
      </c>
      <c r="E1705" s="21" t="s">
        <v>15</v>
      </c>
      <c r="F1705" s="23">
        <v>105864</v>
      </c>
      <c r="G1705" s="20" t="s">
        <v>1537</v>
      </c>
      <c r="H1705" s="20" t="s">
        <v>2420</v>
      </c>
      <c r="I1705" s="20" t="s">
        <v>678</v>
      </c>
      <c r="J1705" s="20" t="s">
        <v>220</v>
      </c>
      <c r="K1705" s="20" t="s">
        <v>137</v>
      </c>
      <c r="L1705" s="20" t="s">
        <v>137</v>
      </c>
      <c r="M1705" s="20" t="s">
        <v>2421</v>
      </c>
      <c r="P1705" s="20" t="s">
        <v>2280</v>
      </c>
      <c r="Q1705" s="24" t="s">
        <v>680</v>
      </c>
    </row>
    <row r="1706" spans="1:17" hidden="1" x14ac:dyDescent="0.3">
      <c r="A1706" s="20">
        <f t="shared" si="26"/>
        <v>1705</v>
      </c>
      <c r="B1706" s="21" t="s">
        <v>87</v>
      </c>
      <c r="C1706" s="21" t="s">
        <v>94</v>
      </c>
      <c r="D1706" s="22" t="str">
        <f>IF($C1706="","",IFERROR(VLOOKUP($C1706,Map_Register!$A$2:$C$5,3,FALSE()),""))</f>
        <v>Military Zone</v>
      </c>
      <c r="E1706" s="21" t="s">
        <v>15</v>
      </c>
      <c r="F1706" s="23">
        <v>109750</v>
      </c>
      <c r="G1706" s="20" t="s">
        <v>1537</v>
      </c>
      <c r="H1706" s="20" t="s">
        <v>2422</v>
      </c>
      <c r="I1706" s="20" t="s">
        <v>678</v>
      </c>
      <c r="J1706" s="20" t="s">
        <v>6</v>
      </c>
      <c r="K1706" s="20" t="s">
        <v>137</v>
      </c>
      <c r="L1706" s="20" t="s">
        <v>137</v>
      </c>
      <c r="M1706" s="20" t="s">
        <v>1713</v>
      </c>
      <c r="Q1706" s="24" t="s">
        <v>680</v>
      </c>
    </row>
    <row r="1707" spans="1:17" hidden="1" x14ac:dyDescent="0.3">
      <c r="A1707" s="20">
        <f t="shared" si="26"/>
        <v>1706</v>
      </c>
      <c r="B1707" s="21" t="s">
        <v>87</v>
      </c>
      <c r="C1707" s="21" t="s">
        <v>94</v>
      </c>
      <c r="D1707" s="22" t="str">
        <f>IF($C1707="","",IFERROR(VLOOKUP($C1707,Map_Register!$A$2:$C$5,3,FALSE()),""))</f>
        <v>Military Zone</v>
      </c>
      <c r="E1707" s="21" t="s">
        <v>15</v>
      </c>
      <c r="F1707" s="23">
        <v>111888</v>
      </c>
      <c r="G1707" s="20" t="s">
        <v>1537</v>
      </c>
      <c r="H1707" s="20" t="s">
        <v>2423</v>
      </c>
      <c r="I1707" s="20" t="s">
        <v>678</v>
      </c>
      <c r="J1707" s="20" t="s">
        <v>6</v>
      </c>
      <c r="K1707" s="20" t="s">
        <v>137</v>
      </c>
      <c r="L1707" s="20" t="s">
        <v>137</v>
      </c>
      <c r="M1707" s="20" t="s">
        <v>1713</v>
      </c>
      <c r="Q1707" s="24" t="s">
        <v>680</v>
      </c>
    </row>
    <row r="1708" spans="1:17" hidden="1" x14ac:dyDescent="0.3">
      <c r="A1708" s="20">
        <f t="shared" si="26"/>
        <v>1707</v>
      </c>
      <c r="B1708" s="21" t="s">
        <v>87</v>
      </c>
      <c r="C1708" s="21" t="s">
        <v>94</v>
      </c>
      <c r="D1708" s="22" t="str">
        <f>IF($C1708="","",IFERROR(VLOOKUP($C1708,Map_Register!$A$2:$C$5,3,FALSE()),""))</f>
        <v>Military Zone</v>
      </c>
      <c r="E1708" s="21" t="s">
        <v>15</v>
      </c>
      <c r="F1708" s="23">
        <v>113618</v>
      </c>
      <c r="G1708" s="20" t="s">
        <v>1537</v>
      </c>
      <c r="H1708" s="20" t="s">
        <v>2424</v>
      </c>
      <c r="I1708" s="20" t="s">
        <v>678</v>
      </c>
      <c r="J1708" s="20" t="s">
        <v>6</v>
      </c>
      <c r="K1708" s="20" t="s">
        <v>137</v>
      </c>
      <c r="L1708" s="20" t="s">
        <v>137</v>
      </c>
      <c r="M1708" s="20" t="s">
        <v>1846</v>
      </c>
      <c r="Q1708" s="24" t="s">
        <v>680</v>
      </c>
    </row>
    <row r="1709" spans="1:17" hidden="1" x14ac:dyDescent="0.3">
      <c r="A1709" s="20">
        <f t="shared" si="26"/>
        <v>1708</v>
      </c>
      <c r="B1709" s="21" t="s">
        <v>87</v>
      </c>
      <c r="C1709" s="21" t="s">
        <v>94</v>
      </c>
      <c r="D1709" s="22" t="str">
        <f>IF($C1709="","",IFERROR(VLOOKUP($C1709,Map_Register!$A$2:$C$5,3,FALSE()),""))</f>
        <v>Military Zone</v>
      </c>
      <c r="E1709" s="21" t="s">
        <v>15</v>
      </c>
      <c r="F1709" s="23">
        <v>114885</v>
      </c>
      <c r="G1709" s="20" t="s">
        <v>1537</v>
      </c>
      <c r="H1709" s="20" t="s">
        <v>2425</v>
      </c>
      <c r="I1709" s="20" t="s">
        <v>678</v>
      </c>
      <c r="J1709" s="20" t="s">
        <v>6</v>
      </c>
      <c r="K1709" s="20" t="s">
        <v>137</v>
      </c>
      <c r="L1709" s="20" t="s">
        <v>137</v>
      </c>
      <c r="M1709" s="20" t="s">
        <v>2406</v>
      </c>
      <c r="Q1709" s="24" t="s">
        <v>680</v>
      </c>
    </row>
    <row r="1710" spans="1:17" hidden="1" x14ac:dyDescent="0.3">
      <c r="A1710" s="20">
        <f t="shared" si="26"/>
        <v>1709</v>
      </c>
      <c r="B1710" s="21" t="s">
        <v>87</v>
      </c>
      <c r="C1710" s="21" t="s">
        <v>94</v>
      </c>
      <c r="D1710" s="22" t="str">
        <f>IF($C1710="","",IFERROR(VLOOKUP($C1710,Map_Register!$A$2:$C$5,3,FALSE()),""))</f>
        <v>Military Zone</v>
      </c>
      <c r="E1710" s="21" t="s">
        <v>15</v>
      </c>
      <c r="F1710" s="23">
        <v>115688</v>
      </c>
      <c r="G1710" s="20" t="s">
        <v>1537</v>
      </c>
      <c r="H1710" s="20" t="s">
        <v>2410</v>
      </c>
      <c r="I1710" s="20" t="s">
        <v>678</v>
      </c>
      <c r="J1710" s="20" t="s">
        <v>6</v>
      </c>
      <c r="K1710" s="20" t="s">
        <v>137</v>
      </c>
      <c r="L1710" s="20" t="s">
        <v>137</v>
      </c>
      <c r="M1710" s="20" t="s">
        <v>2351</v>
      </c>
      <c r="Q1710" s="24" t="s">
        <v>680</v>
      </c>
    </row>
    <row r="1711" spans="1:17" hidden="1" x14ac:dyDescent="0.3">
      <c r="A1711" s="20">
        <f t="shared" si="26"/>
        <v>1710</v>
      </c>
      <c r="B1711" s="21" t="s">
        <v>87</v>
      </c>
      <c r="C1711" s="21" t="s">
        <v>94</v>
      </c>
      <c r="D1711" s="22" t="str">
        <f>IF($C1711="","",IFERROR(VLOOKUP($C1711,Map_Register!$A$2:$C$5,3,FALSE()),""))</f>
        <v>Military Zone</v>
      </c>
      <c r="E1711" s="21" t="s">
        <v>15</v>
      </c>
      <c r="F1711" s="23">
        <v>116322</v>
      </c>
      <c r="G1711" s="20" t="s">
        <v>1537</v>
      </c>
      <c r="H1711" s="20" t="s">
        <v>2408</v>
      </c>
      <c r="I1711" s="20" t="s">
        <v>678</v>
      </c>
      <c r="J1711" s="20" t="s">
        <v>6</v>
      </c>
      <c r="K1711" s="20" t="s">
        <v>137</v>
      </c>
      <c r="L1711" s="20" t="s">
        <v>137</v>
      </c>
      <c r="M1711" s="20" t="s">
        <v>2409</v>
      </c>
      <c r="Q1711" s="24" t="s">
        <v>680</v>
      </c>
    </row>
    <row r="1712" spans="1:17" hidden="1" x14ac:dyDescent="0.3">
      <c r="A1712" s="20">
        <f t="shared" si="26"/>
        <v>1711</v>
      </c>
      <c r="B1712" s="21" t="s">
        <v>87</v>
      </c>
      <c r="C1712" s="21" t="s">
        <v>94</v>
      </c>
      <c r="D1712" s="22" t="str">
        <f>IF($C1712="","",IFERROR(VLOOKUP($C1712,Map_Register!$A$2:$C$5,3,FALSE()),""))</f>
        <v>Military Zone</v>
      </c>
      <c r="E1712" s="21" t="s">
        <v>15</v>
      </c>
      <c r="F1712" s="23">
        <v>116466</v>
      </c>
      <c r="G1712" s="20" t="s">
        <v>1537</v>
      </c>
      <c r="H1712" s="20" t="s">
        <v>2426</v>
      </c>
      <c r="I1712" s="20" t="s">
        <v>678</v>
      </c>
      <c r="J1712" s="20" t="s">
        <v>6</v>
      </c>
      <c r="K1712" s="20" t="s">
        <v>137</v>
      </c>
      <c r="L1712" s="20" t="s">
        <v>137</v>
      </c>
      <c r="M1712" s="20" t="s">
        <v>1713</v>
      </c>
      <c r="Q1712" s="24" t="s">
        <v>680</v>
      </c>
    </row>
    <row r="1713" spans="1:17" hidden="1" x14ac:dyDescent="0.3">
      <c r="A1713" s="20">
        <f t="shared" si="26"/>
        <v>1712</v>
      </c>
      <c r="B1713" s="21" t="s">
        <v>87</v>
      </c>
      <c r="C1713" s="21" t="s">
        <v>94</v>
      </c>
      <c r="D1713" s="22" t="str">
        <f>IF($C1713="","",IFERROR(VLOOKUP($C1713,Map_Register!$A$2:$C$5,3,FALSE()),""))</f>
        <v>Military Zone</v>
      </c>
      <c r="E1713" s="21" t="s">
        <v>15</v>
      </c>
      <c r="F1713" s="23">
        <v>120192</v>
      </c>
      <c r="G1713" s="20" t="s">
        <v>1560</v>
      </c>
      <c r="H1713" s="20" t="s">
        <v>2427</v>
      </c>
      <c r="I1713" s="20" t="s">
        <v>678</v>
      </c>
      <c r="J1713" s="20" t="s">
        <v>6</v>
      </c>
      <c r="K1713" s="20" t="s">
        <v>137</v>
      </c>
      <c r="L1713" s="20" t="s">
        <v>137</v>
      </c>
      <c r="M1713" s="20" t="s">
        <v>2428</v>
      </c>
      <c r="Q1713" s="24" t="s">
        <v>680</v>
      </c>
    </row>
    <row r="1714" spans="1:17" hidden="1" x14ac:dyDescent="0.3">
      <c r="A1714" s="20">
        <f t="shared" si="26"/>
        <v>1713</v>
      </c>
      <c r="B1714" s="21" t="s">
        <v>87</v>
      </c>
      <c r="C1714" s="21" t="s">
        <v>94</v>
      </c>
      <c r="D1714" s="22" t="str">
        <f>IF($C1714="","",IFERROR(VLOOKUP($C1714,Map_Register!$A$2:$C$5,3,FALSE()),""))</f>
        <v>Military Zone</v>
      </c>
      <c r="E1714" s="21" t="s">
        <v>15</v>
      </c>
      <c r="F1714" s="23">
        <v>121132</v>
      </c>
      <c r="G1714" s="20" t="s">
        <v>1537</v>
      </c>
      <c r="H1714" s="20" t="s">
        <v>2427</v>
      </c>
      <c r="I1714" s="20" t="s">
        <v>678</v>
      </c>
      <c r="J1714" s="20" t="s">
        <v>6</v>
      </c>
      <c r="K1714" s="20" t="s">
        <v>137</v>
      </c>
      <c r="L1714" s="20" t="s">
        <v>137</v>
      </c>
      <c r="M1714" s="20" t="s">
        <v>2428</v>
      </c>
      <c r="Q1714" s="24" t="s">
        <v>680</v>
      </c>
    </row>
    <row r="1715" spans="1:17" hidden="1" x14ac:dyDescent="0.3">
      <c r="A1715" s="20">
        <f t="shared" si="26"/>
        <v>1714</v>
      </c>
      <c r="B1715" s="21" t="s">
        <v>87</v>
      </c>
      <c r="C1715" s="21" t="s">
        <v>94</v>
      </c>
      <c r="D1715" s="22" t="str">
        <f>IF($C1715="","",IFERROR(VLOOKUP($C1715,Map_Register!$A$2:$C$5,3,FALSE()),""))</f>
        <v>Military Zone</v>
      </c>
      <c r="E1715" s="21" t="s">
        <v>15</v>
      </c>
      <c r="F1715" s="23">
        <v>122999</v>
      </c>
      <c r="G1715" s="20" t="s">
        <v>1537</v>
      </c>
      <c r="H1715" s="20" t="s">
        <v>2429</v>
      </c>
      <c r="I1715" s="20" t="s">
        <v>678</v>
      </c>
      <c r="J1715" s="20" t="s">
        <v>6</v>
      </c>
      <c r="K1715" s="20" t="s">
        <v>137</v>
      </c>
      <c r="L1715" s="20" t="s">
        <v>137</v>
      </c>
      <c r="M1715" s="20" t="s">
        <v>1713</v>
      </c>
      <c r="Q1715" s="24" t="s">
        <v>680</v>
      </c>
    </row>
    <row r="1716" spans="1:17" hidden="1" x14ac:dyDescent="0.3">
      <c r="A1716" s="20">
        <f t="shared" si="26"/>
        <v>1715</v>
      </c>
      <c r="B1716" s="21" t="s">
        <v>87</v>
      </c>
      <c r="C1716" s="21" t="s">
        <v>94</v>
      </c>
      <c r="D1716" s="22" t="str">
        <f>IF($C1716="","",IFERROR(VLOOKUP($C1716,Map_Register!$A$2:$C$5,3,FALSE()),""))</f>
        <v>Military Zone</v>
      </c>
      <c r="E1716" s="21" t="s">
        <v>15</v>
      </c>
      <c r="F1716" s="23">
        <v>123256</v>
      </c>
      <c r="G1716" s="20" t="s">
        <v>1537</v>
      </c>
      <c r="H1716" s="20" t="s">
        <v>2430</v>
      </c>
      <c r="I1716" s="20" t="s">
        <v>678</v>
      </c>
      <c r="J1716" s="20" t="s">
        <v>6</v>
      </c>
      <c r="K1716" s="20" t="s">
        <v>137</v>
      </c>
      <c r="L1716" s="20" t="s">
        <v>137</v>
      </c>
      <c r="M1716" s="20" t="s">
        <v>1713</v>
      </c>
      <c r="Q1716" s="24" t="s">
        <v>680</v>
      </c>
    </row>
    <row r="1717" spans="1:17" hidden="1" x14ac:dyDescent="0.3">
      <c r="A1717" s="20">
        <f t="shared" si="26"/>
        <v>1716</v>
      </c>
      <c r="B1717" s="21" t="s">
        <v>87</v>
      </c>
      <c r="C1717" s="21" t="s">
        <v>94</v>
      </c>
      <c r="D1717" s="22" t="str">
        <f>IF($C1717="","",IFERROR(VLOOKUP($C1717,Map_Register!$A$2:$C$5,3,FALSE()),""))</f>
        <v>Military Zone</v>
      </c>
      <c r="E1717" s="21" t="s">
        <v>15</v>
      </c>
      <c r="F1717" s="23">
        <v>125301</v>
      </c>
      <c r="G1717" s="20" t="s">
        <v>1537</v>
      </c>
      <c r="H1717" s="20" t="s">
        <v>2431</v>
      </c>
      <c r="I1717" s="20" t="s">
        <v>678</v>
      </c>
      <c r="J1717" s="20" t="s">
        <v>6</v>
      </c>
      <c r="K1717" s="20" t="s">
        <v>137</v>
      </c>
      <c r="L1717" s="20" t="s">
        <v>137</v>
      </c>
      <c r="M1717" s="20" t="s">
        <v>1713</v>
      </c>
      <c r="Q1717" s="24" t="s">
        <v>680</v>
      </c>
    </row>
    <row r="1718" spans="1:17" hidden="1" x14ac:dyDescent="0.3">
      <c r="A1718" s="20">
        <f t="shared" si="26"/>
        <v>1717</v>
      </c>
      <c r="B1718" s="21" t="s">
        <v>87</v>
      </c>
      <c r="C1718" s="21" t="s">
        <v>94</v>
      </c>
      <c r="D1718" s="22" t="str">
        <f>IF($C1718="","",IFERROR(VLOOKUP($C1718,Map_Register!$A$2:$C$5,3,FALSE()),""))</f>
        <v>Military Zone</v>
      </c>
      <c r="E1718" s="21" t="s">
        <v>15</v>
      </c>
      <c r="F1718" s="23">
        <v>131944</v>
      </c>
      <c r="G1718" s="20" t="s">
        <v>1537</v>
      </c>
      <c r="H1718" s="20" t="s">
        <v>2432</v>
      </c>
      <c r="I1718" s="20" t="s">
        <v>678</v>
      </c>
      <c r="J1718" s="20" t="s">
        <v>6</v>
      </c>
      <c r="K1718" s="20" t="s">
        <v>137</v>
      </c>
      <c r="L1718" s="20" t="s">
        <v>137</v>
      </c>
      <c r="M1718" s="20" t="s">
        <v>2406</v>
      </c>
      <c r="Q1718" s="24" t="s">
        <v>680</v>
      </c>
    </row>
    <row r="1719" spans="1:17" hidden="1" x14ac:dyDescent="0.3">
      <c r="A1719" s="20">
        <f t="shared" si="26"/>
        <v>1718</v>
      </c>
      <c r="B1719" s="21" t="s">
        <v>87</v>
      </c>
      <c r="C1719" s="21" t="s">
        <v>94</v>
      </c>
      <c r="D1719" s="22" t="str">
        <f>IF($C1719="","",IFERROR(VLOOKUP($C1719,Map_Register!$A$2:$C$5,3,FALSE()),""))</f>
        <v>Military Zone</v>
      </c>
      <c r="E1719" s="21" t="s">
        <v>15</v>
      </c>
      <c r="F1719" s="23">
        <v>134038</v>
      </c>
      <c r="G1719" s="20" t="s">
        <v>1537</v>
      </c>
      <c r="H1719" s="20" t="s">
        <v>2433</v>
      </c>
      <c r="I1719" s="20" t="s">
        <v>678</v>
      </c>
      <c r="J1719" s="20" t="s">
        <v>6</v>
      </c>
      <c r="K1719" s="20" t="s">
        <v>137</v>
      </c>
      <c r="L1719" s="20" t="s">
        <v>137</v>
      </c>
      <c r="M1719" s="20" t="s">
        <v>1713</v>
      </c>
      <c r="Q1719" s="24" t="s">
        <v>680</v>
      </c>
    </row>
    <row r="1720" spans="1:17" hidden="1" x14ac:dyDescent="0.3">
      <c r="A1720" s="20">
        <f t="shared" si="26"/>
        <v>1719</v>
      </c>
      <c r="B1720" s="21" t="s">
        <v>87</v>
      </c>
      <c r="C1720" s="21" t="s">
        <v>94</v>
      </c>
      <c r="D1720" s="22" t="str">
        <f>IF($C1720="","",IFERROR(VLOOKUP($C1720,Map_Register!$A$2:$C$5,3,FALSE()),""))</f>
        <v>Military Zone</v>
      </c>
      <c r="E1720" s="21" t="s">
        <v>15</v>
      </c>
      <c r="F1720" s="23">
        <v>136204</v>
      </c>
      <c r="G1720" s="20" t="s">
        <v>1537</v>
      </c>
      <c r="H1720" s="20" t="s">
        <v>2434</v>
      </c>
      <c r="I1720" s="20" t="s">
        <v>678</v>
      </c>
      <c r="J1720" s="20" t="s">
        <v>6</v>
      </c>
      <c r="K1720" s="20" t="s">
        <v>137</v>
      </c>
      <c r="L1720" s="20" t="s">
        <v>137</v>
      </c>
      <c r="M1720" s="20" t="s">
        <v>1713</v>
      </c>
      <c r="Q1720" s="24" t="s">
        <v>680</v>
      </c>
    </row>
    <row r="1721" spans="1:17" hidden="1" x14ac:dyDescent="0.3">
      <c r="A1721" s="20">
        <f t="shared" si="26"/>
        <v>1720</v>
      </c>
      <c r="B1721" s="21" t="s">
        <v>87</v>
      </c>
      <c r="C1721" s="21" t="s">
        <v>94</v>
      </c>
      <c r="D1721" s="22" t="str">
        <f>IF($C1721="","",IFERROR(VLOOKUP($C1721,Map_Register!$A$2:$C$5,3,FALSE()),""))</f>
        <v>Military Zone</v>
      </c>
      <c r="E1721" s="21" t="s">
        <v>15</v>
      </c>
      <c r="F1721" s="23">
        <v>137771</v>
      </c>
      <c r="G1721" s="20" t="s">
        <v>1560</v>
      </c>
      <c r="H1721" s="20" t="s">
        <v>2418</v>
      </c>
      <c r="I1721" s="20" t="s">
        <v>678</v>
      </c>
      <c r="J1721" s="20" t="s">
        <v>6</v>
      </c>
      <c r="K1721" s="20" t="s">
        <v>137</v>
      </c>
      <c r="L1721" s="20" t="s">
        <v>137</v>
      </c>
      <c r="M1721" s="20" t="s">
        <v>2406</v>
      </c>
      <c r="Q1721" s="24" t="s">
        <v>680</v>
      </c>
    </row>
    <row r="1722" spans="1:17" hidden="1" x14ac:dyDescent="0.3">
      <c r="A1722" s="20">
        <f t="shared" si="26"/>
        <v>1721</v>
      </c>
      <c r="B1722" s="21" t="s">
        <v>87</v>
      </c>
      <c r="C1722" s="21" t="s">
        <v>94</v>
      </c>
      <c r="D1722" s="22" t="str">
        <f>IF($C1722="","",IFERROR(VLOOKUP($C1722,Map_Register!$A$2:$C$5,3,FALSE()),""))</f>
        <v>Military Zone</v>
      </c>
      <c r="E1722" s="21" t="s">
        <v>15</v>
      </c>
      <c r="F1722" s="23">
        <v>141828</v>
      </c>
      <c r="G1722" s="20" t="s">
        <v>1537</v>
      </c>
      <c r="H1722" s="20" t="s">
        <v>2266</v>
      </c>
      <c r="I1722" s="20" t="s">
        <v>678</v>
      </c>
      <c r="J1722" s="20" t="s">
        <v>6</v>
      </c>
      <c r="K1722" s="20" t="s">
        <v>137</v>
      </c>
      <c r="L1722" s="20" t="s">
        <v>137</v>
      </c>
      <c r="M1722" s="20" t="s">
        <v>1713</v>
      </c>
      <c r="Q1722" s="24" t="s">
        <v>680</v>
      </c>
    </row>
    <row r="1723" spans="1:17" hidden="1" x14ac:dyDescent="0.3">
      <c r="A1723" s="20">
        <f t="shared" si="26"/>
        <v>1722</v>
      </c>
      <c r="B1723" s="21" t="s">
        <v>87</v>
      </c>
      <c r="C1723" s="21" t="s">
        <v>94</v>
      </c>
      <c r="D1723" s="22" t="str">
        <f>IF($C1723="","",IFERROR(VLOOKUP($C1723,Map_Register!$A$2:$C$5,3,FALSE()),""))</f>
        <v>Military Zone</v>
      </c>
      <c r="E1723" s="21" t="s">
        <v>15</v>
      </c>
      <c r="F1723" s="23">
        <v>141830</v>
      </c>
      <c r="G1723" s="20" t="s">
        <v>1537</v>
      </c>
      <c r="H1723" s="20" t="s">
        <v>2268</v>
      </c>
      <c r="I1723" s="20" t="s">
        <v>678</v>
      </c>
      <c r="J1723" s="20" t="s">
        <v>6</v>
      </c>
      <c r="K1723" s="20" t="s">
        <v>137</v>
      </c>
      <c r="L1723" s="20" t="s">
        <v>137</v>
      </c>
      <c r="M1723" s="20" t="s">
        <v>1713</v>
      </c>
      <c r="Q1723" s="24" t="s">
        <v>680</v>
      </c>
    </row>
    <row r="1724" spans="1:17" hidden="1" x14ac:dyDescent="0.3">
      <c r="A1724" s="20">
        <f t="shared" si="26"/>
        <v>1723</v>
      </c>
      <c r="B1724" s="21" t="s">
        <v>87</v>
      </c>
      <c r="C1724" s="21" t="s">
        <v>94</v>
      </c>
      <c r="D1724" s="22" t="str">
        <f>IF($C1724="","",IFERROR(VLOOKUP($C1724,Map_Register!$A$2:$C$5,3,FALSE()),""))</f>
        <v>Military Zone</v>
      </c>
      <c r="E1724" s="21" t="s">
        <v>15</v>
      </c>
      <c r="F1724" s="23">
        <v>143531</v>
      </c>
      <c r="G1724" s="20" t="s">
        <v>1537</v>
      </c>
      <c r="H1724" s="20" t="s">
        <v>2435</v>
      </c>
      <c r="I1724" s="20" t="s">
        <v>678</v>
      </c>
      <c r="J1724" s="20" t="s">
        <v>6</v>
      </c>
      <c r="K1724" s="20" t="s">
        <v>137</v>
      </c>
      <c r="L1724" s="20" t="s">
        <v>137</v>
      </c>
      <c r="M1724" s="20" t="s">
        <v>1713</v>
      </c>
      <c r="Q1724" s="24" t="s">
        <v>680</v>
      </c>
    </row>
    <row r="1725" spans="1:17" hidden="1" x14ac:dyDescent="0.3">
      <c r="A1725" s="20">
        <f t="shared" si="26"/>
        <v>1724</v>
      </c>
      <c r="B1725" s="21" t="s">
        <v>87</v>
      </c>
      <c r="C1725" s="21" t="s">
        <v>94</v>
      </c>
      <c r="D1725" s="22" t="str">
        <f>IF($C1725="","",IFERROR(VLOOKUP($C1725,Map_Register!$A$2:$C$5,3,FALSE()),""))</f>
        <v>Military Zone</v>
      </c>
      <c r="E1725" s="21" t="s">
        <v>15</v>
      </c>
      <c r="F1725" s="23">
        <v>150394</v>
      </c>
      <c r="G1725" s="20" t="s">
        <v>1537</v>
      </c>
      <c r="H1725" s="20" t="s">
        <v>2436</v>
      </c>
      <c r="I1725" s="20" t="s">
        <v>678</v>
      </c>
      <c r="J1725" s="20" t="s">
        <v>6</v>
      </c>
      <c r="K1725" s="20" t="s">
        <v>137</v>
      </c>
      <c r="L1725" s="20" t="s">
        <v>137</v>
      </c>
      <c r="M1725" s="20" t="s">
        <v>2409</v>
      </c>
      <c r="Q1725" s="24" t="s">
        <v>680</v>
      </c>
    </row>
    <row r="1726" spans="1:17" hidden="1" x14ac:dyDescent="0.3">
      <c r="A1726" s="20">
        <f t="shared" si="26"/>
        <v>1725</v>
      </c>
      <c r="B1726" s="21" t="s">
        <v>87</v>
      </c>
      <c r="C1726" s="21" t="s">
        <v>94</v>
      </c>
      <c r="D1726" s="22" t="str">
        <f>IF($C1726="","",IFERROR(VLOOKUP($C1726,Map_Register!$A$2:$C$5,3,FALSE()),""))</f>
        <v>Military Zone</v>
      </c>
      <c r="E1726" s="21" t="s">
        <v>15</v>
      </c>
      <c r="F1726" s="23">
        <v>150901</v>
      </c>
      <c r="G1726" s="20" t="s">
        <v>1537</v>
      </c>
      <c r="H1726" s="20" t="s">
        <v>2437</v>
      </c>
      <c r="I1726" s="20" t="s">
        <v>678</v>
      </c>
      <c r="J1726" s="20" t="s">
        <v>6</v>
      </c>
      <c r="K1726" s="20" t="s">
        <v>137</v>
      </c>
      <c r="L1726" s="20" t="s">
        <v>137</v>
      </c>
      <c r="M1726" s="20" t="s">
        <v>1713</v>
      </c>
      <c r="Q1726" s="24" t="s">
        <v>680</v>
      </c>
    </row>
    <row r="1727" spans="1:17" hidden="1" x14ac:dyDescent="0.3">
      <c r="A1727" s="20">
        <f t="shared" si="26"/>
        <v>1726</v>
      </c>
      <c r="B1727" s="21" t="s">
        <v>87</v>
      </c>
      <c r="C1727" s="21" t="s">
        <v>94</v>
      </c>
      <c r="D1727" s="22" t="str">
        <f>IF($C1727="","",IFERROR(VLOOKUP($C1727,Map_Register!$A$2:$C$5,3,FALSE()),""))</f>
        <v>Military Zone</v>
      </c>
      <c r="E1727" s="21" t="s">
        <v>15</v>
      </c>
      <c r="F1727" s="23">
        <v>151284</v>
      </c>
      <c r="G1727" s="20" t="s">
        <v>1537</v>
      </c>
      <c r="H1727" s="20" t="s">
        <v>2438</v>
      </c>
      <c r="I1727" s="20" t="s">
        <v>678</v>
      </c>
      <c r="J1727" s="20" t="s">
        <v>8</v>
      </c>
      <c r="K1727" t="s">
        <v>107</v>
      </c>
      <c r="L1727" s="20" t="s">
        <v>107</v>
      </c>
      <c r="M1727" s="20" t="s">
        <v>2439</v>
      </c>
      <c r="N1727" s="20" t="s">
        <v>108</v>
      </c>
      <c r="Q1727" s="24" t="s">
        <v>680</v>
      </c>
    </row>
    <row r="1728" spans="1:17" x14ac:dyDescent="0.3">
      <c r="A1728" s="20">
        <f t="shared" si="26"/>
        <v>1727</v>
      </c>
      <c r="B1728" s="21" t="s">
        <v>87</v>
      </c>
      <c r="C1728" s="21" t="s">
        <v>94</v>
      </c>
      <c r="D1728" s="22" t="str">
        <f>IF($C1728="","",IFERROR(VLOOKUP($C1728,Map_Register!$A$2:$C$5,3,FALSE()),""))</f>
        <v>Military Zone</v>
      </c>
      <c r="E1728" s="21" t="s">
        <v>15</v>
      </c>
      <c r="F1728" s="23">
        <v>151337</v>
      </c>
      <c r="G1728" s="20" t="s">
        <v>1537</v>
      </c>
      <c r="H1728" s="20" t="s">
        <v>2440</v>
      </c>
      <c r="I1728" s="20" t="s">
        <v>678</v>
      </c>
      <c r="J1728" s="20" t="s">
        <v>8</v>
      </c>
      <c r="K1728" t="s">
        <v>107</v>
      </c>
      <c r="L1728" t="s">
        <v>108</v>
      </c>
      <c r="M1728" s="20" t="s">
        <v>2441</v>
      </c>
      <c r="N1728" s="20" t="s">
        <v>108</v>
      </c>
      <c r="Q1728" s="24" t="s">
        <v>680</v>
      </c>
    </row>
    <row r="1729" spans="1:17" hidden="1" x14ac:dyDescent="0.3">
      <c r="A1729" s="20">
        <f t="shared" si="26"/>
        <v>1728</v>
      </c>
      <c r="B1729" s="21" t="s">
        <v>87</v>
      </c>
      <c r="C1729" s="21" t="s">
        <v>94</v>
      </c>
      <c r="D1729" s="22" t="str">
        <f>IF($C1729="","",IFERROR(VLOOKUP($C1729,Map_Register!$A$2:$C$5,3,FALSE()),""))</f>
        <v>Military Zone</v>
      </c>
      <c r="E1729" s="21" t="s">
        <v>15</v>
      </c>
      <c r="F1729" s="23">
        <v>151519</v>
      </c>
      <c r="G1729" s="20" t="s">
        <v>1537</v>
      </c>
      <c r="H1729" s="20" t="s">
        <v>2442</v>
      </c>
      <c r="I1729" s="20" t="s">
        <v>678</v>
      </c>
      <c r="J1729" s="20" t="s">
        <v>6</v>
      </c>
      <c r="K1729" s="20" t="s">
        <v>137</v>
      </c>
      <c r="L1729" s="20" t="s">
        <v>137</v>
      </c>
      <c r="M1729" s="20" t="s">
        <v>1713</v>
      </c>
      <c r="Q1729" s="24" t="s">
        <v>680</v>
      </c>
    </row>
    <row r="1730" spans="1:17" hidden="1" x14ac:dyDescent="0.3">
      <c r="A1730" s="20">
        <f t="shared" ref="A1730:A1793" si="27">IF($B1730="","",ROW()-1)</f>
        <v>1729</v>
      </c>
      <c r="B1730" s="21" t="s">
        <v>87</v>
      </c>
      <c r="C1730" s="21" t="s">
        <v>94</v>
      </c>
      <c r="D1730" s="22" t="str">
        <f>IF($C1730="","",IFERROR(VLOOKUP($C1730,Map_Register!$A$2:$C$5,3,FALSE()),""))</f>
        <v>Military Zone</v>
      </c>
      <c r="E1730" s="21" t="s">
        <v>15</v>
      </c>
      <c r="F1730" s="23">
        <v>151844</v>
      </c>
      <c r="G1730" s="20" t="s">
        <v>1537</v>
      </c>
      <c r="H1730" s="20" t="s">
        <v>2443</v>
      </c>
      <c r="I1730" s="20" t="s">
        <v>678</v>
      </c>
      <c r="J1730" s="20" t="s">
        <v>8</v>
      </c>
      <c r="K1730" t="s">
        <v>107</v>
      </c>
      <c r="L1730" s="20" t="s">
        <v>107</v>
      </c>
      <c r="M1730" s="20" t="s">
        <v>2414</v>
      </c>
      <c r="N1730" s="20" t="s">
        <v>108</v>
      </c>
      <c r="Q1730" s="24" t="s">
        <v>680</v>
      </c>
    </row>
    <row r="1731" spans="1:17" hidden="1" x14ac:dyDescent="0.3">
      <c r="A1731" s="20">
        <f t="shared" si="27"/>
        <v>1730</v>
      </c>
      <c r="B1731" s="21" t="s">
        <v>87</v>
      </c>
      <c r="C1731" s="21" t="s">
        <v>94</v>
      </c>
      <c r="D1731" s="22" t="str">
        <f>IF($C1731="","",IFERROR(VLOOKUP($C1731,Map_Register!$A$2:$C$5,3,FALSE()),""))</f>
        <v>Military Zone</v>
      </c>
      <c r="E1731" s="21" t="s">
        <v>15</v>
      </c>
      <c r="F1731" s="23">
        <v>151898</v>
      </c>
      <c r="G1731" s="20" t="s">
        <v>1537</v>
      </c>
      <c r="H1731" s="20" t="s">
        <v>2444</v>
      </c>
      <c r="I1731" s="20" t="s">
        <v>678</v>
      </c>
      <c r="J1731" s="20" t="s">
        <v>6</v>
      </c>
      <c r="K1731" s="20" t="s">
        <v>137</v>
      </c>
      <c r="L1731" s="20" t="s">
        <v>137</v>
      </c>
      <c r="M1731" s="20" t="s">
        <v>1713</v>
      </c>
      <c r="Q1731" s="24" t="s">
        <v>680</v>
      </c>
    </row>
    <row r="1732" spans="1:17" hidden="1" x14ac:dyDescent="0.3">
      <c r="A1732" s="20">
        <f t="shared" si="27"/>
        <v>1731</v>
      </c>
      <c r="B1732" s="21" t="s">
        <v>87</v>
      </c>
      <c r="C1732" s="21" t="s">
        <v>94</v>
      </c>
      <c r="D1732" s="22" t="str">
        <f>IF($C1732="","",IFERROR(VLOOKUP($C1732,Map_Register!$A$2:$C$5,3,FALSE()),""))</f>
        <v>Military Zone</v>
      </c>
      <c r="E1732" s="21" t="s">
        <v>15</v>
      </c>
      <c r="F1732" s="23">
        <v>152085</v>
      </c>
      <c r="G1732" s="20" t="s">
        <v>1537</v>
      </c>
      <c r="H1732" s="20" t="s">
        <v>2445</v>
      </c>
      <c r="I1732" s="20" t="s">
        <v>678</v>
      </c>
      <c r="J1732" s="20" t="s">
        <v>6</v>
      </c>
      <c r="K1732" s="20" t="s">
        <v>137</v>
      </c>
      <c r="L1732" s="20" t="s">
        <v>137</v>
      </c>
      <c r="M1732" s="20" t="s">
        <v>2406</v>
      </c>
      <c r="Q1732" s="24" t="s">
        <v>680</v>
      </c>
    </row>
    <row r="1733" spans="1:17" hidden="1" x14ac:dyDescent="0.3">
      <c r="A1733" s="20">
        <f t="shared" si="27"/>
        <v>1732</v>
      </c>
      <c r="B1733" s="21" t="s">
        <v>87</v>
      </c>
      <c r="C1733" s="21" t="s">
        <v>94</v>
      </c>
      <c r="D1733" s="22" t="str">
        <f>IF($C1733="","",IFERROR(VLOOKUP($C1733,Map_Register!$A$2:$C$5,3,FALSE()),""))</f>
        <v>Military Zone</v>
      </c>
      <c r="E1733" s="21" t="s">
        <v>15</v>
      </c>
      <c r="F1733" s="23">
        <v>153575</v>
      </c>
      <c r="G1733" s="20" t="s">
        <v>1537</v>
      </c>
      <c r="H1733" s="20" t="s">
        <v>2446</v>
      </c>
      <c r="I1733" s="20" t="s">
        <v>678</v>
      </c>
      <c r="J1733" s="20" t="s">
        <v>6</v>
      </c>
      <c r="K1733" s="20" t="s">
        <v>137</v>
      </c>
      <c r="L1733" s="20" t="s">
        <v>137</v>
      </c>
      <c r="M1733" s="20" t="s">
        <v>2406</v>
      </c>
      <c r="Q1733" s="24" t="s">
        <v>680</v>
      </c>
    </row>
    <row r="1734" spans="1:17" hidden="1" x14ac:dyDescent="0.3">
      <c r="A1734" s="20">
        <f t="shared" si="27"/>
        <v>1733</v>
      </c>
      <c r="B1734" s="21" t="s">
        <v>87</v>
      </c>
      <c r="C1734" s="21" t="s">
        <v>94</v>
      </c>
      <c r="D1734" s="22" t="str">
        <f>IF($C1734="","",IFERROR(VLOOKUP($C1734,Map_Register!$A$2:$C$5,3,FALSE()),""))</f>
        <v>Military Zone</v>
      </c>
      <c r="E1734" s="21" t="s">
        <v>15</v>
      </c>
      <c r="F1734" s="23">
        <v>158078</v>
      </c>
      <c r="G1734" s="20" t="s">
        <v>1537</v>
      </c>
      <c r="H1734" s="20" t="s">
        <v>2447</v>
      </c>
      <c r="I1734" s="20" t="s">
        <v>678</v>
      </c>
      <c r="J1734" s="20" t="s">
        <v>6</v>
      </c>
      <c r="K1734" s="20" t="s">
        <v>137</v>
      </c>
      <c r="L1734" s="20" t="s">
        <v>137</v>
      </c>
      <c r="M1734" s="20" t="s">
        <v>2406</v>
      </c>
      <c r="Q1734" s="24" t="s">
        <v>680</v>
      </c>
    </row>
    <row r="1735" spans="1:17" hidden="1" x14ac:dyDescent="0.3">
      <c r="A1735" s="20">
        <f t="shared" si="27"/>
        <v>1734</v>
      </c>
      <c r="B1735" s="21" t="s">
        <v>87</v>
      </c>
      <c r="C1735" s="21" t="s">
        <v>94</v>
      </c>
      <c r="D1735" s="22" t="str">
        <f>IF($C1735="","",IFERROR(VLOOKUP($C1735,Map_Register!$A$2:$C$5,3,FALSE()),""))</f>
        <v>Military Zone</v>
      </c>
      <c r="E1735" s="21" t="s">
        <v>15</v>
      </c>
      <c r="F1735" s="23">
        <v>162762</v>
      </c>
      <c r="G1735" s="20" t="s">
        <v>1537</v>
      </c>
      <c r="H1735" s="20" t="s">
        <v>2448</v>
      </c>
      <c r="I1735" s="20" t="s">
        <v>678</v>
      </c>
      <c r="J1735" s="20" t="s">
        <v>6</v>
      </c>
      <c r="K1735" s="20" t="s">
        <v>137</v>
      </c>
      <c r="L1735" s="20" t="s">
        <v>137</v>
      </c>
      <c r="M1735" s="20" t="s">
        <v>2406</v>
      </c>
      <c r="Q1735" s="24" t="s">
        <v>680</v>
      </c>
    </row>
    <row r="1736" spans="1:17" hidden="1" x14ac:dyDescent="0.3">
      <c r="A1736" s="20">
        <f t="shared" si="27"/>
        <v>1735</v>
      </c>
      <c r="B1736" s="21" t="s">
        <v>87</v>
      </c>
      <c r="C1736" s="21" t="s">
        <v>94</v>
      </c>
      <c r="D1736" s="22" t="str">
        <f>IF($C1736="","",IFERROR(VLOOKUP($C1736,Map_Register!$A$2:$C$5,3,FALSE()),""))</f>
        <v>Military Zone</v>
      </c>
      <c r="E1736" s="21" t="s">
        <v>15</v>
      </c>
      <c r="F1736" s="23">
        <v>168502</v>
      </c>
      <c r="G1736" s="20" t="s">
        <v>1537</v>
      </c>
      <c r="H1736" s="20" t="s">
        <v>2449</v>
      </c>
      <c r="I1736" s="20" t="s">
        <v>678</v>
      </c>
      <c r="J1736" s="20" t="s">
        <v>6</v>
      </c>
      <c r="K1736" s="20" t="s">
        <v>137</v>
      </c>
      <c r="L1736" s="20" t="s">
        <v>137</v>
      </c>
      <c r="M1736" s="20" t="s">
        <v>2409</v>
      </c>
      <c r="Q1736" s="24" t="s">
        <v>680</v>
      </c>
    </row>
    <row r="1737" spans="1:17" hidden="1" x14ac:dyDescent="0.3">
      <c r="A1737" s="20">
        <f t="shared" si="27"/>
        <v>1736</v>
      </c>
      <c r="B1737" s="21" t="s">
        <v>87</v>
      </c>
      <c r="C1737" s="21" t="s">
        <v>94</v>
      </c>
      <c r="D1737" s="22" t="str">
        <f>IF($C1737="","",IFERROR(VLOOKUP($C1737,Map_Register!$A$2:$C$5,3,FALSE()),""))</f>
        <v>Military Zone</v>
      </c>
      <c r="E1737" s="21" t="s">
        <v>15</v>
      </c>
      <c r="F1737" s="23">
        <v>172760</v>
      </c>
      <c r="G1737" s="20" t="s">
        <v>1560</v>
      </c>
      <c r="H1737" s="20" t="s">
        <v>2450</v>
      </c>
      <c r="I1737" s="20" t="s">
        <v>678</v>
      </c>
      <c r="J1737" s="20" t="s">
        <v>8</v>
      </c>
      <c r="K1737" t="s">
        <v>107</v>
      </c>
      <c r="L1737" s="20" t="s">
        <v>107</v>
      </c>
      <c r="M1737" s="20" t="s">
        <v>2451</v>
      </c>
      <c r="N1737" s="20" t="s">
        <v>108</v>
      </c>
      <c r="Q1737" s="24" t="s">
        <v>680</v>
      </c>
    </row>
    <row r="1738" spans="1:17" hidden="1" x14ac:dyDescent="0.3">
      <c r="A1738" s="20">
        <f t="shared" si="27"/>
        <v>1737</v>
      </c>
      <c r="B1738" s="21" t="s">
        <v>87</v>
      </c>
      <c r="C1738" s="21" t="s">
        <v>94</v>
      </c>
      <c r="D1738" s="22" t="str">
        <f>IF($C1738="","",IFERROR(VLOOKUP($C1738,Map_Register!$A$2:$C$5,3,FALSE()),""))</f>
        <v>Military Zone</v>
      </c>
      <c r="E1738" s="21" t="s">
        <v>15</v>
      </c>
      <c r="F1738" s="23">
        <v>173685</v>
      </c>
      <c r="G1738" s="20" t="s">
        <v>1537</v>
      </c>
      <c r="H1738" s="20" t="s">
        <v>2420</v>
      </c>
      <c r="I1738" s="20" t="s">
        <v>678</v>
      </c>
      <c r="J1738" s="20" t="s">
        <v>220</v>
      </c>
      <c r="K1738" s="20" t="s">
        <v>137</v>
      </c>
      <c r="L1738" s="20" t="s">
        <v>137</v>
      </c>
      <c r="M1738" s="20" t="s">
        <v>2421</v>
      </c>
      <c r="P1738" s="20" t="s">
        <v>2280</v>
      </c>
      <c r="Q1738" s="24" t="s">
        <v>680</v>
      </c>
    </row>
    <row r="1739" spans="1:17" hidden="1" x14ac:dyDescent="0.3">
      <c r="A1739" s="20">
        <f t="shared" si="27"/>
        <v>1738</v>
      </c>
      <c r="B1739" s="21" t="s">
        <v>87</v>
      </c>
      <c r="C1739" s="21" t="s">
        <v>94</v>
      </c>
      <c r="D1739" s="22" t="str">
        <f>IF($C1739="","",IFERROR(VLOOKUP($C1739,Map_Register!$A$2:$C$5,3,FALSE()),""))</f>
        <v>Military Zone</v>
      </c>
      <c r="E1739" s="21" t="s">
        <v>15</v>
      </c>
      <c r="F1739" s="23">
        <v>176485</v>
      </c>
      <c r="G1739" s="20" t="s">
        <v>1560</v>
      </c>
      <c r="H1739" s="20" t="s">
        <v>2430</v>
      </c>
      <c r="I1739" s="20" t="s">
        <v>678</v>
      </c>
      <c r="J1739" s="20" t="s">
        <v>6</v>
      </c>
      <c r="K1739" s="20" t="s">
        <v>137</v>
      </c>
      <c r="L1739" s="20" t="s">
        <v>137</v>
      </c>
      <c r="M1739" s="20" t="s">
        <v>1713</v>
      </c>
      <c r="Q1739" s="24" t="s">
        <v>680</v>
      </c>
    </row>
    <row r="1740" spans="1:17" hidden="1" x14ac:dyDescent="0.3">
      <c r="A1740" s="20">
        <f t="shared" si="27"/>
        <v>1739</v>
      </c>
      <c r="B1740" s="21" t="s">
        <v>87</v>
      </c>
      <c r="C1740" s="21" t="s">
        <v>94</v>
      </c>
      <c r="D1740" s="22" t="str">
        <f>IF($C1740="","",IFERROR(VLOOKUP($C1740,Map_Register!$A$2:$C$5,3,FALSE()),""))</f>
        <v>Military Zone</v>
      </c>
      <c r="E1740" s="21" t="s">
        <v>15</v>
      </c>
      <c r="F1740" s="23">
        <v>177678</v>
      </c>
      <c r="G1740" s="20" t="s">
        <v>1560</v>
      </c>
      <c r="H1740" s="20" t="s">
        <v>2425</v>
      </c>
      <c r="I1740" s="20" t="s">
        <v>678</v>
      </c>
      <c r="J1740" s="20" t="s">
        <v>6</v>
      </c>
      <c r="K1740" s="20" t="s">
        <v>137</v>
      </c>
      <c r="L1740" s="20" t="s">
        <v>137</v>
      </c>
      <c r="M1740" s="20" t="s">
        <v>1846</v>
      </c>
      <c r="Q1740" s="24" t="s">
        <v>680</v>
      </c>
    </row>
    <row r="1741" spans="1:17" hidden="1" x14ac:dyDescent="0.3">
      <c r="A1741" s="20">
        <f t="shared" si="27"/>
        <v>1740</v>
      </c>
      <c r="B1741" s="21" t="s">
        <v>87</v>
      </c>
      <c r="C1741" s="21" t="s">
        <v>94</v>
      </c>
      <c r="D1741" s="22" t="str">
        <f>IF($C1741="","",IFERROR(VLOOKUP($C1741,Map_Register!$A$2:$C$5,3,FALSE()),""))</f>
        <v>Military Zone</v>
      </c>
      <c r="E1741" s="21" t="s">
        <v>15</v>
      </c>
      <c r="F1741" s="23">
        <v>205675</v>
      </c>
      <c r="G1741" s="20" t="s">
        <v>1537</v>
      </c>
      <c r="H1741" s="20" t="s">
        <v>2416</v>
      </c>
      <c r="I1741" s="20" t="s">
        <v>678</v>
      </c>
      <c r="J1741" s="20" t="s">
        <v>220</v>
      </c>
      <c r="K1741" s="20" t="s">
        <v>137</v>
      </c>
      <c r="L1741" s="20" t="s">
        <v>137</v>
      </c>
      <c r="M1741" s="20" t="s">
        <v>2452</v>
      </c>
      <c r="P1741" s="20" t="s">
        <v>2280</v>
      </c>
      <c r="Q1741" s="24" t="s">
        <v>680</v>
      </c>
    </row>
    <row r="1742" spans="1:17" hidden="1" x14ac:dyDescent="0.3">
      <c r="A1742" s="20">
        <f t="shared" si="27"/>
        <v>1741</v>
      </c>
      <c r="B1742" s="21" t="s">
        <v>87</v>
      </c>
      <c r="C1742" s="21" t="s">
        <v>94</v>
      </c>
      <c r="D1742" s="22" t="str">
        <f>IF($C1742="","",IFERROR(VLOOKUP($C1742,Map_Register!$A$2:$C$5,3,FALSE()),""))</f>
        <v>Military Zone</v>
      </c>
      <c r="E1742" s="21" t="s">
        <v>15</v>
      </c>
      <c r="F1742" s="23">
        <v>207650</v>
      </c>
      <c r="G1742" s="20" t="s">
        <v>1537</v>
      </c>
      <c r="H1742" s="20" t="s">
        <v>2453</v>
      </c>
      <c r="I1742" s="20" t="s">
        <v>678</v>
      </c>
      <c r="J1742" s="20" t="s">
        <v>6</v>
      </c>
      <c r="K1742" s="20" t="s">
        <v>137</v>
      </c>
      <c r="L1742" s="20" t="s">
        <v>137</v>
      </c>
      <c r="M1742" s="20" t="s">
        <v>1713</v>
      </c>
      <c r="Q1742" s="24" t="s">
        <v>680</v>
      </c>
    </row>
    <row r="1743" spans="1:17" hidden="1" x14ac:dyDescent="0.3">
      <c r="A1743" s="20">
        <f t="shared" si="27"/>
        <v>1742</v>
      </c>
      <c r="B1743" s="21" t="s">
        <v>87</v>
      </c>
      <c r="C1743" s="21" t="s">
        <v>94</v>
      </c>
      <c r="D1743" s="22" t="str">
        <f>IF($C1743="","",IFERROR(VLOOKUP($C1743,Map_Register!$A$2:$C$5,3,FALSE()),""))</f>
        <v>Military Zone</v>
      </c>
      <c r="E1743" s="21" t="s">
        <v>15</v>
      </c>
      <c r="F1743" s="23">
        <v>208998</v>
      </c>
      <c r="G1743" s="20" t="s">
        <v>1537</v>
      </c>
      <c r="H1743" s="20" t="s">
        <v>2454</v>
      </c>
      <c r="I1743" s="20" t="s">
        <v>678</v>
      </c>
      <c r="J1743" s="20" t="s">
        <v>8</v>
      </c>
      <c r="K1743" t="s">
        <v>107</v>
      </c>
      <c r="L1743" s="20" t="s">
        <v>107</v>
      </c>
      <c r="M1743" s="20" t="s">
        <v>2414</v>
      </c>
      <c r="N1743" s="20" t="s">
        <v>108</v>
      </c>
      <c r="Q1743" s="24" t="s">
        <v>680</v>
      </c>
    </row>
    <row r="1744" spans="1:17" hidden="1" x14ac:dyDescent="0.3">
      <c r="A1744" s="20">
        <f t="shared" si="27"/>
        <v>1743</v>
      </c>
      <c r="B1744" s="21" t="s">
        <v>87</v>
      </c>
      <c r="C1744" s="21" t="s">
        <v>94</v>
      </c>
      <c r="D1744" s="22" t="str">
        <f>IF($C1744="","",IFERROR(VLOOKUP($C1744,Map_Register!$A$2:$C$5,3,FALSE()),""))</f>
        <v>Military Zone</v>
      </c>
      <c r="E1744" s="21" t="s">
        <v>15</v>
      </c>
      <c r="F1744" s="23">
        <v>209234</v>
      </c>
      <c r="G1744" s="20" t="s">
        <v>1537</v>
      </c>
      <c r="H1744" s="20" t="s">
        <v>2455</v>
      </c>
      <c r="I1744" s="20" t="s">
        <v>678</v>
      </c>
      <c r="J1744" s="20" t="s">
        <v>6</v>
      </c>
      <c r="K1744" s="20" t="s">
        <v>137</v>
      </c>
      <c r="L1744" s="20" t="s">
        <v>137</v>
      </c>
      <c r="M1744" s="20" t="s">
        <v>2406</v>
      </c>
      <c r="Q1744" s="24" t="s">
        <v>680</v>
      </c>
    </row>
    <row r="1745" spans="1:17" x14ac:dyDescent="0.3">
      <c r="A1745" s="20">
        <f t="shared" si="27"/>
        <v>1744</v>
      </c>
      <c r="B1745" s="21" t="s">
        <v>87</v>
      </c>
      <c r="C1745" s="21" t="s">
        <v>94</v>
      </c>
      <c r="D1745" s="22" t="str">
        <f>IF($C1745="","",IFERROR(VLOOKUP($C1745,Map_Register!$A$2:$C$5,3,FALSE()),""))</f>
        <v>Military Zone</v>
      </c>
      <c r="E1745" s="21" t="s">
        <v>15</v>
      </c>
      <c r="F1745" s="23">
        <v>210302</v>
      </c>
      <c r="G1745" s="20" t="s">
        <v>1537</v>
      </c>
      <c r="H1745" s="20" t="s">
        <v>2456</v>
      </c>
      <c r="I1745" s="20" t="s">
        <v>678</v>
      </c>
      <c r="J1745" s="20" t="s">
        <v>8</v>
      </c>
      <c r="K1745" t="s">
        <v>107</v>
      </c>
      <c r="L1745" t="s">
        <v>108</v>
      </c>
      <c r="M1745" s="20" t="s">
        <v>2441</v>
      </c>
      <c r="N1745" s="20" t="s">
        <v>108</v>
      </c>
      <c r="Q1745" s="24" t="s">
        <v>680</v>
      </c>
    </row>
    <row r="1746" spans="1:17" hidden="1" x14ac:dyDescent="0.3">
      <c r="A1746" s="20">
        <f t="shared" si="27"/>
        <v>1745</v>
      </c>
      <c r="B1746" s="21" t="s">
        <v>87</v>
      </c>
      <c r="C1746" s="21" t="s">
        <v>94</v>
      </c>
      <c r="D1746" s="22" t="str">
        <f>IF($C1746="","",IFERROR(VLOOKUP($C1746,Map_Register!$A$2:$C$5,3,FALSE()),""))</f>
        <v>Military Zone</v>
      </c>
      <c r="E1746" s="21" t="s">
        <v>15</v>
      </c>
      <c r="F1746" s="23">
        <v>210655</v>
      </c>
      <c r="G1746" s="20" t="s">
        <v>1537</v>
      </c>
      <c r="H1746" s="20" t="s">
        <v>2457</v>
      </c>
      <c r="I1746" s="20" t="s">
        <v>678</v>
      </c>
      <c r="J1746" s="20" t="s">
        <v>8</v>
      </c>
      <c r="K1746" t="s">
        <v>107</v>
      </c>
      <c r="L1746" s="20" t="s">
        <v>107</v>
      </c>
      <c r="M1746" s="20" t="s">
        <v>2414</v>
      </c>
      <c r="N1746" s="20" t="s">
        <v>108</v>
      </c>
      <c r="Q1746" s="24" t="s">
        <v>680</v>
      </c>
    </row>
    <row r="1747" spans="1:17" hidden="1" x14ac:dyDescent="0.3">
      <c r="A1747" s="20">
        <f t="shared" si="27"/>
        <v>1746</v>
      </c>
      <c r="B1747" s="21" t="s">
        <v>87</v>
      </c>
      <c r="C1747" s="21" t="s">
        <v>94</v>
      </c>
      <c r="D1747" s="22" t="str">
        <f>IF($C1747="","",IFERROR(VLOOKUP($C1747,Map_Register!$A$2:$C$5,3,FALSE()),""))</f>
        <v>Military Zone</v>
      </c>
      <c r="E1747" s="21" t="s">
        <v>15</v>
      </c>
      <c r="F1747" s="23">
        <v>211018</v>
      </c>
      <c r="G1747" s="20" t="s">
        <v>1537</v>
      </c>
      <c r="H1747" s="20" t="s">
        <v>2458</v>
      </c>
      <c r="I1747" s="20" t="s">
        <v>678</v>
      </c>
      <c r="J1747" s="20" t="s">
        <v>6</v>
      </c>
      <c r="K1747" s="20" t="s">
        <v>137</v>
      </c>
      <c r="L1747" s="20" t="s">
        <v>137</v>
      </c>
      <c r="M1747" s="20" t="s">
        <v>1713</v>
      </c>
      <c r="Q1747" s="24" t="s">
        <v>680</v>
      </c>
    </row>
    <row r="1748" spans="1:17" hidden="1" x14ac:dyDescent="0.3">
      <c r="A1748" s="20">
        <f t="shared" si="27"/>
        <v>1747</v>
      </c>
      <c r="B1748" s="21" t="s">
        <v>87</v>
      </c>
      <c r="C1748" s="21" t="s">
        <v>94</v>
      </c>
      <c r="D1748" s="22" t="str">
        <f>IF($C1748="","",IFERROR(VLOOKUP($C1748,Map_Register!$A$2:$C$5,3,FALSE()),""))</f>
        <v>Military Zone</v>
      </c>
      <c r="E1748" s="21" t="s">
        <v>15</v>
      </c>
      <c r="F1748" s="23">
        <v>211165</v>
      </c>
      <c r="G1748" s="20" t="s">
        <v>1537</v>
      </c>
      <c r="H1748" s="20" t="s">
        <v>2459</v>
      </c>
      <c r="I1748" s="20" t="s">
        <v>678</v>
      </c>
      <c r="J1748" s="20" t="s">
        <v>8</v>
      </c>
      <c r="K1748" t="s">
        <v>107</v>
      </c>
      <c r="L1748" s="20" t="s">
        <v>107</v>
      </c>
      <c r="M1748" s="20" t="s">
        <v>2414</v>
      </c>
      <c r="N1748" s="20" t="s">
        <v>108</v>
      </c>
      <c r="Q1748" s="24" t="s">
        <v>680</v>
      </c>
    </row>
    <row r="1749" spans="1:17" x14ac:dyDescent="0.3">
      <c r="A1749" s="20">
        <f t="shared" si="27"/>
        <v>1748</v>
      </c>
      <c r="B1749" s="21" t="s">
        <v>87</v>
      </c>
      <c r="C1749" s="21" t="s">
        <v>94</v>
      </c>
      <c r="D1749" s="22" t="str">
        <f>IF($C1749="","",IFERROR(VLOOKUP($C1749,Map_Register!$A$2:$C$5,3,FALSE()),""))</f>
        <v>Military Zone</v>
      </c>
      <c r="E1749" s="21" t="s">
        <v>15</v>
      </c>
      <c r="F1749" s="23">
        <v>211600</v>
      </c>
      <c r="G1749" s="20" t="s">
        <v>1537</v>
      </c>
      <c r="H1749" s="20" t="s">
        <v>2460</v>
      </c>
      <c r="I1749" s="20" t="s">
        <v>678</v>
      </c>
      <c r="J1749" s="20" t="s">
        <v>8</v>
      </c>
      <c r="K1749" t="s">
        <v>107</v>
      </c>
      <c r="L1749" t="s">
        <v>108</v>
      </c>
      <c r="M1749" s="20" t="s">
        <v>2461</v>
      </c>
      <c r="N1749" s="20" t="s">
        <v>108</v>
      </c>
      <c r="Q1749" s="24" t="s">
        <v>680</v>
      </c>
    </row>
    <row r="1750" spans="1:17" hidden="1" x14ac:dyDescent="0.3">
      <c r="A1750" s="20">
        <f t="shared" si="27"/>
        <v>1749</v>
      </c>
      <c r="B1750" s="21" t="s">
        <v>87</v>
      </c>
      <c r="C1750" s="21" t="s">
        <v>94</v>
      </c>
      <c r="D1750" s="22" t="str">
        <f>IF($C1750="","",IFERROR(VLOOKUP($C1750,Map_Register!$A$2:$C$5,3,FALSE()),""))</f>
        <v>Military Zone</v>
      </c>
      <c r="E1750" s="21" t="s">
        <v>15</v>
      </c>
      <c r="F1750" s="23">
        <v>213422</v>
      </c>
      <c r="G1750" s="20" t="s">
        <v>1537</v>
      </c>
      <c r="H1750" s="20" t="s">
        <v>2462</v>
      </c>
      <c r="I1750" s="20" t="s">
        <v>678</v>
      </c>
      <c r="J1750" s="20" t="s">
        <v>6</v>
      </c>
      <c r="K1750" s="20" t="s">
        <v>137</v>
      </c>
      <c r="L1750" s="20" t="s">
        <v>137</v>
      </c>
      <c r="M1750" s="20" t="s">
        <v>1713</v>
      </c>
      <c r="Q1750" s="24" t="s">
        <v>680</v>
      </c>
    </row>
    <row r="1751" spans="1:17" hidden="1" x14ac:dyDescent="0.3">
      <c r="A1751" s="20">
        <f t="shared" si="27"/>
        <v>1750</v>
      </c>
      <c r="B1751" s="21" t="s">
        <v>87</v>
      </c>
      <c r="C1751" s="21" t="s">
        <v>94</v>
      </c>
      <c r="D1751" s="22" t="str">
        <f>IF($C1751="","",IFERROR(VLOOKUP($C1751,Map_Register!$A$2:$C$5,3,FALSE()),""))</f>
        <v>Military Zone</v>
      </c>
      <c r="E1751" s="21" t="s">
        <v>15</v>
      </c>
      <c r="F1751" s="23">
        <v>213912</v>
      </c>
      <c r="G1751" s="20" t="s">
        <v>1537</v>
      </c>
      <c r="H1751" s="20" t="s">
        <v>2463</v>
      </c>
      <c r="I1751" s="20" t="s">
        <v>678</v>
      </c>
      <c r="J1751" s="20" t="s">
        <v>6</v>
      </c>
      <c r="K1751" s="20" t="s">
        <v>137</v>
      </c>
      <c r="L1751" s="20" t="s">
        <v>137</v>
      </c>
      <c r="M1751" s="20" t="s">
        <v>1713</v>
      </c>
      <c r="Q1751" s="24" t="s">
        <v>680</v>
      </c>
    </row>
    <row r="1752" spans="1:17" hidden="1" x14ac:dyDescent="0.3">
      <c r="A1752" s="20">
        <f t="shared" si="27"/>
        <v>1751</v>
      </c>
      <c r="B1752" s="21" t="s">
        <v>87</v>
      </c>
      <c r="C1752" s="21" t="s">
        <v>94</v>
      </c>
      <c r="D1752" s="22" t="str">
        <f>IF($C1752="","",IFERROR(VLOOKUP($C1752,Map_Register!$A$2:$C$5,3,FALSE()),""))</f>
        <v>Military Zone</v>
      </c>
      <c r="E1752" s="21" t="s">
        <v>15</v>
      </c>
      <c r="F1752" s="23">
        <v>216887</v>
      </c>
      <c r="G1752" s="20" t="s">
        <v>1537</v>
      </c>
      <c r="H1752" s="20" t="s">
        <v>2464</v>
      </c>
      <c r="I1752" s="20" t="s">
        <v>678</v>
      </c>
      <c r="J1752" s="20" t="s">
        <v>6</v>
      </c>
      <c r="K1752" s="20" t="s">
        <v>137</v>
      </c>
      <c r="L1752" s="20" t="s">
        <v>137</v>
      </c>
      <c r="M1752" s="20" t="s">
        <v>1713</v>
      </c>
      <c r="Q1752" s="24" t="s">
        <v>680</v>
      </c>
    </row>
    <row r="1753" spans="1:17" hidden="1" x14ac:dyDescent="0.3">
      <c r="A1753" s="20">
        <f t="shared" si="27"/>
        <v>1752</v>
      </c>
      <c r="B1753" s="21" t="s">
        <v>87</v>
      </c>
      <c r="C1753" s="21" t="s">
        <v>94</v>
      </c>
      <c r="D1753" s="22" t="str">
        <f>IF($C1753="","",IFERROR(VLOOKUP($C1753,Map_Register!$A$2:$C$5,3,FALSE()),""))</f>
        <v>Military Zone</v>
      </c>
      <c r="E1753" s="21" t="s">
        <v>15</v>
      </c>
      <c r="F1753" s="23">
        <v>217006</v>
      </c>
      <c r="G1753" s="20" t="s">
        <v>1537</v>
      </c>
      <c r="H1753" s="20" t="s">
        <v>2465</v>
      </c>
      <c r="I1753" s="20" t="s">
        <v>678</v>
      </c>
      <c r="J1753" s="20" t="s">
        <v>6</v>
      </c>
      <c r="K1753" s="20" t="s">
        <v>137</v>
      </c>
      <c r="L1753" s="20" t="s">
        <v>137</v>
      </c>
      <c r="M1753" s="20" t="s">
        <v>1713</v>
      </c>
      <c r="Q1753" s="24" t="s">
        <v>680</v>
      </c>
    </row>
    <row r="1754" spans="1:17" hidden="1" x14ac:dyDescent="0.3">
      <c r="A1754" s="20">
        <f t="shared" si="27"/>
        <v>1753</v>
      </c>
      <c r="B1754" s="21" t="s">
        <v>87</v>
      </c>
      <c r="C1754" s="21" t="s">
        <v>94</v>
      </c>
      <c r="D1754" s="22" t="str">
        <f>IF($C1754="","",IFERROR(VLOOKUP($C1754,Map_Register!$A$2:$C$5,3,FALSE()),""))</f>
        <v>Military Zone</v>
      </c>
      <c r="E1754" s="21" t="s">
        <v>15</v>
      </c>
      <c r="F1754" s="23">
        <v>217017</v>
      </c>
      <c r="G1754" s="20" t="s">
        <v>1537</v>
      </c>
      <c r="H1754" s="20" t="s">
        <v>2466</v>
      </c>
      <c r="I1754" s="20" t="s">
        <v>678</v>
      </c>
      <c r="J1754" s="20" t="s">
        <v>6</v>
      </c>
      <c r="K1754" s="20" t="s">
        <v>137</v>
      </c>
      <c r="L1754" s="20" t="s">
        <v>137</v>
      </c>
      <c r="M1754" s="20" t="s">
        <v>2406</v>
      </c>
      <c r="Q1754" s="24" t="s">
        <v>680</v>
      </c>
    </row>
    <row r="1755" spans="1:17" hidden="1" x14ac:dyDescent="0.3">
      <c r="A1755" s="20">
        <f t="shared" si="27"/>
        <v>1754</v>
      </c>
      <c r="B1755" s="21" t="s">
        <v>87</v>
      </c>
      <c r="C1755" s="21" t="s">
        <v>94</v>
      </c>
      <c r="D1755" s="22" t="str">
        <f>IF($C1755="","",IFERROR(VLOOKUP($C1755,Map_Register!$A$2:$C$5,3,FALSE()),""))</f>
        <v>Military Zone</v>
      </c>
      <c r="E1755" s="21" t="s">
        <v>15</v>
      </c>
      <c r="F1755" s="23">
        <v>217585</v>
      </c>
      <c r="G1755" s="20" t="s">
        <v>1537</v>
      </c>
      <c r="H1755" s="20" t="s">
        <v>2467</v>
      </c>
      <c r="I1755" s="20" t="s">
        <v>678</v>
      </c>
      <c r="J1755" s="20" t="s">
        <v>6</v>
      </c>
      <c r="K1755" s="20" t="s">
        <v>137</v>
      </c>
      <c r="L1755" s="20" t="s">
        <v>137</v>
      </c>
      <c r="M1755" s="20" t="s">
        <v>1713</v>
      </c>
      <c r="Q1755" s="24" t="s">
        <v>680</v>
      </c>
    </row>
    <row r="1756" spans="1:17" hidden="1" x14ac:dyDescent="0.3">
      <c r="A1756" s="20">
        <f t="shared" si="27"/>
        <v>1755</v>
      </c>
      <c r="B1756" s="21" t="s">
        <v>87</v>
      </c>
      <c r="C1756" s="21" t="s">
        <v>94</v>
      </c>
      <c r="D1756" s="22" t="str">
        <f>IF($C1756="","",IFERROR(VLOOKUP($C1756,Map_Register!$A$2:$C$5,3,FALSE()),""))</f>
        <v>Military Zone</v>
      </c>
      <c r="E1756" s="21" t="s">
        <v>15</v>
      </c>
      <c r="F1756" s="23">
        <v>217967</v>
      </c>
      <c r="G1756" s="20" t="s">
        <v>1537</v>
      </c>
      <c r="H1756" s="20" t="s">
        <v>2468</v>
      </c>
      <c r="I1756" s="20" t="s">
        <v>678</v>
      </c>
      <c r="J1756" s="20" t="s">
        <v>6</v>
      </c>
      <c r="K1756" s="20" t="s">
        <v>137</v>
      </c>
      <c r="L1756" s="20" t="s">
        <v>137</v>
      </c>
      <c r="M1756" s="20" t="s">
        <v>2406</v>
      </c>
      <c r="Q1756" s="24" t="s">
        <v>680</v>
      </c>
    </row>
    <row r="1757" spans="1:17" hidden="1" x14ac:dyDescent="0.3">
      <c r="A1757" s="20">
        <f t="shared" si="27"/>
        <v>1756</v>
      </c>
      <c r="B1757" s="21" t="s">
        <v>87</v>
      </c>
      <c r="C1757" s="21" t="s">
        <v>94</v>
      </c>
      <c r="D1757" s="22" t="str">
        <f>IF($C1757="","",IFERROR(VLOOKUP($C1757,Map_Register!$A$2:$C$5,3,FALSE()),""))</f>
        <v>Military Zone</v>
      </c>
      <c r="E1757" s="21" t="s">
        <v>15</v>
      </c>
      <c r="F1757" s="23">
        <v>218566</v>
      </c>
      <c r="G1757" s="20" t="s">
        <v>1537</v>
      </c>
      <c r="H1757" s="20" t="s">
        <v>2469</v>
      </c>
      <c r="I1757" s="20" t="s">
        <v>678</v>
      </c>
      <c r="J1757" s="20" t="s">
        <v>6</v>
      </c>
      <c r="K1757" s="20" t="s">
        <v>137</v>
      </c>
      <c r="L1757" s="20" t="s">
        <v>137</v>
      </c>
      <c r="M1757" s="20" t="s">
        <v>1713</v>
      </c>
      <c r="Q1757" s="24" t="s">
        <v>680</v>
      </c>
    </row>
    <row r="1758" spans="1:17" hidden="1" x14ac:dyDescent="0.3">
      <c r="A1758" s="20">
        <f t="shared" si="27"/>
        <v>1757</v>
      </c>
      <c r="B1758" s="21" t="s">
        <v>87</v>
      </c>
      <c r="C1758" s="21" t="s">
        <v>94</v>
      </c>
      <c r="D1758" s="22" t="str">
        <f>IF($C1758="","",IFERROR(VLOOKUP($C1758,Map_Register!$A$2:$C$5,3,FALSE()),""))</f>
        <v>Military Zone</v>
      </c>
      <c r="E1758" s="21" t="s">
        <v>15</v>
      </c>
      <c r="F1758" s="23">
        <v>218627</v>
      </c>
      <c r="G1758" s="20" t="s">
        <v>1537</v>
      </c>
      <c r="H1758" s="20" t="s">
        <v>2470</v>
      </c>
      <c r="I1758" s="20" t="s">
        <v>678</v>
      </c>
      <c r="J1758" s="20" t="s">
        <v>6</v>
      </c>
      <c r="K1758" s="20" t="s">
        <v>137</v>
      </c>
      <c r="L1758" s="20" t="s">
        <v>137</v>
      </c>
      <c r="M1758" s="20" t="s">
        <v>1713</v>
      </c>
      <c r="Q1758" s="24" t="s">
        <v>680</v>
      </c>
    </row>
    <row r="1759" spans="1:17" hidden="1" x14ac:dyDescent="0.3">
      <c r="A1759" s="20">
        <f t="shared" si="27"/>
        <v>1758</v>
      </c>
      <c r="B1759" s="21" t="s">
        <v>87</v>
      </c>
      <c r="C1759" s="21" t="s">
        <v>94</v>
      </c>
      <c r="D1759" s="22" t="str">
        <f>IF($C1759="","",IFERROR(VLOOKUP($C1759,Map_Register!$A$2:$C$5,3,FALSE()),""))</f>
        <v>Military Zone</v>
      </c>
      <c r="E1759" s="21" t="s">
        <v>15</v>
      </c>
      <c r="F1759" s="23">
        <v>220082</v>
      </c>
      <c r="G1759" s="20" t="s">
        <v>1537</v>
      </c>
      <c r="H1759" s="20" t="s">
        <v>2471</v>
      </c>
      <c r="I1759" s="20" t="s">
        <v>678</v>
      </c>
      <c r="J1759" s="20" t="s">
        <v>6</v>
      </c>
      <c r="K1759" s="20" t="s">
        <v>137</v>
      </c>
      <c r="L1759" s="20" t="s">
        <v>137</v>
      </c>
      <c r="M1759" s="20" t="s">
        <v>1713</v>
      </c>
      <c r="Q1759" s="24" t="s">
        <v>680</v>
      </c>
    </row>
    <row r="1760" spans="1:17" hidden="1" x14ac:dyDescent="0.3">
      <c r="A1760" s="20">
        <f t="shared" si="27"/>
        <v>1759</v>
      </c>
      <c r="B1760" s="21" t="s">
        <v>87</v>
      </c>
      <c r="C1760" s="21" t="s">
        <v>94</v>
      </c>
      <c r="D1760" s="22" t="str">
        <f>IF($C1760="","",IFERROR(VLOOKUP($C1760,Map_Register!$A$2:$C$5,3,FALSE()),""))</f>
        <v>Military Zone</v>
      </c>
      <c r="E1760" s="21" t="s">
        <v>15</v>
      </c>
      <c r="F1760" s="23">
        <v>220952</v>
      </c>
      <c r="G1760" s="20" t="s">
        <v>1537</v>
      </c>
      <c r="H1760" s="20" t="s">
        <v>2472</v>
      </c>
      <c r="I1760" s="20" t="s">
        <v>678</v>
      </c>
      <c r="J1760" s="20" t="s">
        <v>8</v>
      </c>
      <c r="K1760" t="s">
        <v>107</v>
      </c>
      <c r="L1760" s="20" t="s">
        <v>107</v>
      </c>
      <c r="M1760" s="20" t="s">
        <v>2473</v>
      </c>
      <c r="N1760" s="20" t="s">
        <v>108</v>
      </c>
      <c r="Q1760" s="24" t="s">
        <v>680</v>
      </c>
    </row>
    <row r="1761" spans="1:17" hidden="1" x14ac:dyDescent="0.3">
      <c r="A1761" s="20">
        <f t="shared" si="27"/>
        <v>1760</v>
      </c>
      <c r="B1761" s="21" t="s">
        <v>87</v>
      </c>
      <c r="C1761" s="21" t="s">
        <v>94</v>
      </c>
      <c r="D1761" s="22" t="str">
        <f>IF($C1761="","",IFERROR(VLOOKUP($C1761,Map_Register!$A$2:$C$5,3,FALSE()),""))</f>
        <v>Military Zone</v>
      </c>
      <c r="E1761" s="21" t="s">
        <v>15</v>
      </c>
      <c r="F1761" s="23">
        <v>221530</v>
      </c>
      <c r="G1761" s="20" t="s">
        <v>1537</v>
      </c>
      <c r="H1761" s="20" t="s">
        <v>2474</v>
      </c>
      <c r="I1761" s="20" t="s">
        <v>678</v>
      </c>
      <c r="J1761" s="20" t="s">
        <v>8</v>
      </c>
      <c r="K1761" t="s">
        <v>107</v>
      </c>
      <c r="L1761" s="20" t="s">
        <v>107</v>
      </c>
      <c r="M1761" s="20" t="s">
        <v>2475</v>
      </c>
      <c r="N1761" s="20" t="s">
        <v>108</v>
      </c>
      <c r="Q1761" s="24" t="s">
        <v>680</v>
      </c>
    </row>
    <row r="1762" spans="1:17" hidden="1" x14ac:dyDescent="0.3">
      <c r="A1762" s="20">
        <f t="shared" si="27"/>
        <v>1761</v>
      </c>
      <c r="B1762" s="21" t="s">
        <v>87</v>
      </c>
      <c r="C1762" s="21" t="s">
        <v>94</v>
      </c>
      <c r="D1762" s="22" t="str">
        <f>IF($C1762="","",IFERROR(VLOOKUP($C1762,Map_Register!$A$2:$C$5,3,FALSE()),""))</f>
        <v>Military Zone</v>
      </c>
      <c r="E1762" s="21" t="s">
        <v>15</v>
      </c>
      <c r="F1762" s="23">
        <v>222791</v>
      </c>
      <c r="G1762" s="20" t="s">
        <v>1537</v>
      </c>
      <c r="H1762" s="20" t="s">
        <v>2476</v>
      </c>
      <c r="I1762" s="20" t="s">
        <v>678</v>
      </c>
      <c r="J1762" s="20" t="s">
        <v>6</v>
      </c>
      <c r="K1762" s="20" t="s">
        <v>137</v>
      </c>
      <c r="L1762" s="20" t="s">
        <v>137</v>
      </c>
      <c r="M1762" s="20" t="s">
        <v>1713</v>
      </c>
      <c r="Q1762" s="24" t="s">
        <v>680</v>
      </c>
    </row>
    <row r="1763" spans="1:17" hidden="1" x14ac:dyDescent="0.3">
      <c r="A1763" s="20">
        <f t="shared" si="27"/>
        <v>1762</v>
      </c>
      <c r="B1763" s="21" t="s">
        <v>87</v>
      </c>
      <c r="C1763" s="21" t="s">
        <v>94</v>
      </c>
      <c r="D1763" s="22" t="str">
        <f>IF($C1763="","",IFERROR(VLOOKUP($C1763,Map_Register!$A$2:$C$5,3,FALSE()),""))</f>
        <v>Military Zone</v>
      </c>
      <c r="E1763" s="21" t="s">
        <v>15</v>
      </c>
      <c r="F1763" s="23">
        <v>223070</v>
      </c>
      <c r="G1763" s="20" t="s">
        <v>1537</v>
      </c>
      <c r="H1763" s="20" t="s">
        <v>2477</v>
      </c>
      <c r="I1763" s="20" t="s">
        <v>678</v>
      </c>
      <c r="J1763" s="20" t="s">
        <v>6</v>
      </c>
      <c r="K1763" s="20" t="s">
        <v>137</v>
      </c>
      <c r="L1763" s="20" t="s">
        <v>137</v>
      </c>
      <c r="M1763" s="20" t="s">
        <v>2314</v>
      </c>
      <c r="Q1763" s="24" t="s">
        <v>680</v>
      </c>
    </row>
    <row r="1764" spans="1:17" hidden="1" x14ac:dyDescent="0.3">
      <c r="A1764" s="20">
        <f t="shared" si="27"/>
        <v>1763</v>
      </c>
      <c r="B1764" s="21" t="s">
        <v>87</v>
      </c>
      <c r="C1764" s="21" t="s">
        <v>94</v>
      </c>
      <c r="D1764" s="22" t="str">
        <f>IF($C1764="","",IFERROR(VLOOKUP($C1764,Map_Register!$A$2:$C$5,3,FALSE()),""))</f>
        <v>Military Zone</v>
      </c>
      <c r="E1764" s="21" t="s">
        <v>15</v>
      </c>
      <c r="F1764" s="23">
        <v>223541</v>
      </c>
      <c r="G1764" s="20" t="s">
        <v>1537</v>
      </c>
      <c r="H1764" s="20" t="s">
        <v>2478</v>
      </c>
      <c r="I1764" s="20" t="s">
        <v>678</v>
      </c>
      <c r="J1764" s="20" t="s">
        <v>6</v>
      </c>
      <c r="K1764" s="20" t="s">
        <v>137</v>
      </c>
      <c r="L1764" s="20" t="s">
        <v>137</v>
      </c>
      <c r="M1764" s="20" t="s">
        <v>1713</v>
      </c>
      <c r="Q1764" s="24" t="s">
        <v>680</v>
      </c>
    </row>
    <row r="1765" spans="1:17" hidden="1" x14ac:dyDescent="0.3">
      <c r="A1765" s="20">
        <f t="shared" si="27"/>
        <v>1764</v>
      </c>
      <c r="B1765" s="21" t="s">
        <v>87</v>
      </c>
      <c r="C1765" s="21" t="s">
        <v>94</v>
      </c>
      <c r="D1765" s="22" t="str">
        <f>IF($C1765="","",IFERROR(VLOOKUP($C1765,Map_Register!$A$2:$C$5,3,FALSE()),""))</f>
        <v>Military Zone</v>
      </c>
      <c r="E1765" s="21" t="s">
        <v>15</v>
      </c>
      <c r="F1765" s="23">
        <v>223814</v>
      </c>
      <c r="G1765" s="20" t="s">
        <v>1537</v>
      </c>
      <c r="H1765" s="20" t="s">
        <v>2479</v>
      </c>
      <c r="I1765" s="20" t="s">
        <v>678</v>
      </c>
      <c r="J1765" s="20" t="s">
        <v>6</v>
      </c>
      <c r="K1765" s="20" t="s">
        <v>137</v>
      </c>
      <c r="L1765" s="20" t="s">
        <v>137</v>
      </c>
      <c r="M1765" s="20" t="s">
        <v>2406</v>
      </c>
      <c r="Q1765" s="24" t="s">
        <v>680</v>
      </c>
    </row>
    <row r="1766" spans="1:17" hidden="1" x14ac:dyDescent="0.3">
      <c r="A1766" s="20">
        <f t="shared" si="27"/>
        <v>1765</v>
      </c>
      <c r="B1766" s="21" t="s">
        <v>87</v>
      </c>
      <c r="C1766" s="21" t="s">
        <v>94</v>
      </c>
      <c r="D1766" s="22" t="str">
        <f>IF($C1766="","",IFERROR(VLOOKUP($C1766,Map_Register!$A$2:$C$5,3,FALSE()),""))</f>
        <v>Military Zone</v>
      </c>
      <c r="E1766" s="21" t="s">
        <v>15</v>
      </c>
      <c r="F1766" s="23">
        <v>225398</v>
      </c>
      <c r="G1766" s="20" t="s">
        <v>1537</v>
      </c>
      <c r="H1766" s="20" t="s">
        <v>2480</v>
      </c>
      <c r="I1766" s="20" t="s">
        <v>678</v>
      </c>
      <c r="J1766" s="20" t="s">
        <v>6</v>
      </c>
      <c r="K1766" s="20" t="s">
        <v>137</v>
      </c>
      <c r="L1766" s="20" t="s">
        <v>137</v>
      </c>
      <c r="M1766" s="20" t="s">
        <v>1713</v>
      </c>
      <c r="Q1766" s="24" t="s">
        <v>680</v>
      </c>
    </row>
    <row r="1767" spans="1:17" hidden="1" x14ac:dyDescent="0.3">
      <c r="A1767" s="20">
        <f t="shared" si="27"/>
        <v>1766</v>
      </c>
      <c r="B1767" s="21" t="s">
        <v>87</v>
      </c>
      <c r="C1767" s="21" t="s">
        <v>94</v>
      </c>
      <c r="D1767" s="22" t="str">
        <f>IF($C1767="","",IFERROR(VLOOKUP($C1767,Map_Register!$A$2:$C$5,3,FALSE()),""))</f>
        <v>Military Zone</v>
      </c>
      <c r="E1767" s="21" t="s">
        <v>15</v>
      </c>
      <c r="F1767" s="23">
        <v>225474</v>
      </c>
      <c r="G1767" s="20" t="s">
        <v>1537</v>
      </c>
      <c r="H1767" s="20" t="s">
        <v>2481</v>
      </c>
      <c r="I1767" s="20" t="s">
        <v>678</v>
      </c>
      <c r="J1767" s="20" t="s">
        <v>6</v>
      </c>
      <c r="K1767" s="20" t="s">
        <v>137</v>
      </c>
      <c r="L1767" s="20" t="s">
        <v>137</v>
      </c>
      <c r="M1767" s="20" t="s">
        <v>1713</v>
      </c>
      <c r="Q1767" s="24" t="s">
        <v>680</v>
      </c>
    </row>
    <row r="1768" spans="1:17" hidden="1" x14ac:dyDescent="0.3">
      <c r="A1768" s="20">
        <f t="shared" si="27"/>
        <v>1767</v>
      </c>
      <c r="B1768" s="21" t="s">
        <v>87</v>
      </c>
      <c r="C1768" s="21" t="s">
        <v>94</v>
      </c>
      <c r="D1768" s="22" t="str">
        <f>IF($C1768="","",IFERROR(VLOOKUP($C1768,Map_Register!$A$2:$C$5,3,FALSE()),""))</f>
        <v>Military Zone</v>
      </c>
      <c r="E1768" s="21" t="s">
        <v>15</v>
      </c>
      <c r="F1768" s="23">
        <v>225538</v>
      </c>
      <c r="G1768" s="20" t="s">
        <v>1537</v>
      </c>
      <c r="H1768" s="20" t="s">
        <v>2482</v>
      </c>
      <c r="I1768" s="20" t="s">
        <v>678</v>
      </c>
      <c r="J1768" s="20" t="s">
        <v>6</v>
      </c>
      <c r="K1768" s="20" t="s">
        <v>137</v>
      </c>
      <c r="L1768" s="20" t="s">
        <v>137</v>
      </c>
      <c r="M1768" s="20" t="s">
        <v>1713</v>
      </c>
      <c r="Q1768" s="24" t="s">
        <v>680</v>
      </c>
    </row>
    <row r="1769" spans="1:17" hidden="1" x14ac:dyDescent="0.3">
      <c r="A1769" s="20">
        <f t="shared" si="27"/>
        <v>1768</v>
      </c>
      <c r="B1769" s="21" t="s">
        <v>87</v>
      </c>
      <c r="C1769" s="21" t="s">
        <v>94</v>
      </c>
      <c r="D1769" s="22" t="str">
        <f>IF($C1769="","",IFERROR(VLOOKUP($C1769,Map_Register!$A$2:$C$5,3,FALSE()),""))</f>
        <v>Military Zone</v>
      </c>
      <c r="E1769" s="21" t="s">
        <v>15</v>
      </c>
      <c r="F1769" s="23">
        <v>226589</v>
      </c>
      <c r="G1769" s="20" t="s">
        <v>1537</v>
      </c>
      <c r="H1769" s="20" t="s">
        <v>2483</v>
      </c>
      <c r="I1769" s="20" t="s">
        <v>678</v>
      </c>
      <c r="J1769" s="20" t="s">
        <v>6</v>
      </c>
      <c r="K1769" s="20" t="s">
        <v>137</v>
      </c>
      <c r="L1769" s="20" t="s">
        <v>137</v>
      </c>
      <c r="M1769" s="20" t="s">
        <v>2406</v>
      </c>
      <c r="Q1769" s="24" t="s">
        <v>680</v>
      </c>
    </row>
    <row r="1770" spans="1:17" hidden="1" x14ac:dyDescent="0.3">
      <c r="A1770" s="20">
        <f t="shared" si="27"/>
        <v>1769</v>
      </c>
      <c r="B1770" s="21" t="s">
        <v>87</v>
      </c>
      <c r="C1770" s="21" t="s">
        <v>94</v>
      </c>
      <c r="D1770" s="22" t="str">
        <f>IF($C1770="","",IFERROR(VLOOKUP($C1770,Map_Register!$A$2:$C$5,3,FALSE()),""))</f>
        <v>Military Zone</v>
      </c>
      <c r="E1770" s="21" t="s">
        <v>15</v>
      </c>
      <c r="F1770" s="23">
        <v>227984</v>
      </c>
      <c r="G1770" s="20" t="s">
        <v>1537</v>
      </c>
      <c r="H1770" s="20" t="s">
        <v>2484</v>
      </c>
      <c r="I1770" s="20" t="s">
        <v>678</v>
      </c>
      <c r="J1770" s="20" t="s">
        <v>6</v>
      </c>
      <c r="K1770" s="20" t="s">
        <v>137</v>
      </c>
      <c r="L1770" s="20" t="s">
        <v>137</v>
      </c>
      <c r="M1770" s="20" t="s">
        <v>1713</v>
      </c>
      <c r="Q1770" s="24" t="s">
        <v>680</v>
      </c>
    </row>
    <row r="1771" spans="1:17" hidden="1" x14ac:dyDescent="0.3">
      <c r="A1771" s="20">
        <f t="shared" si="27"/>
        <v>1770</v>
      </c>
      <c r="B1771" s="21" t="s">
        <v>87</v>
      </c>
      <c r="C1771" s="21" t="s">
        <v>94</v>
      </c>
      <c r="D1771" s="22" t="str">
        <f>IF($C1771="","",IFERROR(VLOOKUP($C1771,Map_Register!$A$2:$C$5,3,FALSE()),""))</f>
        <v>Military Zone</v>
      </c>
      <c r="E1771" s="21" t="s">
        <v>15</v>
      </c>
      <c r="F1771" s="23">
        <v>228014</v>
      </c>
      <c r="G1771" s="20" t="s">
        <v>1537</v>
      </c>
      <c r="H1771" s="20" t="s">
        <v>2485</v>
      </c>
      <c r="I1771" s="20" t="s">
        <v>678</v>
      </c>
      <c r="J1771" s="20" t="s">
        <v>6</v>
      </c>
      <c r="K1771" s="20" t="s">
        <v>137</v>
      </c>
      <c r="L1771" s="20" t="s">
        <v>137</v>
      </c>
      <c r="M1771" s="20" t="s">
        <v>1713</v>
      </c>
      <c r="Q1771" s="24" t="s">
        <v>680</v>
      </c>
    </row>
    <row r="1772" spans="1:17" hidden="1" x14ac:dyDescent="0.3">
      <c r="A1772" s="20">
        <f t="shared" si="27"/>
        <v>1771</v>
      </c>
      <c r="B1772" s="21" t="s">
        <v>87</v>
      </c>
      <c r="C1772" s="21" t="s">
        <v>94</v>
      </c>
      <c r="D1772" s="22" t="str">
        <f>IF($C1772="","",IFERROR(VLOOKUP($C1772,Map_Register!$A$2:$C$5,3,FALSE()),""))</f>
        <v>Military Zone</v>
      </c>
      <c r="E1772" s="21" t="s">
        <v>15</v>
      </c>
      <c r="F1772" s="23">
        <v>228262</v>
      </c>
      <c r="G1772" s="20" t="s">
        <v>1537</v>
      </c>
      <c r="H1772" s="20" t="s">
        <v>2450</v>
      </c>
      <c r="I1772" s="20" t="s">
        <v>678</v>
      </c>
      <c r="J1772" s="20" t="s">
        <v>8</v>
      </c>
      <c r="K1772" t="s">
        <v>107</v>
      </c>
      <c r="L1772" s="20" t="s">
        <v>107</v>
      </c>
      <c r="M1772" s="20" t="s">
        <v>2451</v>
      </c>
      <c r="N1772" s="20" t="s">
        <v>108</v>
      </c>
      <c r="Q1772" s="24" t="s">
        <v>680</v>
      </c>
    </row>
    <row r="1773" spans="1:17" hidden="1" x14ac:dyDescent="0.3">
      <c r="A1773" s="20">
        <f t="shared" si="27"/>
        <v>1772</v>
      </c>
      <c r="B1773" s="21" t="s">
        <v>87</v>
      </c>
      <c r="C1773" s="21" t="s">
        <v>94</v>
      </c>
      <c r="D1773" s="22" t="str">
        <f>IF($C1773="","",IFERROR(VLOOKUP($C1773,Map_Register!$A$2:$C$5,3,FALSE()),""))</f>
        <v>Military Zone</v>
      </c>
      <c r="E1773" s="21" t="s">
        <v>15</v>
      </c>
      <c r="F1773" s="23">
        <v>228362</v>
      </c>
      <c r="G1773" s="20" t="s">
        <v>1537</v>
      </c>
      <c r="H1773" s="20" t="s">
        <v>2418</v>
      </c>
      <c r="I1773" s="20" t="s">
        <v>678</v>
      </c>
      <c r="J1773" s="20" t="s">
        <v>6</v>
      </c>
      <c r="K1773" s="20" t="s">
        <v>137</v>
      </c>
      <c r="L1773" s="20" t="s">
        <v>137</v>
      </c>
      <c r="M1773" s="20" t="s">
        <v>2406</v>
      </c>
      <c r="Q1773" s="24" t="s">
        <v>680</v>
      </c>
    </row>
    <row r="1774" spans="1:17" hidden="1" x14ac:dyDescent="0.3">
      <c r="A1774" s="20">
        <f t="shared" si="27"/>
        <v>1773</v>
      </c>
      <c r="B1774" s="21" t="s">
        <v>87</v>
      </c>
      <c r="C1774" s="21" t="s">
        <v>94</v>
      </c>
      <c r="D1774" s="22" t="str">
        <f>IF($C1774="","",IFERROR(VLOOKUP($C1774,Map_Register!$A$2:$C$5,3,FALSE()),""))</f>
        <v>Military Zone</v>
      </c>
      <c r="E1774" s="21" t="s">
        <v>15</v>
      </c>
      <c r="F1774" s="23">
        <v>228548</v>
      </c>
      <c r="G1774" s="20" t="s">
        <v>1537</v>
      </c>
      <c r="H1774" s="20" t="s">
        <v>2486</v>
      </c>
      <c r="I1774" s="20" t="s">
        <v>678</v>
      </c>
      <c r="J1774" s="20" t="s">
        <v>6</v>
      </c>
      <c r="K1774" s="20" t="s">
        <v>137</v>
      </c>
      <c r="L1774" s="20" t="s">
        <v>137</v>
      </c>
      <c r="M1774" s="20" t="s">
        <v>2406</v>
      </c>
      <c r="Q1774" s="24" t="s">
        <v>680</v>
      </c>
    </row>
    <row r="1775" spans="1:17" x14ac:dyDescent="0.3">
      <c r="A1775" s="20">
        <f t="shared" si="27"/>
        <v>1774</v>
      </c>
      <c r="B1775" s="21" t="s">
        <v>87</v>
      </c>
      <c r="C1775" s="21" t="s">
        <v>94</v>
      </c>
      <c r="D1775" s="22" t="str">
        <f>IF($C1775="","",IFERROR(VLOOKUP($C1775,Map_Register!$A$2:$C$5,3,FALSE()),""))</f>
        <v>Military Zone</v>
      </c>
      <c r="E1775" s="21" t="s">
        <v>15</v>
      </c>
      <c r="F1775" s="23">
        <v>228609</v>
      </c>
      <c r="G1775" s="20" t="s">
        <v>1537</v>
      </c>
      <c r="H1775" s="20" t="s">
        <v>2487</v>
      </c>
      <c r="I1775" s="20" t="s">
        <v>678</v>
      </c>
      <c r="J1775" s="20" t="s">
        <v>8</v>
      </c>
      <c r="K1775" t="s">
        <v>107</v>
      </c>
      <c r="L1775" t="s">
        <v>108</v>
      </c>
      <c r="M1775" s="20" t="s">
        <v>2441</v>
      </c>
      <c r="N1775" s="20" t="s">
        <v>108</v>
      </c>
      <c r="Q1775" s="24" t="s">
        <v>680</v>
      </c>
    </row>
    <row r="1776" spans="1:17" hidden="1" x14ac:dyDescent="0.3">
      <c r="A1776" s="20">
        <f t="shared" si="27"/>
        <v>1775</v>
      </c>
      <c r="B1776" s="21" t="s">
        <v>87</v>
      </c>
      <c r="C1776" s="21" t="s">
        <v>94</v>
      </c>
      <c r="D1776" s="22" t="str">
        <f>IF($C1776="","",IFERROR(VLOOKUP($C1776,Map_Register!$A$2:$C$5,3,FALSE()),""))</f>
        <v>Military Zone</v>
      </c>
      <c r="E1776" s="21" t="s">
        <v>15</v>
      </c>
      <c r="F1776" s="23">
        <v>228680</v>
      </c>
      <c r="G1776" s="20" t="s">
        <v>1537</v>
      </c>
      <c r="H1776" s="20" t="s">
        <v>2488</v>
      </c>
      <c r="I1776" s="20" t="s">
        <v>678</v>
      </c>
      <c r="J1776" s="20" t="s">
        <v>6</v>
      </c>
      <c r="K1776" s="20" t="s">
        <v>137</v>
      </c>
      <c r="L1776" s="20" t="s">
        <v>137</v>
      </c>
      <c r="M1776" s="20" t="s">
        <v>1713</v>
      </c>
      <c r="Q1776" s="24" t="s">
        <v>680</v>
      </c>
    </row>
    <row r="1777" spans="1:17" hidden="1" x14ac:dyDescent="0.3">
      <c r="A1777" s="20">
        <f t="shared" si="27"/>
        <v>1776</v>
      </c>
      <c r="B1777" s="21" t="s">
        <v>87</v>
      </c>
      <c r="C1777" s="21" t="s">
        <v>94</v>
      </c>
      <c r="D1777" s="22" t="str">
        <f>IF($C1777="","",IFERROR(VLOOKUP($C1777,Map_Register!$A$2:$C$5,3,FALSE()),""))</f>
        <v>Military Zone</v>
      </c>
      <c r="E1777" s="21" t="s">
        <v>15</v>
      </c>
      <c r="F1777" s="23">
        <v>228703</v>
      </c>
      <c r="G1777" s="20" t="s">
        <v>1537</v>
      </c>
      <c r="H1777" s="20" t="s">
        <v>2489</v>
      </c>
      <c r="I1777" s="20" t="s">
        <v>678</v>
      </c>
      <c r="J1777" s="20" t="s">
        <v>6</v>
      </c>
      <c r="K1777" s="20" t="s">
        <v>137</v>
      </c>
      <c r="L1777" s="20" t="s">
        <v>137</v>
      </c>
      <c r="M1777" s="20" t="s">
        <v>1713</v>
      </c>
      <c r="Q1777" s="24" t="s">
        <v>680</v>
      </c>
    </row>
    <row r="1778" spans="1:17" x14ac:dyDescent="0.3">
      <c r="A1778" s="20">
        <f t="shared" si="27"/>
        <v>1777</v>
      </c>
      <c r="B1778" s="21" t="s">
        <v>87</v>
      </c>
      <c r="C1778" s="21" t="s">
        <v>94</v>
      </c>
      <c r="D1778" s="22" t="str">
        <f>IF($C1778="","",IFERROR(VLOOKUP($C1778,Map_Register!$A$2:$C$5,3,FALSE()),""))</f>
        <v>Military Zone</v>
      </c>
      <c r="E1778" s="21" t="s">
        <v>15</v>
      </c>
      <c r="F1778" s="23">
        <v>228746</v>
      </c>
      <c r="G1778" s="20" t="s">
        <v>1537</v>
      </c>
      <c r="H1778" s="20" t="s">
        <v>2490</v>
      </c>
      <c r="I1778" s="20" t="s">
        <v>678</v>
      </c>
      <c r="J1778" s="20" t="s">
        <v>8</v>
      </c>
      <c r="K1778" t="s">
        <v>107</v>
      </c>
      <c r="L1778" t="s">
        <v>108</v>
      </c>
      <c r="M1778" s="20" t="s">
        <v>2491</v>
      </c>
      <c r="N1778" s="20" t="s">
        <v>108</v>
      </c>
      <c r="Q1778" s="24" t="s">
        <v>680</v>
      </c>
    </row>
    <row r="1779" spans="1:17" hidden="1" x14ac:dyDescent="0.3">
      <c r="A1779" s="20">
        <f t="shared" si="27"/>
        <v>1778</v>
      </c>
      <c r="B1779" s="21" t="s">
        <v>87</v>
      </c>
      <c r="C1779" s="21" t="s">
        <v>94</v>
      </c>
      <c r="D1779" s="22" t="str">
        <f>IF($C1779="","",IFERROR(VLOOKUP($C1779,Map_Register!$A$2:$C$5,3,FALSE()),""))</f>
        <v>Military Zone</v>
      </c>
      <c r="E1779" s="21" t="s">
        <v>15</v>
      </c>
      <c r="F1779" s="23">
        <v>228861</v>
      </c>
      <c r="G1779" s="20" t="s">
        <v>1537</v>
      </c>
      <c r="H1779" s="20" t="s">
        <v>2492</v>
      </c>
      <c r="I1779" s="20" t="s">
        <v>678</v>
      </c>
      <c r="J1779" s="20" t="s">
        <v>6</v>
      </c>
      <c r="K1779" s="20" t="s">
        <v>137</v>
      </c>
      <c r="L1779" s="20" t="s">
        <v>137</v>
      </c>
      <c r="M1779" s="20" t="s">
        <v>1713</v>
      </c>
      <c r="Q1779" s="24" t="s">
        <v>680</v>
      </c>
    </row>
    <row r="1780" spans="1:17" hidden="1" x14ac:dyDescent="0.3">
      <c r="A1780" s="20">
        <f t="shared" si="27"/>
        <v>1779</v>
      </c>
      <c r="B1780" s="21" t="s">
        <v>87</v>
      </c>
      <c r="C1780" s="21" t="s">
        <v>94</v>
      </c>
      <c r="D1780" s="22" t="str">
        <f>IF($C1780="","",IFERROR(VLOOKUP($C1780,Map_Register!$A$2:$C$5,3,FALSE()),""))</f>
        <v>Military Zone</v>
      </c>
      <c r="E1780" s="21" t="s">
        <v>15</v>
      </c>
      <c r="F1780" s="23">
        <v>228911</v>
      </c>
      <c r="G1780" s="20" t="s">
        <v>1537</v>
      </c>
      <c r="H1780" s="20" t="s">
        <v>2493</v>
      </c>
      <c r="I1780" s="20" t="s">
        <v>678</v>
      </c>
      <c r="J1780" s="20" t="s">
        <v>6</v>
      </c>
      <c r="K1780" s="20" t="s">
        <v>137</v>
      </c>
      <c r="L1780" s="20" t="s">
        <v>137</v>
      </c>
      <c r="M1780" s="20" t="s">
        <v>2409</v>
      </c>
      <c r="Q1780" s="24" t="s">
        <v>680</v>
      </c>
    </row>
    <row r="1781" spans="1:17" hidden="1" x14ac:dyDescent="0.3">
      <c r="A1781" s="20">
        <f t="shared" si="27"/>
        <v>1780</v>
      </c>
      <c r="B1781" s="21" t="s">
        <v>87</v>
      </c>
      <c r="C1781" s="21" t="s">
        <v>94</v>
      </c>
      <c r="D1781" s="22" t="str">
        <f>IF($C1781="","",IFERROR(VLOOKUP($C1781,Map_Register!$A$2:$C$5,3,FALSE()),""))</f>
        <v>Military Zone</v>
      </c>
      <c r="E1781" s="21" t="s">
        <v>15</v>
      </c>
      <c r="F1781" s="23">
        <v>228921</v>
      </c>
      <c r="G1781" s="20" t="s">
        <v>1537</v>
      </c>
      <c r="H1781" s="20" t="s">
        <v>2494</v>
      </c>
      <c r="I1781" s="20" t="s">
        <v>678</v>
      </c>
      <c r="J1781" s="20" t="s">
        <v>6</v>
      </c>
      <c r="K1781" s="20" t="s">
        <v>137</v>
      </c>
      <c r="L1781" s="20" t="s">
        <v>137</v>
      </c>
      <c r="M1781" s="20" t="s">
        <v>1713</v>
      </c>
      <c r="Q1781" s="24" t="s">
        <v>680</v>
      </c>
    </row>
    <row r="1782" spans="1:17" hidden="1" x14ac:dyDescent="0.3">
      <c r="A1782" s="20">
        <f t="shared" si="27"/>
        <v>1781</v>
      </c>
      <c r="B1782" s="21" t="s">
        <v>87</v>
      </c>
      <c r="C1782" s="21" t="s">
        <v>94</v>
      </c>
      <c r="D1782" s="22" t="str">
        <f>IF($C1782="","",IFERROR(VLOOKUP($C1782,Map_Register!$A$2:$C$5,3,FALSE()),""))</f>
        <v>Military Zone</v>
      </c>
      <c r="E1782" s="21" t="s">
        <v>15</v>
      </c>
      <c r="F1782" s="23">
        <v>228928</v>
      </c>
      <c r="G1782" s="20" t="s">
        <v>1537</v>
      </c>
      <c r="H1782" s="20" t="s">
        <v>2495</v>
      </c>
      <c r="I1782" s="20" t="s">
        <v>678</v>
      </c>
      <c r="J1782" s="20" t="s">
        <v>6</v>
      </c>
      <c r="K1782" s="20" t="s">
        <v>137</v>
      </c>
      <c r="L1782" s="20" t="s">
        <v>137</v>
      </c>
      <c r="M1782" s="20" t="s">
        <v>2406</v>
      </c>
      <c r="Q1782" s="24" t="s">
        <v>680</v>
      </c>
    </row>
    <row r="1783" spans="1:17" hidden="1" x14ac:dyDescent="0.3">
      <c r="A1783" s="20">
        <f t="shared" si="27"/>
        <v>1782</v>
      </c>
      <c r="B1783" s="21" t="s">
        <v>87</v>
      </c>
      <c r="C1783" s="21" t="s">
        <v>94</v>
      </c>
      <c r="D1783" s="22" t="str">
        <f>IF($C1783="","",IFERROR(VLOOKUP($C1783,Map_Register!$A$2:$C$5,3,FALSE()),""))</f>
        <v>Military Zone</v>
      </c>
      <c r="E1783" s="21" t="s">
        <v>15</v>
      </c>
      <c r="F1783" s="23">
        <v>228961</v>
      </c>
      <c r="G1783" s="20" t="s">
        <v>1537</v>
      </c>
      <c r="H1783" s="20" t="s">
        <v>2496</v>
      </c>
      <c r="I1783" s="20" t="s">
        <v>678</v>
      </c>
      <c r="J1783" s="20" t="s">
        <v>6</v>
      </c>
      <c r="K1783" s="20" t="s">
        <v>137</v>
      </c>
      <c r="L1783" s="20" t="s">
        <v>137</v>
      </c>
      <c r="M1783" s="20" t="s">
        <v>2406</v>
      </c>
      <c r="Q1783" s="24" t="s">
        <v>680</v>
      </c>
    </row>
    <row r="1784" spans="1:17" hidden="1" x14ac:dyDescent="0.3">
      <c r="A1784" s="20">
        <f t="shared" si="27"/>
        <v>1783</v>
      </c>
      <c r="B1784" s="21" t="s">
        <v>87</v>
      </c>
      <c r="C1784" s="21" t="s">
        <v>94</v>
      </c>
      <c r="D1784" s="22" t="str">
        <f>IF($C1784="","",IFERROR(VLOOKUP($C1784,Map_Register!$A$2:$C$5,3,FALSE()),""))</f>
        <v>Military Zone</v>
      </c>
      <c r="E1784" s="21" t="s">
        <v>15</v>
      </c>
      <c r="F1784" s="23">
        <v>228994</v>
      </c>
      <c r="G1784" s="20" t="s">
        <v>1537</v>
      </c>
      <c r="H1784" s="20" t="s">
        <v>2497</v>
      </c>
      <c r="I1784" s="20" t="s">
        <v>678</v>
      </c>
      <c r="J1784" s="20" t="s">
        <v>6</v>
      </c>
      <c r="K1784" s="20" t="s">
        <v>137</v>
      </c>
      <c r="L1784" s="20" t="s">
        <v>137</v>
      </c>
      <c r="M1784" s="20" t="s">
        <v>2406</v>
      </c>
      <c r="Q1784" s="24" t="s">
        <v>680</v>
      </c>
    </row>
    <row r="1785" spans="1:17" hidden="1" x14ac:dyDescent="0.3">
      <c r="A1785" s="20">
        <f t="shared" si="27"/>
        <v>1784</v>
      </c>
      <c r="B1785" s="21" t="s">
        <v>87</v>
      </c>
      <c r="C1785" s="21" t="s">
        <v>94</v>
      </c>
      <c r="D1785" s="22" t="str">
        <f>IF($C1785="","",IFERROR(VLOOKUP($C1785,Map_Register!$A$2:$C$5,3,FALSE()),""))</f>
        <v>Military Zone</v>
      </c>
      <c r="E1785" s="21" t="s">
        <v>15</v>
      </c>
      <c r="F1785" s="23">
        <v>228996</v>
      </c>
      <c r="G1785" s="20" t="s">
        <v>1537</v>
      </c>
      <c r="H1785" s="20" t="s">
        <v>2498</v>
      </c>
      <c r="I1785" s="20" t="s">
        <v>678</v>
      </c>
      <c r="J1785" s="20" t="s">
        <v>6</v>
      </c>
      <c r="K1785" s="20" t="s">
        <v>137</v>
      </c>
      <c r="L1785" s="20" t="s">
        <v>137</v>
      </c>
      <c r="M1785" s="20" t="s">
        <v>1713</v>
      </c>
      <c r="Q1785" s="24" t="s">
        <v>680</v>
      </c>
    </row>
    <row r="1786" spans="1:17" hidden="1" x14ac:dyDescent="0.3">
      <c r="A1786" s="20">
        <f t="shared" si="27"/>
        <v>1785</v>
      </c>
      <c r="B1786" s="21" t="s">
        <v>87</v>
      </c>
      <c r="C1786" s="21" t="s">
        <v>94</v>
      </c>
      <c r="D1786" s="22" t="str">
        <f>IF($C1786="","",IFERROR(VLOOKUP($C1786,Map_Register!$A$2:$C$5,3,FALSE()),""))</f>
        <v>Military Zone</v>
      </c>
      <c r="E1786" s="21" t="s">
        <v>15</v>
      </c>
      <c r="F1786" s="23">
        <v>228998</v>
      </c>
      <c r="G1786" s="20" t="s">
        <v>1537</v>
      </c>
      <c r="H1786" s="20" t="s">
        <v>2499</v>
      </c>
      <c r="I1786" s="20" t="s">
        <v>678</v>
      </c>
      <c r="J1786" s="20" t="s">
        <v>6</v>
      </c>
      <c r="K1786" s="20" t="s">
        <v>137</v>
      </c>
      <c r="L1786" s="20" t="s">
        <v>137</v>
      </c>
      <c r="M1786" s="20" t="s">
        <v>1713</v>
      </c>
      <c r="Q1786" s="24" t="s">
        <v>680</v>
      </c>
    </row>
    <row r="1787" spans="1:17" hidden="1" x14ac:dyDescent="0.3">
      <c r="A1787" s="20">
        <f t="shared" si="27"/>
        <v>1786</v>
      </c>
      <c r="B1787" s="21" t="s">
        <v>87</v>
      </c>
      <c r="C1787" s="21" t="s">
        <v>94</v>
      </c>
      <c r="D1787" s="22" t="str">
        <f>IF($C1787="","",IFERROR(VLOOKUP($C1787,Map_Register!$A$2:$C$5,3,FALSE()),""))</f>
        <v>Military Zone</v>
      </c>
      <c r="E1787" s="21" t="s">
        <v>15</v>
      </c>
      <c r="F1787" s="23">
        <v>229059</v>
      </c>
      <c r="G1787" s="20" t="s">
        <v>1537</v>
      </c>
      <c r="H1787" s="20" t="s">
        <v>2500</v>
      </c>
      <c r="I1787" s="20" t="s">
        <v>678</v>
      </c>
      <c r="J1787" s="20" t="s">
        <v>6</v>
      </c>
      <c r="K1787" s="20" t="s">
        <v>137</v>
      </c>
      <c r="L1787" s="20" t="s">
        <v>137</v>
      </c>
      <c r="M1787" s="20" t="s">
        <v>1713</v>
      </c>
      <c r="Q1787" s="24" t="s">
        <v>680</v>
      </c>
    </row>
    <row r="1788" spans="1:17" hidden="1" x14ac:dyDescent="0.3">
      <c r="A1788" s="20">
        <f t="shared" si="27"/>
        <v>1787</v>
      </c>
      <c r="B1788" s="21" t="s">
        <v>87</v>
      </c>
      <c r="C1788" s="21" t="s">
        <v>94</v>
      </c>
      <c r="D1788" s="22" t="str">
        <f>IF($C1788="","",IFERROR(VLOOKUP($C1788,Map_Register!$A$2:$C$5,3,FALSE()),""))</f>
        <v>Military Zone</v>
      </c>
      <c r="E1788" s="21" t="s">
        <v>15</v>
      </c>
      <c r="F1788" s="23">
        <v>229060</v>
      </c>
      <c r="G1788" s="20" t="s">
        <v>1537</v>
      </c>
      <c r="H1788" s="20" t="s">
        <v>2501</v>
      </c>
      <c r="I1788" s="20" t="s">
        <v>678</v>
      </c>
      <c r="J1788" s="20" t="s">
        <v>8</v>
      </c>
      <c r="K1788" t="s">
        <v>107</v>
      </c>
      <c r="L1788" s="20" t="s">
        <v>107</v>
      </c>
      <c r="M1788" s="20" t="s">
        <v>2502</v>
      </c>
      <c r="N1788" s="20" t="s">
        <v>108</v>
      </c>
      <c r="Q1788" s="24" t="s">
        <v>680</v>
      </c>
    </row>
    <row r="1789" spans="1:17" hidden="1" x14ac:dyDescent="0.3">
      <c r="A1789" s="20">
        <f t="shared" si="27"/>
        <v>1788</v>
      </c>
      <c r="B1789" s="21" t="s">
        <v>87</v>
      </c>
      <c r="C1789" s="21" t="s">
        <v>94</v>
      </c>
      <c r="D1789" s="22" t="str">
        <f>IF($C1789="","",IFERROR(VLOOKUP($C1789,Map_Register!$A$2:$C$5,3,FALSE()),""))</f>
        <v>Military Zone</v>
      </c>
      <c r="E1789" s="21" t="s">
        <v>15</v>
      </c>
      <c r="F1789" s="23">
        <v>229069</v>
      </c>
      <c r="G1789" s="20" t="s">
        <v>1537</v>
      </c>
      <c r="H1789" s="20" t="s">
        <v>2503</v>
      </c>
      <c r="I1789" s="20" t="s">
        <v>678</v>
      </c>
      <c r="J1789" s="20" t="s">
        <v>6</v>
      </c>
      <c r="K1789" s="20" t="s">
        <v>137</v>
      </c>
      <c r="L1789" s="20" t="s">
        <v>137</v>
      </c>
      <c r="M1789" s="20" t="s">
        <v>2406</v>
      </c>
      <c r="Q1789" s="24" t="s">
        <v>680</v>
      </c>
    </row>
    <row r="1790" spans="1:17" hidden="1" x14ac:dyDescent="0.3">
      <c r="A1790" s="20">
        <f t="shared" si="27"/>
        <v>1789</v>
      </c>
      <c r="B1790" s="21" t="s">
        <v>87</v>
      </c>
      <c r="C1790" s="21" t="s">
        <v>94</v>
      </c>
      <c r="D1790" s="22" t="str">
        <f>IF($C1790="","",IFERROR(VLOOKUP($C1790,Map_Register!$A$2:$C$5,3,FALSE()),""))</f>
        <v>Military Zone</v>
      </c>
      <c r="E1790" s="21" t="s">
        <v>15</v>
      </c>
      <c r="F1790" s="23">
        <v>229116</v>
      </c>
      <c r="G1790" s="20" t="s">
        <v>1537</v>
      </c>
      <c r="H1790" s="20" t="s">
        <v>2504</v>
      </c>
      <c r="I1790" s="20" t="s">
        <v>678</v>
      </c>
      <c r="J1790" s="20" t="s">
        <v>6</v>
      </c>
      <c r="K1790" s="20" t="s">
        <v>137</v>
      </c>
      <c r="L1790" s="20" t="s">
        <v>137</v>
      </c>
      <c r="M1790" s="20" t="s">
        <v>1713</v>
      </c>
      <c r="Q1790" s="24" t="s">
        <v>680</v>
      </c>
    </row>
    <row r="1791" spans="1:17" hidden="1" x14ac:dyDescent="0.3">
      <c r="A1791" s="20">
        <f t="shared" si="27"/>
        <v>1790</v>
      </c>
      <c r="B1791" s="21" t="s">
        <v>87</v>
      </c>
      <c r="C1791" s="21" t="s">
        <v>94</v>
      </c>
      <c r="D1791" s="22" t="str">
        <f>IF($C1791="","",IFERROR(VLOOKUP($C1791,Map_Register!$A$2:$C$5,3,FALSE()),""))</f>
        <v>Military Zone</v>
      </c>
      <c r="E1791" s="21" t="s">
        <v>15</v>
      </c>
      <c r="F1791" s="23">
        <v>229350</v>
      </c>
      <c r="G1791" s="20" t="s">
        <v>1537</v>
      </c>
      <c r="H1791" s="20" t="s">
        <v>2505</v>
      </c>
      <c r="I1791" s="20" t="s">
        <v>678</v>
      </c>
      <c r="J1791" s="20" t="s">
        <v>6</v>
      </c>
      <c r="K1791" s="20" t="s">
        <v>137</v>
      </c>
      <c r="L1791" s="20" t="s">
        <v>137</v>
      </c>
      <c r="M1791" s="20" t="s">
        <v>1713</v>
      </c>
      <c r="Q1791" s="24" t="s">
        <v>680</v>
      </c>
    </row>
    <row r="1792" spans="1:17" hidden="1" x14ac:dyDescent="0.3">
      <c r="A1792" s="20">
        <f t="shared" si="27"/>
        <v>1791</v>
      </c>
      <c r="B1792" s="21" t="s">
        <v>87</v>
      </c>
      <c r="C1792" s="21" t="s">
        <v>94</v>
      </c>
      <c r="D1792" s="22" t="str">
        <f>IF($C1792="","",IFERROR(VLOOKUP($C1792,Map_Register!$A$2:$C$5,3,FALSE()),""))</f>
        <v>Military Zone</v>
      </c>
      <c r="E1792" s="21" t="s">
        <v>15</v>
      </c>
      <c r="F1792" s="23">
        <v>229420</v>
      </c>
      <c r="G1792" s="20" t="s">
        <v>1537</v>
      </c>
      <c r="H1792" s="20" t="s">
        <v>2506</v>
      </c>
      <c r="I1792" s="20" t="s">
        <v>678</v>
      </c>
      <c r="J1792" s="20" t="s">
        <v>6</v>
      </c>
      <c r="K1792" s="20" t="s">
        <v>137</v>
      </c>
      <c r="L1792" s="20" t="s">
        <v>137</v>
      </c>
      <c r="M1792" s="20" t="s">
        <v>1713</v>
      </c>
      <c r="Q1792" s="24" t="s">
        <v>680</v>
      </c>
    </row>
    <row r="1793" spans="1:17" hidden="1" x14ac:dyDescent="0.3">
      <c r="A1793" s="20">
        <f t="shared" si="27"/>
        <v>1792</v>
      </c>
      <c r="B1793" s="21" t="s">
        <v>87</v>
      </c>
      <c r="C1793" s="21" t="s">
        <v>94</v>
      </c>
      <c r="D1793" s="22" t="str">
        <f>IF($C1793="","",IFERROR(VLOOKUP($C1793,Map_Register!$A$2:$C$5,3,FALSE()),""))</f>
        <v>Military Zone</v>
      </c>
      <c r="E1793" s="21" t="s">
        <v>15</v>
      </c>
      <c r="F1793" s="23">
        <v>229442</v>
      </c>
      <c r="G1793" s="20" t="s">
        <v>1537</v>
      </c>
      <c r="H1793" s="20" t="s">
        <v>2507</v>
      </c>
      <c r="I1793" s="20" t="s">
        <v>678</v>
      </c>
      <c r="J1793" s="20" t="s">
        <v>6</v>
      </c>
      <c r="K1793" s="20" t="s">
        <v>137</v>
      </c>
      <c r="L1793" s="20" t="s">
        <v>137</v>
      </c>
      <c r="M1793" s="20" t="s">
        <v>1713</v>
      </c>
      <c r="Q1793" s="24" t="s">
        <v>680</v>
      </c>
    </row>
    <row r="1794" spans="1:17" hidden="1" x14ac:dyDescent="0.3">
      <c r="A1794" s="20">
        <f t="shared" ref="A1794:A1833" si="28">IF($B1794="","",ROW()-1)</f>
        <v>1793</v>
      </c>
      <c r="B1794" s="21" t="s">
        <v>87</v>
      </c>
      <c r="C1794" s="21" t="s">
        <v>94</v>
      </c>
      <c r="D1794" s="22" t="str">
        <f>IF($C1794="","",IFERROR(VLOOKUP($C1794,Map_Register!$A$2:$C$5,3,FALSE()),""))</f>
        <v>Military Zone</v>
      </c>
      <c r="E1794" s="21" t="s">
        <v>15</v>
      </c>
      <c r="F1794" s="23">
        <v>229498</v>
      </c>
      <c r="G1794" s="20" t="s">
        <v>1537</v>
      </c>
      <c r="H1794" s="20" t="s">
        <v>2508</v>
      </c>
      <c r="I1794" s="20" t="s">
        <v>678</v>
      </c>
      <c r="J1794" s="20" t="s">
        <v>6</v>
      </c>
      <c r="K1794" s="20" t="s">
        <v>137</v>
      </c>
      <c r="L1794" s="20" t="s">
        <v>137</v>
      </c>
      <c r="M1794" s="20" t="s">
        <v>1713</v>
      </c>
      <c r="Q1794" s="24" t="s">
        <v>680</v>
      </c>
    </row>
    <row r="1795" spans="1:17" hidden="1" x14ac:dyDescent="0.3">
      <c r="A1795" s="20">
        <f t="shared" si="28"/>
        <v>1794</v>
      </c>
      <c r="B1795" s="21" t="s">
        <v>87</v>
      </c>
      <c r="C1795" s="21" t="s">
        <v>94</v>
      </c>
      <c r="D1795" s="22" t="str">
        <f>IF($C1795="","",IFERROR(VLOOKUP($C1795,Map_Register!$A$2:$C$5,3,FALSE()),""))</f>
        <v>Military Zone</v>
      </c>
      <c r="E1795" s="21" t="s">
        <v>15</v>
      </c>
      <c r="F1795" s="23">
        <v>229507</v>
      </c>
      <c r="G1795" s="20" t="s">
        <v>1537</v>
      </c>
      <c r="H1795" s="20" t="s">
        <v>2509</v>
      </c>
      <c r="I1795" s="20" t="s">
        <v>678</v>
      </c>
      <c r="J1795" s="20" t="s">
        <v>6</v>
      </c>
      <c r="K1795" s="20" t="s">
        <v>137</v>
      </c>
      <c r="L1795" s="20" t="s">
        <v>137</v>
      </c>
      <c r="M1795" s="20" t="s">
        <v>2406</v>
      </c>
      <c r="Q1795" s="24" t="s">
        <v>680</v>
      </c>
    </row>
    <row r="1796" spans="1:17" hidden="1" x14ac:dyDescent="0.3">
      <c r="A1796" s="20">
        <f t="shared" si="28"/>
        <v>1795</v>
      </c>
      <c r="B1796" s="21" t="s">
        <v>87</v>
      </c>
      <c r="C1796" s="21" t="s">
        <v>94</v>
      </c>
      <c r="D1796" s="22" t="str">
        <f>IF($C1796="","",IFERROR(VLOOKUP($C1796,Map_Register!$A$2:$C$5,3,FALSE()),""))</f>
        <v>Military Zone</v>
      </c>
      <c r="E1796" s="21" t="s">
        <v>15</v>
      </c>
      <c r="F1796" s="23">
        <v>229513</v>
      </c>
      <c r="G1796" s="20" t="s">
        <v>1537</v>
      </c>
      <c r="H1796" s="20" t="s">
        <v>2510</v>
      </c>
      <c r="I1796" s="20" t="s">
        <v>678</v>
      </c>
      <c r="J1796" s="20" t="s">
        <v>6</v>
      </c>
      <c r="K1796" s="20" t="s">
        <v>137</v>
      </c>
      <c r="L1796" s="20" t="s">
        <v>137</v>
      </c>
      <c r="M1796" s="20" t="s">
        <v>1713</v>
      </c>
      <c r="Q1796" s="24" t="s">
        <v>680</v>
      </c>
    </row>
    <row r="1797" spans="1:17" hidden="1" x14ac:dyDescent="0.3">
      <c r="A1797" s="20">
        <f t="shared" si="28"/>
        <v>1796</v>
      </c>
      <c r="B1797" s="21" t="s">
        <v>87</v>
      </c>
      <c r="C1797" s="21" t="s">
        <v>94</v>
      </c>
      <c r="D1797" s="22" t="str">
        <f>IF($C1797="","",IFERROR(VLOOKUP($C1797,Map_Register!$A$2:$C$5,3,FALSE()),""))</f>
        <v>Military Zone</v>
      </c>
      <c r="E1797" s="21" t="s">
        <v>15</v>
      </c>
      <c r="F1797" s="23">
        <v>229536</v>
      </c>
      <c r="G1797" s="20" t="s">
        <v>1537</v>
      </c>
      <c r="H1797" s="20" t="s">
        <v>2511</v>
      </c>
      <c r="I1797" s="20" t="s">
        <v>678</v>
      </c>
      <c r="J1797" s="20" t="s">
        <v>8</v>
      </c>
      <c r="K1797" t="s">
        <v>107</v>
      </c>
      <c r="L1797" s="20" t="s">
        <v>107</v>
      </c>
      <c r="M1797" s="20" t="s">
        <v>2439</v>
      </c>
      <c r="N1797" s="20" t="s">
        <v>108</v>
      </c>
      <c r="Q1797" s="24" t="s">
        <v>680</v>
      </c>
    </row>
    <row r="1798" spans="1:17" x14ac:dyDescent="0.3">
      <c r="A1798" s="20">
        <f t="shared" si="28"/>
        <v>1797</v>
      </c>
      <c r="B1798" s="21" t="s">
        <v>87</v>
      </c>
      <c r="C1798" s="21" t="s">
        <v>94</v>
      </c>
      <c r="D1798" s="22" t="str">
        <f>IF($C1798="","",IFERROR(VLOOKUP($C1798,Map_Register!$A$2:$C$5,3,FALSE()),""))</f>
        <v>Military Zone</v>
      </c>
      <c r="E1798" s="21" t="s">
        <v>15</v>
      </c>
      <c r="F1798" s="23">
        <v>229563</v>
      </c>
      <c r="G1798" s="20" t="s">
        <v>1537</v>
      </c>
      <c r="H1798" s="20" t="s">
        <v>1971</v>
      </c>
      <c r="I1798" s="20" t="s">
        <v>678</v>
      </c>
      <c r="J1798" s="20" t="s">
        <v>8</v>
      </c>
      <c r="K1798" t="s">
        <v>107</v>
      </c>
      <c r="L1798" t="s">
        <v>108</v>
      </c>
      <c r="M1798" s="20" t="s">
        <v>2441</v>
      </c>
      <c r="N1798" s="20" t="s">
        <v>108</v>
      </c>
      <c r="Q1798" s="24" t="s">
        <v>680</v>
      </c>
    </row>
    <row r="1799" spans="1:17" x14ac:dyDescent="0.3">
      <c r="A1799" s="20">
        <f t="shared" si="28"/>
        <v>1798</v>
      </c>
      <c r="B1799" s="21" t="s">
        <v>87</v>
      </c>
      <c r="C1799" s="21" t="s">
        <v>94</v>
      </c>
      <c r="D1799" s="22" t="str">
        <f>IF($C1799="","",IFERROR(VLOOKUP($C1799,Map_Register!$A$2:$C$5,3,FALSE()),""))</f>
        <v>Military Zone</v>
      </c>
      <c r="E1799" s="21" t="s">
        <v>15</v>
      </c>
      <c r="F1799" s="23">
        <v>229565</v>
      </c>
      <c r="G1799" s="20" t="s">
        <v>1537</v>
      </c>
      <c r="H1799" s="20" t="s">
        <v>2386</v>
      </c>
      <c r="I1799" s="20" t="s">
        <v>678</v>
      </c>
      <c r="J1799" s="20" t="s">
        <v>8</v>
      </c>
      <c r="K1799" t="s">
        <v>107</v>
      </c>
      <c r="L1799" t="s">
        <v>108</v>
      </c>
      <c r="M1799" s="20" t="s">
        <v>2390</v>
      </c>
      <c r="N1799" s="20" t="s">
        <v>108</v>
      </c>
      <c r="Q1799" s="24" t="s">
        <v>680</v>
      </c>
    </row>
    <row r="1800" spans="1:17" hidden="1" x14ac:dyDescent="0.3">
      <c r="A1800" s="20">
        <f t="shared" si="28"/>
        <v>1799</v>
      </c>
      <c r="B1800" s="21" t="s">
        <v>87</v>
      </c>
      <c r="C1800" s="21" t="s">
        <v>94</v>
      </c>
      <c r="D1800" s="22" t="str">
        <f>IF($C1800="","",IFERROR(VLOOKUP($C1800,Map_Register!$A$2:$C$5,3,FALSE()),""))</f>
        <v>Military Zone</v>
      </c>
      <c r="E1800" s="21" t="s">
        <v>15</v>
      </c>
      <c r="F1800" s="23">
        <v>229581</v>
      </c>
      <c r="G1800" s="20" t="s">
        <v>1537</v>
      </c>
      <c r="H1800" s="20" t="s">
        <v>2512</v>
      </c>
      <c r="I1800" s="20" t="s">
        <v>678</v>
      </c>
      <c r="J1800" s="20" t="s">
        <v>6</v>
      </c>
      <c r="K1800" s="20" t="s">
        <v>137</v>
      </c>
      <c r="L1800" s="20" t="s">
        <v>137</v>
      </c>
      <c r="M1800" s="20" t="s">
        <v>1713</v>
      </c>
      <c r="Q1800" s="24" t="s">
        <v>680</v>
      </c>
    </row>
    <row r="1801" spans="1:17" hidden="1" x14ac:dyDescent="0.3">
      <c r="A1801" s="20">
        <f t="shared" si="28"/>
        <v>1800</v>
      </c>
      <c r="B1801" s="21" t="s">
        <v>87</v>
      </c>
      <c r="C1801" s="21" t="s">
        <v>94</v>
      </c>
      <c r="D1801" s="22" t="str">
        <f>IF($C1801="","",IFERROR(VLOOKUP($C1801,Map_Register!$A$2:$C$5,3,FALSE()),""))</f>
        <v>Military Zone</v>
      </c>
      <c r="E1801" s="21" t="s">
        <v>15</v>
      </c>
      <c r="F1801" s="23">
        <v>229598</v>
      </c>
      <c r="G1801" s="20" t="s">
        <v>1537</v>
      </c>
      <c r="H1801" s="20" t="s">
        <v>2513</v>
      </c>
      <c r="I1801" s="20" t="s">
        <v>678</v>
      </c>
      <c r="J1801" s="20" t="s">
        <v>8</v>
      </c>
      <c r="K1801" t="s">
        <v>107</v>
      </c>
      <c r="L1801" s="20" t="s">
        <v>107</v>
      </c>
      <c r="M1801" s="20" t="s">
        <v>2414</v>
      </c>
      <c r="N1801" s="20" t="s">
        <v>108</v>
      </c>
      <c r="Q1801" s="24" t="s">
        <v>680</v>
      </c>
    </row>
    <row r="1802" spans="1:17" hidden="1" x14ac:dyDescent="0.3">
      <c r="A1802" s="20">
        <f t="shared" si="28"/>
        <v>1801</v>
      </c>
      <c r="B1802" s="21" t="s">
        <v>87</v>
      </c>
      <c r="C1802" s="21" t="s">
        <v>94</v>
      </c>
      <c r="D1802" s="22" t="str">
        <f>IF($C1802="","",IFERROR(VLOOKUP($C1802,Map_Register!$A$2:$C$5,3,FALSE()),""))</f>
        <v>Military Zone</v>
      </c>
      <c r="E1802" s="21" t="s">
        <v>15</v>
      </c>
      <c r="F1802" s="23">
        <v>229606</v>
      </c>
      <c r="G1802" s="20" t="s">
        <v>1537</v>
      </c>
      <c r="H1802" s="20" t="s">
        <v>1865</v>
      </c>
      <c r="I1802" s="20" t="s">
        <v>678</v>
      </c>
      <c r="J1802" s="20" t="s">
        <v>8</v>
      </c>
      <c r="K1802" t="s">
        <v>107</v>
      </c>
      <c r="L1802" s="20" t="s">
        <v>107</v>
      </c>
      <c r="M1802" s="20" t="s">
        <v>2414</v>
      </c>
      <c r="N1802" s="20" t="s">
        <v>108</v>
      </c>
      <c r="Q1802" s="24" t="s">
        <v>680</v>
      </c>
    </row>
    <row r="1803" spans="1:17" hidden="1" x14ac:dyDescent="0.3">
      <c r="A1803" s="20">
        <f t="shared" si="28"/>
        <v>1802</v>
      </c>
      <c r="B1803" s="21" t="s">
        <v>87</v>
      </c>
      <c r="C1803" s="21" t="s">
        <v>94</v>
      </c>
      <c r="D1803" s="22" t="str">
        <f>IF($C1803="","",IFERROR(VLOOKUP($C1803,Map_Register!$A$2:$C$5,3,FALSE()),""))</f>
        <v>Military Zone</v>
      </c>
      <c r="E1803" s="21" t="s">
        <v>15</v>
      </c>
      <c r="F1803" s="23">
        <v>229608</v>
      </c>
      <c r="G1803" s="20" t="s">
        <v>1537</v>
      </c>
      <c r="H1803" s="20" t="s">
        <v>2514</v>
      </c>
      <c r="I1803" s="20" t="s">
        <v>678</v>
      </c>
      <c r="J1803" s="20" t="s">
        <v>8</v>
      </c>
      <c r="K1803" t="s">
        <v>107</v>
      </c>
      <c r="L1803" s="20" t="s">
        <v>107</v>
      </c>
      <c r="M1803" s="20" t="s">
        <v>2414</v>
      </c>
      <c r="N1803" s="20" t="s">
        <v>108</v>
      </c>
      <c r="Q1803" s="24" t="s">
        <v>680</v>
      </c>
    </row>
    <row r="1804" spans="1:17" x14ac:dyDescent="0.3">
      <c r="A1804" s="20">
        <f t="shared" si="28"/>
        <v>1803</v>
      </c>
      <c r="B1804" s="21" t="s">
        <v>87</v>
      </c>
      <c r="C1804" s="21" t="s">
        <v>94</v>
      </c>
      <c r="D1804" s="22" t="str">
        <f>IF($C1804="","",IFERROR(VLOOKUP($C1804,Map_Register!$A$2:$C$5,3,FALSE()),""))</f>
        <v>Military Zone</v>
      </c>
      <c r="E1804" s="21" t="s">
        <v>15</v>
      </c>
      <c r="F1804" s="23">
        <v>229613</v>
      </c>
      <c r="G1804" s="20" t="s">
        <v>1537</v>
      </c>
      <c r="H1804" s="20" t="s">
        <v>1761</v>
      </c>
      <c r="I1804" s="20" t="s">
        <v>678</v>
      </c>
      <c r="J1804" s="20" t="s">
        <v>8</v>
      </c>
      <c r="K1804" t="s">
        <v>107</v>
      </c>
      <c r="L1804" t="s">
        <v>108</v>
      </c>
      <c r="M1804" s="20" t="s">
        <v>2441</v>
      </c>
      <c r="N1804" s="20" t="s">
        <v>108</v>
      </c>
      <c r="Q1804" s="24" t="s">
        <v>680</v>
      </c>
    </row>
    <row r="1805" spans="1:17" hidden="1" x14ac:dyDescent="0.3">
      <c r="A1805" s="20">
        <f t="shared" si="28"/>
        <v>1804</v>
      </c>
      <c r="B1805" s="21" t="s">
        <v>87</v>
      </c>
      <c r="C1805" s="21" t="s">
        <v>94</v>
      </c>
      <c r="D1805" s="22" t="str">
        <f>IF($C1805="","",IFERROR(VLOOKUP($C1805,Map_Register!$A$2:$C$5,3,FALSE()),""))</f>
        <v>Military Zone</v>
      </c>
      <c r="E1805" s="21" t="s">
        <v>15</v>
      </c>
      <c r="F1805" s="23">
        <v>229671</v>
      </c>
      <c r="G1805" s="20" t="s">
        <v>1537</v>
      </c>
      <c r="H1805" s="20" t="s">
        <v>871</v>
      </c>
      <c r="I1805" s="20" t="s">
        <v>678</v>
      </c>
      <c r="J1805" s="20" t="s">
        <v>8</v>
      </c>
      <c r="K1805" t="s">
        <v>107</v>
      </c>
      <c r="L1805" s="20" t="s">
        <v>107</v>
      </c>
      <c r="M1805" s="20" t="s">
        <v>2414</v>
      </c>
      <c r="N1805" s="20" t="s">
        <v>108</v>
      </c>
      <c r="Q1805" s="24" t="s">
        <v>680</v>
      </c>
    </row>
    <row r="1806" spans="1:17" x14ac:dyDescent="0.3">
      <c r="A1806" s="20">
        <f t="shared" si="28"/>
        <v>1805</v>
      </c>
      <c r="B1806" s="21" t="s">
        <v>87</v>
      </c>
      <c r="C1806" s="21" t="s">
        <v>94</v>
      </c>
      <c r="D1806" s="22" t="str">
        <f>IF($C1806="","",IFERROR(VLOOKUP($C1806,Map_Register!$A$2:$C$5,3,FALSE()),""))</f>
        <v>Military Zone</v>
      </c>
      <c r="E1806" s="21" t="s">
        <v>15</v>
      </c>
      <c r="F1806" s="23">
        <v>229684</v>
      </c>
      <c r="G1806" s="20" t="s">
        <v>1537</v>
      </c>
      <c r="H1806" s="20" t="s">
        <v>2515</v>
      </c>
      <c r="I1806" s="20" t="s">
        <v>678</v>
      </c>
      <c r="J1806" s="20" t="s">
        <v>8</v>
      </c>
      <c r="K1806" t="s">
        <v>107</v>
      </c>
      <c r="L1806" t="s">
        <v>108</v>
      </c>
      <c r="M1806" s="20" t="s">
        <v>2441</v>
      </c>
      <c r="N1806" s="20" t="s">
        <v>108</v>
      </c>
      <c r="Q1806" s="24" t="s">
        <v>680</v>
      </c>
    </row>
    <row r="1807" spans="1:17" hidden="1" x14ac:dyDescent="0.3">
      <c r="A1807" s="20">
        <f t="shared" si="28"/>
        <v>1806</v>
      </c>
      <c r="B1807" s="21" t="s">
        <v>87</v>
      </c>
      <c r="C1807" s="21" t="s">
        <v>94</v>
      </c>
      <c r="D1807" s="22" t="str">
        <f>IF($C1807="","",IFERROR(VLOOKUP($C1807,Map_Register!$A$2:$C$5,3,FALSE()),""))</f>
        <v>Military Zone</v>
      </c>
      <c r="E1807" s="21" t="s">
        <v>15</v>
      </c>
      <c r="F1807" s="23">
        <v>229691</v>
      </c>
      <c r="G1807" s="20" t="s">
        <v>1537</v>
      </c>
      <c r="H1807" s="20" t="s">
        <v>2516</v>
      </c>
      <c r="I1807" s="20" t="s">
        <v>678</v>
      </c>
      <c r="J1807" s="20" t="s">
        <v>6</v>
      </c>
      <c r="K1807" s="20" t="s">
        <v>137</v>
      </c>
      <c r="L1807" s="20" t="s">
        <v>137</v>
      </c>
      <c r="M1807" s="20" t="s">
        <v>1713</v>
      </c>
      <c r="Q1807" s="24" t="s">
        <v>680</v>
      </c>
    </row>
    <row r="1808" spans="1:17" hidden="1" x14ac:dyDescent="0.3">
      <c r="A1808" s="20">
        <f t="shared" si="28"/>
        <v>1807</v>
      </c>
      <c r="B1808" s="21" t="s">
        <v>87</v>
      </c>
      <c r="C1808" s="21" t="s">
        <v>94</v>
      </c>
      <c r="D1808" s="22" t="str">
        <f>IF($C1808="","",IFERROR(VLOOKUP($C1808,Map_Register!$A$2:$C$5,3,FALSE()),""))</f>
        <v>Military Zone</v>
      </c>
      <c r="E1808" s="21" t="s">
        <v>15</v>
      </c>
      <c r="F1808" s="23">
        <v>229694</v>
      </c>
      <c r="G1808" s="20" t="s">
        <v>1537</v>
      </c>
      <c r="H1808" s="20" t="s">
        <v>2517</v>
      </c>
      <c r="I1808" s="20" t="s">
        <v>678</v>
      </c>
      <c r="J1808" s="20" t="s">
        <v>6</v>
      </c>
      <c r="K1808" s="20" t="s">
        <v>137</v>
      </c>
      <c r="L1808" s="20" t="s">
        <v>137</v>
      </c>
      <c r="M1808" s="20" t="s">
        <v>2406</v>
      </c>
      <c r="Q1808" s="24" t="s">
        <v>680</v>
      </c>
    </row>
    <row r="1809" spans="1:17" x14ac:dyDescent="0.3">
      <c r="A1809" s="20">
        <f t="shared" si="28"/>
        <v>1808</v>
      </c>
      <c r="B1809" s="21" t="s">
        <v>87</v>
      </c>
      <c r="C1809" s="21" t="s">
        <v>94</v>
      </c>
      <c r="D1809" s="22" t="str">
        <f>IF($C1809="","",IFERROR(VLOOKUP($C1809,Map_Register!$A$2:$C$5,3,FALSE()),""))</f>
        <v>Military Zone</v>
      </c>
      <c r="E1809" s="21" t="s">
        <v>15</v>
      </c>
      <c r="F1809" s="23">
        <v>229703</v>
      </c>
      <c r="G1809" s="20" t="s">
        <v>1537</v>
      </c>
      <c r="H1809" s="20" t="s">
        <v>2518</v>
      </c>
      <c r="I1809" s="20" t="s">
        <v>678</v>
      </c>
      <c r="J1809" s="20" t="s">
        <v>8</v>
      </c>
      <c r="K1809" t="s">
        <v>107</v>
      </c>
      <c r="L1809" t="s">
        <v>108</v>
      </c>
      <c r="M1809" s="20" t="s">
        <v>2441</v>
      </c>
      <c r="N1809" s="20" t="s">
        <v>108</v>
      </c>
      <c r="Q1809" s="24" t="s">
        <v>680</v>
      </c>
    </row>
    <row r="1810" spans="1:17" hidden="1" x14ac:dyDescent="0.3">
      <c r="A1810" s="20">
        <f t="shared" si="28"/>
        <v>1809</v>
      </c>
      <c r="B1810" s="21" t="s">
        <v>87</v>
      </c>
      <c r="C1810" s="21" t="s">
        <v>94</v>
      </c>
      <c r="D1810" s="22" t="str">
        <f>IF($C1810="","",IFERROR(VLOOKUP($C1810,Map_Register!$A$2:$C$5,3,FALSE()),""))</f>
        <v>Military Zone</v>
      </c>
      <c r="E1810" s="21" t="s">
        <v>15</v>
      </c>
      <c r="F1810" s="23">
        <v>229713</v>
      </c>
      <c r="G1810" s="20" t="s">
        <v>1537</v>
      </c>
      <c r="H1810" s="20" t="s">
        <v>2519</v>
      </c>
      <c r="I1810" s="20" t="s">
        <v>678</v>
      </c>
      <c r="J1810" s="20" t="s">
        <v>8</v>
      </c>
      <c r="K1810" t="s">
        <v>107</v>
      </c>
      <c r="L1810" s="20" t="s">
        <v>107</v>
      </c>
      <c r="M1810" s="20" t="s">
        <v>2414</v>
      </c>
      <c r="N1810" s="20" t="s">
        <v>108</v>
      </c>
      <c r="Q1810" s="24" t="s">
        <v>680</v>
      </c>
    </row>
    <row r="1811" spans="1:17" hidden="1" x14ac:dyDescent="0.3">
      <c r="A1811" s="20">
        <f t="shared" si="28"/>
        <v>1810</v>
      </c>
      <c r="B1811" s="21" t="s">
        <v>87</v>
      </c>
      <c r="C1811" s="21" t="s">
        <v>94</v>
      </c>
      <c r="D1811" s="22" t="str">
        <f>IF($C1811="","",IFERROR(VLOOKUP($C1811,Map_Register!$A$2:$C$5,3,FALSE()),""))</f>
        <v>Military Zone</v>
      </c>
      <c r="E1811" s="21" t="s">
        <v>15</v>
      </c>
      <c r="F1811" s="23">
        <v>229727</v>
      </c>
      <c r="G1811" s="20" t="s">
        <v>1537</v>
      </c>
      <c r="H1811" s="20" t="s">
        <v>2139</v>
      </c>
      <c r="I1811" s="20" t="s">
        <v>678</v>
      </c>
      <c r="J1811" s="20" t="s">
        <v>8</v>
      </c>
      <c r="K1811" t="s">
        <v>107</v>
      </c>
      <c r="L1811" s="20" t="s">
        <v>107</v>
      </c>
      <c r="M1811" s="20" t="s">
        <v>2414</v>
      </c>
      <c r="N1811" s="20" t="s">
        <v>108</v>
      </c>
      <c r="Q1811" s="24" t="s">
        <v>680</v>
      </c>
    </row>
    <row r="1812" spans="1:17" hidden="1" x14ac:dyDescent="0.3">
      <c r="A1812" s="20">
        <f t="shared" si="28"/>
        <v>1811</v>
      </c>
      <c r="B1812" s="21" t="s">
        <v>87</v>
      </c>
      <c r="C1812" s="21" t="s">
        <v>94</v>
      </c>
      <c r="D1812" s="22" t="str">
        <f>IF($C1812="","",IFERROR(VLOOKUP($C1812,Map_Register!$A$2:$C$5,3,FALSE()),""))</f>
        <v>Military Zone</v>
      </c>
      <c r="E1812" s="21" t="s">
        <v>15</v>
      </c>
      <c r="F1812" s="23">
        <v>229737</v>
      </c>
      <c r="G1812" s="20" t="s">
        <v>1537</v>
      </c>
      <c r="H1812" s="20" t="s">
        <v>1729</v>
      </c>
      <c r="I1812" s="20" t="s">
        <v>678</v>
      </c>
      <c r="J1812" s="20" t="s">
        <v>8</v>
      </c>
      <c r="K1812" t="s">
        <v>107</v>
      </c>
      <c r="L1812" s="20" t="s">
        <v>107</v>
      </c>
      <c r="M1812" s="20" t="s">
        <v>2414</v>
      </c>
      <c r="N1812" s="20" t="s">
        <v>108</v>
      </c>
      <c r="Q1812" s="24" t="s">
        <v>680</v>
      </c>
    </row>
    <row r="1813" spans="1:17" x14ac:dyDescent="0.3">
      <c r="A1813" s="20">
        <f t="shared" si="28"/>
        <v>1812</v>
      </c>
      <c r="B1813" s="21" t="s">
        <v>87</v>
      </c>
      <c r="C1813" s="21" t="s">
        <v>94</v>
      </c>
      <c r="D1813" s="22" t="str">
        <f>IF($C1813="","",IFERROR(VLOOKUP($C1813,Map_Register!$A$2:$C$5,3,FALSE()),""))</f>
        <v>Military Zone</v>
      </c>
      <c r="E1813" s="21" t="s">
        <v>15</v>
      </c>
      <c r="F1813" s="23">
        <v>229759</v>
      </c>
      <c r="G1813" s="20" t="s">
        <v>1537</v>
      </c>
      <c r="H1813" s="20" t="s">
        <v>2520</v>
      </c>
      <c r="I1813" s="20" t="s">
        <v>678</v>
      </c>
      <c r="J1813" s="20" t="s">
        <v>8</v>
      </c>
      <c r="K1813" t="s">
        <v>107</v>
      </c>
      <c r="L1813" t="s">
        <v>108</v>
      </c>
      <c r="M1813" s="20" t="s">
        <v>2441</v>
      </c>
      <c r="N1813" s="20" t="s">
        <v>108</v>
      </c>
      <c r="Q1813" s="24" t="s">
        <v>680</v>
      </c>
    </row>
    <row r="1814" spans="1:17" x14ac:dyDescent="0.3">
      <c r="A1814" s="20">
        <f t="shared" si="28"/>
        <v>1813</v>
      </c>
      <c r="B1814" s="21" t="s">
        <v>87</v>
      </c>
      <c r="C1814" s="21" t="s">
        <v>94</v>
      </c>
      <c r="D1814" s="22" t="str">
        <f>IF($C1814="","",IFERROR(VLOOKUP($C1814,Map_Register!$A$2:$C$5,3,FALSE()),""))</f>
        <v>Military Zone</v>
      </c>
      <c r="E1814" s="21" t="s">
        <v>15</v>
      </c>
      <c r="F1814" s="23">
        <v>229774</v>
      </c>
      <c r="G1814" s="20" t="s">
        <v>1537</v>
      </c>
      <c r="H1814" s="20" t="s">
        <v>2521</v>
      </c>
      <c r="I1814" s="20" t="s">
        <v>678</v>
      </c>
      <c r="J1814" s="20" t="s">
        <v>8</v>
      </c>
      <c r="K1814" t="s">
        <v>107</v>
      </c>
      <c r="L1814" t="s">
        <v>108</v>
      </c>
      <c r="M1814" s="20" t="s">
        <v>2441</v>
      </c>
      <c r="N1814" s="20" t="s">
        <v>108</v>
      </c>
      <c r="Q1814" s="24" t="s">
        <v>680</v>
      </c>
    </row>
    <row r="1815" spans="1:17" x14ac:dyDescent="0.3">
      <c r="A1815" s="20">
        <f t="shared" si="28"/>
        <v>1814</v>
      </c>
      <c r="B1815" s="21" t="s">
        <v>87</v>
      </c>
      <c r="C1815" s="21" t="s">
        <v>94</v>
      </c>
      <c r="D1815" s="22" t="str">
        <f>IF($C1815="","",IFERROR(VLOOKUP($C1815,Map_Register!$A$2:$C$5,3,FALSE()),""))</f>
        <v>Military Zone</v>
      </c>
      <c r="E1815" s="21" t="s">
        <v>15</v>
      </c>
      <c r="F1815" s="23">
        <v>229781</v>
      </c>
      <c r="G1815" s="20" t="s">
        <v>1537</v>
      </c>
      <c r="H1815" s="20" t="s">
        <v>2522</v>
      </c>
      <c r="I1815" s="20" t="s">
        <v>678</v>
      </c>
      <c r="J1815" s="20" t="s">
        <v>8</v>
      </c>
      <c r="K1815" t="s">
        <v>107</v>
      </c>
      <c r="L1815" t="s">
        <v>108</v>
      </c>
      <c r="M1815" s="20" t="s">
        <v>2441</v>
      </c>
      <c r="N1815" s="20" t="s">
        <v>108</v>
      </c>
      <c r="Q1815" s="24" t="s">
        <v>680</v>
      </c>
    </row>
    <row r="1816" spans="1:17" hidden="1" x14ac:dyDescent="0.3">
      <c r="A1816" s="20">
        <f t="shared" si="28"/>
        <v>1815</v>
      </c>
      <c r="B1816" s="21" t="s">
        <v>87</v>
      </c>
      <c r="C1816" s="21" t="s">
        <v>94</v>
      </c>
      <c r="D1816" s="22" t="str">
        <f>IF($C1816="","",IFERROR(VLOOKUP($C1816,Map_Register!$A$2:$C$5,3,FALSE()),""))</f>
        <v>Military Zone</v>
      </c>
      <c r="E1816" s="21" t="s">
        <v>15</v>
      </c>
      <c r="F1816" s="23">
        <v>229786</v>
      </c>
      <c r="G1816" s="20" t="s">
        <v>1537</v>
      </c>
      <c r="H1816" s="20" t="s">
        <v>2523</v>
      </c>
      <c r="I1816" s="20" t="s">
        <v>678</v>
      </c>
      <c r="J1816" s="20" t="s">
        <v>6</v>
      </c>
      <c r="K1816" s="20" t="s">
        <v>137</v>
      </c>
      <c r="L1816" s="20" t="s">
        <v>137</v>
      </c>
      <c r="M1816" s="20" t="s">
        <v>1713</v>
      </c>
      <c r="Q1816" s="24" t="s">
        <v>680</v>
      </c>
    </row>
    <row r="1817" spans="1:17" hidden="1" x14ac:dyDescent="0.3">
      <c r="A1817" s="20">
        <f t="shared" si="28"/>
        <v>1816</v>
      </c>
      <c r="B1817" s="21" t="s">
        <v>87</v>
      </c>
      <c r="C1817" s="21" t="s">
        <v>94</v>
      </c>
      <c r="D1817" s="22" t="str">
        <f>IF($C1817="","",IFERROR(VLOOKUP($C1817,Map_Register!$A$2:$C$5,3,FALSE()),""))</f>
        <v>Military Zone</v>
      </c>
      <c r="E1817" s="21" t="s">
        <v>15</v>
      </c>
      <c r="F1817" s="23">
        <v>229787</v>
      </c>
      <c r="G1817" s="20" t="s">
        <v>1537</v>
      </c>
      <c r="H1817" s="20" t="s">
        <v>2524</v>
      </c>
      <c r="I1817" s="20" t="s">
        <v>678</v>
      </c>
      <c r="J1817" s="20" t="s">
        <v>6</v>
      </c>
      <c r="K1817" s="20" t="s">
        <v>137</v>
      </c>
      <c r="L1817" s="20" t="s">
        <v>137</v>
      </c>
      <c r="M1817" s="20" t="s">
        <v>1713</v>
      </c>
      <c r="Q1817" s="24" t="s">
        <v>680</v>
      </c>
    </row>
    <row r="1818" spans="1:17" hidden="1" x14ac:dyDescent="0.3">
      <c r="A1818" s="20">
        <f t="shared" si="28"/>
        <v>1817</v>
      </c>
      <c r="B1818" s="21" t="s">
        <v>87</v>
      </c>
      <c r="C1818" s="21" t="s">
        <v>94</v>
      </c>
      <c r="D1818" s="22" t="str">
        <f>IF($C1818="","",IFERROR(VLOOKUP($C1818,Map_Register!$A$2:$C$5,3,FALSE()),""))</f>
        <v>Military Zone</v>
      </c>
      <c r="E1818" s="21" t="s">
        <v>15</v>
      </c>
      <c r="F1818" s="23">
        <v>233000</v>
      </c>
      <c r="G1818" s="20" t="s">
        <v>1537</v>
      </c>
      <c r="H1818" s="20" t="s">
        <v>2525</v>
      </c>
      <c r="I1818" s="20" t="s">
        <v>678</v>
      </c>
      <c r="J1818" s="20" t="s">
        <v>6</v>
      </c>
      <c r="K1818" s="20" t="s">
        <v>137</v>
      </c>
      <c r="L1818" s="20" t="s">
        <v>137</v>
      </c>
      <c r="M1818" s="20" t="s">
        <v>1713</v>
      </c>
      <c r="Q1818" s="24" t="s">
        <v>680</v>
      </c>
    </row>
    <row r="1819" spans="1:17" hidden="1" x14ac:dyDescent="0.3">
      <c r="A1819" s="20">
        <f t="shared" si="28"/>
        <v>1818</v>
      </c>
      <c r="B1819" s="21" t="s">
        <v>87</v>
      </c>
      <c r="C1819" s="21" t="s">
        <v>94</v>
      </c>
      <c r="D1819" s="22" t="str">
        <f>IF($C1819="","",IFERROR(VLOOKUP($C1819,Map_Register!$A$2:$C$5,3,FALSE()),""))</f>
        <v>Military Zone</v>
      </c>
      <c r="E1819" s="21" t="s">
        <v>15</v>
      </c>
      <c r="F1819" s="23">
        <v>233254</v>
      </c>
      <c r="G1819" s="20" t="s">
        <v>1537</v>
      </c>
      <c r="H1819" s="20" t="s">
        <v>2526</v>
      </c>
      <c r="I1819" s="20" t="s">
        <v>678</v>
      </c>
      <c r="J1819" s="20" t="s">
        <v>6</v>
      </c>
      <c r="K1819" s="20" t="s">
        <v>137</v>
      </c>
      <c r="L1819" s="20" t="s">
        <v>137</v>
      </c>
      <c r="M1819" s="20" t="s">
        <v>1713</v>
      </c>
      <c r="Q1819" s="24" t="s">
        <v>680</v>
      </c>
    </row>
    <row r="1820" spans="1:17" hidden="1" x14ac:dyDescent="0.3">
      <c r="A1820" s="20">
        <f t="shared" si="28"/>
        <v>1819</v>
      </c>
      <c r="B1820" s="21" t="s">
        <v>87</v>
      </c>
      <c r="C1820" s="21" t="s">
        <v>94</v>
      </c>
      <c r="D1820" s="22" t="str">
        <f>IF($C1820="","",IFERROR(VLOOKUP($C1820,Map_Register!$A$2:$C$5,3,FALSE()),""))</f>
        <v>Military Zone</v>
      </c>
      <c r="E1820" s="21" t="s">
        <v>15</v>
      </c>
      <c r="F1820" s="23">
        <v>235233</v>
      </c>
      <c r="G1820" s="20" t="s">
        <v>1537</v>
      </c>
      <c r="H1820" s="20" t="s">
        <v>2527</v>
      </c>
      <c r="I1820" s="20" t="s">
        <v>678</v>
      </c>
      <c r="J1820" s="20" t="s">
        <v>6</v>
      </c>
      <c r="L1820" s="20"/>
      <c r="M1820" s="20" t="s">
        <v>1713</v>
      </c>
      <c r="Q1820" s="24" t="s">
        <v>680</v>
      </c>
    </row>
    <row r="1821" spans="1:17" hidden="1" x14ac:dyDescent="0.3">
      <c r="A1821" s="20">
        <f t="shared" si="28"/>
        <v>1820</v>
      </c>
      <c r="B1821" s="21" t="s">
        <v>87</v>
      </c>
      <c r="C1821" s="21" t="s">
        <v>94</v>
      </c>
      <c r="D1821" s="22" t="str">
        <f>IF($C1821="","",IFERROR(VLOOKUP($C1821,Map_Register!$A$2:$C$5,3,FALSE()),""))</f>
        <v>Military Zone</v>
      </c>
      <c r="E1821" s="21" t="s">
        <v>15</v>
      </c>
      <c r="F1821" s="23">
        <v>238808</v>
      </c>
      <c r="G1821" s="20" t="s">
        <v>1537</v>
      </c>
      <c r="H1821" s="20" t="s">
        <v>2427</v>
      </c>
      <c r="I1821" s="20" t="s">
        <v>678</v>
      </c>
      <c r="J1821" s="20" t="s">
        <v>6</v>
      </c>
      <c r="K1821" s="20" t="s">
        <v>137</v>
      </c>
      <c r="L1821" s="20" t="s">
        <v>137</v>
      </c>
      <c r="M1821" s="20" t="s">
        <v>2428</v>
      </c>
      <c r="Q1821" s="24" t="s">
        <v>680</v>
      </c>
    </row>
    <row r="1822" spans="1:17" hidden="1" x14ac:dyDescent="0.3">
      <c r="A1822" s="20">
        <f t="shared" si="28"/>
        <v>1821</v>
      </c>
      <c r="B1822" s="21" t="s">
        <v>87</v>
      </c>
      <c r="C1822" s="21" t="s">
        <v>94</v>
      </c>
      <c r="D1822" s="22" t="str">
        <f>IF($C1822="","",IFERROR(VLOOKUP($C1822,Map_Register!$A$2:$C$5,3,FALSE()),""))</f>
        <v>Military Zone</v>
      </c>
      <c r="E1822" s="21" t="s">
        <v>15</v>
      </c>
      <c r="F1822" s="23">
        <v>240099</v>
      </c>
      <c r="G1822" s="20" t="s">
        <v>1537</v>
      </c>
      <c r="H1822" s="20" t="s">
        <v>2528</v>
      </c>
      <c r="I1822" s="20" t="s">
        <v>678</v>
      </c>
      <c r="J1822" s="20" t="s">
        <v>6</v>
      </c>
      <c r="K1822" s="20" t="s">
        <v>137</v>
      </c>
      <c r="L1822" s="20" t="s">
        <v>137</v>
      </c>
      <c r="M1822" s="20" t="s">
        <v>1713</v>
      </c>
      <c r="Q1822" s="24" t="s">
        <v>680</v>
      </c>
    </row>
    <row r="1823" spans="1:17" hidden="1" x14ac:dyDescent="0.3">
      <c r="A1823" s="20">
        <f t="shared" si="28"/>
        <v>1822</v>
      </c>
      <c r="B1823" s="21" t="s">
        <v>87</v>
      </c>
      <c r="C1823" s="21" t="s">
        <v>94</v>
      </c>
      <c r="D1823" s="22" t="str">
        <f>IF($C1823="","",IFERROR(VLOOKUP($C1823,Map_Register!$A$2:$C$5,3,FALSE()),""))</f>
        <v>Military Zone</v>
      </c>
      <c r="E1823" s="21" t="s">
        <v>15</v>
      </c>
      <c r="F1823" s="23">
        <v>240989</v>
      </c>
      <c r="G1823" s="20" t="s">
        <v>1537</v>
      </c>
      <c r="H1823" s="20" t="s">
        <v>2529</v>
      </c>
      <c r="I1823" s="20" t="s">
        <v>678</v>
      </c>
      <c r="J1823" s="20" t="s">
        <v>6</v>
      </c>
      <c r="K1823" s="20" t="s">
        <v>137</v>
      </c>
      <c r="L1823" s="20" t="s">
        <v>137</v>
      </c>
      <c r="M1823" s="20" t="s">
        <v>1713</v>
      </c>
      <c r="Q1823" s="24" t="s">
        <v>680</v>
      </c>
    </row>
    <row r="1824" spans="1:17" hidden="1" x14ac:dyDescent="0.3">
      <c r="A1824" s="20">
        <f t="shared" si="28"/>
        <v>1823</v>
      </c>
      <c r="B1824" s="21" t="s">
        <v>87</v>
      </c>
      <c r="C1824" s="21" t="s">
        <v>94</v>
      </c>
      <c r="D1824" s="22" t="str">
        <f>IF($C1824="","",IFERROR(VLOOKUP($C1824,Map_Register!$A$2:$C$5,3,FALSE()),""))</f>
        <v>Military Zone</v>
      </c>
      <c r="E1824" s="21" t="s">
        <v>15</v>
      </c>
      <c r="F1824" s="23">
        <v>241130</v>
      </c>
      <c r="G1824" s="20" t="s">
        <v>1537</v>
      </c>
      <c r="H1824" s="20" t="s">
        <v>2213</v>
      </c>
      <c r="I1824" s="20" t="s">
        <v>678</v>
      </c>
      <c r="J1824" s="20" t="s">
        <v>6</v>
      </c>
      <c r="K1824" s="20" t="s">
        <v>137</v>
      </c>
      <c r="L1824" s="20" t="s">
        <v>137</v>
      </c>
      <c r="M1824" s="20" t="s">
        <v>1713</v>
      </c>
      <c r="Q1824" s="24" t="s">
        <v>680</v>
      </c>
    </row>
    <row r="1825" spans="1:17" hidden="1" x14ac:dyDescent="0.3">
      <c r="A1825" s="20">
        <f t="shared" si="28"/>
        <v>1824</v>
      </c>
      <c r="B1825" s="21" t="s">
        <v>87</v>
      </c>
      <c r="C1825" s="21" t="s">
        <v>94</v>
      </c>
      <c r="D1825" s="22" t="str">
        <f>IF($C1825="","",IFERROR(VLOOKUP($C1825,Map_Register!$A$2:$C$5,3,FALSE()),""))</f>
        <v>Military Zone</v>
      </c>
      <c r="E1825" s="21" t="s">
        <v>15</v>
      </c>
      <c r="F1825" s="23">
        <v>241133</v>
      </c>
      <c r="G1825" s="20" t="s">
        <v>1537</v>
      </c>
      <c r="H1825" s="20" t="s">
        <v>1709</v>
      </c>
      <c r="I1825" s="20" t="s">
        <v>678</v>
      </c>
      <c r="J1825" s="20" t="s">
        <v>6</v>
      </c>
      <c r="K1825" s="20" t="s">
        <v>137</v>
      </c>
      <c r="L1825" s="20" t="s">
        <v>137</v>
      </c>
      <c r="M1825" s="20" t="s">
        <v>1713</v>
      </c>
      <c r="Q1825" s="24" t="s">
        <v>680</v>
      </c>
    </row>
    <row r="1826" spans="1:17" hidden="1" x14ac:dyDescent="0.3">
      <c r="A1826" s="20">
        <f t="shared" si="28"/>
        <v>1825</v>
      </c>
      <c r="B1826" s="21" t="s">
        <v>87</v>
      </c>
      <c r="C1826" s="21" t="s">
        <v>94</v>
      </c>
      <c r="D1826" s="22" t="str">
        <f>IF($C1826="","",IFERROR(VLOOKUP($C1826,Map_Register!$A$2:$C$5,3,FALSE()),""))</f>
        <v>Military Zone</v>
      </c>
      <c r="E1826" s="21" t="s">
        <v>15</v>
      </c>
      <c r="F1826" s="23">
        <v>241155</v>
      </c>
      <c r="G1826" s="20" t="s">
        <v>1537</v>
      </c>
      <c r="H1826" s="20" t="s">
        <v>2165</v>
      </c>
      <c r="I1826" s="20" t="s">
        <v>678</v>
      </c>
      <c r="J1826" s="20" t="s">
        <v>6</v>
      </c>
      <c r="K1826" s="20" t="s">
        <v>137</v>
      </c>
      <c r="L1826" s="20" t="s">
        <v>137</v>
      </c>
      <c r="M1826" s="20" t="s">
        <v>1713</v>
      </c>
      <c r="Q1826" s="24" t="s">
        <v>680</v>
      </c>
    </row>
    <row r="1827" spans="1:17" hidden="1" x14ac:dyDescent="0.3">
      <c r="A1827" s="20">
        <f t="shared" si="28"/>
        <v>1826</v>
      </c>
      <c r="B1827" s="21" t="s">
        <v>87</v>
      </c>
      <c r="C1827" s="21" t="s">
        <v>94</v>
      </c>
      <c r="D1827" s="22" t="str">
        <f>IF($C1827="","",IFERROR(VLOOKUP($C1827,Map_Register!$A$2:$C$5,3,FALSE()),""))</f>
        <v>Military Zone</v>
      </c>
      <c r="E1827" s="21" t="s">
        <v>15</v>
      </c>
      <c r="F1827" s="23">
        <v>241160</v>
      </c>
      <c r="G1827" s="20" t="s">
        <v>1537</v>
      </c>
      <c r="H1827" s="20" t="s">
        <v>2530</v>
      </c>
      <c r="I1827" s="20" t="s">
        <v>678</v>
      </c>
      <c r="J1827" s="20" t="s">
        <v>6</v>
      </c>
      <c r="K1827" s="20" t="s">
        <v>137</v>
      </c>
      <c r="L1827" s="20" t="s">
        <v>137</v>
      </c>
      <c r="M1827" s="20" t="s">
        <v>1713</v>
      </c>
      <c r="Q1827" s="24" t="s">
        <v>680</v>
      </c>
    </row>
    <row r="1828" spans="1:17" hidden="1" x14ac:dyDescent="0.3">
      <c r="A1828" s="20">
        <f t="shared" si="28"/>
        <v>1827</v>
      </c>
      <c r="B1828" s="21" t="s">
        <v>87</v>
      </c>
      <c r="C1828" s="21" t="s">
        <v>94</v>
      </c>
      <c r="D1828" s="22" t="str">
        <f>IF($C1828="","",IFERROR(VLOOKUP($C1828,Map_Register!$A$2:$C$5,3,FALSE()),""))</f>
        <v>Military Zone</v>
      </c>
      <c r="E1828" s="21" t="s">
        <v>15</v>
      </c>
      <c r="F1828" s="23">
        <v>241165</v>
      </c>
      <c r="G1828" s="20" t="s">
        <v>1537</v>
      </c>
      <c r="H1828" s="20" t="s">
        <v>2531</v>
      </c>
      <c r="I1828" s="20" t="s">
        <v>678</v>
      </c>
      <c r="J1828" s="20" t="s">
        <v>6</v>
      </c>
      <c r="K1828" s="20" t="s">
        <v>137</v>
      </c>
      <c r="L1828" s="20" t="s">
        <v>137</v>
      </c>
      <c r="M1828" s="20" t="s">
        <v>1713</v>
      </c>
      <c r="Q1828" s="24" t="s">
        <v>680</v>
      </c>
    </row>
    <row r="1829" spans="1:17" hidden="1" x14ac:dyDescent="0.3">
      <c r="A1829" s="20">
        <f t="shared" si="28"/>
        <v>1828</v>
      </c>
      <c r="B1829" s="21" t="s">
        <v>87</v>
      </c>
      <c r="C1829" s="21" t="s">
        <v>94</v>
      </c>
      <c r="D1829" s="22" t="str">
        <f>IF($C1829="","",IFERROR(VLOOKUP($C1829,Map_Register!$A$2:$C$5,3,FALSE()),""))</f>
        <v>Military Zone</v>
      </c>
      <c r="E1829" s="21" t="s">
        <v>15</v>
      </c>
      <c r="F1829" s="23">
        <v>241168</v>
      </c>
      <c r="G1829" s="20" t="s">
        <v>1537</v>
      </c>
      <c r="H1829" s="20" t="s">
        <v>2532</v>
      </c>
      <c r="I1829" s="20" t="s">
        <v>678</v>
      </c>
      <c r="J1829" s="20" t="s">
        <v>6</v>
      </c>
      <c r="K1829" s="20" t="s">
        <v>137</v>
      </c>
      <c r="L1829" s="20" t="s">
        <v>137</v>
      </c>
      <c r="M1829" s="20" t="s">
        <v>1713</v>
      </c>
      <c r="Q1829" s="24" t="s">
        <v>680</v>
      </c>
    </row>
    <row r="1830" spans="1:17" hidden="1" x14ac:dyDescent="0.3">
      <c r="A1830" s="20">
        <f t="shared" si="28"/>
        <v>1829</v>
      </c>
      <c r="B1830" s="21" t="s">
        <v>87</v>
      </c>
      <c r="C1830" s="21" t="s">
        <v>94</v>
      </c>
      <c r="D1830" s="22" t="str">
        <f>IF($C1830="","",IFERROR(VLOOKUP($C1830,Map_Register!$A$2:$C$5,3,FALSE()),""))</f>
        <v>Military Zone</v>
      </c>
      <c r="E1830" s="21" t="s">
        <v>15</v>
      </c>
      <c r="F1830" s="23">
        <v>241171</v>
      </c>
      <c r="G1830" s="20" t="s">
        <v>1537</v>
      </c>
      <c r="H1830" s="20" t="s">
        <v>2533</v>
      </c>
      <c r="I1830" s="20" t="s">
        <v>678</v>
      </c>
      <c r="J1830" s="20" t="s">
        <v>8</v>
      </c>
      <c r="K1830" t="s">
        <v>107</v>
      </c>
      <c r="L1830" s="20" t="s">
        <v>107</v>
      </c>
      <c r="M1830" s="20" t="s">
        <v>2414</v>
      </c>
      <c r="N1830" s="20" t="s">
        <v>108</v>
      </c>
      <c r="Q1830" s="24" t="s">
        <v>680</v>
      </c>
    </row>
    <row r="1831" spans="1:17" hidden="1" x14ac:dyDescent="0.3">
      <c r="A1831" s="20">
        <f t="shared" si="28"/>
        <v>1830</v>
      </c>
      <c r="B1831" s="21" t="s">
        <v>87</v>
      </c>
      <c r="C1831" s="21" t="s">
        <v>94</v>
      </c>
      <c r="D1831" s="22" t="str">
        <f>IF($C1831="","",IFERROR(VLOOKUP($C1831,Map_Register!$A$2:$C$5,3,FALSE()),""))</f>
        <v>Military Zone</v>
      </c>
      <c r="E1831" s="21" t="s">
        <v>15</v>
      </c>
      <c r="F1831" s="23">
        <v>241192</v>
      </c>
      <c r="G1831" s="20" t="s">
        <v>1537</v>
      </c>
      <c r="H1831" s="20" t="s">
        <v>2534</v>
      </c>
      <c r="I1831" s="20" t="s">
        <v>678</v>
      </c>
      <c r="J1831" s="20" t="s">
        <v>6</v>
      </c>
      <c r="K1831" s="20" t="s">
        <v>137</v>
      </c>
      <c r="L1831" s="20" t="s">
        <v>137</v>
      </c>
      <c r="M1831" s="20" t="s">
        <v>1713</v>
      </c>
      <c r="Q1831" s="24" t="s">
        <v>680</v>
      </c>
    </row>
    <row r="1832" spans="1:17" hidden="1" x14ac:dyDescent="0.3">
      <c r="A1832" s="20">
        <f t="shared" si="28"/>
        <v>1831</v>
      </c>
      <c r="B1832" s="21" t="s">
        <v>87</v>
      </c>
      <c r="C1832" s="21" t="s">
        <v>94</v>
      </c>
      <c r="D1832" s="22" t="str">
        <f>IF($C1832="","",IFERROR(VLOOKUP($C1832,Map_Register!$A$2:$C$5,3,FALSE()),""))</f>
        <v>Military Zone</v>
      </c>
      <c r="E1832" s="21" t="s">
        <v>15</v>
      </c>
      <c r="F1832" s="23">
        <v>242678</v>
      </c>
      <c r="G1832" s="20" t="s">
        <v>1537</v>
      </c>
      <c r="H1832" s="20" t="s">
        <v>2535</v>
      </c>
      <c r="I1832" s="20" t="s">
        <v>678</v>
      </c>
      <c r="J1832" s="20" t="s">
        <v>6</v>
      </c>
      <c r="K1832" s="20" t="s">
        <v>137</v>
      </c>
      <c r="L1832" s="20" t="s">
        <v>137</v>
      </c>
      <c r="M1832" s="20" t="s">
        <v>1713</v>
      </c>
      <c r="Q1832" s="24" t="s">
        <v>680</v>
      </c>
    </row>
    <row r="1833" spans="1:17" hidden="1" x14ac:dyDescent="0.3">
      <c r="A1833" s="20">
        <f t="shared" si="28"/>
        <v>1832</v>
      </c>
      <c r="B1833" s="21" t="s">
        <v>87</v>
      </c>
      <c r="C1833" s="21" t="s">
        <v>94</v>
      </c>
      <c r="D1833" s="22" t="str">
        <f>IF($C1833="","",IFERROR(VLOOKUP($C1833,Map_Register!$A$2:$C$5,3,FALSE()),""))</f>
        <v>Military Zone</v>
      </c>
      <c r="E1833" s="21" t="s">
        <v>15</v>
      </c>
      <c r="F1833" s="23">
        <v>243977</v>
      </c>
      <c r="G1833" s="20" t="s">
        <v>1537</v>
      </c>
      <c r="H1833" s="20" t="s">
        <v>2536</v>
      </c>
      <c r="I1833" s="20" t="s">
        <v>678</v>
      </c>
      <c r="J1833" s="20" t="s">
        <v>8</v>
      </c>
      <c r="K1833" t="s">
        <v>107</v>
      </c>
      <c r="L1833" s="20" t="s">
        <v>107</v>
      </c>
      <c r="M1833" s="20" t="s">
        <v>2414</v>
      </c>
      <c r="N1833" s="20" t="s">
        <v>108</v>
      </c>
      <c r="Q1833" s="24" t="s">
        <v>680</v>
      </c>
    </row>
    <row r="1834" spans="1:17" x14ac:dyDescent="0.3">
      <c r="N1834" s="20"/>
    </row>
  </sheetData>
  <autoFilter ref="A1:Q1833" xr:uid="{00000000-0009-0000-0000-000005000000}">
    <filterColumn colId="9">
      <filters>
        <filter val="Absent"/>
      </filters>
    </filterColumn>
    <filterColumn colId="11">
      <filters>
        <filter val="No"/>
      </filters>
    </filterColumn>
  </autoFilter>
  <conditionalFormatting sqref="J2 J686 J880 J903 J916 J946 J966 J1174:J1176 J1180:J1184 J1186 J1190:J1191 J1193:J1194 J1197 J1200 J1202 J1208:J1209 J1212:J1213 J1217:J1218 J1220 J1222:J1223 J1234 J1244 J1290:J1291 J1294:J1295 J1307:J1310 J1333 J1335 J1341 J1358:J1359 J1362:J1364 J1367 J1585:J1586 J1588 J1625 J1634 J1685 J1687 J1689 J1700:J1701 J1705 J1738 J1741">
    <cfRule type="expression" dxfId="11" priority="2">
      <formula>$J2="Absent"</formula>
    </cfRule>
    <cfRule type="expression" dxfId="10" priority="3">
      <formula>$J2="Present (Emphasized)"</formula>
    </cfRule>
    <cfRule type="expression" dxfId="9" priority="4">
      <formula>$J2="Present (De-emphasized)"</formula>
    </cfRule>
    <cfRule type="expression" dxfId="8" priority="5">
      <formula>$J2="Present (Differentiated)"</formula>
    </cfRule>
  </conditionalFormatting>
  <hyperlinks>
    <hyperlink ref="Q2" r:id="rId1" xr:uid="{00000000-0004-0000-0500-000000000000}"/>
    <hyperlink ref="Q3" r:id="rId2" xr:uid="{00000000-0004-0000-0500-000001000000}"/>
    <hyperlink ref="Q4" r:id="rId3" xr:uid="{00000000-0004-0000-0500-000002000000}"/>
    <hyperlink ref="Q5" r:id="rId4" xr:uid="{00000000-0004-0000-0500-000003000000}"/>
    <hyperlink ref="Q6" r:id="rId5" xr:uid="{00000000-0004-0000-0500-000004000000}"/>
    <hyperlink ref="Q7" r:id="rId6" xr:uid="{00000000-0004-0000-0500-000005000000}"/>
    <hyperlink ref="Q8" r:id="rId7" xr:uid="{00000000-0004-0000-0500-000006000000}"/>
    <hyperlink ref="Q9" r:id="rId8" xr:uid="{00000000-0004-0000-0500-000007000000}"/>
    <hyperlink ref="Q10" r:id="rId9" xr:uid="{00000000-0004-0000-0500-000008000000}"/>
    <hyperlink ref="Q11" r:id="rId10" xr:uid="{00000000-0004-0000-0500-000009000000}"/>
    <hyperlink ref="Q12" r:id="rId11" xr:uid="{00000000-0004-0000-0500-00000A000000}"/>
    <hyperlink ref="Q13" r:id="rId12" xr:uid="{00000000-0004-0000-0500-00000B000000}"/>
    <hyperlink ref="Q14" r:id="rId13" xr:uid="{00000000-0004-0000-0500-00000C000000}"/>
    <hyperlink ref="Q15" r:id="rId14" xr:uid="{00000000-0004-0000-0500-00000D000000}"/>
    <hyperlink ref="Q16" r:id="rId15" xr:uid="{00000000-0004-0000-0500-00000E000000}"/>
    <hyperlink ref="Q17" r:id="rId16" xr:uid="{00000000-0004-0000-0500-00000F000000}"/>
    <hyperlink ref="Q18" r:id="rId17" xr:uid="{00000000-0004-0000-0500-000010000000}"/>
    <hyperlink ref="Q19" r:id="rId18" xr:uid="{00000000-0004-0000-0500-000011000000}"/>
    <hyperlink ref="Q20" r:id="rId19" xr:uid="{00000000-0004-0000-0500-000012000000}"/>
    <hyperlink ref="Q21" r:id="rId20" xr:uid="{00000000-0004-0000-0500-000013000000}"/>
    <hyperlink ref="Q22" r:id="rId21" xr:uid="{00000000-0004-0000-0500-000014000000}"/>
    <hyperlink ref="Q23" r:id="rId22" xr:uid="{00000000-0004-0000-0500-000015000000}"/>
    <hyperlink ref="Q24" r:id="rId23" xr:uid="{00000000-0004-0000-0500-000016000000}"/>
    <hyperlink ref="Q25" r:id="rId24" xr:uid="{00000000-0004-0000-0500-000017000000}"/>
    <hyperlink ref="Q26" r:id="rId25" xr:uid="{00000000-0004-0000-0500-000018000000}"/>
    <hyperlink ref="Q27" r:id="rId26" xr:uid="{00000000-0004-0000-0500-000019000000}"/>
    <hyperlink ref="Q28" r:id="rId27" xr:uid="{00000000-0004-0000-0500-00001A000000}"/>
    <hyperlink ref="Q29" r:id="rId28" xr:uid="{00000000-0004-0000-0500-00001B000000}"/>
    <hyperlink ref="Q30" r:id="rId29" xr:uid="{00000000-0004-0000-0500-00001C000000}"/>
    <hyperlink ref="Q31" r:id="rId30" xr:uid="{00000000-0004-0000-0500-00001D000000}"/>
    <hyperlink ref="Q32" r:id="rId31" xr:uid="{00000000-0004-0000-0500-00001E000000}"/>
    <hyperlink ref="Q33" r:id="rId32" xr:uid="{00000000-0004-0000-0500-00001F000000}"/>
    <hyperlink ref="Q34" r:id="rId33" xr:uid="{00000000-0004-0000-0500-000020000000}"/>
    <hyperlink ref="Q35" r:id="rId34" xr:uid="{00000000-0004-0000-0500-000021000000}"/>
    <hyperlink ref="Q36" r:id="rId35" xr:uid="{00000000-0004-0000-0500-000022000000}"/>
    <hyperlink ref="Q37" r:id="rId36" xr:uid="{00000000-0004-0000-0500-000023000000}"/>
    <hyperlink ref="Q38" r:id="rId37" xr:uid="{00000000-0004-0000-0500-000024000000}"/>
    <hyperlink ref="Q39" r:id="rId38" xr:uid="{00000000-0004-0000-0500-000025000000}"/>
    <hyperlink ref="Q40" r:id="rId39" xr:uid="{00000000-0004-0000-0500-000026000000}"/>
    <hyperlink ref="Q41" r:id="rId40" xr:uid="{00000000-0004-0000-0500-000027000000}"/>
    <hyperlink ref="Q42" r:id="rId41" xr:uid="{00000000-0004-0000-0500-000028000000}"/>
    <hyperlink ref="Q43" r:id="rId42" xr:uid="{00000000-0004-0000-0500-000029000000}"/>
    <hyperlink ref="Q44" r:id="rId43" xr:uid="{00000000-0004-0000-0500-00002A000000}"/>
    <hyperlink ref="Q45" r:id="rId44" xr:uid="{00000000-0004-0000-0500-00002B000000}"/>
    <hyperlink ref="Q46" r:id="rId45" xr:uid="{00000000-0004-0000-0500-00002C000000}"/>
    <hyperlink ref="Q47" r:id="rId46" xr:uid="{00000000-0004-0000-0500-00002D000000}"/>
    <hyperlink ref="Q48" r:id="rId47" xr:uid="{00000000-0004-0000-0500-00002E000000}"/>
    <hyperlink ref="Q49" r:id="rId48" xr:uid="{00000000-0004-0000-0500-00002F000000}"/>
    <hyperlink ref="Q50" r:id="rId49" xr:uid="{00000000-0004-0000-0500-000030000000}"/>
    <hyperlink ref="Q51" r:id="rId50" xr:uid="{00000000-0004-0000-0500-000031000000}"/>
    <hyperlink ref="Q52" r:id="rId51" xr:uid="{00000000-0004-0000-0500-000032000000}"/>
    <hyperlink ref="Q53" r:id="rId52" xr:uid="{00000000-0004-0000-0500-000033000000}"/>
    <hyperlink ref="Q54" r:id="rId53" xr:uid="{00000000-0004-0000-0500-000034000000}"/>
    <hyperlink ref="Q55" r:id="rId54" xr:uid="{00000000-0004-0000-0500-000035000000}"/>
    <hyperlink ref="Q56" r:id="rId55" xr:uid="{00000000-0004-0000-0500-000036000000}"/>
    <hyperlink ref="Q57" r:id="rId56" xr:uid="{00000000-0004-0000-0500-000037000000}"/>
    <hyperlink ref="Q58" r:id="rId57" xr:uid="{00000000-0004-0000-0500-000038000000}"/>
    <hyperlink ref="Q59" r:id="rId58" xr:uid="{00000000-0004-0000-0500-000039000000}"/>
    <hyperlink ref="Q60" r:id="rId59" xr:uid="{00000000-0004-0000-0500-00003A000000}"/>
    <hyperlink ref="Q61" r:id="rId60" xr:uid="{00000000-0004-0000-0500-00003B000000}"/>
    <hyperlink ref="Q62" r:id="rId61" xr:uid="{00000000-0004-0000-0500-00003C000000}"/>
    <hyperlink ref="Q63" r:id="rId62" xr:uid="{00000000-0004-0000-0500-00003D000000}"/>
    <hyperlink ref="Q64" r:id="rId63" xr:uid="{00000000-0004-0000-0500-00003E000000}"/>
    <hyperlink ref="Q65" r:id="rId64" xr:uid="{00000000-0004-0000-0500-00003F000000}"/>
    <hyperlink ref="Q66" r:id="rId65" xr:uid="{00000000-0004-0000-0500-000040000000}"/>
    <hyperlink ref="Q67" r:id="rId66" xr:uid="{00000000-0004-0000-0500-000041000000}"/>
    <hyperlink ref="Q68" r:id="rId67" xr:uid="{00000000-0004-0000-0500-000042000000}"/>
    <hyperlink ref="Q69" r:id="rId68" xr:uid="{00000000-0004-0000-0500-000043000000}"/>
    <hyperlink ref="Q70" r:id="rId69" xr:uid="{00000000-0004-0000-0500-000044000000}"/>
    <hyperlink ref="Q71" r:id="rId70" xr:uid="{00000000-0004-0000-0500-000045000000}"/>
    <hyperlink ref="Q72" r:id="rId71" xr:uid="{00000000-0004-0000-0500-000046000000}"/>
    <hyperlink ref="Q73" r:id="rId72" xr:uid="{00000000-0004-0000-0500-000047000000}"/>
    <hyperlink ref="Q74" r:id="rId73" xr:uid="{00000000-0004-0000-0500-000048000000}"/>
    <hyperlink ref="Q75" r:id="rId74" xr:uid="{00000000-0004-0000-0500-000049000000}"/>
    <hyperlink ref="Q76" r:id="rId75" xr:uid="{00000000-0004-0000-0500-00004A000000}"/>
    <hyperlink ref="Q77" r:id="rId76" xr:uid="{00000000-0004-0000-0500-00004B000000}"/>
    <hyperlink ref="Q78" r:id="rId77" xr:uid="{00000000-0004-0000-0500-00004C000000}"/>
    <hyperlink ref="Q79" r:id="rId78" xr:uid="{00000000-0004-0000-0500-00004D000000}"/>
    <hyperlink ref="Q80" r:id="rId79" xr:uid="{00000000-0004-0000-0500-00004E000000}"/>
    <hyperlink ref="Q81" r:id="rId80" xr:uid="{00000000-0004-0000-0500-00004F000000}"/>
    <hyperlink ref="Q82" r:id="rId81" xr:uid="{00000000-0004-0000-0500-000050000000}"/>
    <hyperlink ref="Q83" r:id="rId82" xr:uid="{00000000-0004-0000-0500-000051000000}"/>
    <hyperlink ref="Q84" r:id="rId83" xr:uid="{00000000-0004-0000-0500-000052000000}"/>
    <hyperlink ref="Q85" r:id="rId84" xr:uid="{00000000-0004-0000-0500-000053000000}"/>
    <hyperlink ref="Q86" r:id="rId85" xr:uid="{00000000-0004-0000-0500-000054000000}"/>
    <hyperlink ref="Q87" r:id="rId86" xr:uid="{00000000-0004-0000-0500-000055000000}"/>
    <hyperlink ref="Q88" r:id="rId87" xr:uid="{00000000-0004-0000-0500-000056000000}"/>
    <hyperlink ref="Q89" r:id="rId88" xr:uid="{00000000-0004-0000-0500-000057000000}"/>
    <hyperlink ref="Q90" r:id="rId89" xr:uid="{00000000-0004-0000-0500-000058000000}"/>
    <hyperlink ref="Q91" r:id="rId90" xr:uid="{00000000-0004-0000-0500-000059000000}"/>
    <hyperlink ref="Q92" r:id="rId91" xr:uid="{00000000-0004-0000-0500-00005A000000}"/>
    <hyperlink ref="Q93" r:id="rId92" xr:uid="{00000000-0004-0000-0500-00005B000000}"/>
    <hyperlink ref="Q94" r:id="rId93" xr:uid="{00000000-0004-0000-0500-00005C000000}"/>
    <hyperlink ref="Q95" r:id="rId94" xr:uid="{00000000-0004-0000-0500-00005D000000}"/>
    <hyperlink ref="Q96" r:id="rId95" xr:uid="{00000000-0004-0000-0500-00005E000000}"/>
    <hyperlink ref="Q97" r:id="rId96" xr:uid="{00000000-0004-0000-0500-00005F000000}"/>
    <hyperlink ref="Q98" r:id="rId97" xr:uid="{00000000-0004-0000-0500-000060000000}"/>
    <hyperlink ref="Q99" r:id="rId98" xr:uid="{00000000-0004-0000-0500-000061000000}"/>
    <hyperlink ref="Q100" r:id="rId99" xr:uid="{00000000-0004-0000-0500-000062000000}"/>
    <hyperlink ref="Q101" r:id="rId100" xr:uid="{00000000-0004-0000-0500-000063000000}"/>
    <hyperlink ref="Q102" r:id="rId101" xr:uid="{00000000-0004-0000-0500-000064000000}"/>
    <hyperlink ref="Q103" r:id="rId102" xr:uid="{00000000-0004-0000-0500-000065000000}"/>
    <hyperlink ref="Q104" r:id="rId103" xr:uid="{00000000-0004-0000-0500-000066000000}"/>
    <hyperlink ref="Q105" r:id="rId104" xr:uid="{00000000-0004-0000-0500-000067000000}"/>
    <hyperlink ref="Q106" r:id="rId105" xr:uid="{00000000-0004-0000-0500-000068000000}"/>
    <hyperlink ref="Q107" r:id="rId106" xr:uid="{00000000-0004-0000-0500-000069000000}"/>
    <hyperlink ref="Q108" r:id="rId107" xr:uid="{00000000-0004-0000-0500-00006A000000}"/>
    <hyperlink ref="Q109" r:id="rId108" xr:uid="{00000000-0004-0000-0500-00006B000000}"/>
    <hyperlink ref="Q110" r:id="rId109" xr:uid="{00000000-0004-0000-0500-00006C000000}"/>
    <hyperlink ref="Q111" r:id="rId110" xr:uid="{00000000-0004-0000-0500-00006D000000}"/>
    <hyperlink ref="Q112" r:id="rId111" xr:uid="{00000000-0004-0000-0500-00006E000000}"/>
    <hyperlink ref="Q113" r:id="rId112" xr:uid="{00000000-0004-0000-0500-00006F000000}"/>
    <hyperlink ref="Q114" r:id="rId113" xr:uid="{00000000-0004-0000-0500-000070000000}"/>
    <hyperlink ref="Q115" r:id="rId114" xr:uid="{00000000-0004-0000-0500-000071000000}"/>
    <hyperlink ref="Q116" r:id="rId115" xr:uid="{00000000-0004-0000-0500-000072000000}"/>
    <hyperlink ref="Q117" r:id="rId116" xr:uid="{00000000-0004-0000-0500-000073000000}"/>
    <hyperlink ref="Q118" r:id="rId117" xr:uid="{00000000-0004-0000-0500-000074000000}"/>
    <hyperlink ref="Q119" r:id="rId118" xr:uid="{00000000-0004-0000-0500-000075000000}"/>
    <hyperlink ref="Q120" r:id="rId119" xr:uid="{00000000-0004-0000-0500-000076000000}"/>
    <hyperlink ref="Q121" r:id="rId120" xr:uid="{00000000-0004-0000-0500-000077000000}"/>
    <hyperlink ref="Q122" r:id="rId121" xr:uid="{00000000-0004-0000-0500-000078000000}"/>
    <hyperlink ref="Q123" r:id="rId122" xr:uid="{00000000-0004-0000-0500-000079000000}"/>
    <hyperlink ref="Q124" r:id="rId123" xr:uid="{00000000-0004-0000-0500-00007A000000}"/>
    <hyperlink ref="Q125" r:id="rId124" xr:uid="{00000000-0004-0000-0500-00007B000000}"/>
    <hyperlink ref="Q126" r:id="rId125" xr:uid="{00000000-0004-0000-0500-00007C000000}"/>
    <hyperlink ref="Q127" r:id="rId126" xr:uid="{00000000-0004-0000-0500-00007D000000}"/>
    <hyperlink ref="Q128" r:id="rId127" xr:uid="{00000000-0004-0000-0500-00007E000000}"/>
    <hyperlink ref="Q129" r:id="rId128" xr:uid="{00000000-0004-0000-0500-00007F000000}"/>
    <hyperlink ref="Q130" r:id="rId129" xr:uid="{00000000-0004-0000-0500-000080000000}"/>
    <hyperlink ref="Q131" r:id="rId130" xr:uid="{00000000-0004-0000-0500-000081000000}"/>
    <hyperlink ref="Q132" r:id="rId131" xr:uid="{00000000-0004-0000-0500-000082000000}"/>
    <hyperlink ref="Q133" r:id="rId132" xr:uid="{00000000-0004-0000-0500-000083000000}"/>
    <hyperlink ref="Q134" r:id="rId133" xr:uid="{00000000-0004-0000-0500-000084000000}"/>
    <hyperlink ref="Q135" r:id="rId134" xr:uid="{00000000-0004-0000-0500-000085000000}"/>
    <hyperlink ref="Q136" r:id="rId135" xr:uid="{00000000-0004-0000-0500-000086000000}"/>
    <hyperlink ref="Q137" r:id="rId136" xr:uid="{00000000-0004-0000-0500-000087000000}"/>
    <hyperlink ref="Q138" r:id="rId137" xr:uid="{00000000-0004-0000-0500-000088000000}"/>
    <hyperlink ref="Q139" r:id="rId138" xr:uid="{00000000-0004-0000-0500-000089000000}"/>
    <hyperlink ref="Q140" r:id="rId139" xr:uid="{00000000-0004-0000-0500-00008A000000}"/>
    <hyperlink ref="Q141" r:id="rId140" xr:uid="{00000000-0004-0000-0500-00008B000000}"/>
    <hyperlink ref="Q142" r:id="rId141" xr:uid="{00000000-0004-0000-0500-00008C000000}"/>
    <hyperlink ref="Q143" r:id="rId142" xr:uid="{00000000-0004-0000-0500-00008D000000}"/>
    <hyperlink ref="Q144" r:id="rId143" xr:uid="{00000000-0004-0000-0500-00008E000000}"/>
    <hyperlink ref="Q145" r:id="rId144" xr:uid="{00000000-0004-0000-0500-00008F000000}"/>
    <hyperlink ref="Q146" r:id="rId145" xr:uid="{00000000-0004-0000-0500-000090000000}"/>
    <hyperlink ref="Q147" r:id="rId146" xr:uid="{00000000-0004-0000-0500-000091000000}"/>
    <hyperlink ref="Q148" r:id="rId147" xr:uid="{00000000-0004-0000-0500-000092000000}"/>
    <hyperlink ref="Q149" r:id="rId148" xr:uid="{00000000-0004-0000-0500-000093000000}"/>
    <hyperlink ref="Q150" r:id="rId149" xr:uid="{00000000-0004-0000-0500-000094000000}"/>
    <hyperlink ref="Q151" r:id="rId150" xr:uid="{00000000-0004-0000-0500-000095000000}"/>
    <hyperlink ref="Q152" r:id="rId151" xr:uid="{00000000-0004-0000-0500-000096000000}"/>
    <hyperlink ref="Q153" r:id="rId152" xr:uid="{00000000-0004-0000-0500-000097000000}"/>
    <hyperlink ref="Q154" r:id="rId153" xr:uid="{00000000-0004-0000-0500-000098000000}"/>
    <hyperlink ref="Q155" r:id="rId154" xr:uid="{00000000-0004-0000-0500-000099000000}"/>
    <hyperlink ref="Q156" r:id="rId155" xr:uid="{00000000-0004-0000-0500-00009A000000}"/>
    <hyperlink ref="Q157" r:id="rId156" xr:uid="{00000000-0004-0000-0500-00009B000000}"/>
    <hyperlink ref="Q158" r:id="rId157" xr:uid="{00000000-0004-0000-0500-00009C000000}"/>
    <hyperlink ref="Q159" r:id="rId158" xr:uid="{00000000-0004-0000-0500-00009D000000}"/>
    <hyperlink ref="Q160" r:id="rId159" xr:uid="{00000000-0004-0000-0500-00009E000000}"/>
    <hyperlink ref="Q161" r:id="rId160" xr:uid="{00000000-0004-0000-0500-00009F000000}"/>
    <hyperlink ref="Q162" r:id="rId161" xr:uid="{00000000-0004-0000-0500-0000A0000000}"/>
    <hyperlink ref="Q163" r:id="rId162" xr:uid="{00000000-0004-0000-0500-0000A1000000}"/>
    <hyperlink ref="Q164" r:id="rId163" xr:uid="{00000000-0004-0000-0500-0000A2000000}"/>
    <hyperlink ref="Q165" r:id="rId164" xr:uid="{00000000-0004-0000-0500-0000A3000000}"/>
    <hyperlink ref="Q166" r:id="rId165" xr:uid="{00000000-0004-0000-0500-0000A4000000}"/>
    <hyperlink ref="Q167" r:id="rId166" xr:uid="{00000000-0004-0000-0500-0000A5000000}"/>
    <hyperlink ref="Q168" r:id="rId167" xr:uid="{00000000-0004-0000-0500-0000A6000000}"/>
    <hyperlink ref="Q169" r:id="rId168" xr:uid="{00000000-0004-0000-0500-0000A7000000}"/>
    <hyperlink ref="Q170" r:id="rId169" xr:uid="{00000000-0004-0000-0500-0000A8000000}"/>
    <hyperlink ref="Q171" r:id="rId170" xr:uid="{00000000-0004-0000-0500-0000A9000000}"/>
    <hyperlink ref="Q172" r:id="rId171" xr:uid="{00000000-0004-0000-0500-0000AA000000}"/>
    <hyperlink ref="Q173" r:id="rId172" xr:uid="{00000000-0004-0000-0500-0000AB000000}"/>
    <hyperlink ref="Q174" r:id="rId173" xr:uid="{00000000-0004-0000-0500-0000AC000000}"/>
    <hyperlink ref="Q175" r:id="rId174" xr:uid="{00000000-0004-0000-0500-0000AD000000}"/>
    <hyperlink ref="Q176" r:id="rId175" xr:uid="{00000000-0004-0000-0500-0000AE000000}"/>
    <hyperlink ref="Q177" r:id="rId176" xr:uid="{00000000-0004-0000-0500-0000AF000000}"/>
    <hyperlink ref="Q178" r:id="rId177" xr:uid="{00000000-0004-0000-0500-0000B0000000}"/>
    <hyperlink ref="Q179" r:id="rId178" xr:uid="{00000000-0004-0000-0500-0000B1000000}"/>
    <hyperlink ref="Q180" r:id="rId179" xr:uid="{00000000-0004-0000-0500-0000B2000000}"/>
    <hyperlink ref="Q181" r:id="rId180" xr:uid="{00000000-0004-0000-0500-0000B3000000}"/>
    <hyperlink ref="Q182" r:id="rId181" xr:uid="{00000000-0004-0000-0500-0000B4000000}"/>
    <hyperlink ref="Q183" r:id="rId182" xr:uid="{00000000-0004-0000-0500-0000B5000000}"/>
    <hyperlink ref="Q184" r:id="rId183" xr:uid="{00000000-0004-0000-0500-0000B6000000}"/>
    <hyperlink ref="Q185" r:id="rId184" xr:uid="{00000000-0004-0000-0500-0000B7000000}"/>
    <hyperlink ref="Q186" r:id="rId185" xr:uid="{00000000-0004-0000-0500-0000B8000000}"/>
    <hyperlink ref="Q187" r:id="rId186" xr:uid="{00000000-0004-0000-0500-0000B9000000}"/>
    <hyperlink ref="Q188" r:id="rId187" xr:uid="{00000000-0004-0000-0500-0000BA000000}"/>
    <hyperlink ref="Q189" r:id="rId188" xr:uid="{00000000-0004-0000-0500-0000BB000000}"/>
    <hyperlink ref="Q190" r:id="rId189" xr:uid="{00000000-0004-0000-0500-0000BC000000}"/>
    <hyperlink ref="Q191" r:id="rId190" xr:uid="{00000000-0004-0000-0500-0000BD000000}"/>
    <hyperlink ref="Q192" r:id="rId191" xr:uid="{00000000-0004-0000-0500-0000BE000000}"/>
    <hyperlink ref="Q193" r:id="rId192" xr:uid="{00000000-0004-0000-0500-0000BF000000}"/>
    <hyperlink ref="Q194" r:id="rId193" xr:uid="{00000000-0004-0000-0500-0000C0000000}"/>
    <hyperlink ref="Q195" r:id="rId194" xr:uid="{00000000-0004-0000-0500-0000C1000000}"/>
    <hyperlink ref="Q196" r:id="rId195" xr:uid="{00000000-0004-0000-0500-0000C2000000}"/>
    <hyperlink ref="Q197" r:id="rId196" xr:uid="{00000000-0004-0000-0500-0000C3000000}"/>
    <hyperlink ref="Q198" r:id="rId197" xr:uid="{00000000-0004-0000-0500-0000C4000000}"/>
    <hyperlink ref="Q199" r:id="rId198" xr:uid="{00000000-0004-0000-0500-0000C5000000}"/>
    <hyperlink ref="Q200" r:id="rId199" xr:uid="{00000000-0004-0000-0500-0000C6000000}"/>
    <hyperlink ref="Q201" r:id="rId200" xr:uid="{00000000-0004-0000-0500-0000C7000000}"/>
    <hyperlink ref="Q202" r:id="rId201" xr:uid="{00000000-0004-0000-0500-0000C8000000}"/>
    <hyperlink ref="Q203" r:id="rId202" xr:uid="{00000000-0004-0000-0500-0000C9000000}"/>
    <hyperlink ref="Q204" r:id="rId203" xr:uid="{00000000-0004-0000-0500-0000CA000000}"/>
    <hyperlink ref="Q205" r:id="rId204" xr:uid="{00000000-0004-0000-0500-0000CB000000}"/>
    <hyperlink ref="Q206" r:id="rId205" xr:uid="{00000000-0004-0000-0500-0000CC000000}"/>
    <hyperlink ref="Q207" r:id="rId206" xr:uid="{00000000-0004-0000-0500-0000CD000000}"/>
    <hyperlink ref="Q208" r:id="rId207" xr:uid="{00000000-0004-0000-0500-0000CE000000}"/>
    <hyperlink ref="Q209" r:id="rId208" xr:uid="{00000000-0004-0000-0500-0000CF000000}"/>
    <hyperlink ref="Q210" r:id="rId209" xr:uid="{00000000-0004-0000-0500-0000D0000000}"/>
    <hyperlink ref="Q211" r:id="rId210" xr:uid="{00000000-0004-0000-0500-0000D1000000}"/>
    <hyperlink ref="Q212" r:id="rId211" xr:uid="{00000000-0004-0000-0500-0000D2000000}"/>
    <hyperlink ref="Q213" r:id="rId212" xr:uid="{00000000-0004-0000-0500-0000D3000000}"/>
    <hyperlink ref="Q214" r:id="rId213" xr:uid="{00000000-0004-0000-0500-0000D4000000}"/>
    <hyperlink ref="Q215" r:id="rId214" xr:uid="{00000000-0004-0000-0500-0000D5000000}"/>
    <hyperlink ref="Q216" r:id="rId215" xr:uid="{00000000-0004-0000-0500-0000D6000000}"/>
    <hyperlink ref="Q217" r:id="rId216" xr:uid="{00000000-0004-0000-0500-0000D7000000}"/>
    <hyperlink ref="Q218" r:id="rId217" xr:uid="{00000000-0004-0000-0500-0000D8000000}"/>
    <hyperlink ref="Q219" r:id="rId218" xr:uid="{00000000-0004-0000-0500-0000D9000000}"/>
    <hyperlink ref="Q220" r:id="rId219" xr:uid="{00000000-0004-0000-0500-0000DA000000}"/>
    <hyperlink ref="Q221" r:id="rId220" xr:uid="{00000000-0004-0000-0500-0000DB000000}"/>
    <hyperlink ref="Q222" r:id="rId221" xr:uid="{00000000-0004-0000-0500-0000DC000000}"/>
    <hyperlink ref="Q223" r:id="rId222" xr:uid="{00000000-0004-0000-0500-0000DD000000}"/>
    <hyperlink ref="Q224" r:id="rId223" xr:uid="{00000000-0004-0000-0500-0000DE000000}"/>
    <hyperlink ref="Q225" r:id="rId224" xr:uid="{00000000-0004-0000-0500-0000DF000000}"/>
    <hyperlink ref="Q226" r:id="rId225" xr:uid="{00000000-0004-0000-0500-0000E0000000}"/>
    <hyperlink ref="Q227" r:id="rId226" xr:uid="{00000000-0004-0000-0500-0000E1000000}"/>
    <hyperlink ref="Q228" r:id="rId227" xr:uid="{00000000-0004-0000-0500-0000E2000000}"/>
    <hyperlink ref="Q229" r:id="rId228" xr:uid="{00000000-0004-0000-0500-0000E3000000}"/>
    <hyperlink ref="Q230" r:id="rId229" xr:uid="{00000000-0004-0000-0500-0000E4000000}"/>
    <hyperlink ref="Q231" r:id="rId230" xr:uid="{00000000-0004-0000-0500-0000E5000000}"/>
    <hyperlink ref="Q232" r:id="rId231" xr:uid="{00000000-0004-0000-0500-0000E6000000}"/>
    <hyperlink ref="Q233" r:id="rId232" xr:uid="{00000000-0004-0000-0500-0000E7000000}"/>
    <hyperlink ref="Q234" r:id="rId233" xr:uid="{00000000-0004-0000-0500-0000E8000000}"/>
    <hyperlink ref="Q235" r:id="rId234" xr:uid="{00000000-0004-0000-0500-0000E9000000}"/>
    <hyperlink ref="Q236" r:id="rId235" xr:uid="{00000000-0004-0000-0500-0000EA000000}"/>
    <hyperlink ref="Q237" r:id="rId236" xr:uid="{00000000-0004-0000-0500-0000EB000000}"/>
    <hyperlink ref="Q238" r:id="rId237" xr:uid="{00000000-0004-0000-0500-0000EC000000}"/>
    <hyperlink ref="Q239" r:id="rId238" xr:uid="{00000000-0004-0000-0500-0000ED000000}"/>
    <hyperlink ref="Q240" r:id="rId239" xr:uid="{00000000-0004-0000-0500-0000EE000000}"/>
    <hyperlink ref="Q241" r:id="rId240" xr:uid="{00000000-0004-0000-0500-0000EF000000}"/>
    <hyperlink ref="Q242" r:id="rId241" xr:uid="{00000000-0004-0000-0500-0000F0000000}"/>
    <hyperlink ref="Q243" r:id="rId242" xr:uid="{00000000-0004-0000-0500-0000F1000000}"/>
    <hyperlink ref="Q244" r:id="rId243" xr:uid="{00000000-0004-0000-0500-0000F2000000}"/>
    <hyperlink ref="Q245" r:id="rId244" xr:uid="{00000000-0004-0000-0500-0000F3000000}"/>
    <hyperlink ref="Q246" r:id="rId245" xr:uid="{00000000-0004-0000-0500-0000F4000000}"/>
    <hyperlink ref="Q247" r:id="rId246" xr:uid="{00000000-0004-0000-0500-0000F5000000}"/>
    <hyperlink ref="Q248" r:id="rId247" xr:uid="{00000000-0004-0000-0500-0000F6000000}"/>
    <hyperlink ref="Q249" r:id="rId248" xr:uid="{00000000-0004-0000-0500-0000F7000000}"/>
    <hyperlink ref="Q250" r:id="rId249" xr:uid="{00000000-0004-0000-0500-0000F8000000}"/>
    <hyperlink ref="Q251" r:id="rId250" xr:uid="{00000000-0004-0000-0500-0000F9000000}"/>
    <hyperlink ref="Q252" r:id="rId251" xr:uid="{00000000-0004-0000-0500-0000FA000000}"/>
    <hyperlink ref="Q253" r:id="rId252" xr:uid="{00000000-0004-0000-0500-0000FB000000}"/>
    <hyperlink ref="Q254" r:id="rId253" xr:uid="{00000000-0004-0000-0500-0000FC000000}"/>
    <hyperlink ref="Q255" r:id="rId254" xr:uid="{00000000-0004-0000-0500-0000FD000000}"/>
    <hyperlink ref="Q256" r:id="rId255" xr:uid="{00000000-0004-0000-0500-0000FE000000}"/>
    <hyperlink ref="Q257" r:id="rId256" xr:uid="{00000000-0004-0000-0500-0000FF000000}"/>
    <hyperlink ref="Q258" r:id="rId257" xr:uid="{00000000-0004-0000-0500-000000010000}"/>
    <hyperlink ref="Q259" r:id="rId258" xr:uid="{00000000-0004-0000-0500-000001010000}"/>
    <hyperlink ref="Q260" r:id="rId259" xr:uid="{00000000-0004-0000-0500-000002010000}"/>
    <hyperlink ref="Q261" r:id="rId260" xr:uid="{00000000-0004-0000-0500-000003010000}"/>
    <hyperlink ref="Q262" r:id="rId261" xr:uid="{00000000-0004-0000-0500-000004010000}"/>
    <hyperlink ref="Q263" r:id="rId262" xr:uid="{00000000-0004-0000-0500-000005010000}"/>
    <hyperlink ref="Q264" r:id="rId263" xr:uid="{00000000-0004-0000-0500-000006010000}"/>
    <hyperlink ref="Q265" r:id="rId264" xr:uid="{00000000-0004-0000-0500-000007010000}"/>
    <hyperlink ref="Q266" r:id="rId265" xr:uid="{00000000-0004-0000-0500-000008010000}"/>
    <hyperlink ref="Q267" r:id="rId266" xr:uid="{00000000-0004-0000-0500-000009010000}"/>
    <hyperlink ref="Q268" r:id="rId267" xr:uid="{00000000-0004-0000-0500-00000A010000}"/>
    <hyperlink ref="Q269" r:id="rId268" xr:uid="{00000000-0004-0000-0500-00000B010000}"/>
    <hyperlink ref="Q270" r:id="rId269" xr:uid="{00000000-0004-0000-0500-00000C010000}"/>
    <hyperlink ref="Q271" r:id="rId270" xr:uid="{00000000-0004-0000-0500-00000D010000}"/>
    <hyperlink ref="Q272" r:id="rId271" xr:uid="{00000000-0004-0000-0500-00000E010000}"/>
    <hyperlink ref="Q273" r:id="rId272" xr:uid="{00000000-0004-0000-0500-00000F010000}"/>
    <hyperlink ref="Q274" r:id="rId273" xr:uid="{00000000-0004-0000-0500-000010010000}"/>
    <hyperlink ref="Q275" r:id="rId274" xr:uid="{00000000-0004-0000-0500-000011010000}"/>
    <hyperlink ref="Q276" r:id="rId275" xr:uid="{00000000-0004-0000-0500-000012010000}"/>
    <hyperlink ref="Q277" r:id="rId276" xr:uid="{00000000-0004-0000-0500-000013010000}"/>
    <hyperlink ref="Q278" r:id="rId277" xr:uid="{00000000-0004-0000-0500-000014010000}"/>
    <hyperlink ref="Q279" r:id="rId278" xr:uid="{00000000-0004-0000-0500-000015010000}"/>
    <hyperlink ref="Q280" r:id="rId279" xr:uid="{00000000-0004-0000-0500-000016010000}"/>
    <hyperlink ref="Q281" r:id="rId280" xr:uid="{00000000-0004-0000-0500-000017010000}"/>
    <hyperlink ref="Q282" r:id="rId281" xr:uid="{00000000-0004-0000-0500-000018010000}"/>
    <hyperlink ref="Q283" r:id="rId282" xr:uid="{00000000-0004-0000-0500-000019010000}"/>
    <hyperlink ref="Q284" r:id="rId283" xr:uid="{00000000-0004-0000-0500-00001A010000}"/>
    <hyperlink ref="Q285" r:id="rId284" xr:uid="{00000000-0004-0000-0500-00001B010000}"/>
    <hyperlink ref="Q286" r:id="rId285" xr:uid="{00000000-0004-0000-0500-00001C010000}"/>
    <hyperlink ref="Q287" r:id="rId286" xr:uid="{00000000-0004-0000-0500-00001D010000}"/>
    <hyperlink ref="Q288" r:id="rId287" xr:uid="{00000000-0004-0000-0500-00001E010000}"/>
    <hyperlink ref="Q289" r:id="rId288" xr:uid="{00000000-0004-0000-0500-00001F010000}"/>
    <hyperlink ref="Q290" r:id="rId289" xr:uid="{00000000-0004-0000-0500-000020010000}"/>
    <hyperlink ref="Q291" r:id="rId290" xr:uid="{00000000-0004-0000-0500-000021010000}"/>
    <hyperlink ref="Q292" r:id="rId291" xr:uid="{00000000-0004-0000-0500-000022010000}"/>
    <hyperlink ref="Q293" r:id="rId292" xr:uid="{00000000-0004-0000-0500-000023010000}"/>
    <hyperlink ref="Q294" r:id="rId293" xr:uid="{00000000-0004-0000-0500-000024010000}"/>
    <hyperlink ref="Q295" r:id="rId294" xr:uid="{00000000-0004-0000-0500-000025010000}"/>
    <hyperlink ref="Q296" r:id="rId295" xr:uid="{00000000-0004-0000-0500-000026010000}"/>
    <hyperlink ref="Q297" r:id="rId296" xr:uid="{00000000-0004-0000-0500-000027010000}"/>
    <hyperlink ref="Q298" r:id="rId297" xr:uid="{00000000-0004-0000-0500-000028010000}"/>
    <hyperlink ref="Q299" r:id="rId298" xr:uid="{00000000-0004-0000-0500-000029010000}"/>
    <hyperlink ref="Q300" r:id="rId299" xr:uid="{00000000-0004-0000-0500-00002A010000}"/>
    <hyperlink ref="Q301" r:id="rId300" xr:uid="{00000000-0004-0000-0500-00002B010000}"/>
    <hyperlink ref="Q302" r:id="rId301" xr:uid="{00000000-0004-0000-0500-00002C010000}"/>
    <hyperlink ref="Q303" r:id="rId302" xr:uid="{00000000-0004-0000-0500-00002D010000}"/>
    <hyperlink ref="Q304" r:id="rId303" xr:uid="{00000000-0004-0000-0500-00002E010000}"/>
    <hyperlink ref="Q305" r:id="rId304" xr:uid="{00000000-0004-0000-0500-00002F010000}"/>
    <hyperlink ref="Q306" r:id="rId305" xr:uid="{00000000-0004-0000-0500-000030010000}"/>
    <hyperlink ref="Q307" r:id="rId306" xr:uid="{00000000-0004-0000-0500-000031010000}"/>
    <hyperlink ref="Q308" r:id="rId307" xr:uid="{00000000-0004-0000-0500-000032010000}"/>
    <hyperlink ref="Q309" r:id="rId308" xr:uid="{00000000-0004-0000-0500-000033010000}"/>
    <hyperlink ref="Q310" r:id="rId309" xr:uid="{00000000-0004-0000-0500-000034010000}"/>
    <hyperlink ref="Q311" r:id="rId310" xr:uid="{00000000-0004-0000-0500-000035010000}"/>
    <hyperlink ref="Q312" r:id="rId311" xr:uid="{00000000-0004-0000-0500-000036010000}"/>
    <hyperlink ref="Q313" r:id="rId312" xr:uid="{00000000-0004-0000-0500-000037010000}"/>
    <hyperlink ref="Q314" r:id="rId313" xr:uid="{00000000-0004-0000-0500-000038010000}"/>
    <hyperlink ref="Q315" r:id="rId314" xr:uid="{00000000-0004-0000-0500-000039010000}"/>
    <hyperlink ref="Q316" r:id="rId315" xr:uid="{00000000-0004-0000-0500-00003A010000}"/>
    <hyperlink ref="Q317" r:id="rId316" xr:uid="{00000000-0004-0000-0500-00003B010000}"/>
    <hyperlink ref="Q318" r:id="rId317" xr:uid="{00000000-0004-0000-0500-00003C010000}"/>
    <hyperlink ref="Q319" r:id="rId318" xr:uid="{00000000-0004-0000-0500-00003D010000}"/>
    <hyperlink ref="Q320" r:id="rId319" xr:uid="{00000000-0004-0000-0500-00003E010000}"/>
    <hyperlink ref="Q321" r:id="rId320" xr:uid="{00000000-0004-0000-0500-00003F010000}"/>
    <hyperlink ref="Q322" r:id="rId321" xr:uid="{00000000-0004-0000-0500-000040010000}"/>
    <hyperlink ref="Q323" r:id="rId322" xr:uid="{00000000-0004-0000-0500-000041010000}"/>
    <hyperlink ref="Q324" r:id="rId323" xr:uid="{00000000-0004-0000-0500-000042010000}"/>
    <hyperlink ref="Q325" r:id="rId324" xr:uid="{00000000-0004-0000-0500-000043010000}"/>
    <hyperlink ref="Q326" r:id="rId325" xr:uid="{00000000-0004-0000-0500-000044010000}"/>
    <hyperlink ref="Q327" r:id="rId326" xr:uid="{00000000-0004-0000-0500-000045010000}"/>
    <hyperlink ref="Q328" r:id="rId327" xr:uid="{00000000-0004-0000-0500-000046010000}"/>
    <hyperlink ref="Q329" r:id="rId328" xr:uid="{00000000-0004-0000-0500-000047010000}"/>
    <hyperlink ref="Q330" r:id="rId329" xr:uid="{00000000-0004-0000-0500-000048010000}"/>
    <hyperlink ref="Q331" r:id="rId330" xr:uid="{00000000-0004-0000-0500-000049010000}"/>
    <hyperlink ref="Q332" r:id="rId331" xr:uid="{00000000-0004-0000-0500-00004A010000}"/>
    <hyperlink ref="Q333" r:id="rId332" xr:uid="{00000000-0004-0000-0500-00004B010000}"/>
    <hyperlink ref="Q334" r:id="rId333" xr:uid="{00000000-0004-0000-0500-00004C010000}"/>
    <hyperlink ref="Q335" r:id="rId334" xr:uid="{00000000-0004-0000-0500-00004D010000}"/>
    <hyperlink ref="Q336" r:id="rId335" xr:uid="{00000000-0004-0000-0500-00004E010000}"/>
    <hyperlink ref="Q337" r:id="rId336" xr:uid="{00000000-0004-0000-0500-00004F010000}"/>
    <hyperlink ref="Q338" r:id="rId337" xr:uid="{00000000-0004-0000-0500-000050010000}"/>
    <hyperlink ref="Q339" r:id="rId338" xr:uid="{00000000-0004-0000-0500-000051010000}"/>
    <hyperlink ref="Q340" r:id="rId339" xr:uid="{00000000-0004-0000-0500-000052010000}"/>
    <hyperlink ref="Q341" r:id="rId340" xr:uid="{00000000-0004-0000-0500-000053010000}"/>
    <hyperlink ref="Q342" r:id="rId341" xr:uid="{00000000-0004-0000-0500-000054010000}"/>
    <hyperlink ref="Q343" r:id="rId342" xr:uid="{00000000-0004-0000-0500-000055010000}"/>
    <hyperlink ref="Q344" r:id="rId343" xr:uid="{00000000-0004-0000-0500-000056010000}"/>
    <hyperlink ref="Q345" r:id="rId344" xr:uid="{00000000-0004-0000-0500-000057010000}"/>
    <hyperlink ref="Q346" r:id="rId345" xr:uid="{00000000-0004-0000-0500-000058010000}"/>
    <hyperlink ref="Q347" r:id="rId346" xr:uid="{00000000-0004-0000-0500-000059010000}"/>
    <hyperlink ref="Q348" r:id="rId347" xr:uid="{00000000-0004-0000-0500-00005A010000}"/>
    <hyperlink ref="Q349" r:id="rId348" xr:uid="{00000000-0004-0000-0500-00005B010000}"/>
    <hyperlink ref="Q350" r:id="rId349" xr:uid="{00000000-0004-0000-0500-00005C010000}"/>
    <hyperlink ref="Q351" r:id="rId350" xr:uid="{00000000-0004-0000-0500-00005D010000}"/>
    <hyperlink ref="Q352" r:id="rId351" xr:uid="{00000000-0004-0000-0500-00005E010000}"/>
    <hyperlink ref="Q353" r:id="rId352" xr:uid="{00000000-0004-0000-0500-00005F010000}"/>
    <hyperlink ref="Q354" r:id="rId353" xr:uid="{00000000-0004-0000-0500-000060010000}"/>
    <hyperlink ref="Q355" r:id="rId354" xr:uid="{00000000-0004-0000-0500-000061010000}"/>
    <hyperlink ref="Q356" r:id="rId355" xr:uid="{00000000-0004-0000-0500-000062010000}"/>
    <hyperlink ref="Q357" r:id="rId356" xr:uid="{00000000-0004-0000-0500-000063010000}"/>
    <hyperlink ref="Q358" r:id="rId357" xr:uid="{00000000-0004-0000-0500-000064010000}"/>
    <hyperlink ref="Q359" r:id="rId358" xr:uid="{00000000-0004-0000-0500-000065010000}"/>
    <hyperlink ref="Q360" r:id="rId359" xr:uid="{00000000-0004-0000-0500-000066010000}"/>
    <hyperlink ref="Q361" r:id="rId360" xr:uid="{00000000-0004-0000-0500-000067010000}"/>
    <hyperlink ref="Q362" r:id="rId361" xr:uid="{00000000-0004-0000-0500-000068010000}"/>
    <hyperlink ref="Q363" r:id="rId362" xr:uid="{00000000-0004-0000-0500-000069010000}"/>
    <hyperlink ref="Q364" r:id="rId363" xr:uid="{00000000-0004-0000-0500-00006A010000}"/>
    <hyperlink ref="Q365" r:id="rId364" xr:uid="{00000000-0004-0000-0500-00006B010000}"/>
    <hyperlink ref="Q366" r:id="rId365" xr:uid="{00000000-0004-0000-0500-00006C010000}"/>
    <hyperlink ref="Q367" r:id="rId366" xr:uid="{00000000-0004-0000-0500-00006D010000}"/>
    <hyperlink ref="Q368" r:id="rId367" xr:uid="{00000000-0004-0000-0500-00006E010000}"/>
    <hyperlink ref="Q369" r:id="rId368" xr:uid="{00000000-0004-0000-0500-00006F010000}"/>
    <hyperlink ref="Q370" r:id="rId369" xr:uid="{00000000-0004-0000-0500-000070010000}"/>
    <hyperlink ref="Q371" r:id="rId370" xr:uid="{00000000-0004-0000-0500-000071010000}"/>
    <hyperlink ref="Q372" r:id="rId371" xr:uid="{00000000-0004-0000-0500-000072010000}"/>
    <hyperlink ref="Q373" r:id="rId372" xr:uid="{00000000-0004-0000-0500-000073010000}"/>
    <hyperlink ref="Q374" r:id="rId373" xr:uid="{00000000-0004-0000-0500-000074010000}"/>
    <hyperlink ref="Q375" r:id="rId374" xr:uid="{00000000-0004-0000-0500-000075010000}"/>
    <hyperlink ref="Q376" r:id="rId375" xr:uid="{00000000-0004-0000-0500-000076010000}"/>
    <hyperlink ref="Q377" r:id="rId376" xr:uid="{00000000-0004-0000-0500-000077010000}"/>
    <hyperlink ref="Q378" r:id="rId377" xr:uid="{00000000-0004-0000-0500-000078010000}"/>
    <hyperlink ref="Q379" r:id="rId378" xr:uid="{00000000-0004-0000-0500-000079010000}"/>
    <hyperlink ref="Q380" r:id="rId379" xr:uid="{00000000-0004-0000-0500-00007A010000}"/>
    <hyperlink ref="Q381" r:id="rId380" xr:uid="{00000000-0004-0000-0500-00007B010000}"/>
    <hyperlink ref="Q382" r:id="rId381" xr:uid="{00000000-0004-0000-0500-00007C010000}"/>
    <hyperlink ref="Q383" r:id="rId382" xr:uid="{00000000-0004-0000-0500-00007D010000}"/>
    <hyperlink ref="Q384" r:id="rId383" xr:uid="{00000000-0004-0000-0500-00007E010000}"/>
    <hyperlink ref="Q385" r:id="rId384" xr:uid="{00000000-0004-0000-0500-00007F010000}"/>
    <hyperlink ref="Q386" r:id="rId385" xr:uid="{00000000-0004-0000-0500-000080010000}"/>
    <hyperlink ref="Q387" r:id="rId386" xr:uid="{00000000-0004-0000-0500-000081010000}"/>
    <hyperlink ref="Q388" r:id="rId387" xr:uid="{00000000-0004-0000-0500-000082010000}"/>
    <hyperlink ref="Q389" r:id="rId388" xr:uid="{00000000-0004-0000-0500-000083010000}"/>
    <hyperlink ref="Q390" r:id="rId389" xr:uid="{00000000-0004-0000-0500-000084010000}"/>
    <hyperlink ref="Q391" r:id="rId390" xr:uid="{00000000-0004-0000-0500-000085010000}"/>
    <hyperlink ref="Q392" r:id="rId391" xr:uid="{00000000-0004-0000-0500-000086010000}"/>
    <hyperlink ref="Q393" r:id="rId392" xr:uid="{00000000-0004-0000-0500-000087010000}"/>
    <hyperlink ref="Q394" r:id="rId393" xr:uid="{00000000-0004-0000-0500-000088010000}"/>
    <hyperlink ref="Q395" r:id="rId394" xr:uid="{00000000-0004-0000-0500-000089010000}"/>
    <hyperlink ref="Q396" r:id="rId395" xr:uid="{00000000-0004-0000-0500-00008A010000}"/>
    <hyperlink ref="Q397" r:id="rId396" xr:uid="{00000000-0004-0000-0500-00008B010000}"/>
    <hyperlink ref="Q398" r:id="rId397" xr:uid="{00000000-0004-0000-0500-00008C010000}"/>
    <hyperlink ref="Q399" r:id="rId398" xr:uid="{00000000-0004-0000-0500-00008D010000}"/>
    <hyperlink ref="Q400" r:id="rId399" xr:uid="{00000000-0004-0000-0500-00008E010000}"/>
    <hyperlink ref="Q401" r:id="rId400" xr:uid="{00000000-0004-0000-0500-00008F010000}"/>
    <hyperlink ref="Q402" r:id="rId401" xr:uid="{00000000-0004-0000-0500-000090010000}"/>
    <hyperlink ref="Q403" r:id="rId402" xr:uid="{00000000-0004-0000-0500-000091010000}"/>
    <hyperlink ref="Q404" r:id="rId403" xr:uid="{00000000-0004-0000-0500-000092010000}"/>
    <hyperlink ref="Q405" r:id="rId404" xr:uid="{00000000-0004-0000-0500-000093010000}"/>
    <hyperlink ref="Q406" r:id="rId405" xr:uid="{00000000-0004-0000-0500-000094010000}"/>
    <hyperlink ref="Q407" r:id="rId406" xr:uid="{00000000-0004-0000-0500-000095010000}"/>
    <hyperlink ref="Q408" r:id="rId407" xr:uid="{00000000-0004-0000-0500-000096010000}"/>
    <hyperlink ref="Q409" r:id="rId408" xr:uid="{00000000-0004-0000-0500-000097010000}"/>
    <hyperlink ref="Q410" r:id="rId409" xr:uid="{00000000-0004-0000-0500-000098010000}"/>
    <hyperlink ref="Q411" r:id="rId410" xr:uid="{00000000-0004-0000-0500-000099010000}"/>
    <hyperlink ref="Q412" r:id="rId411" xr:uid="{00000000-0004-0000-0500-00009A010000}"/>
    <hyperlink ref="Q413" r:id="rId412" xr:uid="{00000000-0004-0000-0500-00009B010000}"/>
    <hyperlink ref="Q414" r:id="rId413" xr:uid="{00000000-0004-0000-0500-00009C010000}"/>
    <hyperlink ref="Q415" r:id="rId414" xr:uid="{00000000-0004-0000-0500-00009D010000}"/>
    <hyperlink ref="Q416" r:id="rId415" xr:uid="{00000000-0004-0000-0500-00009E010000}"/>
    <hyperlink ref="Q417" r:id="rId416" xr:uid="{00000000-0004-0000-0500-00009F010000}"/>
    <hyperlink ref="Q418" r:id="rId417" xr:uid="{00000000-0004-0000-0500-0000A0010000}"/>
    <hyperlink ref="Q419" r:id="rId418" xr:uid="{00000000-0004-0000-0500-0000A1010000}"/>
    <hyperlink ref="Q420" r:id="rId419" xr:uid="{00000000-0004-0000-0500-0000A2010000}"/>
    <hyperlink ref="Q421" r:id="rId420" xr:uid="{00000000-0004-0000-0500-0000A3010000}"/>
    <hyperlink ref="Q422" r:id="rId421" xr:uid="{00000000-0004-0000-0500-0000A4010000}"/>
    <hyperlink ref="Q423" r:id="rId422" xr:uid="{00000000-0004-0000-0500-0000A5010000}"/>
    <hyperlink ref="Q424" r:id="rId423" xr:uid="{00000000-0004-0000-0500-0000A6010000}"/>
    <hyperlink ref="Q425" r:id="rId424" xr:uid="{00000000-0004-0000-0500-0000A7010000}"/>
    <hyperlink ref="Q426" r:id="rId425" xr:uid="{00000000-0004-0000-0500-0000A8010000}"/>
    <hyperlink ref="Q427" r:id="rId426" xr:uid="{00000000-0004-0000-0500-0000A9010000}"/>
    <hyperlink ref="Q428" r:id="rId427" xr:uid="{00000000-0004-0000-0500-0000AA010000}"/>
    <hyperlink ref="Q429" r:id="rId428" xr:uid="{00000000-0004-0000-0500-0000AB010000}"/>
    <hyperlink ref="Q430" r:id="rId429" xr:uid="{00000000-0004-0000-0500-0000AC010000}"/>
    <hyperlink ref="Q431" r:id="rId430" xr:uid="{00000000-0004-0000-0500-0000AD010000}"/>
    <hyperlink ref="Q432" r:id="rId431" xr:uid="{00000000-0004-0000-0500-0000AE010000}"/>
    <hyperlink ref="Q433" r:id="rId432" xr:uid="{00000000-0004-0000-0500-0000AF010000}"/>
    <hyperlink ref="Q434" r:id="rId433" xr:uid="{00000000-0004-0000-0500-0000B0010000}"/>
    <hyperlink ref="Q435" r:id="rId434" xr:uid="{00000000-0004-0000-0500-0000B1010000}"/>
    <hyperlink ref="Q436" r:id="rId435" xr:uid="{00000000-0004-0000-0500-0000B2010000}"/>
    <hyperlink ref="Q437" r:id="rId436" xr:uid="{00000000-0004-0000-0500-0000B3010000}"/>
    <hyperlink ref="Q438" r:id="rId437" xr:uid="{00000000-0004-0000-0500-0000B4010000}"/>
    <hyperlink ref="Q439" r:id="rId438" xr:uid="{00000000-0004-0000-0500-0000B5010000}"/>
    <hyperlink ref="Q440" r:id="rId439" xr:uid="{00000000-0004-0000-0500-0000B6010000}"/>
    <hyperlink ref="Q441" r:id="rId440" xr:uid="{00000000-0004-0000-0500-0000B7010000}"/>
    <hyperlink ref="Q442" r:id="rId441" xr:uid="{00000000-0004-0000-0500-0000B8010000}"/>
    <hyperlink ref="Q443" r:id="rId442" xr:uid="{00000000-0004-0000-0500-0000B9010000}"/>
    <hyperlink ref="Q444" r:id="rId443" xr:uid="{00000000-0004-0000-0500-0000BA010000}"/>
    <hyperlink ref="Q445" r:id="rId444" xr:uid="{00000000-0004-0000-0500-0000BB010000}"/>
    <hyperlink ref="Q446" r:id="rId445" xr:uid="{00000000-0004-0000-0500-0000BC010000}"/>
    <hyperlink ref="Q447" r:id="rId446" xr:uid="{00000000-0004-0000-0500-0000BD010000}"/>
    <hyperlink ref="Q448" r:id="rId447" xr:uid="{00000000-0004-0000-0500-0000BE010000}"/>
    <hyperlink ref="Q449" r:id="rId448" xr:uid="{00000000-0004-0000-0500-0000BF010000}"/>
    <hyperlink ref="Q450" r:id="rId449" xr:uid="{00000000-0004-0000-0500-0000C0010000}"/>
    <hyperlink ref="Q451" r:id="rId450" xr:uid="{00000000-0004-0000-0500-0000C1010000}"/>
    <hyperlink ref="Q452" r:id="rId451" xr:uid="{00000000-0004-0000-0500-0000C2010000}"/>
    <hyperlink ref="Q453" r:id="rId452" xr:uid="{00000000-0004-0000-0500-0000C3010000}"/>
    <hyperlink ref="Q454" r:id="rId453" xr:uid="{00000000-0004-0000-0500-0000C4010000}"/>
    <hyperlink ref="Q455" r:id="rId454" xr:uid="{00000000-0004-0000-0500-0000C5010000}"/>
    <hyperlink ref="Q456" r:id="rId455" xr:uid="{00000000-0004-0000-0500-0000C6010000}"/>
    <hyperlink ref="Q457" r:id="rId456" xr:uid="{00000000-0004-0000-0500-0000C7010000}"/>
    <hyperlink ref="Q458" r:id="rId457" xr:uid="{00000000-0004-0000-0500-0000C8010000}"/>
    <hyperlink ref="Q459" r:id="rId458" xr:uid="{00000000-0004-0000-0500-0000C9010000}"/>
    <hyperlink ref="Q460" r:id="rId459" xr:uid="{00000000-0004-0000-0500-0000CA010000}"/>
    <hyperlink ref="Q461" r:id="rId460" xr:uid="{00000000-0004-0000-0500-0000CB010000}"/>
    <hyperlink ref="Q462" r:id="rId461" xr:uid="{00000000-0004-0000-0500-0000CC010000}"/>
    <hyperlink ref="Q463" r:id="rId462" xr:uid="{00000000-0004-0000-0500-0000CD010000}"/>
    <hyperlink ref="Q464" r:id="rId463" xr:uid="{00000000-0004-0000-0500-0000CE010000}"/>
    <hyperlink ref="Q465" r:id="rId464" xr:uid="{00000000-0004-0000-0500-0000CF010000}"/>
    <hyperlink ref="Q466" r:id="rId465" xr:uid="{00000000-0004-0000-0500-0000D0010000}"/>
    <hyperlink ref="Q467" r:id="rId466" xr:uid="{00000000-0004-0000-0500-0000D1010000}"/>
    <hyperlink ref="Q468" r:id="rId467" xr:uid="{00000000-0004-0000-0500-0000D2010000}"/>
    <hyperlink ref="Q469" r:id="rId468" xr:uid="{00000000-0004-0000-0500-0000D3010000}"/>
    <hyperlink ref="Q470" r:id="rId469" xr:uid="{00000000-0004-0000-0500-0000D4010000}"/>
    <hyperlink ref="Q471" r:id="rId470" xr:uid="{00000000-0004-0000-0500-0000D5010000}"/>
    <hyperlink ref="Q472" r:id="rId471" xr:uid="{00000000-0004-0000-0500-0000D6010000}"/>
    <hyperlink ref="Q473" r:id="rId472" xr:uid="{00000000-0004-0000-0500-0000D7010000}"/>
    <hyperlink ref="Q474" r:id="rId473" xr:uid="{00000000-0004-0000-0500-0000D8010000}"/>
    <hyperlink ref="Q475" r:id="rId474" xr:uid="{00000000-0004-0000-0500-0000D9010000}"/>
    <hyperlink ref="Q476" r:id="rId475" xr:uid="{00000000-0004-0000-0500-0000DA010000}"/>
    <hyperlink ref="Q477" r:id="rId476" xr:uid="{00000000-0004-0000-0500-0000DB010000}"/>
    <hyperlink ref="Q478" r:id="rId477" xr:uid="{00000000-0004-0000-0500-0000DC010000}"/>
    <hyperlink ref="Q479" r:id="rId478" xr:uid="{00000000-0004-0000-0500-0000DD010000}"/>
    <hyperlink ref="Q480" r:id="rId479" xr:uid="{00000000-0004-0000-0500-0000DE010000}"/>
    <hyperlink ref="Q481" r:id="rId480" xr:uid="{00000000-0004-0000-0500-0000DF010000}"/>
    <hyperlink ref="Q482" r:id="rId481" xr:uid="{00000000-0004-0000-0500-0000E0010000}"/>
    <hyperlink ref="Q483" r:id="rId482" xr:uid="{00000000-0004-0000-0500-0000E1010000}"/>
    <hyperlink ref="Q484" r:id="rId483" xr:uid="{00000000-0004-0000-0500-0000E2010000}"/>
    <hyperlink ref="Q485" r:id="rId484" xr:uid="{00000000-0004-0000-0500-0000E3010000}"/>
    <hyperlink ref="Q486" r:id="rId485" xr:uid="{00000000-0004-0000-0500-0000E4010000}"/>
    <hyperlink ref="Q487" r:id="rId486" xr:uid="{00000000-0004-0000-0500-0000E5010000}"/>
    <hyperlink ref="Q488" r:id="rId487" xr:uid="{00000000-0004-0000-0500-0000E6010000}"/>
    <hyperlink ref="Q489" r:id="rId488" xr:uid="{00000000-0004-0000-0500-0000E7010000}"/>
    <hyperlink ref="Q490" r:id="rId489" xr:uid="{00000000-0004-0000-0500-0000E8010000}"/>
    <hyperlink ref="Q491" r:id="rId490" xr:uid="{00000000-0004-0000-0500-0000E9010000}"/>
    <hyperlink ref="Q492" r:id="rId491" xr:uid="{00000000-0004-0000-0500-0000EA010000}"/>
    <hyperlink ref="Q493" r:id="rId492" xr:uid="{00000000-0004-0000-0500-0000EB010000}"/>
    <hyperlink ref="Q494" r:id="rId493" xr:uid="{00000000-0004-0000-0500-0000EC010000}"/>
    <hyperlink ref="Q495" r:id="rId494" xr:uid="{00000000-0004-0000-0500-0000ED010000}"/>
    <hyperlink ref="Q496" r:id="rId495" xr:uid="{00000000-0004-0000-0500-0000EE010000}"/>
    <hyperlink ref="Q497" r:id="rId496" xr:uid="{00000000-0004-0000-0500-0000EF010000}"/>
    <hyperlink ref="Q498" r:id="rId497" xr:uid="{00000000-0004-0000-0500-0000F0010000}"/>
    <hyperlink ref="Q499" r:id="rId498" xr:uid="{00000000-0004-0000-0500-0000F1010000}"/>
    <hyperlink ref="Q500" r:id="rId499" xr:uid="{00000000-0004-0000-0500-0000F2010000}"/>
    <hyperlink ref="Q501" r:id="rId500" xr:uid="{00000000-0004-0000-0500-0000F3010000}"/>
    <hyperlink ref="Q502" r:id="rId501" xr:uid="{00000000-0004-0000-0500-0000F4010000}"/>
    <hyperlink ref="Q503" r:id="rId502" xr:uid="{00000000-0004-0000-0500-0000F5010000}"/>
    <hyperlink ref="Q504" r:id="rId503" xr:uid="{00000000-0004-0000-0500-0000F6010000}"/>
    <hyperlink ref="Q505" r:id="rId504" xr:uid="{00000000-0004-0000-0500-0000F7010000}"/>
    <hyperlink ref="Q506" r:id="rId505" xr:uid="{00000000-0004-0000-0500-0000F8010000}"/>
    <hyperlink ref="Q507" r:id="rId506" xr:uid="{00000000-0004-0000-0500-0000F9010000}"/>
    <hyperlink ref="Q508" r:id="rId507" xr:uid="{00000000-0004-0000-0500-0000FA010000}"/>
    <hyperlink ref="Q509" r:id="rId508" xr:uid="{00000000-0004-0000-0500-0000FB010000}"/>
    <hyperlink ref="Q510" r:id="rId509" xr:uid="{00000000-0004-0000-0500-0000FC010000}"/>
    <hyperlink ref="Q511" r:id="rId510" xr:uid="{00000000-0004-0000-0500-0000FD010000}"/>
    <hyperlink ref="Q512" r:id="rId511" xr:uid="{00000000-0004-0000-0500-0000FE010000}"/>
    <hyperlink ref="Q513" r:id="rId512" xr:uid="{00000000-0004-0000-0500-0000FF010000}"/>
    <hyperlink ref="Q514" r:id="rId513" xr:uid="{00000000-0004-0000-0500-000000020000}"/>
    <hyperlink ref="Q515" r:id="rId514" xr:uid="{00000000-0004-0000-0500-000001020000}"/>
    <hyperlink ref="Q516" r:id="rId515" xr:uid="{00000000-0004-0000-0500-000002020000}"/>
    <hyperlink ref="Q517" r:id="rId516" xr:uid="{00000000-0004-0000-0500-000003020000}"/>
    <hyperlink ref="Q518" r:id="rId517" xr:uid="{00000000-0004-0000-0500-000004020000}"/>
    <hyperlink ref="Q519" r:id="rId518" xr:uid="{00000000-0004-0000-0500-000005020000}"/>
    <hyperlink ref="Q520" r:id="rId519" xr:uid="{00000000-0004-0000-0500-000006020000}"/>
    <hyperlink ref="Q521" r:id="rId520" xr:uid="{00000000-0004-0000-0500-000007020000}"/>
    <hyperlink ref="Q522" r:id="rId521" xr:uid="{00000000-0004-0000-0500-000008020000}"/>
    <hyperlink ref="Q523" r:id="rId522" xr:uid="{00000000-0004-0000-0500-000009020000}"/>
    <hyperlink ref="Q524" r:id="rId523" xr:uid="{00000000-0004-0000-0500-00000A020000}"/>
    <hyperlink ref="Q525" r:id="rId524" xr:uid="{00000000-0004-0000-0500-00000B020000}"/>
    <hyperlink ref="Q526" r:id="rId525" xr:uid="{00000000-0004-0000-0500-00000C020000}"/>
    <hyperlink ref="Q527" r:id="rId526" xr:uid="{00000000-0004-0000-0500-00000D020000}"/>
    <hyperlink ref="Q528" r:id="rId527" xr:uid="{00000000-0004-0000-0500-00000E020000}"/>
    <hyperlink ref="Q529" r:id="rId528" xr:uid="{00000000-0004-0000-0500-00000F020000}"/>
    <hyperlink ref="Q530" r:id="rId529" xr:uid="{00000000-0004-0000-0500-000010020000}"/>
    <hyperlink ref="Q531" r:id="rId530" xr:uid="{00000000-0004-0000-0500-000011020000}"/>
    <hyperlink ref="Q532" r:id="rId531" xr:uid="{00000000-0004-0000-0500-000012020000}"/>
    <hyperlink ref="Q533" r:id="rId532" xr:uid="{00000000-0004-0000-0500-000013020000}"/>
    <hyperlink ref="Q534" r:id="rId533" xr:uid="{00000000-0004-0000-0500-000014020000}"/>
    <hyperlink ref="Q535" r:id="rId534" xr:uid="{00000000-0004-0000-0500-000015020000}"/>
    <hyperlink ref="Q536" r:id="rId535" xr:uid="{00000000-0004-0000-0500-000016020000}"/>
    <hyperlink ref="Q537" r:id="rId536" xr:uid="{00000000-0004-0000-0500-000017020000}"/>
    <hyperlink ref="Q538" r:id="rId537" xr:uid="{00000000-0004-0000-0500-000018020000}"/>
    <hyperlink ref="Q539" r:id="rId538" xr:uid="{00000000-0004-0000-0500-000019020000}"/>
    <hyperlink ref="Q540" r:id="rId539" xr:uid="{00000000-0004-0000-0500-00001A020000}"/>
    <hyperlink ref="Q541" r:id="rId540" xr:uid="{00000000-0004-0000-0500-00001B020000}"/>
    <hyperlink ref="Q542" r:id="rId541" xr:uid="{00000000-0004-0000-0500-00001C020000}"/>
    <hyperlink ref="Q543" r:id="rId542" xr:uid="{00000000-0004-0000-0500-00001D020000}"/>
    <hyperlink ref="Q544" r:id="rId543" xr:uid="{00000000-0004-0000-0500-00001E020000}"/>
    <hyperlink ref="Q545" r:id="rId544" xr:uid="{00000000-0004-0000-0500-00001F020000}"/>
    <hyperlink ref="Q546" r:id="rId545" xr:uid="{00000000-0004-0000-0500-000020020000}"/>
    <hyperlink ref="Q547" r:id="rId546" xr:uid="{00000000-0004-0000-0500-000021020000}"/>
    <hyperlink ref="Q548" r:id="rId547" xr:uid="{00000000-0004-0000-0500-000022020000}"/>
    <hyperlink ref="Q549" r:id="rId548" xr:uid="{00000000-0004-0000-0500-000023020000}"/>
    <hyperlink ref="Q550" r:id="rId549" xr:uid="{00000000-0004-0000-0500-000024020000}"/>
    <hyperlink ref="Q551" r:id="rId550" xr:uid="{00000000-0004-0000-0500-000025020000}"/>
    <hyperlink ref="Q552" r:id="rId551" xr:uid="{00000000-0004-0000-0500-000026020000}"/>
    <hyperlink ref="Q553" r:id="rId552" xr:uid="{00000000-0004-0000-0500-000027020000}"/>
    <hyperlink ref="Q554" r:id="rId553" xr:uid="{00000000-0004-0000-0500-000028020000}"/>
    <hyperlink ref="Q555" r:id="rId554" xr:uid="{00000000-0004-0000-0500-000029020000}"/>
    <hyperlink ref="Q556" r:id="rId555" xr:uid="{00000000-0004-0000-0500-00002A020000}"/>
    <hyperlink ref="Q557" r:id="rId556" xr:uid="{00000000-0004-0000-0500-00002B020000}"/>
    <hyperlink ref="Q558" r:id="rId557" xr:uid="{00000000-0004-0000-0500-00002C020000}"/>
    <hyperlink ref="Q559" r:id="rId558" xr:uid="{00000000-0004-0000-0500-00002D020000}"/>
    <hyperlink ref="Q560" r:id="rId559" xr:uid="{00000000-0004-0000-0500-00002E020000}"/>
    <hyperlink ref="Q561" r:id="rId560" xr:uid="{00000000-0004-0000-0500-00002F020000}"/>
    <hyperlink ref="Q562" r:id="rId561" xr:uid="{00000000-0004-0000-0500-000030020000}"/>
    <hyperlink ref="Q563" r:id="rId562" xr:uid="{00000000-0004-0000-0500-000031020000}"/>
    <hyperlink ref="Q564" r:id="rId563" xr:uid="{00000000-0004-0000-0500-000032020000}"/>
    <hyperlink ref="Q565" r:id="rId564" xr:uid="{00000000-0004-0000-0500-000033020000}"/>
    <hyperlink ref="Q566" r:id="rId565" xr:uid="{00000000-0004-0000-0500-000034020000}"/>
    <hyperlink ref="Q567" r:id="rId566" xr:uid="{00000000-0004-0000-0500-000035020000}"/>
    <hyperlink ref="Q568" r:id="rId567" xr:uid="{00000000-0004-0000-0500-000036020000}"/>
    <hyperlink ref="Q569" r:id="rId568" xr:uid="{00000000-0004-0000-0500-000037020000}"/>
    <hyperlink ref="Q570" r:id="rId569" xr:uid="{00000000-0004-0000-0500-000038020000}"/>
    <hyperlink ref="Q571" r:id="rId570" xr:uid="{00000000-0004-0000-0500-000039020000}"/>
    <hyperlink ref="Q572" r:id="rId571" xr:uid="{00000000-0004-0000-0500-00003A020000}"/>
    <hyperlink ref="Q573" r:id="rId572" xr:uid="{00000000-0004-0000-0500-00003B020000}"/>
    <hyperlink ref="Q574" r:id="rId573" xr:uid="{00000000-0004-0000-0500-00003C020000}"/>
    <hyperlink ref="Q575" r:id="rId574" xr:uid="{00000000-0004-0000-0500-00003D020000}"/>
    <hyperlink ref="Q576" r:id="rId575" xr:uid="{00000000-0004-0000-0500-00003E020000}"/>
    <hyperlink ref="Q577" r:id="rId576" xr:uid="{00000000-0004-0000-0500-00003F020000}"/>
    <hyperlink ref="Q578" r:id="rId577" xr:uid="{00000000-0004-0000-0500-000040020000}"/>
    <hyperlink ref="Q579" r:id="rId578" xr:uid="{00000000-0004-0000-0500-000041020000}"/>
    <hyperlink ref="Q580" r:id="rId579" xr:uid="{00000000-0004-0000-0500-000042020000}"/>
    <hyperlink ref="Q581" r:id="rId580" xr:uid="{00000000-0004-0000-0500-000043020000}"/>
    <hyperlink ref="Q582" r:id="rId581" xr:uid="{00000000-0004-0000-0500-000044020000}"/>
    <hyperlink ref="Q583" r:id="rId582" xr:uid="{00000000-0004-0000-0500-000045020000}"/>
    <hyperlink ref="Q584" r:id="rId583" xr:uid="{00000000-0004-0000-0500-000046020000}"/>
    <hyperlink ref="Q585" r:id="rId584" xr:uid="{00000000-0004-0000-0500-000047020000}"/>
    <hyperlink ref="Q586" r:id="rId585" xr:uid="{00000000-0004-0000-0500-000048020000}"/>
    <hyperlink ref="Q587" r:id="rId586" xr:uid="{00000000-0004-0000-0500-000049020000}"/>
    <hyperlink ref="Q588" r:id="rId587" xr:uid="{00000000-0004-0000-0500-00004A020000}"/>
    <hyperlink ref="Q589" r:id="rId588" xr:uid="{00000000-0004-0000-0500-00004B020000}"/>
    <hyperlink ref="Q590" r:id="rId589" xr:uid="{00000000-0004-0000-0500-00004C020000}"/>
    <hyperlink ref="Q591" r:id="rId590" xr:uid="{00000000-0004-0000-0500-00004D020000}"/>
    <hyperlink ref="Q592" r:id="rId591" xr:uid="{00000000-0004-0000-0500-00004E020000}"/>
    <hyperlink ref="Q593" r:id="rId592" xr:uid="{00000000-0004-0000-0500-00004F020000}"/>
    <hyperlink ref="Q594" r:id="rId593" xr:uid="{00000000-0004-0000-0500-000050020000}"/>
    <hyperlink ref="Q595" r:id="rId594" xr:uid="{00000000-0004-0000-0500-000051020000}"/>
    <hyperlink ref="Q596" r:id="rId595" xr:uid="{00000000-0004-0000-0500-000052020000}"/>
    <hyperlink ref="Q597" r:id="rId596" xr:uid="{00000000-0004-0000-0500-000053020000}"/>
    <hyperlink ref="Q598" r:id="rId597" xr:uid="{00000000-0004-0000-0500-000054020000}"/>
    <hyperlink ref="Q599" r:id="rId598" xr:uid="{00000000-0004-0000-0500-000055020000}"/>
    <hyperlink ref="Q600" r:id="rId599" xr:uid="{00000000-0004-0000-0500-000056020000}"/>
    <hyperlink ref="Q601" r:id="rId600" xr:uid="{00000000-0004-0000-0500-000057020000}"/>
    <hyperlink ref="Q602" r:id="rId601" xr:uid="{00000000-0004-0000-0500-000058020000}"/>
    <hyperlink ref="Q603" r:id="rId602" xr:uid="{00000000-0004-0000-0500-000059020000}"/>
    <hyperlink ref="Q604" r:id="rId603" xr:uid="{00000000-0004-0000-0500-00005A020000}"/>
    <hyperlink ref="Q605" r:id="rId604" xr:uid="{00000000-0004-0000-0500-00005B020000}"/>
    <hyperlink ref="Q606" r:id="rId605" xr:uid="{00000000-0004-0000-0500-00005C020000}"/>
    <hyperlink ref="Q607" r:id="rId606" xr:uid="{00000000-0004-0000-0500-00005D020000}"/>
    <hyperlink ref="Q608" r:id="rId607" xr:uid="{00000000-0004-0000-0500-00005E020000}"/>
    <hyperlink ref="Q609" r:id="rId608" xr:uid="{00000000-0004-0000-0500-00005F020000}"/>
    <hyperlink ref="Q610" r:id="rId609" xr:uid="{00000000-0004-0000-0500-000060020000}"/>
    <hyperlink ref="Q611" r:id="rId610" xr:uid="{00000000-0004-0000-0500-000061020000}"/>
    <hyperlink ref="Q612" r:id="rId611" xr:uid="{00000000-0004-0000-0500-000062020000}"/>
    <hyperlink ref="Q613" r:id="rId612" xr:uid="{00000000-0004-0000-0500-000063020000}"/>
    <hyperlink ref="Q614" r:id="rId613" xr:uid="{00000000-0004-0000-0500-000064020000}"/>
    <hyperlink ref="Q615" r:id="rId614" xr:uid="{00000000-0004-0000-0500-000065020000}"/>
    <hyperlink ref="Q616" r:id="rId615" xr:uid="{00000000-0004-0000-0500-000066020000}"/>
    <hyperlink ref="Q617" r:id="rId616" xr:uid="{00000000-0004-0000-0500-000067020000}"/>
    <hyperlink ref="Q618" r:id="rId617" xr:uid="{00000000-0004-0000-0500-000068020000}"/>
    <hyperlink ref="Q619" r:id="rId618" xr:uid="{00000000-0004-0000-0500-000069020000}"/>
    <hyperlink ref="Q620" r:id="rId619" xr:uid="{00000000-0004-0000-0500-00006A020000}"/>
    <hyperlink ref="Q621" r:id="rId620" xr:uid="{00000000-0004-0000-0500-00006B020000}"/>
    <hyperlink ref="Q622" r:id="rId621" xr:uid="{00000000-0004-0000-0500-00006C020000}"/>
    <hyperlink ref="Q623" r:id="rId622" xr:uid="{00000000-0004-0000-0500-00006D020000}"/>
    <hyperlink ref="Q624" r:id="rId623" xr:uid="{00000000-0004-0000-0500-00006E020000}"/>
    <hyperlink ref="Q625" r:id="rId624" xr:uid="{00000000-0004-0000-0500-00006F020000}"/>
    <hyperlink ref="Q626" r:id="rId625" xr:uid="{00000000-0004-0000-0500-000070020000}"/>
    <hyperlink ref="Q627" r:id="rId626" xr:uid="{00000000-0004-0000-0500-000071020000}"/>
    <hyperlink ref="Q628" r:id="rId627" xr:uid="{00000000-0004-0000-0500-000072020000}"/>
    <hyperlink ref="Q629" r:id="rId628" xr:uid="{00000000-0004-0000-0500-000073020000}"/>
    <hyperlink ref="Q630" r:id="rId629" xr:uid="{00000000-0004-0000-0500-000074020000}"/>
    <hyperlink ref="Q631" r:id="rId630" xr:uid="{00000000-0004-0000-0500-000075020000}"/>
    <hyperlink ref="Q632" r:id="rId631" xr:uid="{00000000-0004-0000-0500-000076020000}"/>
    <hyperlink ref="Q633" r:id="rId632" xr:uid="{00000000-0004-0000-0500-000077020000}"/>
    <hyperlink ref="Q634" r:id="rId633" xr:uid="{00000000-0004-0000-0500-000078020000}"/>
    <hyperlink ref="Q635" r:id="rId634" xr:uid="{00000000-0004-0000-0500-000079020000}"/>
    <hyperlink ref="Q636" r:id="rId635" xr:uid="{00000000-0004-0000-0500-00007A020000}"/>
    <hyperlink ref="Q637" r:id="rId636" xr:uid="{00000000-0004-0000-0500-00007B020000}"/>
    <hyperlink ref="Q638" r:id="rId637" xr:uid="{00000000-0004-0000-0500-00007C020000}"/>
    <hyperlink ref="Q639" r:id="rId638" xr:uid="{00000000-0004-0000-0500-00007D020000}"/>
    <hyperlink ref="Q640" r:id="rId639" xr:uid="{00000000-0004-0000-0500-00007E020000}"/>
    <hyperlink ref="Q641" r:id="rId640" xr:uid="{00000000-0004-0000-0500-00007F020000}"/>
    <hyperlink ref="Q642" r:id="rId641" xr:uid="{00000000-0004-0000-0500-000080020000}"/>
    <hyperlink ref="Q643" r:id="rId642" xr:uid="{00000000-0004-0000-0500-000081020000}"/>
    <hyperlink ref="Q644" r:id="rId643" xr:uid="{00000000-0004-0000-0500-000082020000}"/>
    <hyperlink ref="Q645" r:id="rId644" xr:uid="{00000000-0004-0000-0500-000083020000}"/>
    <hyperlink ref="Q646" r:id="rId645" xr:uid="{00000000-0004-0000-0500-000084020000}"/>
    <hyperlink ref="Q647" r:id="rId646" xr:uid="{00000000-0004-0000-0500-000085020000}"/>
    <hyperlink ref="Q648" r:id="rId647" xr:uid="{00000000-0004-0000-0500-000086020000}"/>
    <hyperlink ref="Q649" r:id="rId648" xr:uid="{00000000-0004-0000-0500-000087020000}"/>
    <hyperlink ref="Q650" r:id="rId649" xr:uid="{00000000-0004-0000-0500-000088020000}"/>
    <hyperlink ref="Q651" r:id="rId650" xr:uid="{00000000-0004-0000-0500-000089020000}"/>
    <hyperlink ref="Q652" r:id="rId651" xr:uid="{00000000-0004-0000-0500-00008A020000}"/>
    <hyperlink ref="Q653" r:id="rId652" xr:uid="{00000000-0004-0000-0500-00008B020000}"/>
    <hyperlink ref="Q654" r:id="rId653" xr:uid="{00000000-0004-0000-0500-00008C020000}"/>
    <hyperlink ref="Q655" r:id="rId654" xr:uid="{00000000-0004-0000-0500-00008D020000}"/>
    <hyperlink ref="Q656" r:id="rId655" xr:uid="{00000000-0004-0000-0500-00008E020000}"/>
    <hyperlink ref="Q657" r:id="rId656" xr:uid="{00000000-0004-0000-0500-00008F020000}"/>
    <hyperlink ref="Q658" r:id="rId657" xr:uid="{00000000-0004-0000-0500-000090020000}"/>
    <hyperlink ref="Q659" r:id="rId658" xr:uid="{00000000-0004-0000-0500-000091020000}"/>
    <hyperlink ref="Q660" r:id="rId659" xr:uid="{00000000-0004-0000-0500-000092020000}"/>
    <hyperlink ref="Q661" r:id="rId660" xr:uid="{00000000-0004-0000-0500-000093020000}"/>
    <hyperlink ref="Q662" r:id="rId661" xr:uid="{00000000-0004-0000-0500-000094020000}"/>
    <hyperlink ref="Q663" r:id="rId662" xr:uid="{00000000-0004-0000-0500-000095020000}"/>
    <hyperlink ref="Q664" r:id="rId663" xr:uid="{00000000-0004-0000-0500-000096020000}"/>
    <hyperlink ref="Q665" r:id="rId664" xr:uid="{00000000-0004-0000-0500-000097020000}"/>
    <hyperlink ref="Q666" r:id="rId665" xr:uid="{00000000-0004-0000-0500-000098020000}"/>
    <hyperlink ref="Q667" r:id="rId666" xr:uid="{00000000-0004-0000-0500-000099020000}"/>
    <hyperlink ref="Q668" r:id="rId667" xr:uid="{00000000-0004-0000-0500-00009A020000}"/>
    <hyperlink ref="Q669" r:id="rId668" xr:uid="{00000000-0004-0000-0500-00009B020000}"/>
    <hyperlink ref="Q670" r:id="rId669" xr:uid="{00000000-0004-0000-0500-00009C020000}"/>
    <hyperlink ref="Q671" r:id="rId670" xr:uid="{00000000-0004-0000-0500-00009D020000}"/>
    <hyperlink ref="Q672" r:id="rId671" xr:uid="{00000000-0004-0000-0500-00009E020000}"/>
    <hyperlink ref="Q673" r:id="rId672" xr:uid="{00000000-0004-0000-0500-00009F020000}"/>
    <hyperlink ref="Q674" r:id="rId673" xr:uid="{00000000-0004-0000-0500-0000A0020000}"/>
    <hyperlink ref="Q675" r:id="rId674" xr:uid="{00000000-0004-0000-0500-0000A1020000}"/>
    <hyperlink ref="Q676" r:id="rId675" xr:uid="{00000000-0004-0000-0500-0000A2020000}"/>
    <hyperlink ref="Q677" r:id="rId676" xr:uid="{00000000-0004-0000-0500-0000A3020000}"/>
    <hyperlink ref="Q678" r:id="rId677" xr:uid="{00000000-0004-0000-0500-0000A4020000}"/>
    <hyperlink ref="Q679" r:id="rId678" xr:uid="{00000000-0004-0000-0500-0000A5020000}"/>
    <hyperlink ref="Q680" r:id="rId679" xr:uid="{00000000-0004-0000-0500-0000A6020000}"/>
    <hyperlink ref="Q681" r:id="rId680" xr:uid="{00000000-0004-0000-0500-0000A7020000}"/>
    <hyperlink ref="Q682" r:id="rId681" xr:uid="{00000000-0004-0000-0500-0000A8020000}"/>
    <hyperlink ref="Q683" r:id="rId682" xr:uid="{00000000-0004-0000-0500-0000A9020000}"/>
    <hyperlink ref="Q684" r:id="rId683" xr:uid="{00000000-0004-0000-0500-0000AA020000}"/>
    <hyperlink ref="Q685" r:id="rId684" xr:uid="{00000000-0004-0000-0500-0000AB020000}"/>
    <hyperlink ref="Q686" r:id="rId685" xr:uid="{00000000-0004-0000-0500-0000AC020000}"/>
    <hyperlink ref="Q687" r:id="rId686" xr:uid="{00000000-0004-0000-0500-0000AD020000}"/>
    <hyperlink ref="Q688" r:id="rId687" xr:uid="{00000000-0004-0000-0500-0000AE020000}"/>
    <hyperlink ref="Q689" r:id="rId688" xr:uid="{00000000-0004-0000-0500-0000AF020000}"/>
    <hyperlink ref="Q690" r:id="rId689" xr:uid="{00000000-0004-0000-0500-0000B0020000}"/>
    <hyperlink ref="Q691" r:id="rId690" xr:uid="{00000000-0004-0000-0500-0000B1020000}"/>
    <hyperlink ref="Q692" r:id="rId691" xr:uid="{00000000-0004-0000-0500-0000B2020000}"/>
    <hyperlink ref="Q693" r:id="rId692" xr:uid="{00000000-0004-0000-0500-0000B3020000}"/>
    <hyperlink ref="Q694" r:id="rId693" xr:uid="{00000000-0004-0000-0500-0000B4020000}"/>
    <hyperlink ref="Q695" r:id="rId694" xr:uid="{00000000-0004-0000-0500-0000B5020000}"/>
    <hyperlink ref="Q696" r:id="rId695" xr:uid="{00000000-0004-0000-0500-0000B6020000}"/>
    <hyperlink ref="Q697" r:id="rId696" xr:uid="{00000000-0004-0000-0500-0000B7020000}"/>
    <hyperlink ref="Q698" r:id="rId697" xr:uid="{00000000-0004-0000-0500-0000B8020000}"/>
    <hyperlink ref="Q699" r:id="rId698" xr:uid="{00000000-0004-0000-0500-0000B9020000}"/>
    <hyperlink ref="Q700" r:id="rId699" xr:uid="{00000000-0004-0000-0500-0000BA020000}"/>
    <hyperlink ref="Q701" r:id="rId700" xr:uid="{00000000-0004-0000-0500-0000BB020000}"/>
    <hyperlink ref="Q702" r:id="rId701" xr:uid="{00000000-0004-0000-0500-0000BC020000}"/>
    <hyperlink ref="Q703" r:id="rId702" xr:uid="{00000000-0004-0000-0500-0000BD020000}"/>
    <hyperlink ref="Q704" r:id="rId703" xr:uid="{00000000-0004-0000-0500-0000BE020000}"/>
    <hyperlink ref="Q705" r:id="rId704" xr:uid="{00000000-0004-0000-0500-0000BF020000}"/>
    <hyperlink ref="Q706" r:id="rId705" xr:uid="{00000000-0004-0000-0500-0000C0020000}"/>
    <hyperlink ref="Q707" r:id="rId706" xr:uid="{00000000-0004-0000-0500-0000C1020000}"/>
    <hyperlink ref="Q708" r:id="rId707" xr:uid="{00000000-0004-0000-0500-0000C2020000}"/>
    <hyperlink ref="Q709" r:id="rId708" xr:uid="{00000000-0004-0000-0500-0000C3020000}"/>
    <hyperlink ref="Q710" r:id="rId709" xr:uid="{00000000-0004-0000-0500-0000C4020000}"/>
    <hyperlink ref="Q711" r:id="rId710" xr:uid="{00000000-0004-0000-0500-0000C5020000}"/>
    <hyperlink ref="Q712" r:id="rId711" xr:uid="{00000000-0004-0000-0500-0000C6020000}"/>
    <hyperlink ref="Q713" r:id="rId712" xr:uid="{00000000-0004-0000-0500-0000C7020000}"/>
    <hyperlink ref="Q714" r:id="rId713" xr:uid="{00000000-0004-0000-0500-0000C8020000}"/>
    <hyperlink ref="Q715" r:id="rId714" xr:uid="{00000000-0004-0000-0500-0000C9020000}"/>
    <hyperlink ref="Q716" r:id="rId715" xr:uid="{00000000-0004-0000-0500-0000CA020000}"/>
    <hyperlink ref="Q717" r:id="rId716" xr:uid="{00000000-0004-0000-0500-0000CB020000}"/>
    <hyperlink ref="Q718" r:id="rId717" xr:uid="{00000000-0004-0000-0500-0000CC020000}"/>
    <hyperlink ref="Q719" r:id="rId718" xr:uid="{00000000-0004-0000-0500-0000CD020000}"/>
    <hyperlink ref="Q720" r:id="rId719" xr:uid="{00000000-0004-0000-0500-0000CE020000}"/>
    <hyperlink ref="Q721" r:id="rId720" xr:uid="{00000000-0004-0000-0500-0000CF020000}"/>
    <hyperlink ref="Q722" r:id="rId721" xr:uid="{00000000-0004-0000-0500-0000D0020000}"/>
    <hyperlink ref="Q723" r:id="rId722" xr:uid="{00000000-0004-0000-0500-0000D1020000}"/>
    <hyperlink ref="Q724" r:id="rId723" xr:uid="{00000000-0004-0000-0500-0000D2020000}"/>
    <hyperlink ref="Q725" r:id="rId724" xr:uid="{00000000-0004-0000-0500-0000D3020000}"/>
    <hyperlink ref="Q726" r:id="rId725" xr:uid="{00000000-0004-0000-0500-0000D4020000}"/>
    <hyperlink ref="Q727" r:id="rId726" xr:uid="{00000000-0004-0000-0500-0000D5020000}"/>
    <hyperlink ref="Q728" r:id="rId727" xr:uid="{00000000-0004-0000-0500-0000D6020000}"/>
    <hyperlink ref="Q729" r:id="rId728" xr:uid="{00000000-0004-0000-0500-0000D7020000}"/>
    <hyperlink ref="Q730" r:id="rId729" xr:uid="{00000000-0004-0000-0500-0000D8020000}"/>
    <hyperlink ref="Q731" r:id="rId730" xr:uid="{00000000-0004-0000-0500-0000D9020000}"/>
    <hyperlink ref="Q732" r:id="rId731" xr:uid="{00000000-0004-0000-0500-0000DA020000}"/>
    <hyperlink ref="Q733" r:id="rId732" xr:uid="{00000000-0004-0000-0500-0000DB020000}"/>
    <hyperlink ref="Q734" r:id="rId733" xr:uid="{00000000-0004-0000-0500-0000DC020000}"/>
    <hyperlink ref="Q735" r:id="rId734" xr:uid="{00000000-0004-0000-0500-0000DD020000}"/>
    <hyperlink ref="Q736" r:id="rId735" xr:uid="{00000000-0004-0000-0500-0000DE020000}"/>
    <hyperlink ref="Q737" r:id="rId736" xr:uid="{00000000-0004-0000-0500-0000DF020000}"/>
    <hyperlink ref="Q738" r:id="rId737" xr:uid="{00000000-0004-0000-0500-0000E0020000}"/>
    <hyperlink ref="Q739" r:id="rId738" xr:uid="{00000000-0004-0000-0500-0000E1020000}"/>
    <hyperlink ref="Q740" r:id="rId739" xr:uid="{00000000-0004-0000-0500-0000E2020000}"/>
    <hyperlink ref="Q741" r:id="rId740" xr:uid="{00000000-0004-0000-0500-0000E3020000}"/>
    <hyperlink ref="Q742" r:id="rId741" xr:uid="{00000000-0004-0000-0500-0000E4020000}"/>
    <hyperlink ref="Q743" r:id="rId742" xr:uid="{00000000-0004-0000-0500-0000E5020000}"/>
    <hyperlink ref="Q744" r:id="rId743" xr:uid="{00000000-0004-0000-0500-0000E6020000}"/>
    <hyperlink ref="Q745" r:id="rId744" xr:uid="{00000000-0004-0000-0500-0000E7020000}"/>
    <hyperlink ref="Q746" r:id="rId745" xr:uid="{00000000-0004-0000-0500-0000E8020000}"/>
    <hyperlink ref="Q747" r:id="rId746" xr:uid="{00000000-0004-0000-0500-0000E9020000}"/>
    <hyperlink ref="Q748" r:id="rId747" xr:uid="{00000000-0004-0000-0500-0000EA020000}"/>
    <hyperlink ref="Q749" r:id="rId748" xr:uid="{00000000-0004-0000-0500-0000EB020000}"/>
    <hyperlink ref="Q750" r:id="rId749" xr:uid="{00000000-0004-0000-0500-0000EC020000}"/>
    <hyperlink ref="Q751" r:id="rId750" xr:uid="{00000000-0004-0000-0500-0000ED020000}"/>
    <hyperlink ref="Q752" r:id="rId751" xr:uid="{00000000-0004-0000-0500-0000EE020000}"/>
    <hyperlink ref="Q753" r:id="rId752" xr:uid="{00000000-0004-0000-0500-0000EF020000}"/>
    <hyperlink ref="Q754" r:id="rId753" xr:uid="{00000000-0004-0000-0500-0000F0020000}"/>
    <hyperlink ref="Q755" r:id="rId754" xr:uid="{00000000-0004-0000-0500-0000F1020000}"/>
    <hyperlink ref="Q756" r:id="rId755" xr:uid="{00000000-0004-0000-0500-0000F2020000}"/>
    <hyperlink ref="Q757" r:id="rId756" xr:uid="{00000000-0004-0000-0500-0000F3020000}"/>
    <hyperlink ref="Q758" r:id="rId757" xr:uid="{00000000-0004-0000-0500-0000F4020000}"/>
    <hyperlink ref="Q759" r:id="rId758" xr:uid="{00000000-0004-0000-0500-0000F5020000}"/>
    <hyperlink ref="Q760" r:id="rId759" xr:uid="{00000000-0004-0000-0500-0000F6020000}"/>
    <hyperlink ref="Q761" r:id="rId760" xr:uid="{00000000-0004-0000-0500-0000F7020000}"/>
    <hyperlink ref="Q762" r:id="rId761" xr:uid="{00000000-0004-0000-0500-0000F8020000}"/>
    <hyperlink ref="Q763" r:id="rId762" xr:uid="{00000000-0004-0000-0500-0000F9020000}"/>
    <hyperlink ref="Q764" r:id="rId763" xr:uid="{00000000-0004-0000-0500-0000FA020000}"/>
    <hyperlink ref="Q765" r:id="rId764" xr:uid="{00000000-0004-0000-0500-0000FB020000}"/>
    <hyperlink ref="Q766" r:id="rId765" xr:uid="{00000000-0004-0000-0500-0000FC020000}"/>
    <hyperlink ref="Q767" r:id="rId766" xr:uid="{00000000-0004-0000-0500-0000FD020000}"/>
    <hyperlink ref="Q768" r:id="rId767" xr:uid="{00000000-0004-0000-0500-0000FE020000}"/>
    <hyperlink ref="Q769" r:id="rId768" xr:uid="{00000000-0004-0000-0500-0000FF020000}"/>
    <hyperlink ref="Q770" r:id="rId769" xr:uid="{00000000-0004-0000-0500-000000030000}"/>
    <hyperlink ref="Q771" r:id="rId770" xr:uid="{00000000-0004-0000-0500-000001030000}"/>
    <hyperlink ref="Q772" r:id="rId771" xr:uid="{00000000-0004-0000-0500-000002030000}"/>
    <hyperlink ref="Q773" r:id="rId772" xr:uid="{00000000-0004-0000-0500-000003030000}"/>
    <hyperlink ref="Q774" r:id="rId773" xr:uid="{00000000-0004-0000-0500-000004030000}"/>
    <hyperlink ref="Q775" r:id="rId774" xr:uid="{00000000-0004-0000-0500-000005030000}"/>
    <hyperlink ref="Q776" r:id="rId775" xr:uid="{00000000-0004-0000-0500-000006030000}"/>
    <hyperlink ref="Q777" r:id="rId776" xr:uid="{00000000-0004-0000-0500-000007030000}"/>
    <hyperlink ref="Q778" r:id="rId777" xr:uid="{00000000-0004-0000-0500-000008030000}"/>
    <hyperlink ref="Q779" r:id="rId778" xr:uid="{00000000-0004-0000-0500-000009030000}"/>
    <hyperlink ref="Q780" r:id="rId779" xr:uid="{00000000-0004-0000-0500-00000A030000}"/>
    <hyperlink ref="Q781" r:id="rId780" xr:uid="{00000000-0004-0000-0500-00000B030000}"/>
    <hyperlink ref="Q782" r:id="rId781" xr:uid="{00000000-0004-0000-0500-00000C030000}"/>
    <hyperlink ref="Q783" r:id="rId782" xr:uid="{00000000-0004-0000-0500-00000D030000}"/>
    <hyperlink ref="Q784" r:id="rId783" xr:uid="{00000000-0004-0000-0500-00000E030000}"/>
    <hyperlink ref="Q785" r:id="rId784" xr:uid="{00000000-0004-0000-0500-00000F030000}"/>
    <hyperlink ref="Q786" r:id="rId785" xr:uid="{00000000-0004-0000-0500-000010030000}"/>
    <hyperlink ref="Q787" r:id="rId786" xr:uid="{00000000-0004-0000-0500-000011030000}"/>
    <hyperlink ref="Q788" r:id="rId787" xr:uid="{00000000-0004-0000-0500-000012030000}"/>
    <hyperlink ref="Q789" r:id="rId788" xr:uid="{00000000-0004-0000-0500-000013030000}"/>
    <hyperlink ref="Q790" r:id="rId789" xr:uid="{00000000-0004-0000-0500-000014030000}"/>
    <hyperlink ref="Q791" r:id="rId790" xr:uid="{00000000-0004-0000-0500-000015030000}"/>
    <hyperlink ref="Q792" r:id="rId791" xr:uid="{00000000-0004-0000-0500-000016030000}"/>
    <hyperlink ref="Q793" r:id="rId792" xr:uid="{00000000-0004-0000-0500-000017030000}"/>
    <hyperlink ref="Q794" r:id="rId793" xr:uid="{00000000-0004-0000-0500-000018030000}"/>
    <hyperlink ref="Q795" r:id="rId794" xr:uid="{00000000-0004-0000-0500-000019030000}"/>
    <hyperlink ref="Q796" r:id="rId795" xr:uid="{00000000-0004-0000-0500-00001A030000}"/>
    <hyperlink ref="Q797" r:id="rId796" xr:uid="{00000000-0004-0000-0500-00001B030000}"/>
    <hyperlink ref="Q798" r:id="rId797" xr:uid="{00000000-0004-0000-0500-00001C030000}"/>
    <hyperlink ref="Q799" r:id="rId798" xr:uid="{00000000-0004-0000-0500-00001D030000}"/>
    <hyperlink ref="Q800" r:id="rId799" xr:uid="{00000000-0004-0000-0500-00001E030000}"/>
    <hyperlink ref="Q801" r:id="rId800" xr:uid="{00000000-0004-0000-0500-00001F030000}"/>
    <hyperlink ref="Q802" r:id="rId801" xr:uid="{00000000-0004-0000-0500-000020030000}"/>
    <hyperlink ref="Q803" r:id="rId802" xr:uid="{00000000-0004-0000-0500-000021030000}"/>
    <hyperlink ref="Q804" r:id="rId803" xr:uid="{00000000-0004-0000-0500-000022030000}"/>
    <hyperlink ref="Q805" r:id="rId804" xr:uid="{00000000-0004-0000-0500-000023030000}"/>
    <hyperlink ref="Q806" r:id="rId805" xr:uid="{00000000-0004-0000-0500-000024030000}"/>
    <hyperlink ref="Q807" r:id="rId806" xr:uid="{00000000-0004-0000-0500-000025030000}"/>
    <hyperlink ref="Q808" r:id="rId807" xr:uid="{00000000-0004-0000-0500-000026030000}"/>
    <hyperlink ref="Q809" r:id="rId808" xr:uid="{00000000-0004-0000-0500-000027030000}"/>
    <hyperlink ref="Q810" r:id="rId809" xr:uid="{00000000-0004-0000-0500-000028030000}"/>
    <hyperlink ref="Q811" r:id="rId810" xr:uid="{00000000-0004-0000-0500-000029030000}"/>
    <hyperlink ref="Q812" r:id="rId811" xr:uid="{00000000-0004-0000-0500-00002A030000}"/>
    <hyperlink ref="Q813" r:id="rId812" xr:uid="{00000000-0004-0000-0500-00002B030000}"/>
    <hyperlink ref="Q814" r:id="rId813" xr:uid="{00000000-0004-0000-0500-00002C030000}"/>
    <hyperlink ref="Q815" r:id="rId814" xr:uid="{00000000-0004-0000-0500-00002D030000}"/>
    <hyperlink ref="Q816" r:id="rId815" xr:uid="{00000000-0004-0000-0500-00002E030000}"/>
    <hyperlink ref="Q817" r:id="rId816" xr:uid="{00000000-0004-0000-0500-00002F030000}"/>
    <hyperlink ref="Q818" r:id="rId817" xr:uid="{00000000-0004-0000-0500-000030030000}"/>
    <hyperlink ref="Q819" r:id="rId818" xr:uid="{00000000-0004-0000-0500-000031030000}"/>
    <hyperlink ref="Q820" r:id="rId819" xr:uid="{00000000-0004-0000-0500-000032030000}"/>
    <hyperlink ref="Q821" r:id="rId820" xr:uid="{00000000-0004-0000-0500-000033030000}"/>
    <hyperlink ref="Q822" r:id="rId821" xr:uid="{00000000-0004-0000-0500-000034030000}"/>
    <hyperlink ref="Q823" r:id="rId822" xr:uid="{00000000-0004-0000-0500-000035030000}"/>
    <hyperlink ref="Q824" r:id="rId823" xr:uid="{00000000-0004-0000-0500-000036030000}"/>
    <hyperlink ref="Q825" r:id="rId824" xr:uid="{00000000-0004-0000-0500-000037030000}"/>
    <hyperlink ref="Q826" r:id="rId825" xr:uid="{00000000-0004-0000-0500-000038030000}"/>
    <hyperlink ref="Q827" r:id="rId826" xr:uid="{00000000-0004-0000-0500-000039030000}"/>
    <hyperlink ref="Q828" r:id="rId827" xr:uid="{00000000-0004-0000-0500-00003A030000}"/>
    <hyperlink ref="Q829" r:id="rId828" xr:uid="{00000000-0004-0000-0500-00003B030000}"/>
    <hyperlink ref="Q830" r:id="rId829" xr:uid="{00000000-0004-0000-0500-00003C030000}"/>
    <hyperlink ref="Q831" r:id="rId830" xr:uid="{00000000-0004-0000-0500-00003D030000}"/>
    <hyperlink ref="Q832" r:id="rId831" xr:uid="{00000000-0004-0000-0500-00003E030000}"/>
    <hyperlink ref="Q833" r:id="rId832" xr:uid="{00000000-0004-0000-0500-00003F030000}"/>
    <hyperlink ref="Q834" r:id="rId833" xr:uid="{00000000-0004-0000-0500-000040030000}"/>
    <hyperlink ref="Q835" r:id="rId834" xr:uid="{00000000-0004-0000-0500-000041030000}"/>
    <hyperlink ref="Q836" r:id="rId835" xr:uid="{00000000-0004-0000-0500-000042030000}"/>
    <hyperlink ref="Q837" r:id="rId836" xr:uid="{00000000-0004-0000-0500-000043030000}"/>
    <hyperlink ref="Q838" r:id="rId837" xr:uid="{00000000-0004-0000-0500-000044030000}"/>
    <hyperlink ref="Q839" r:id="rId838" xr:uid="{00000000-0004-0000-0500-000045030000}"/>
    <hyperlink ref="Q840" r:id="rId839" xr:uid="{00000000-0004-0000-0500-000046030000}"/>
    <hyperlink ref="Q841" r:id="rId840" xr:uid="{00000000-0004-0000-0500-000047030000}"/>
    <hyperlink ref="Q842" r:id="rId841" xr:uid="{00000000-0004-0000-0500-000048030000}"/>
    <hyperlink ref="Q843" r:id="rId842" xr:uid="{00000000-0004-0000-0500-000049030000}"/>
    <hyperlink ref="Q844" r:id="rId843" xr:uid="{00000000-0004-0000-0500-00004A030000}"/>
    <hyperlink ref="Q845" r:id="rId844" xr:uid="{00000000-0004-0000-0500-00004B030000}"/>
    <hyperlink ref="Q846" r:id="rId845" xr:uid="{00000000-0004-0000-0500-00004C030000}"/>
    <hyperlink ref="Q847" r:id="rId846" xr:uid="{00000000-0004-0000-0500-00004D030000}"/>
    <hyperlink ref="Q848" r:id="rId847" xr:uid="{00000000-0004-0000-0500-00004E030000}"/>
    <hyperlink ref="Q849" r:id="rId848" xr:uid="{00000000-0004-0000-0500-00004F030000}"/>
    <hyperlink ref="Q850" r:id="rId849" xr:uid="{00000000-0004-0000-0500-000050030000}"/>
    <hyperlink ref="Q851" r:id="rId850" xr:uid="{00000000-0004-0000-0500-000051030000}"/>
    <hyperlink ref="Q852" r:id="rId851" xr:uid="{00000000-0004-0000-0500-000052030000}"/>
    <hyperlink ref="Q853" r:id="rId852" xr:uid="{00000000-0004-0000-0500-000053030000}"/>
    <hyperlink ref="Q854" r:id="rId853" xr:uid="{00000000-0004-0000-0500-000054030000}"/>
    <hyperlink ref="Q855" r:id="rId854" xr:uid="{00000000-0004-0000-0500-000055030000}"/>
    <hyperlink ref="Q856" r:id="rId855" xr:uid="{00000000-0004-0000-0500-000056030000}"/>
    <hyperlink ref="Q857" r:id="rId856" xr:uid="{00000000-0004-0000-0500-000057030000}"/>
    <hyperlink ref="Q858" r:id="rId857" xr:uid="{00000000-0004-0000-0500-000058030000}"/>
    <hyperlink ref="Q859" r:id="rId858" xr:uid="{00000000-0004-0000-0500-000059030000}"/>
    <hyperlink ref="Q860" r:id="rId859" xr:uid="{00000000-0004-0000-0500-00005A030000}"/>
    <hyperlink ref="Q861" r:id="rId860" xr:uid="{00000000-0004-0000-0500-00005B030000}"/>
    <hyperlink ref="Q862" r:id="rId861" xr:uid="{00000000-0004-0000-0500-00005C030000}"/>
    <hyperlink ref="Q863" r:id="rId862" xr:uid="{00000000-0004-0000-0500-00005D030000}"/>
    <hyperlink ref="Q864" r:id="rId863" xr:uid="{00000000-0004-0000-0500-00005E030000}"/>
    <hyperlink ref="Q865" r:id="rId864" xr:uid="{00000000-0004-0000-0500-00005F030000}"/>
    <hyperlink ref="Q866" r:id="rId865" xr:uid="{00000000-0004-0000-0500-000060030000}"/>
    <hyperlink ref="Q867" r:id="rId866" xr:uid="{00000000-0004-0000-0500-000061030000}"/>
    <hyperlink ref="Q868" r:id="rId867" xr:uid="{00000000-0004-0000-0500-000062030000}"/>
    <hyperlink ref="Q869" r:id="rId868" xr:uid="{00000000-0004-0000-0500-000063030000}"/>
    <hyperlink ref="Q870" r:id="rId869" xr:uid="{00000000-0004-0000-0500-000064030000}"/>
    <hyperlink ref="Q871" r:id="rId870" xr:uid="{00000000-0004-0000-0500-000065030000}"/>
    <hyperlink ref="Q872" r:id="rId871" xr:uid="{00000000-0004-0000-0500-000066030000}"/>
    <hyperlink ref="Q873" r:id="rId872" xr:uid="{00000000-0004-0000-0500-000067030000}"/>
    <hyperlink ref="Q874" r:id="rId873" xr:uid="{00000000-0004-0000-0500-000068030000}"/>
    <hyperlink ref="Q875" r:id="rId874" xr:uid="{00000000-0004-0000-0500-000069030000}"/>
    <hyperlink ref="Q876" r:id="rId875" xr:uid="{00000000-0004-0000-0500-00006A030000}"/>
    <hyperlink ref="Q877" r:id="rId876" xr:uid="{00000000-0004-0000-0500-00006B030000}"/>
    <hyperlink ref="Q878" r:id="rId877" xr:uid="{00000000-0004-0000-0500-00006C030000}"/>
    <hyperlink ref="Q879" r:id="rId878" xr:uid="{00000000-0004-0000-0500-00006D030000}"/>
    <hyperlink ref="Q880" r:id="rId879" xr:uid="{00000000-0004-0000-0500-00006E030000}"/>
    <hyperlink ref="Q881" r:id="rId880" xr:uid="{00000000-0004-0000-0500-00006F030000}"/>
    <hyperlink ref="Q882" r:id="rId881" xr:uid="{00000000-0004-0000-0500-000070030000}"/>
    <hyperlink ref="Q883" r:id="rId882" xr:uid="{00000000-0004-0000-0500-000071030000}"/>
    <hyperlink ref="Q884" r:id="rId883" xr:uid="{00000000-0004-0000-0500-000072030000}"/>
    <hyperlink ref="Q885" r:id="rId884" xr:uid="{00000000-0004-0000-0500-000073030000}"/>
    <hyperlink ref="Q886" r:id="rId885" xr:uid="{00000000-0004-0000-0500-000074030000}"/>
    <hyperlink ref="Q887" r:id="rId886" xr:uid="{00000000-0004-0000-0500-000075030000}"/>
    <hyperlink ref="Q888" r:id="rId887" xr:uid="{00000000-0004-0000-0500-000076030000}"/>
    <hyperlink ref="Q889" r:id="rId888" xr:uid="{00000000-0004-0000-0500-000077030000}"/>
    <hyperlink ref="Q890" r:id="rId889" xr:uid="{00000000-0004-0000-0500-000078030000}"/>
    <hyperlink ref="Q891" r:id="rId890" xr:uid="{00000000-0004-0000-0500-000079030000}"/>
    <hyperlink ref="Q892" r:id="rId891" xr:uid="{00000000-0004-0000-0500-00007A030000}"/>
    <hyperlink ref="Q893" r:id="rId892" xr:uid="{00000000-0004-0000-0500-00007B030000}"/>
    <hyperlink ref="Q894" r:id="rId893" xr:uid="{00000000-0004-0000-0500-00007C030000}"/>
    <hyperlink ref="Q895" r:id="rId894" xr:uid="{00000000-0004-0000-0500-00007D030000}"/>
    <hyperlink ref="Q896" r:id="rId895" xr:uid="{00000000-0004-0000-0500-00007E030000}"/>
    <hyperlink ref="Q897" r:id="rId896" xr:uid="{00000000-0004-0000-0500-00007F030000}"/>
    <hyperlink ref="Q898" r:id="rId897" xr:uid="{00000000-0004-0000-0500-000080030000}"/>
    <hyperlink ref="Q899" r:id="rId898" xr:uid="{00000000-0004-0000-0500-000081030000}"/>
    <hyperlink ref="Q900" r:id="rId899" xr:uid="{00000000-0004-0000-0500-000082030000}"/>
    <hyperlink ref="Q901" r:id="rId900" xr:uid="{00000000-0004-0000-0500-000083030000}"/>
    <hyperlink ref="Q902" r:id="rId901" xr:uid="{00000000-0004-0000-0500-000084030000}"/>
    <hyperlink ref="Q903" r:id="rId902" xr:uid="{00000000-0004-0000-0500-000085030000}"/>
    <hyperlink ref="Q904" r:id="rId903" xr:uid="{00000000-0004-0000-0500-000086030000}"/>
    <hyperlink ref="Q905" r:id="rId904" xr:uid="{00000000-0004-0000-0500-000087030000}"/>
    <hyperlink ref="Q906" r:id="rId905" xr:uid="{00000000-0004-0000-0500-000088030000}"/>
    <hyperlink ref="Q907" r:id="rId906" xr:uid="{00000000-0004-0000-0500-000089030000}"/>
    <hyperlink ref="Q908" r:id="rId907" xr:uid="{00000000-0004-0000-0500-00008A030000}"/>
    <hyperlink ref="Q909" r:id="rId908" xr:uid="{00000000-0004-0000-0500-00008B030000}"/>
    <hyperlink ref="Q910" r:id="rId909" xr:uid="{00000000-0004-0000-0500-00008C030000}"/>
    <hyperlink ref="Q911" r:id="rId910" xr:uid="{00000000-0004-0000-0500-00008D030000}"/>
    <hyperlink ref="Q912" r:id="rId911" xr:uid="{00000000-0004-0000-0500-00008E030000}"/>
    <hyperlink ref="Q913" r:id="rId912" xr:uid="{00000000-0004-0000-0500-00008F030000}"/>
    <hyperlink ref="Q914" r:id="rId913" xr:uid="{00000000-0004-0000-0500-000090030000}"/>
    <hyperlink ref="Q915" r:id="rId914" xr:uid="{00000000-0004-0000-0500-000091030000}"/>
    <hyperlink ref="Q916" r:id="rId915" xr:uid="{00000000-0004-0000-0500-000092030000}"/>
    <hyperlink ref="Q917" r:id="rId916" xr:uid="{00000000-0004-0000-0500-000093030000}"/>
    <hyperlink ref="Q918" r:id="rId917" xr:uid="{00000000-0004-0000-0500-000094030000}"/>
    <hyperlink ref="Q919" r:id="rId918" xr:uid="{00000000-0004-0000-0500-000095030000}"/>
    <hyperlink ref="Q920" r:id="rId919" xr:uid="{00000000-0004-0000-0500-000096030000}"/>
    <hyperlink ref="Q921" r:id="rId920" xr:uid="{00000000-0004-0000-0500-000097030000}"/>
    <hyperlink ref="Q922" r:id="rId921" xr:uid="{00000000-0004-0000-0500-000098030000}"/>
    <hyperlink ref="Q923" r:id="rId922" xr:uid="{00000000-0004-0000-0500-000099030000}"/>
    <hyperlink ref="Q924" r:id="rId923" xr:uid="{00000000-0004-0000-0500-00009A030000}"/>
    <hyperlink ref="Q925" r:id="rId924" xr:uid="{00000000-0004-0000-0500-00009B030000}"/>
    <hyperlink ref="Q926" r:id="rId925" xr:uid="{00000000-0004-0000-0500-00009C030000}"/>
    <hyperlink ref="Q927" r:id="rId926" xr:uid="{00000000-0004-0000-0500-00009D030000}"/>
    <hyperlink ref="Q928" r:id="rId927" xr:uid="{00000000-0004-0000-0500-00009E030000}"/>
    <hyperlink ref="Q929" r:id="rId928" xr:uid="{00000000-0004-0000-0500-00009F030000}"/>
    <hyperlink ref="Q930" r:id="rId929" xr:uid="{00000000-0004-0000-0500-0000A0030000}"/>
    <hyperlink ref="Q931" r:id="rId930" xr:uid="{00000000-0004-0000-0500-0000A1030000}"/>
    <hyperlink ref="Q932" r:id="rId931" xr:uid="{00000000-0004-0000-0500-0000A2030000}"/>
    <hyperlink ref="Q933" r:id="rId932" xr:uid="{00000000-0004-0000-0500-0000A3030000}"/>
    <hyperlink ref="Q934" r:id="rId933" xr:uid="{00000000-0004-0000-0500-0000A4030000}"/>
    <hyperlink ref="Q935" r:id="rId934" xr:uid="{00000000-0004-0000-0500-0000A5030000}"/>
    <hyperlink ref="Q936" r:id="rId935" xr:uid="{00000000-0004-0000-0500-0000A6030000}"/>
    <hyperlink ref="Q937" r:id="rId936" xr:uid="{00000000-0004-0000-0500-0000A7030000}"/>
    <hyperlink ref="Q938" r:id="rId937" xr:uid="{00000000-0004-0000-0500-0000A8030000}"/>
    <hyperlink ref="Q939" r:id="rId938" xr:uid="{00000000-0004-0000-0500-0000A9030000}"/>
    <hyperlink ref="Q940" r:id="rId939" xr:uid="{00000000-0004-0000-0500-0000AA030000}"/>
    <hyperlink ref="Q941" r:id="rId940" xr:uid="{00000000-0004-0000-0500-0000AB030000}"/>
    <hyperlink ref="Q942" r:id="rId941" xr:uid="{00000000-0004-0000-0500-0000AC030000}"/>
    <hyperlink ref="Q943" r:id="rId942" xr:uid="{00000000-0004-0000-0500-0000AD030000}"/>
    <hyperlink ref="Q944" r:id="rId943" xr:uid="{00000000-0004-0000-0500-0000AE030000}"/>
    <hyperlink ref="Q945" r:id="rId944" xr:uid="{00000000-0004-0000-0500-0000AF030000}"/>
    <hyperlink ref="Q946" r:id="rId945" xr:uid="{00000000-0004-0000-0500-0000B0030000}"/>
    <hyperlink ref="Q947" r:id="rId946" xr:uid="{00000000-0004-0000-0500-0000B1030000}"/>
    <hyperlink ref="Q948" r:id="rId947" xr:uid="{00000000-0004-0000-0500-0000B2030000}"/>
    <hyperlink ref="Q949" r:id="rId948" xr:uid="{00000000-0004-0000-0500-0000B3030000}"/>
    <hyperlink ref="Q950" r:id="rId949" xr:uid="{00000000-0004-0000-0500-0000B4030000}"/>
    <hyperlink ref="Q951" r:id="rId950" xr:uid="{00000000-0004-0000-0500-0000B5030000}"/>
    <hyperlink ref="Q952" r:id="rId951" xr:uid="{00000000-0004-0000-0500-0000B6030000}"/>
    <hyperlink ref="Q953" r:id="rId952" xr:uid="{00000000-0004-0000-0500-0000B7030000}"/>
    <hyperlink ref="Q954" r:id="rId953" xr:uid="{00000000-0004-0000-0500-0000B8030000}"/>
    <hyperlink ref="Q955" r:id="rId954" xr:uid="{00000000-0004-0000-0500-0000B9030000}"/>
    <hyperlink ref="Q956" r:id="rId955" xr:uid="{00000000-0004-0000-0500-0000BA030000}"/>
    <hyperlink ref="Q957" r:id="rId956" xr:uid="{00000000-0004-0000-0500-0000BB030000}"/>
    <hyperlink ref="Q958" r:id="rId957" xr:uid="{00000000-0004-0000-0500-0000BC030000}"/>
    <hyperlink ref="Q959" r:id="rId958" xr:uid="{00000000-0004-0000-0500-0000BD030000}"/>
    <hyperlink ref="Q960" r:id="rId959" xr:uid="{00000000-0004-0000-0500-0000BE030000}"/>
    <hyperlink ref="Q961" r:id="rId960" xr:uid="{00000000-0004-0000-0500-0000BF030000}"/>
    <hyperlink ref="Q962" r:id="rId961" xr:uid="{00000000-0004-0000-0500-0000C0030000}"/>
    <hyperlink ref="Q963" r:id="rId962" xr:uid="{00000000-0004-0000-0500-0000C1030000}"/>
    <hyperlink ref="Q964" r:id="rId963" xr:uid="{00000000-0004-0000-0500-0000C2030000}"/>
    <hyperlink ref="Q965" r:id="rId964" xr:uid="{00000000-0004-0000-0500-0000C3030000}"/>
    <hyperlink ref="Q966" r:id="rId965" xr:uid="{00000000-0004-0000-0500-0000C4030000}"/>
    <hyperlink ref="Q967" r:id="rId966" xr:uid="{00000000-0004-0000-0500-0000C5030000}"/>
    <hyperlink ref="Q968" r:id="rId967" xr:uid="{00000000-0004-0000-0500-0000C6030000}"/>
    <hyperlink ref="Q969" r:id="rId968" xr:uid="{00000000-0004-0000-0500-0000C7030000}"/>
    <hyperlink ref="Q970" r:id="rId969" xr:uid="{00000000-0004-0000-0500-0000C8030000}"/>
    <hyperlink ref="Q971" r:id="rId970" xr:uid="{00000000-0004-0000-0500-0000C9030000}"/>
    <hyperlink ref="Q972" r:id="rId971" xr:uid="{00000000-0004-0000-0500-0000CA030000}"/>
    <hyperlink ref="Q973" r:id="rId972" xr:uid="{00000000-0004-0000-0500-0000CB030000}"/>
    <hyperlink ref="Q974" r:id="rId973" xr:uid="{00000000-0004-0000-0500-0000CC030000}"/>
    <hyperlink ref="Q975" r:id="rId974" xr:uid="{00000000-0004-0000-0500-0000CD030000}"/>
    <hyperlink ref="Q976" r:id="rId975" xr:uid="{00000000-0004-0000-0500-0000CE030000}"/>
    <hyperlink ref="Q977" r:id="rId976" xr:uid="{00000000-0004-0000-0500-0000CF030000}"/>
    <hyperlink ref="Q978" r:id="rId977" xr:uid="{00000000-0004-0000-0500-0000D0030000}"/>
    <hyperlink ref="Q979" r:id="rId978" xr:uid="{00000000-0004-0000-0500-0000D1030000}"/>
    <hyperlink ref="Q980" r:id="rId979" xr:uid="{00000000-0004-0000-0500-0000D2030000}"/>
    <hyperlink ref="Q981" r:id="rId980" xr:uid="{00000000-0004-0000-0500-0000D3030000}"/>
    <hyperlink ref="Q982" r:id="rId981" xr:uid="{00000000-0004-0000-0500-0000D4030000}"/>
    <hyperlink ref="Q983" r:id="rId982" xr:uid="{00000000-0004-0000-0500-0000D5030000}"/>
    <hyperlink ref="Q984" r:id="rId983" xr:uid="{00000000-0004-0000-0500-0000D6030000}"/>
    <hyperlink ref="Q985" r:id="rId984" xr:uid="{00000000-0004-0000-0500-0000D7030000}"/>
    <hyperlink ref="Q986" r:id="rId985" xr:uid="{00000000-0004-0000-0500-0000D8030000}"/>
    <hyperlink ref="Q987" r:id="rId986" xr:uid="{00000000-0004-0000-0500-0000D9030000}"/>
    <hyperlink ref="Q988" r:id="rId987" xr:uid="{00000000-0004-0000-0500-0000DA030000}"/>
    <hyperlink ref="Q989" r:id="rId988" xr:uid="{00000000-0004-0000-0500-0000DB030000}"/>
    <hyperlink ref="Q990" r:id="rId989" xr:uid="{00000000-0004-0000-0500-0000DC030000}"/>
    <hyperlink ref="Q991" r:id="rId990" xr:uid="{00000000-0004-0000-0500-0000DD030000}"/>
    <hyperlink ref="Q992" r:id="rId991" xr:uid="{00000000-0004-0000-0500-0000DE030000}"/>
    <hyperlink ref="Q993" r:id="rId992" xr:uid="{00000000-0004-0000-0500-0000DF030000}"/>
    <hyperlink ref="Q994" r:id="rId993" xr:uid="{00000000-0004-0000-0500-0000E0030000}"/>
    <hyperlink ref="Q995" r:id="rId994" xr:uid="{00000000-0004-0000-0500-0000E1030000}"/>
    <hyperlink ref="Q996" r:id="rId995" xr:uid="{00000000-0004-0000-0500-0000E2030000}"/>
    <hyperlink ref="Q997" r:id="rId996" xr:uid="{00000000-0004-0000-0500-0000E3030000}"/>
    <hyperlink ref="Q998" r:id="rId997" xr:uid="{00000000-0004-0000-0500-0000E4030000}"/>
    <hyperlink ref="Q999" r:id="rId998" xr:uid="{00000000-0004-0000-0500-0000E5030000}"/>
    <hyperlink ref="Q1000" r:id="rId999" xr:uid="{00000000-0004-0000-0500-0000E6030000}"/>
    <hyperlink ref="Q1001" r:id="rId1000" xr:uid="{00000000-0004-0000-0500-0000E7030000}"/>
    <hyperlink ref="Q1002" r:id="rId1001" xr:uid="{00000000-0004-0000-0500-0000E8030000}"/>
    <hyperlink ref="Q1003" r:id="rId1002" xr:uid="{00000000-0004-0000-0500-0000E9030000}"/>
    <hyperlink ref="Q1004" r:id="rId1003" xr:uid="{00000000-0004-0000-0500-0000EA030000}"/>
    <hyperlink ref="Q1005" r:id="rId1004" xr:uid="{00000000-0004-0000-0500-0000EB030000}"/>
    <hyperlink ref="Q1006" r:id="rId1005" xr:uid="{00000000-0004-0000-0500-0000EC030000}"/>
    <hyperlink ref="Q1007" r:id="rId1006" xr:uid="{00000000-0004-0000-0500-0000ED030000}"/>
    <hyperlink ref="Q1008" r:id="rId1007" xr:uid="{00000000-0004-0000-0500-0000EE030000}"/>
    <hyperlink ref="Q1009" r:id="rId1008" xr:uid="{00000000-0004-0000-0500-0000EF030000}"/>
    <hyperlink ref="Q1010" r:id="rId1009" xr:uid="{00000000-0004-0000-0500-0000F0030000}"/>
    <hyperlink ref="Q1011" r:id="rId1010" xr:uid="{00000000-0004-0000-0500-0000F1030000}"/>
    <hyperlink ref="Q1012" r:id="rId1011" xr:uid="{00000000-0004-0000-0500-0000F2030000}"/>
    <hyperlink ref="Q1013" r:id="rId1012" xr:uid="{00000000-0004-0000-0500-0000F3030000}"/>
    <hyperlink ref="Q1014" r:id="rId1013" xr:uid="{00000000-0004-0000-0500-0000F4030000}"/>
    <hyperlink ref="Q1015" r:id="rId1014" xr:uid="{00000000-0004-0000-0500-0000F5030000}"/>
    <hyperlink ref="Q1016" r:id="rId1015" xr:uid="{00000000-0004-0000-0500-0000F6030000}"/>
    <hyperlink ref="Q1017" r:id="rId1016" xr:uid="{00000000-0004-0000-0500-0000F7030000}"/>
    <hyperlink ref="Q1018" r:id="rId1017" xr:uid="{00000000-0004-0000-0500-0000F8030000}"/>
    <hyperlink ref="Q1019" r:id="rId1018" xr:uid="{00000000-0004-0000-0500-0000F9030000}"/>
    <hyperlink ref="Q1020" r:id="rId1019" xr:uid="{00000000-0004-0000-0500-0000FA030000}"/>
    <hyperlink ref="Q1021" r:id="rId1020" xr:uid="{00000000-0004-0000-0500-0000FB030000}"/>
    <hyperlink ref="Q1022" r:id="rId1021" xr:uid="{00000000-0004-0000-0500-0000FC030000}"/>
    <hyperlink ref="Q1023" r:id="rId1022" xr:uid="{00000000-0004-0000-0500-0000FD030000}"/>
    <hyperlink ref="Q1024" r:id="rId1023" xr:uid="{00000000-0004-0000-0500-0000FE030000}"/>
    <hyperlink ref="Q1025" r:id="rId1024" xr:uid="{00000000-0004-0000-0500-0000FF030000}"/>
    <hyperlink ref="Q1026" r:id="rId1025" xr:uid="{00000000-0004-0000-0500-000000040000}"/>
    <hyperlink ref="Q1027" r:id="rId1026" xr:uid="{00000000-0004-0000-0500-000001040000}"/>
    <hyperlink ref="Q1028" r:id="rId1027" xr:uid="{00000000-0004-0000-0500-000002040000}"/>
    <hyperlink ref="Q1029" r:id="rId1028" xr:uid="{00000000-0004-0000-0500-000003040000}"/>
    <hyperlink ref="Q1030" r:id="rId1029" xr:uid="{00000000-0004-0000-0500-000004040000}"/>
    <hyperlink ref="Q1031" r:id="rId1030" xr:uid="{00000000-0004-0000-0500-000005040000}"/>
    <hyperlink ref="Q1032" r:id="rId1031" xr:uid="{00000000-0004-0000-0500-000006040000}"/>
    <hyperlink ref="Q1033" r:id="rId1032" xr:uid="{00000000-0004-0000-0500-000007040000}"/>
    <hyperlink ref="Q1034" r:id="rId1033" xr:uid="{00000000-0004-0000-0500-000008040000}"/>
    <hyperlink ref="Q1035" r:id="rId1034" xr:uid="{00000000-0004-0000-0500-000009040000}"/>
    <hyperlink ref="Q1036" r:id="rId1035" xr:uid="{00000000-0004-0000-0500-00000A040000}"/>
    <hyperlink ref="Q1037" r:id="rId1036" xr:uid="{00000000-0004-0000-0500-00000B040000}"/>
    <hyperlink ref="Q1038" r:id="rId1037" xr:uid="{00000000-0004-0000-0500-00000C040000}"/>
    <hyperlink ref="Q1039" r:id="rId1038" xr:uid="{00000000-0004-0000-0500-00000D040000}"/>
    <hyperlink ref="Q1040" r:id="rId1039" xr:uid="{00000000-0004-0000-0500-00000E040000}"/>
    <hyperlink ref="Q1041" r:id="rId1040" xr:uid="{00000000-0004-0000-0500-00000F040000}"/>
    <hyperlink ref="Q1042" r:id="rId1041" xr:uid="{00000000-0004-0000-0500-000010040000}"/>
    <hyperlink ref="Q1043" r:id="rId1042" xr:uid="{00000000-0004-0000-0500-000011040000}"/>
    <hyperlink ref="Q1044" r:id="rId1043" xr:uid="{00000000-0004-0000-0500-000012040000}"/>
    <hyperlink ref="Q1045" r:id="rId1044" xr:uid="{00000000-0004-0000-0500-000013040000}"/>
    <hyperlink ref="Q1046" r:id="rId1045" xr:uid="{00000000-0004-0000-0500-000014040000}"/>
    <hyperlink ref="Q1047" r:id="rId1046" xr:uid="{00000000-0004-0000-0500-000015040000}"/>
    <hyperlink ref="Q1048" r:id="rId1047" xr:uid="{00000000-0004-0000-0500-000016040000}"/>
    <hyperlink ref="Q1049" r:id="rId1048" xr:uid="{00000000-0004-0000-0500-000017040000}"/>
    <hyperlink ref="Q1050" r:id="rId1049" xr:uid="{00000000-0004-0000-0500-000018040000}"/>
    <hyperlink ref="Q1051" r:id="rId1050" xr:uid="{00000000-0004-0000-0500-000019040000}"/>
    <hyperlink ref="Q1052" r:id="rId1051" xr:uid="{00000000-0004-0000-0500-00001A040000}"/>
    <hyperlink ref="Q1053" r:id="rId1052" xr:uid="{00000000-0004-0000-0500-00001B040000}"/>
    <hyperlink ref="Q1054" r:id="rId1053" xr:uid="{00000000-0004-0000-0500-00001C040000}"/>
    <hyperlink ref="Q1055" r:id="rId1054" xr:uid="{00000000-0004-0000-0500-00001D040000}"/>
    <hyperlink ref="Q1056" r:id="rId1055" xr:uid="{00000000-0004-0000-0500-00001E040000}"/>
    <hyperlink ref="Q1057" r:id="rId1056" xr:uid="{00000000-0004-0000-0500-00001F040000}"/>
    <hyperlink ref="Q1058" r:id="rId1057" xr:uid="{00000000-0004-0000-0500-000020040000}"/>
    <hyperlink ref="Q1059" r:id="rId1058" xr:uid="{00000000-0004-0000-0500-000021040000}"/>
    <hyperlink ref="Q1060" r:id="rId1059" xr:uid="{00000000-0004-0000-0500-000022040000}"/>
    <hyperlink ref="Q1061" r:id="rId1060" xr:uid="{00000000-0004-0000-0500-000023040000}"/>
    <hyperlink ref="Q1062" r:id="rId1061" xr:uid="{00000000-0004-0000-0500-000024040000}"/>
    <hyperlink ref="Q1063" r:id="rId1062" xr:uid="{00000000-0004-0000-0500-000025040000}"/>
    <hyperlink ref="Q1064" r:id="rId1063" xr:uid="{00000000-0004-0000-0500-000026040000}"/>
    <hyperlink ref="Q1065" r:id="rId1064" xr:uid="{00000000-0004-0000-0500-000027040000}"/>
    <hyperlink ref="Q1066" r:id="rId1065" xr:uid="{00000000-0004-0000-0500-000028040000}"/>
    <hyperlink ref="Q1067" r:id="rId1066" xr:uid="{00000000-0004-0000-0500-000029040000}"/>
    <hyperlink ref="Q1068" r:id="rId1067" xr:uid="{00000000-0004-0000-0500-00002A040000}"/>
    <hyperlink ref="Q1069" r:id="rId1068" xr:uid="{00000000-0004-0000-0500-00002B040000}"/>
    <hyperlink ref="Q1070" r:id="rId1069" xr:uid="{00000000-0004-0000-0500-00002C040000}"/>
    <hyperlink ref="Q1071" r:id="rId1070" xr:uid="{00000000-0004-0000-0500-00002D040000}"/>
    <hyperlink ref="Q1072" r:id="rId1071" xr:uid="{00000000-0004-0000-0500-00002E040000}"/>
    <hyperlink ref="Q1073" r:id="rId1072" xr:uid="{00000000-0004-0000-0500-00002F040000}"/>
    <hyperlink ref="Q1074" r:id="rId1073" xr:uid="{00000000-0004-0000-0500-000030040000}"/>
    <hyperlink ref="Q1075" r:id="rId1074" xr:uid="{00000000-0004-0000-0500-000031040000}"/>
    <hyperlink ref="Q1076" r:id="rId1075" xr:uid="{00000000-0004-0000-0500-000032040000}"/>
    <hyperlink ref="Q1077" r:id="rId1076" xr:uid="{00000000-0004-0000-0500-000033040000}"/>
    <hyperlink ref="Q1078" r:id="rId1077" xr:uid="{00000000-0004-0000-0500-000034040000}"/>
    <hyperlink ref="Q1079" r:id="rId1078" xr:uid="{00000000-0004-0000-0500-000035040000}"/>
    <hyperlink ref="Q1080" r:id="rId1079" xr:uid="{00000000-0004-0000-0500-000036040000}"/>
    <hyperlink ref="Q1081" r:id="rId1080" xr:uid="{00000000-0004-0000-0500-000037040000}"/>
    <hyperlink ref="Q1082" r:id="rId1081" xr:uid="{00000000-0004-0000-0500-000038040000}"/>
    <hyperlink ref="Q1083" r:id="rId1082" xr:uid="{00000000-0004-0000-0500-000039040000}"/>
    <hyperlink ref="Q1084" r:id="rId1083" xr:uid="{00000000-0004-0000-0500-00003A040000}"/>
    <hyperlink ref="Q1085" r:id="rId1084" xr:uid="{00000000-0004-0000-0500-00003B040000}"/>
    <hyperlink ref="Q1086" r:id="rId1085" xr:uid="{00000000-0004-0000-0500-00003C040000}"/>
    <hyperlink ref="Q1087" r:id="rId1086" xr:uid="{00000000-0004-0000-0500-00003D040000}"/>
    <hyperlink ref="Q1088" r:id="rId1087" xr:uid="{00000000-0004-0000-0500-00003E040000}"/>
    <hyperlink ref="Q1089" r:id="rId1088" xr:uid="{00000000-0004-0000-0500-00003F040000}"/>
    <hyperlink ref="Q1090" r:id="rId1089" xr:uid="{00000000-0004-0000-0500-000040040000}"/>
    <hyperlink ref="Q1091" r:id="rId1090" xr:uid="{00000000-0004-0000-0500-000041040000}"/>
    <hyperlink ref="Q1092" r:id="rId1091" xr:uid="{00000000-0004-0000-0500-000042040000}"/>
    <hyperlink ref="Q1093" r:id="rId1092" xr:uid="{00000000-0004-0000-0500-000043040000}"/>
    <hyperlink ref="Q1094" r:id="rId1093" xr:uid="{00000000-0004-0000-0500-000044040000}"/>
    <hyperlink ref="Q1095" r:id="rId1094" xr:uid="{00000000-0004-0000-0500-000045040000}"/>
    <hyperlink ref="Q1096" r:id="rId1095" xr:uid="{00000000-0004-0000-0500-000046040000}"/>
    <hyperlink ref="Q1097" r:id="rId1096" xr:uid="{00000000-0004-0000-0500-000047040000}"/>
    <hyperlink ref="Q1098" r:id="rId1097" xr:uid="{00000000-0004-0000-0500-000048040000}"/>
    <hyperlink ref="Q1099" r:id="rId1098" xr:uid="{00000000-0004-0000-0500-000049040000}"/>
    <hyperlink ref="Q1100" r:id="rId1099" xr:uid="{00000000-0004-0000-0500-00004A040000}"/>
    <hyperlink ref="Q1101" r:id="rId1100" xr:uid="{00000000-0004-0000-0500-00004B040000}"/>
    <hyperlink ref="Q1102" r:id="rId1101" xr:uid="{00000000-0004-0000-0500-00004C040000}"/>
    <hyperlink ref="Q1103" r:id="rId1102" xr:uid="{00000000-0004-0000-0500-00004D040000}"/>
    <hyperlink ref="Q1104" r:id="rId1103" xr:uid="{00000000-0004-0000-0500-00004E040000}"/>
    <hyperlink ref="Q1105" r:id="rId1104" xr:uid="{00000000-0004-0000-0500-00004F040000}"/>
    <hyperlink ref="Q1106" r:id="rId1105" xr:uid="{00000000-0004-0000-0500-000050040000}"/>
    <hyperlink ref="Q1107" r:id="rId1106" xr:uid="{00000000-0004-0000-0500-000051040000}"/>
    <hyperlink ref="Q1108" r:id="rId1107" xr:uid="{00000000-0004-0000-0500-000052040000}"/>
    <hyperlink ref="Q1109" r:id="rId1108" xr:uid="{00000000-0004-0000-0500-000053040000}"/>
    <hyperlink ref="Q1110" r:id="rId1109" xr:uid="{00000000-0004-0000-0500-000054040000}"/>
    <hyperlink ref="Q1111" r:id="rId1110" xr:uid="{00000000-0004-0000-0500-000055040000}"/>
    <hyperlink ref="Q1112" r:id="rId1111" xr:uid="{00000000-0004-0000-0500-000056040000}"/>
    <hyperlink ref="Q1113" r:id="rId1112" xr:uid="{00000000-0004-0000-0500-000057040000}"/>
    <hyperlink ref="Q1114" r:id="rId1113" xr:uid="{00000000-0004-0000-0500-000058040000}"/>
    <hyperlink ref="Q1115" r:id="rId1114" xr:uid="{00000000-0004-0000-0500-000059040000}"/>
    <hyperlink ref="Q1116" r:id="rId1115" xr:uid="{00000000-0004-0000-0500-00005A040000}"/>
    <hyperlink ref="Q1117" r:id="rId1116" xr:uid="{00000000-0004-0000-0500-00005B040000}"/>
    <hyperlink ref="Q1118" r:id="rId1117" xr:uid="{00000000-0004-0000-0500-00005C040000}"/>
    <hyperlink ref="Q1119" r:id="rId1118" xr:uid="{00000000-0004-0000-0500-00005D040000}"/>
    <hyperlink ref="Q1120" r:id="rId1119" xr:uid="{00000000-0004-0000-0500-00005E040000}"/>
    <hyperlink ref="Q1121" r:id="rId1120" xr:uid="{00000000-0004-0000-0500-00005F040000}"/>
    <hyperlink ref="Q1122" r:id="rId1121" xr:uid="{00000000-0004-0000-0500-000060040000}"/>
    <hyperlink ref="Q1123" r:id="rId1122" xr:uid="{00000000-0004-0000-0500-000061040000}"/>
    <hyperlink ref="Q1124" r:id="rId1123" xr:uid="{00000000-0004-0000-0500-000062040000}"/>
    <hyperlink ref="Q1125" r:id="rId1124" xr:uid="{00000000-0004-0000-0500-000063040000}"/>
    <hyperlink ref="Q1126" r:id="rId1125" xr:uid="{00000000-0004-0000-0500-000064040000}"/>
    <hyperlink ref="Q1127" r:id="rId1126" xr:uid="{00000000-0004-0000-0500-000065040000}"/>
    <hyperlink ref="Q1128" r:id="rId1127" xr:uid="{00000000-0004-0000-0500-000066040000}"/>
    <hyperlink ref="Q1129" r:id="rId1128" xr:uid="{00000000-0004-0000-0500-000067040000}"/>
    <hyperlink ref="Q1130" r:id="rId1129" xr:uid="{00000000-0004-0000-0500-000068040000}"/>
    <hyperlink ref="Q1131" r:id="rId1130" xr:uid="{00000000-0004-0000-0500-000069040000}"/>
    <hyperlink ref="Q1132" r:id="rId1131" xr:uid="{00000000-0004-0000-0500-00006A040000}"/>
    <hyperlink ref="Q1133" r:id="rId1132" xr:uid="{00000000-0004-0000-0500-00006B040000}"/>
    <hyperlink ref="Q1134" r:id="rId1133" xr:uid="{00000000-0004-0000-0500-00006C040000}"/>
    <hyperlink ref="Q1135" r:id="rId1134" xr:uid="{00000000-0004-0000-0500-00006D040000}"/>
    <hyperlink ref="Q1136" r:id="rId1135" xr:uid="{00000000-0004-0000-0500-00006E040000}"/>
    <hyperlink ref="Q1137" r:id="rId1136" xr:uid="{00000000-0004-0000-0500-00006F040000}"/>
    <hyperlink ref="Q1138" r:id="rId1137" xr:uid="{00000000-0004-0000-0500-000070040000}"/>
    <hyperlink ref="Q1139" r:id="rId1138" xr:uid="{00000000-0004-0000-0500-000071040000}"/>
    <hyperlink ref="Q1140" r:id="rId1139" xr:uid="{00000000-0004-0000-0500-000072040000}"/>
    <hyperlink ref="Q1141" r:id="rId1140" xr:uid="{00000000-0004-0000-0500-000073040000}"/>
    <hyperlink ref="Q1142" r:id="rId1141" xr:uid="{00000000-0004-0000-0500-000074040000}"/>
    <hyperlink ref="Q1143" r:id="rId1142" xr:uid="{00000000-0004-0000-0500-000075040000}"/>
    <hyperlink ref="Q1144" r:id="rId1143" xr:uid="{00000000-0004-0000-0500-000076040000}"/>
    <hyperlink ref="Q1145" r:id="rId1144" xr:uid="{00000000-0004-0000-0500-000077040000}"/>
    <hyperlink ref="Q1146" r:id="rId1145" xr:uid="{00000000-0004-0000-0500-000078040000}"/>
    <hyperlink ref="Q1147" r:id="rId1146" xr:uid="{00000000-0004-0000-0500-000079040000}"/>
    <hyperlink ref="Q1148" r:id="rId1147" xr:uid="{00000000-0004-0000-0500-00007A040000}"/>
    <hyperlink ref="Q1149" r:id="rId1148" xr:uid="{00000000-0004-0000-0500-00007B040000}"/>
    <hyperlink ref="Q1150" r:id="rId1149" xr:uid="{00000000-0004-0000-0500-00007C040000}"/>
    <hyperlink ref="Q1151" r:id="rId1150" xr:uid="{00000000-0004-0000-0500-00007D040000}"/>
    <hyperlink ref="Q1152" r:id="rId1151" xr:uid="{00000000-0004-0000-0500-00007E040000}"/>
    <hyperlink ref="Q1153" r:id="rId1152" xr:uid="{00000000-0004-0000-0500-00007F040000}"/>
    <hyperlink ref="Q1154" r:id="rId1153" xr:uid="{00000000-0004-0000-0500-000080040000}"/>
    <hyperlink ref="Q1155" r:id="rId1154" xr:uid="{00000000-0004-0000-0500-000081040000}"/>
    <hyperlink ref="Q1156" r:id="rId1155" xr:uid="{00000000-0004-0000-0500-000082040000}"/>
    <hyperlink ref="Q1157" r:id="rId1156" xr:uid="{00000000-0004-0000-0500-000083040000}"/>
    <hyperlink ref="Q1158" r:id="rId1157" xr:uid="{00000000-0004-0000-0500-000084040000}"/>
    <hyperlink ref="Q1159" r:id="rId1158" xr:uid="{00000000-0004-0000-0500-000085040000}"/>
    <hyperlink ref="Q1160" r:id="rId1159" xr:uid="{00000000-0004-0000-0500-000086040000}"/>
    <hyperlink ref="Q1161" r:id="rId1160" xr:uid="{00000000-0004-0000-0500-000087040000}"/>
    <hyperlink ref="Q1162" r:id="rId1161" xr:uid="{00000000-0004-0000-0500-000088040000}"/>
    <hyperlink ref="Q1163" r:id="rId1162" xr:uid="{00000000-0004-0000-0500-000089040000}"/>
    <hyperlink ref="Q1164" r:id="rId1163" xr:uid="{00000000-0004-0000-0500-00008A040000}"/>
    <hyperlink ref="Q1165" r:id="rId1164" xr:uid="{00000000-0004-0000-0500-00008B040000}"/>
    <hyperlink ref="Q1166" r:id="rId1165" xr:uid="{00000000-0004-0000-0500-00008C040000}"/>
    <hyperlink ref="Q1167" r:id="rId1166" xr:uid="{00000000-0004-0000-0500-00008D040000}"/>
    <hyperlink ref="Q1168" r:id="rId1167" xr:uid="{00000000-0004-0000-0500-00008E040000}"/>
    <hyperlink ref="Q1169" r:id="rId1168" xr:uid="{00000000-0004-0000-0500-00008F040000}"/>
    <hyperlink ref="Q1170" r:id="rId1169" xr:uid="{00000000-0004-0000-0500-000090040000}"/>
    <hyperlink ref="Q1171" r:id="rId1170" xr:uid="{00000000-0004-0000-0500-000091040000}"/>
    <hyperlink ref="Q1172" r:id="rId1171" xr:uid="{00000000-0004-0000-0500-000092040000}"/>
    <hyperlink ref="Q1173" r:id="rId1172" xr:uid="{00000000-0004-0000-0500-000093040000}"/>
    <hyperlink ref="Q1174" r:id="rId1173" xr:uid="{00000000-0004-0000-0500-000094040000}"/>
    <hyperlink ref="Q1175" r:id="rId1174" xr:uid="{00000000-0004-0000-0500-000095040000}"/>
    <hyperlink ref="Q1176" r:id="rId1175" xr:uid="{00000000-0004-0000-0500-000096040000}"/>
    <hyperlink ref="Q1177" r:id="rId1176" xr:uid="{00000000-0004-0000-0500-000097040000}"/>
    <hyperlink ref="Q1178" r:id="rId1177" xr:uid="{00000000-0004-0000-0500-000098040000}"/>
    <hyperlink ref="Q1179" r:id="rId1178" xr:uid="{00000000-0004-0000-0500-000099040000}"/>
    <hyperlink ref="Q1180" r:id="rId1179" xr:uid="{00000000-0004-0000-0500-00009A040000}"/>
    <hyperlink ref="Q1181" r:id="rId1180" xr:uid="{00000000-0004-0000-0500-00009B040000}"/>
    <hyperlink ref="Q1182" r:id="rId1181" xr:uid="{00000000-0004-0000-0500-00009C040000}"/>
    <hyperlink ref="Q1183" r:id="rId1182" xr:uid="{00000000-0004-0000-0500-00009D040000}"/>
    <hyperlink ref="Q1184" r:id="rId1183" xr:uid="{00000000-0004-0000-0500-00009E040000}"/>
    <hyperlink ref="Q1185" r:id="rId1184" xr:uid="{00000000-0004-0000-0500-00009F040000}"/>
    <hyperlink ref="Q1186" r:id="rId1185" xr:uid="{00000000-0004-0000-0500-0000A0040000}"/>
    <hyperlink ref="Q1187" r:id="rId1186" xr:uid="{00000000-0004-0000-0500-0000A1040000}"/>
    <hyperlink ref="Q1188" r:id="rId1187" xr:uid="{00000000-0004-0000-0500-0000A2040000}"/>
    <hyperlink ref="Q1189" r:id="rId1188" xr:uid="{00000000-0004-0000-0500-0000A3040000}"/>
    <hyperlink ref="Q1190" r:id="rId1189" xr:uid="{00000000-0004-0000-0500-0000A4040000}"/>
    <hyperlink ref="Q1191" r:id="rId1190" xr:uid="{00000000-0004-0000-0500-0000A5040000}"/>
    <hyperlink ref="Q1192" r:id="rId1191" xr:uid="{00000000-0004-0000-0500-0000A6040000}"/>
    <hyperlink ref="Q1193" r:id="rId1192" xr:uid="{00000000-0004-0000-0500-0000A7040000}"/>
    <hyperlink ref="Q1194" r:id="rId1193" xr:uid="{00000000-0004-0000-0500-0000A8040000}"/>
    <hyperlink ref="Q1195" r:id="rId1194" xr:uid="{00000000-0004-0000-0500-0000A9040000}"/>
    <hyperlink ref="Q1196" r:id="rId1195" xr:uid="{00000000-0004-0000-0500-0000AA040000}"/>
    <hyperlink ref="Q1197" r:id="rId1196" xr:uid="{00000000-0004-0000-0500-0000AB040000}"/>
    <hyperlink ref="Q1198" r:id="rId1197" xr:uid="{00000000-0004-0000-0500-0000AC040000}"/>
    <hyperlink ref="Q1199" r:id="rId1198" xr:uid="{00000000-0004-0000-0500-0000AD040000}"/>
    <hyperlink ref="Q1200" r:id="rId1199" xr:uid="{00000000-0004-0000-0500-0000AE040000}"/>
    <hyperlink ref="Q1201" r:id="rId1200" xr:uid="{00000000-0004-0000-0500-0000AF040000}"/>
    <hyperlink ref="Q1202" r:id="rId1201" xr:uid="{00000000-0004-0000-0500-0000B0040000}"/>
    <hyperlink ref="Q1203" r:id="rId1202" xr:uid="{00000000-0004-0000-0500-0000B1040000}"/>
    <hyperlink ref="Q1204" r:id="rId1203" xr:uid="{00000000-0004-0000-0500-0000B2040000}"/>
    <hyperlink ref="Q1205" r:id="rId1204" xr:uid="{00000000-0004-0000-0500-0000B3040000}"/>
    <hyperlink ref="Q1206" r:id="rId1205" xr:uid="{00000000-0004-0000-0500-0000B4040000}"/>
    <hyperlink ref="Q1207" r:id="rId1206" xr:uid="{00000000-0004-0000-0500-0000B5040000}"/>
    <hyperlink ref="Q1208" r:id="rId1207" xr:uid="{00000000-0004-0000-0500-0000B6040000}"/>
    <hyperlink ref="Q1209" r:id="rId1208" xr:uid="{00000000-0004-0000-0500-0000B7040000}"/>
    <hyperlink ref="Q1210" r:id="rId1209" xr:uid="{00000000-0004-0000-0500-0000B8040000}"/>
    <hyperlink ref="Q1211" r:id="rId1210" xr:uid="{00000000-0004-0000-0500-0000B9040000}"/>
    <hyperlink ref="Q1212" r:id="rId1211" xr:uid="{00000000-0004-0000-0500-0000BA040000}"/>
    <hyperlink ref="Q1213" r:id="rId1212" xr:uid="{00000000-0004-0000-0500-0000BB040000}"/>
    <hyperlink ref="Q1214" r:id="rId1213" xr:uid="{00000000-0004-0000-0500-0000BC040000}"/>
    <hyperlink ref="Q1215" r:id="rId1214" xr:uid="{00000000-0004-0000-0500-0000BD040000}"/>
    <hyperlink ref="Q1216" r:id="rId1215" xr:uid="{00000000-0004-0000-0500-0000BE040000}"/>
    <hyperlink ref="Q1217" r:id="rId1216" xr:uid="{00000000-0004-0000-0500-0000BF040000}"/>
    <hyperlink ref="Q1218" r:id="rId1217" xr:uid="{00000000-0004-0000-0500-0000C0040000}"/>
    <hyperlink ref="Q1219" r:id="rId1218" xr:uid="{00000000-0004-0000-0500-0000C1040000}"/>
    <hyperlink ref="Q1220" r:id="rId1219" xr:uid="{00000000-0004-0000-0500-0000C2040000}"/>
    <hyperlink ref="Q1221" r:id="rId1220" xr:uid="{00000000-0004-0000-0500-0000C3040000}"/>
    <hyperlink ref="Q1222" r:id="rId1221" xr:uid="{00000000-0004-0000-0500-0000C4040000}"/>
    <hyperlink ref="Q1223" r:id="rId1222" xr:uid="{00000000-0004-0000-0500-0000C5040000}"/>
    <hyperlink ref="Q1224" r:id="rId1223" xr:uid="{00000000-0004-0000-0500-0000C6040000}"/>
    <hyperlink ref="Q1225" r:id="rId1224" xr:uid="{00000000-0004-0000-0500-0000C7040000}"/>
    <hyperlink ref="Q1226" r:id="rId1225" xr:uid="{00000000-0004-0000-0500-0000C8040000}"/>
    <hyperlink ref="Q1227" r:id="rId1226" xr:uid="{00000000-0004-0000-0500-0000C9040000}"/>
    <hyperlink ref="Q1228" r:id="rId1227" xr:uid="{00000000-0004-0000-0500-0000CA040000}"/>
    <hyperlink ref="Q1229" r:id="rId1228" xr:uid="{00000000-0004-0000-0500-0000CB040000}"/>
    <hyperlink ref="Q1230" r:id="rId1229" xr:uid="{00000000-0004-0000-0500-0000CC040000}"/>
    <hyperlink ref="Q1231" r:id="rId1230" xr:uid="{00000000-0004-0000-0500-0000CD040000}"/>
    <hyperlink ref="Q1232" r:id="rId1231" xr:uid="{00000000-0004-0000-0500-0000CE040000}"/>
    <hyperlink ref="Q1233" r:id="rId1232" xr:uid="{00000000-0004-0000-0500-0000CF040000}"/>
    <hyperlink ref="Q1234" r:id="rId1233" xr:uid="{00000000-0004-0000-0500-0000D0040000}"/>
    <hyperlink ref="Q1235" r:id="rId1234" xr:uid="{00000000-0004-0000-0500-0000D1040000}"/>
    <hyperlink ref="Q1236" r:id="rId1235" xr:uid="{00000000-0004-0000-0500-0000D2040000}"/>
    <hyperlink ref="Q1237" r:id="rId1236" xr:uid="{00000000-0004-0000-0500-0000D3040000}"/>
    <hyperlink ref="Q1238" r:id="rId1237" xr:uid="{00000000-0004-0000-0500-0000D4040000}"/>
    <hyperlink ref="Q1239" r:id="rId1238" xr:uid="{00000000-0004-0000-0500-0000D5040000}"/>
    <hyperlink ref="Q1240" r:id="rId1239" xr:uid="{00000000-0004-0000-0500-0000D6040000}"/>
    <hyperlink ref="Q1241" r:id="rId1240" xr:uid="{00000000-0004-0000-0500-0000D7040000}"/>
    <hyperlink ref="Q1242" r:id="rId1241" xr:uid="{00000000-0004-0000-0500-0000D8040000}"/>
    <hyperlink ref="Q1243" r:id="rId1242" xr:uid="{00000000-0004-0000-0500-0000D9040000}"/>
    <hyperlink ref="Q1244" r:id="rId1243" xr:uid="{00000000-0004-0000-0500-0000DA040000}"/>
    <hyperlink ref="Q1245" r:id="rId1244" xr:uid="{00000000-0004-0000-0500-0000DB040000}"/>
    <hyperlink ref="Q1246" r:id="rId1245" xr:uid="{00000000-0004-0000-0500-0000DC040000}"/>
    <hyperlink ref="Q1247" r:id="rId1246" xr:uid="{00000000-0004-0000-0500-0000DD040000}"/>
    <hyperlink ref="Q1248" r:id="rId1247" xr:uid="{00000000-0004-0000-0500-0000DE040000}"/>
    <hyperlink ref="Q1249" r:id="rId1248" xr:uid="{00000000-0004-0000-0500-0000DF040000}"/>
    <hyperlink ref="Q1250" r:id="rId1249" xr:uid="{00000000-0004-0000-0500-0000E0040000}"/>
    <hyperlink ref="Q1251" r:id="rId1250" xr:uid="{00000000-0004-0000-0500-0000E1040000}"/>
    <hyperlink ref="Q1252" r:id="rId1251" xr:uid="{00000000-0004-0000-0500-0000E2040000}"/>
    <hyperlink ref="Q1253" r:id="rId1252" xr:uid="{00000000-0004-0000-0500-0000E3040000}"/>
    <hyperlink ref="Q1254" r:id="rId1253" xr:uid="{00000000-0004-0000-0500-0000E4040000}"/>
    <hyperlink ref="Q1255" r:id="rId1254" xr:uid="{00000000-0004-0000-0500-0000E5040000}"/>
    <hyperlink ref="Q1256" r:id="rId1255" xr:uid="{00000000-0004-0000-0500-0000E6040000}"/>
    <hyperlink ref="Q1257" r:id="rId1256" xr:uid="{00000000-0004-0000-0500-0000E7040000}"/>
    <hyperlink ref="Q1258" r:id="rId1257" xr:uid="{00000000-0004-0000-0500-0000E8040000}"/>
    <hyperlink ref="Q1259" r:id="rId1258" xr:uid="{00000000-0004-0000-0500-0000E9040000}"/>
    <hyperlink ref="Q1260" r:id="rId1259" xr:uid="{00000000-0004-0000-0500-0000EA040000}"/>
    <hyperlink ref="Q1261" r:id="rId1260" xr:uid="{00000000-0004-0000-0500-0000EB040000}"/>
    <hyperlink ref="Q1262" r:id="rId1261" xr:uid="{00000000-0004-0000-0500-0000EC040000}"/>
    <hyperlink ref="Q1263" r:id="rId1262" xr:uid="{00000000-0004-0000-0500-0000ED040000}"/>
    <hyperlink ref="Q1264" r:id="rId1263" xr:uid="{00000000-0004-0000-0500-0000EE040000}"/>
    <hyperlink ref="Q1265" r:id="rId1264" xr:uid="{00000000-0004-0000-0500-0000EF040000}"/>
    <hyperlink ref="Q1266" r:id="rId1265" xr:uid="{00000000-0004-0000-0500-0000F0040000}"/>
    <hyperlink ref="Q1267" r:id="rId1266" xr:uid="{00000000-0004-0000-0500-0000F1040000}"/>
    <hyperlink ref="Q1268" r:id="rId1267" xr:uid="{00000000-0004-0000-0500-0000F2040000}"/>
    <hyperlink ref="Q1269" r:id="rId1268" xr:uid="{00000000-0004-0000-0500-0000F3040000}"/>
    <hyperlink ref="Q1270" r:id="rId1269" xr:uid="{00000000-0004-0000-0500-0000F4040000}"/>
    <hyperlink ref="Q1271" r:id="rId1270" xr:uid="{00000000-0004-0000-0500-0000F5040000}"/>
    <hyperlink ref="Q1272" r:id="rId1271" xr:uid="{00000000-0004-0000-0500-0000F6040000}"/>
    <hyperlink ref="Q1273" r:id="rId1272" xr:uid="{00000000-0004-0000-0500-0000F7040000}"/>
    <hyperlink ref="Q1274" r:id="rId1273" xr:uid="{00000000-0004-0000-0500-0000F8040000}"/>
    <hyperlink ref="Q1275" r:id="rId1274" xr:uid="{00000000-0004-0000-0500-0000F9040000}"/>
    <hyperlink ref="Q1276" r:id="rId1275" xr:uid="{00000000-0004-0000-0500-0000FA040000}"/>
    <hyperlink ref="Q1277" r:id="rId1276" xr:uid="{00000000-0004-0000-0500-0000FB040000}"/>
    <hyperlink ref="Q1278" r:id="rId1277" xr:uid="{00000000-0004-0000-0500-0000FC040000}"/>
    <hyperlink ref="Q1279" r:id="rId1278" xr:uid="{00000000-0004-0000-0500-0000FD040000}"/>
    <hyperlink ref="Q1280" r:id="rId1279" xr:uid="{00000000-0004-0000-0500-0000FE040000}"/>
    <hyperlink ref="Q1281" r:id="rId1280" xr:uid="{00000000-0004-0000-0500-0000FF040000}"/>
    <hyperlink ref="Q1282" r:id="rId1281" xr:uid="{00000000-0004-0000-0500-000000050000}"/>
    <hyperlink ref="Q1283" r:id="rId1282" xr:uid="{00000000-0004-0000-0500-000001050000}"/>
    <hyperlink ref="Q1284" r:id="rId1283" xr:uid="{00000000-0004-0000-0500-000002050000}"/>
    <hyperlink ref="Q1285" r:id="rId1284" xr:uid="{00000000-0004-0000-0500-000003050000}"/>
    <hyperlink ref="Q1286" r:id="rId1285" xr:uid="{00000000-0004-0000-0500-000004050000}"/>
    <hyperlink ref="Q1287" r:id="rId1286" xr:uid="{00000000-0004-0000-0500-000005050000}"/>
    <hyperlink ref="Q1288" r:id="rId1287" xr:uid="{00000000-0004-0000-0500-000006050000}"/>
    <hyperlink ref="Q1289" r:id="rId1288" xr:uid="{00000000-0004-0000-0500-000007050000}"/>
    <hyperlink ref="Q1290" r:id="rId1289" xr:uid="{00000000-0004-0000-0500-000008050000}"/>
    <hyperlink ref="Q1291" r:id="rId1290" xr:uid="{00000000-0004-0000-0500-000009050000}"/>
    <hyperlink ref="Q1292" r:id="rId1291" xr:uid="{00000000-0004-0000-0500-00000A050000}"/>
    <hyperlink ref="Q1293" r:id="rId1292" xr:uid="{00000000-0004-0000-0500-00000B050000}"/>
    <hyperlink ref="Q1294" r:id="rId1293" xr:uid="{00000000-0004-0000-0500-00000C050000}"/>
    <hyperlink ref="Q1295" r:id="rId1294" xr:uid="{00000000-0004-0000-0500-00000D050000}"/>
    <hyperlink ref="Q1296" r:id="rId1295" xr:uid="{00000000-0004-0000-0500-00000E050000}"/>
    <hyperlink ref="Q1297" r:id="rId1296" xr:uid="{00000000-0004-0000-0500-00000F050000}"/>
    <hyperlink ref="Q1298" r:id="rId1297" xr:uid="{00000000-0004-0000-0500-000010050000}"/>
    <hyperlink ref="Q1299" r:id="rId1298" xr:uid="{00000000-0004-0000-0500-000011050000}"/>
    <hyperlink ref="Q1300" r:id="rId1299" xr:uid="{00000000-0004-0000-0500-000012050000}"/>
    <hyperlink ref="Q1301" r:id="rId1300" xr:uid="{00000000-0004-0000-0500-000013050000}"/>
    <hyperlink ref="Q1302" r:id="rId1301" xr:uid="{00000000-0004-0000-0500-000014050000}"/>
    <hyperlink ref="Q1303" r:id="rId1302" xr:uid="{00000000-0004-0000-0500-000015050000}"/>
    <hyperlink ref="Q1304" r:id="rId1303" xr:uid="{00000000-0004-0000-0500-000016050000}"/>
    <hyperlink ref="Q1305" r:id="rId1304" xr:uid="{00000000-0004-0000-0500-000017050000}"/>
    <hyperlink ref="Q1306" r:id="rId1305" xr:uid="{00000000-0004-0000-0500-000018050000}"/>
    <hyperlink ref="Q1307" r:id="rId1306" xr:uid="{00000000-0004-0000-0500-000019050000}"/>
    <hyperlink ref="Q1308" r:id="rId1307" xr:uid="{00000000-0004-0000-0500-00001A050000}"/>
    <hyperlink ref="Q1309" r:id="rId1308" xr:uid="{00000000-0004-0000-0500-00001B050000}"/>
    <hyperlink ref="Q1310" r:id="rId1309" xr:uid="{00000000-0004-0000-0500-00001C050000}"/>
    <hyperlink ref="Q1311" r:id="rId1310" xr:uid="{00000000-0004-0000-0500-00001D050000}"/>
    <hyperlink ref="Q1312" r:id="rId1311" xr:uid="{00000000-0004-0000-0500-00001E050000}"/>
    <hyperlink ref="Q1313" r:id="rId1312" xr:uid="{00000000-0004-0000-0500-00001F050000}"/>
    <hyperlink ref="Q1314" r:id="rId1313" xr:uid="{00000000-0004-0000-0500-000020050000}"/>
    <hyperlink ref="Q1315" r:id="rId1314" xr:uid="{00000000-0004-0000-0500-000021050000}"/>
    <hyperlink ref="Q1316" r:id="rId1315" xr:uid="{00000000-0004-0000-0500-000022050000}"/>
    <hyperlink ref="Q1317" r:id="rId1316" xr:uid="{00000000-0004-0000-0500-000023050000}"/>
    <hyperlink ref="Q1318" r:id="rId1317" xr:uid="{00000000-0004-0000-0500-000024050000}"/>
    <hyperlink ref="Q1319" r:id="rId1318" xr:uid="{00000000-0004-0000-0500-000025050000}"/>
    <hyperlink ref="Q1320" r:id="rId1319" xr:uid="{00000000-0004-0000-0500-000026050000}"/>
    <hyperlink ref="Q1321" r:id="rId1320" xr:uid="{00000000-0004-0000-0500-000027050000}"/>
    <hyperlink ref="Q1322" r:id="rId1321" xr:uid="{00000000-0004-0000-0500-000028050000}"/>
    <hyperlink ref="Q1323" r:id="rId1322" xr:uid="{00000000-0004-0000-0500-000029050000}"/>
    <hyperlink ref="Q1324" r:id="rId1323" xr:uid="{00000000-0004-0000-0500-00002A050000}"/>
    <hyperlink ref="Q1325" r:id="rId1324" xr:uid="{00000000-0004-0000-0500-00002B050000}"/>
    <hyperlink ref="Q1326" r:id="rId1325" xr:uid="{00000000-0004-0000-0500-00002C050000}"/>
    <hyperlink ref="Q1327" r:id="rId1326" xr:uid="{00000000-0004-0000-0500-00002D050000}"/>
    <hyperlink ref="Q1328" r:id="rId1327" xr:uid="{00000000-0004-0000-0500-00002E050000}"/>
    <hyperlink ref="Q1329" r:id="rId1328" xr:uid="{00000000-0004-0000-0500-00002F050000}"/>
    <hyperlink ref="Q1330" r:id="rId1329" xr:uid="{00000000-0004-0000-0500-000030050000}"/>
    <hyperlink ref="Q1331" r:id="rId1330" xr:uid="{00000000-0004-0000-0500-000031050000}"/>
    <hyperlink ref="Q1332" r:id="rId1331" xr:uid="{00000000-0004-0000-0500-000032050000}"/>
    <hyperlink ref="Q1333" r:id="rId1332" xr:uid="{00000000-0004-0000-0500-000033050000}"/>
    <hyperlink ref="Q1334" r:id="rId1333" xr:uid="{00000000-0004-0000-0500-000034050000}"/>
    <hyperlink ref="Q1335" r:id="rId1334" xr:uid="{00000000-0004-0000-0500-000035050000}"/>
    <hyperlink ref="Q1336" r:id="rId1335" xr:uid="{00000000-0004-0000-0500-000036050000}"/>
    <hyperlink ref="Q1337" r:id="rId1336" xr:uid="{00000000-0004-0000-0500-000037050000}"/>
    <hyperlink ref="Q1338" r:id="rId1337" xr:uid="{00000000-0004-0000-0500-000038050000}"/>
    <hyperlink ref="Q1339" r:id="rId1338" xr:uid="{00000000-0004-0000-0500-000039050000}"/>
    <hyperlink ref="Q1340" r:id="rId1339" xr:uid="{00000000-0004-0000-0500-00003A050000}"/>
    <hyperlink ref="Q1341" r:id="rId1340" xr:uid="{00000000-0004-0000-0500-00003B050000}"/>
    <hyperlink ref="Q1342" r:id="rId1341" xr:uid="{00000000-0004-0000-0500-00003C050000}"/>
    <hyperlink ref="Q1343" r:id="rId1342" xr:uid="{00000000-0004-0000-0500-00003D050000}"/>
    <hyperlink ref="Q1344" r:id="rId1343" xr:uid="{00000000-0004-0000-0500-00003E050000}"/>
    <hyperlink ref="Q1345" r:id="rId1344" xr:uid="{00000000-0004-0000-0500-00003F050000}"/>
    <hyperlink ref="Q1346" r:id="rId1345" xr:uid="{00000000-0004-0000-0500-000040050000}"/>
    <hyperlink ref="Q1347" r:id="rId1346" xr:uid="{00000000-0004-0000-0500-000041050000}"/>
    <hyperlink ref="Q1348" r:id="rId1347" xr:uid="{00000000-0004-0000-0500-000042050000}"/>
    <hyperlink ref="Q1349" r:id="rId1348" xr:uid="{00000000-0004-0000-0500-000043050000}"/>
    <hyperlink ref="Q1350" r:id="rId1349" xr:uid="{00000000-0004-0000-0500-000044050000}"/>
    <hyperlink ref="Q1351" r:id="rId1350" xr:uid="{00000000-0004-0000-0500-000045050000}"/>
    <hyperlink ref="Q1352" r:id="rId1351" xr:uid="{00000000-0004-0000-0500-000046050000}"/>
    <hyperlink ref="Q1353" r:id="rId1352" xr:uid="{00000000-0004-0000-0500-000047050000}"/>
    <hyperlink ref="Q1354" r:id="rId1353" xr:uid="{00000000-0004-0000-0500-000048050000}"/>
    <hyperlink ref="Q1355" r:id="rId1354" xr:uid="{00000000-0004-0000-0500-000049050000}"/>
    <hyperlink ref="Q1356" r:id="rId1355" xr:uid="{00000000-0004-0000-0500-00004A050000}"/>
    <hyperlink ref="Q1357" r:id="rId1356" xr:uid="{00000000-0004-0000-0500-00004B050000}"/>
    <hyperlink ref="Q1358" r:id="rId1357" xr:uid="{00000000-0004-0000-0500-00004C050000}"/>
    <hyperlink ref="Q1359" r:id="rId1358" xr:uid="{00000000-0004-0000-0500-00004D050000}"/>
    <hyperlink ref="Q1360" r:id="rId1359" xr:uid="{00000000-0004-0000-0500-00004E050000}"/>
    <hyperlink ref="Q1361" r:id="rId1360" xr:uid="{00000000-0004-0000-0500-00004F050000}"/>
    <hyperlink ref="Q1362" r:id="rId1361" xr:uid="{00000000-0004-0000-0500-000050050000}"/>
    <hyperlink ref="Q1363" r:id="rId1362" xr:uid="{00000000-0004-0000-0500-000051050000}"/>
    <hyperlink ref="Q1364" r:id="rId1363" xr:uid="{00000000-0004-0000-0500-000052050000}"/>
    <hyperlink ref="Q1365" r:id="rId1364" xr:uid="{00000000-0004-0000-0500-000053050000}"/>
    <hyperlink ref="Q1366" r:id="rId1365" xr:uid="{00000000-0004-0000-0500-000054050000}"/>
    <hyperlink ref="Q1367" r:id="rId1366" xr:uid="{00000000-0004-0000-0500-000055050000}"/>
    <hyperlink ref="Q1368" r:id="rId1367" xr:uid="{00000000-0004-0000-0500-000056050000}"/>
    <hyperlink ref="Q1369" r:id="rId1368" xr:uid="{00000000-0004-0000-0500-000057050000}"/>
    <hyperlink ref="Q1370" r:id="rId1369" xr:uid="{00000000-0004-0000-0500-000058050000}"/>
    <hyperlink ref="Q1371" r:id="rId1370" xr:uid="{00000000-0004-0000-0500-000059050000}"/>
    <hyperlink ref="Q1372" r:id="rId1371" xr:uid="{00000000-0004-0000-0500-00005A050000}"/>
    <hyperlink ref="Q1373" r:id="rId1372" xr:uid="{00000000-0004-0000-0500-00005B050000}"/>
    <hyperlink ref="Q1374" r:id="rId1373" xr:uid="{00000000-0004-0000-0500-00005C050000}"/>
    <hyperlink ref="Q1375" r:id="rId1374" xr:uid="{00000000-0004-0000-0500-00005D050000}"/>
    <hyperlink ref="Q1376" r:id="rId1375" xr:uid="{00000000-0004-0000-0500-00005E050000}"/>
    <hyperlink ref="Q1377" r:id="rId1376" xr:uid="{00000000-0004-0000-0500-00005F050000}"/>
    <hyperlink ref="Q1378" r:id="rId1377" xr:uid="{00000000-0004-0000-0500-000060050000}"/>
    <hyperlink ref="Q1379" r:id="rId1378" xr:uid="{00000000-0004-0000-0500-000061050000}"/>
    <hyperlink ref="Q1380" r:id="rId1379" xr:uid="{00000000-0004-0000-0500-000062050000}"/>
    <hyperlink ref="Q1381" r:id="rId1380" xr:uid="{00000000-0004-0000-0500-000063050000}"/>
    <hyperlink ref="Q1382" r:id="rId1381" xr:uid="{00000000-0004-0000-0500-000064050000}"/>
    <hyperlink ref="Q1383" r:id="rId1382" xr:uid="{00000000-0004-0000-0500-000065050000}"/>
    <hyperlink ref="Q1384" r:id="rId1383" xr:uid="{00000000-0004-0000-0500-000066050000}"/>
    <hyperlink ref="Q1385" r:id="rId1384" xr:uid="{00000000-0004-0000-0500-000067050000}"/>
    <hyperlink ref="Q1386" r:id="rId1385" xr:uid="{00000000-0004-0000-0500-000068050000}"/>
    <hyperlink ref="Q1387" r:id="rId1386" xr:uid="{00000000-0004-0000-0500-000069050000}"/>
    <hyperlink ref="Q1388" r:id="rId1387" xr:uid="{00000000-0004-0000-0500-00006A050000}"/>
    <hyperlink ref="Q1389" r:id="rId1388" xr:uid="{00000000-0004-0000-0500-00006B050000}"/>
    <hyperlink ref="Q1390" r:id="rId1389" xr:uid="{00000000-0004-0000-0500-00006C050000}"/>
    <hyperlink ref="Q1391" r:id="rId1390" xr:uid="{00000000-0004-0000-0500-00006D050000}"/>
    <hyperlink ref="Q1392" r:id="rId1391" xr:uid="{00000000-0004-0000-0500-00006E050000}"/>
    <hyperlink ref="Q1393" r:id="rId1392" xr:uid="{00000000-0004-0000-0500-00006F050000}"/>
    <hyperlink ref="Q1394" r:id="rId1393" xr:uid="{00000000-0004-0000-0500-000070050000}"/>
    <hyperlink ref="Q1395" r:id="rId1394" xr:uid="{00000000-0004-0000-0500-000071050000}"/>
    <hyperlink ref="Q1396" r:id="rId1395" xr:uid="{00000000-0004-0000-0500-000072050000}"/>
    <hyperlink ref="Q1397" r:id="rId1396" xr:uid="{00000000-0004-0000-0500-000073050000}"/>
    <hyperlink ref="Q1398" r:id="rId1397" xr:uid="{00000000-0004-0000-0500-000074050000}"/>
    <hyperlink ref="Q1399" r:id="rId1398" xr:uid="{00000000-0004-0000-0500-000075050000}"/>
    <hyperlink ref="Q1400" r:id="rId1399" xr:uid="{00000000-0004-0000-0500-000076050000}"/>
    <hyperlink ref="Q1401" r:id="rId1400" xr:uid="{00000000-0004-0000-0500-000077050000}"/>
    <hyperlink ref="Q1402" r:id="rId1401" xr:uid="{00000000-0004-0000-0500-000078050000}"/>
    <hyperlink ref="Q1403" r:id="rId1402" xr:uid="{00000000-0004-0000-0500-000079050000}"/>
    <hyperlink ref="Q1404" r:id="rId1403" xr:uid="{00000000-0004-0000-0500-00007A050000}"/>
    <hyperlink ref="Q1405" r:id="rId1404" xr:uid="{00000000-0004-0000-0500-00007B050000}"/>
    <hyperlink ref="Q1406" r:id="rId1405" xr:uid="{00000000-0004-0000-0500-00007C050000}"/>
    <hyperlink ref="Q1407" r:id="rId1406" xr:uid="{00000000-0004-0000-0500-00007D050000}"/>
    <hyperlink ref="Q1408" r:id="rId1407" xr:uid="{00000000-0004-0000-0500-00007E050000}"/>
    <hyperlink ref="Q1409" r:id="rId1408" xr:uid="{00000000-0004-0000-0500-00007F050000}"/>
    <hyperlink ref="Q1410" r:id="rId1409" xr:uid="{00000000-0004-0000-0500-000080050000}"/>
    <hyperlink ref="Q1411" r:id="rId1410" xr:uid="{00000000-0004-0000-0500-000081050000}"/>
    <hyperlink ref="Q1412" r:id="rId1411" xr:uid="{00000000-0004-0000-0500-000082050000}"/>
    <hyperlink ref="Q1413" r:id="rId1412" xr:uid="{00000000-0004-0000-0500-000083050000}"/>
    <hyperlink ref="Q1414" r:id="rId1413" xr:uid="{00000000-0004-0000-0500-000084050000}"/>
    <hyperlink ref="Q1415" r:id="rId1414" xr:uid="{00000000-0004-0000-0500-000085050000}"/>
    <hyperlink ref="Q1416" r:id="rId1415" xr:uid="{00000000-0004-0000-0500-000086050000}"/>
    <hyperlink ref="Q1417" r:id="rId1416" xr:uid="{00000000-0004-0000-0500-000087050000}"/>
    <hyperlink ref="Q1418" r:id="rId1417" xr:uid="{00000000-0004-0000-0500-000088050000}"/>
    <hyperlink ref="Q1419" r:id="rId1418" xr:uid="{00000000-0004-0000-0500-000089050000}"/>
    <hyperlink ref="Q1420" r:id="rId1419" xr:uid="{00000000-0004-0000-0500-00008A050000}"/>
    <hyperlink ref="Q1421" r:id="rId1420" xr:uid="{00000000-0004-0000-0500-00008B050000}"/>
    <hyperlink ref="Q1422" r:id="rId1421" xr:uid="{00000000-0004-0000-0500-00008C050000}"/>
    <hyperlink ref="Q1423" r:id="rId1422" xr:uid="{00000000-0004-0000-0500-00008D050000}"/>
    <hyperlink ref="Q1424" r:id="rId1423" xr:uid="{00000000-0004-0000-0500-00008E050000}"/>
    <hyperlink ref="Q1425" r:id="rId1424" xr:uid="{00000000-0004-0000-0500-00008F050000}"/>
    <hyperlink ref="Q1426" r:id="rId1425" xr:uid="{00000000-0004-0000-0500-000090050000}"/>
    <hyperlink ref="Q1427" r:id="rId1426" xr:uid="{00000000-0004-0000-0500-000091050000}"/>
    <hyperlink ref="Q1428" r:id="rId1427" xr:uid="{00000000-0004-0000-0500-000092050000}"/>
    <hyperlink ref="Q1429" r:id="rId1428" xr:uid="{00000000-0004-0000-0500-000093050000}"/>
    <hyperlink ref="Q1430" r:id="rId1429" xr:uid="{00000000-0004-0000-0500-000094050000}"/>
    <hyperlink ref="Q1431" r:id="rId1430" xr:uid="{00000000-0004-0000-0500-000095050000}"/>
    <hyperlink ref="Q1432" r:id="rId1431" xr:uid="{00000000-0004-0000-0500-000096050000}"/>
    <hyperlink ref="Q1433" r:id="rId1432" xr:uid="{00000000-0004-0000-0500-000097050000}"/>
    <hyperlink ref="Q1434" r:id="rId1433" xr:uid="{00000000-0004-0000-0500-000098050000}"/>
    <hyperlink ref="Q1435" r:id="rId1434" xr:uid="{00000000-0004-0000-0500-000099050000}"/>
    <hyperlink ref="Q1436" r:id="rId1435" xr:uid="{00000000-0004-0000-0500-00009A050000}"/>
    <hyperlink ref="Q1437" r:id="rId1436" xr:uid="{00000000-0004-0000-0500-00009B050000}"/>
    <hyperlink ref="Q1438" r:id="rId1437" xr:uid="{00000000-0004-0000-0500-00009C050000}"/>
    <hyperlink ref="Q1439" r:id="rId1438" xr:uid="{00000000-0004-0000-0500-00009D050000}"/>
    <hyperlink ref="Q1440" r:id="rId1439" xr:uid="{00000000-0004-0000-0500-00009E050000}"/>
    <hyperlink ref="Q1441" r:id="rId1440" xr:uid="{00000000-0004-0000-0500-00009F050000}"/>
    <hyperlink ref="Q1442" r:id="rId1441" xr:uid="{00000000-0004-0000-0500-0000A0050000}"/>
    <hyperlink ref="Q1443" r:id="rId1442" xr:uid="{00000000-0004-0000-0500-0000A1050000}"/>
    <hyperlink ref="Q1444" r:id="rId1443" xr:uid="{00000000-0004-0000-0500-0000A2050000}"/>
    <hyperlink ref="Q1445" r:id="rId1444" xr:uid="{00000000-0004-0000-0500-0000A3050000}"/>
    <hyperlink ref="Q1446" r:id="rId1445" xr:uid="{00000000-0004-0000-0500-0000A4050000}"/>
    <hyperlink ref="Q1447" r:id="rId1446" xr:uid="{00000000-0004-0000-0500-0000A5050000}"/>
    <hyperlink ref="Q1448" r:id="rId1447" xr:uid="{00000000-0004-0000-0500-0000A6050000}"/>
    <hyperlink ref="Q1449" r:id="rId1448" xr:uid="{00000000-0004-0000-0500-0000A7050000}"/>
    <hyperlink ref="Q1450" r:id="rId1449" xr:uid="{00000000-0004-0000-0500-0000A8050000}"/>
    <hyperlink ref="Q1451" r:id="rId1450" xr:uid="{00000000-0004-0000-0500-0000A9050000}"/>
    <hyperlink ref="Q1452" r:id="rId1451" xr:uid="{00000000-0004-0000-0500-0000AA050000}"/>
    <hyperlink ref="Q1453" r:id="rId1452" xr:uid="{00000000-0004-0000-0500-0000AB050000}"/>
    <hyperlink ref="Q1454" r:id="rId1453" xr:uid="{00000000-0004-0000-0500-0000AC050000}"/>
    <hyperlink ref="Q1455" r:id="rId1454" xr:uid="{00000000-0004-0000-0500-0000AD050000}"/>
    <hyperlink ref="Q1456" r:id="rId1455" xr:uid="{00000000-0004-0000-0500-0000AE050000}"/>
    <hyperlink ref="Q1457" r:id="rId1456" xr:uid="{00000000-0004-0000-0500-0000AF050000}"/>
    <hyperlink ref="Q1458" r:id="rId1457" xr:uid="{00000000-0004-0000-0500-0000B0050000}"/>
    <hyperlink ref="Q1459" r:id="rId1458" xr:uid="{00000000-0004-0000-0500-0000B1050000}"/>
    <hyperlink ref="Q1460" r:id="rId1459" xr:uid="{00000000-0004-0000-0500-0000B2050000}"/>
    <hyperlink ref="Q1461" r:id="rId1460" xr:uid="{00000000-0004-0000-0500-0000B3050000}"/>
    <hyperlink ref="Q1462" r:id="rId1461" xr:uid="{00000000-0004-0000-0500-0000B4050000}"/>
    <hyperlink ref="Q1463" r:id="rId1462" xr:uid="{00000000-0004-0000-0500-0000B5050000}"/>
    <hyperlink ref="Q1464" r:id="rId1463" xr:uid="{00000000-0004-0000-0500-0000B6050000}"/>
    <hyperlink ref="Q1465" r:id="rId1464" xr:uid="{00000000-0004-0000-0500-0000B7050000}"/>
    <hyperlink ref="Q1466" r:id="rId1465" xr:uid="{00000000-0004-0000-0500-0000B8050000}"/>
    <hyperlink ref="Q1467" r:id="rId1466" xr:uid="{00000000-0004-0000-0500-0000B9050000}"/>
    <hyperlink ref="Q1468" r:id="rId1467" xr:uid="{00000000-0004-0000-0500-0000BA050000}"/>
    <hyperlink ref="Q1469" r:id="rId1468" xr:uid="{00000000-0004-0000-0500-0000BB050000}"/>
    <hyperlink ref="Q1470" r:id="rId1469" xr:uid="{00000000-0004-0000-0500-0000BC050000}"/>
    <hyperlink ref="Q1471" r:id="rId1470" xr:uid="{00000000-0004-0000-0500-0000BD050000}"/>
    <hyperlink ref="Q1472" r:id="rId1471" xr:uid="{00000000-0004-0000-0500-0000BE050000}"/>
    <hyperlink ref="Q1473" r:id="rId1472" xr:uid="{00000000-0004-0000-0500-0000BF050000}"/>
    <hyperlink ref="Q1474" r:id="rId1473" xr:uid="{00000000-0004-0000-0500-0000C0050000}"/>
    <hyperlink ref="Q1475" r:id="rId1474" xr:uid="{00000000-0004-0000-0500-0000C1050000}"/>
    <hyperlink ref="Q1476" r:id="rId1475" xr:uid="{00000000-0004-0000-0500-0000C2050000}"/>
    <hyperlink ref="Q1477" r:id="rId1476" xr:uid="{00000000-0004-0000-0500-0000C3050000}"/>
    <hyperlink ref="Q1478" r:id="rId1477" xr:uid="{00000000-0004-0000-0500-0000C4050000}"/>
    <hyperlink ref="Q1479" r:id="rId1478" xr:uid="{00000000-0004-0000-0500-0000C5050000}"/>
    <hyperlink ref="Q1480" r:id="rId1479" xr:uid="{00000000-0004-0000-0500-0000C6050000}"/>
    <hyperlink ref="Q1481" r:id="rId1480" xr:uid="{00000000-0004-0000-0500-0000C7050000}"/>
    <hyperlink ref="Q1482" r:id="rId1481" xr:uid="{00000000-0004-0000-0500-0000C8050000}"/>
    <hyperlink ref="Q1483" r:id="rId1482" xr:uid="{00000000-0004-0000-0500-0000C9050000}"/>
    <hyperlink ref="Q1484" r:id="rId1483" xr:uid="{00000000-0004-0000-0500-0000CA050000}"/>
    <hyperlink ref="Q1485" r:id="rId1484" xr:uid="{00000000-0004-0000-0500-0000CB050000}"/>
    <hyperlink ref="Q1486" r:id="rId1485" xr:uid="{00000000-0004-0000-0500-0000CC050000}"/>
    <hyperlink ref="Q1487" r:id="rId1486" xr:uid="{00000000-0004-0000-0500-0000CD050000}"/>
    <hyperlink ref="Q1488" r:id="rId1487" xr:uid="{00000000-0004-0000-0500-0000CE050000}"/>
    <hyperlink ref="Q1489" r:id="rId1488" xr:uid="{00000000-0004-0000-0500-0000CF050000}"/>
    <hyperlink ref="Q1490" r:id="rId1489" xr:uid="{00000000-0004-0000-0500-0000D0050000}"/>
    <hyperlink ref="Q1491" r:id="rId1490" xr:uid="{00000000-0004-0000-0500-0000D1050000}"/>
    <hyperlink ref="Q1492" r:id="rId1491" xr:uid="{00000000-0004-0000-0500-0000D2050000}"/>
    <hyperlink ref="Q1493" r:id="rId1492" xr:uid="{00000000-0004-0000-0500-0000D3050000}"/>
    <hyperlink ref="Q1494" r:id="rId1493" xr:uid="{00000000-0004-0000-0500-0000D4050000}"/>
    <hyperlink ref="Q1495" r:id="rId1494" xr:uid="{00000000-0004-0000-0500-0000D5050000}"/>
    <hyperlink ref="Q1496" r:id="rId1495" xr:uid="{00000000-0004-0000-0500-0000D6050000}"/>
    <hyperlink ref="Q1497" r:id="rId1496" xr:uid="{00000000-0004-0000-0500-0000D7050000}"/>
    <hyperlink ref="Q1498" r:id="rId1497" xr:uid="{00000000-0004-0000-0500-0000D8050000}"/>
    <hyperlink ref="Q1499" r:id="rId1498" xr:uid="{00000000-0004-0000-0500-0000D9050000}"/>
    <hyperlink ref="Q1500" r:id="rId1499" xr:uid="{00000000-0004-0000-0500-0000DA050000}"/>
    <hyperlink ref="Q1501" r:id="rId1500" xr:uid="{00000000-0004-0000-0500-0000DB050000}"/>
    <hyperlink ref="Q1502" r:id="rId1501" xr:uid="{00000000-0004-0000-0500-0000DC050000}"/>
    <hyperlink ref="Q1503" r:id="rId1502" xr:uid="{00000000-0004-0000-0500-0000DD050000}"/>
    <hyperlink ref="Q1504" r:id="rId1503" xr:uid="{00000000-0004-0000-0500-0000DE050000}"/>
    <hyperlink ref="Q1505" r:id="rId1504" xr:uid="{00000000-0004-0000-0500-0000DF050000}"/>
    <hyperlink ref="Q1506" r:id="rId1505" xr:uid="{00000000-0004-0000-0500-0000E0050000}"/>
    <hyperlink ref="Q1507" r:id="rId1506" xr:uid="{00000000-0004-0000-0500-0000E1050000}"/>
    <hyperlink ref="Q1508" r:id="rId1507" xr:uid="{00000000-0004-0000-0500-0000E2050000}"/>
    <hyperlink ref="Q1509" r:id="rId1508" xr:uid="{00000000-0004-0000-0500-0000E3050000}"/>
    <hyperlink ref="Q1510" r:id="rId1509" xr:uid="{00000000-0004-0000-0500-0000E4050000}"/>
    <hyperlink ref="Q1511" r:id="rId1510" xr:uid="{00000000-0004-0000-0500-0000E5050000}"/>
    <hyperlink ref="Q1512" r:id="rId1511" xr:uid="{00000000-0004-0000-0500-0000E6050000}"/>
    <hyperlink ref="Q1513" r:id="rId1512" xr:uid="{00000000-0004-0000-0500-0000E7050000}"/>
    <hyperlink ref="Q1514" r:id="rId1513" xr:uid="{00000000-0004-0000-0500-0000E8050000}"/>
    <hyperlink ref="Q1515" r:id="rId1514" xr:uid="{00000000-0004-0000-0500-0000E9050000}"/>
    <hyperlink ref="Q1516" r:id="rId1515" xr:uid="{00000000-0004-0000-0500-0000EA050000}"/>
    <hyperlink ref="Q1517" r:id="rId1516" xr:uid="{00000000-0004-0000-0500-0000EB050000}"/>
    <hyperlink ref="Q1518" r:id="rId1517" xr:uid="{00000000-0004-0000-0500-0000EC050000}"/>
    <hyperlink ref="Q1519" r:id="rId1518" xr:uid="{00000000-0004-0000-0500-0000ED050000}"/>
    <hyperlink ref="Q1520" r:id="rId1519" xr:uid="{00000000-0004-0000-0500-0000EE050000}"/>
    <hyperlink ref="Q1521" r:id="rId1520" xr:uid="{00000000-0004-0000-0500-0000EF050000}"/>
    <hyperlink ref="Q1522" r:id="rId1521" xr:uid="{00000000-0004-0000-0500-0000F0050000}"/>
    <hyperlink ref="Q1523" r:id="rId1522" xr:uid="{00000000-0004-0000-0500-0000F1050000}"/>
    <hyperlink ref="Q1524" r:id="rId1523" xr:uid="{00000000-0004-0000-0500-0000F2050000}"/>
    <hyperlink ref="Q1525" r:id="rId1524" xr:uid="{00000000-0004-0000-0500-0000F3050000}"/>
    <hyperlink ref="Q1526" r:id="rId1525" xr:uid="{00000000-0004-0000-0500-0000F4050000}"/>
    <hyperlink ref="Q1527" r:id="rId1526" xr:uid="{00000000-0004-0000-0500-0000F5050000}"/>
    <hyperlink ref="Q1528" r:id="rId1527" xr:uid="{00000000-0004-0000-0500-0000F6050000}"/>
    <hyperlink ref="Q1529" r:id="rId1528" xr:uid="{00000000-0004-0000-0500-0000F7050000}"/>
    <hyperlink ref="Q1530" r:id="rId1529" xr:uid="{00000000-0004-0000-0500-0000F8050000}"/>
    <hyperlink ref="Q1531" r:id="rId1530" xr:uid="{00000000-0004-0000-0500-0000F9050000}"/>
    <hyperlink ref="Q1532" r:id="rId1531" xr:uid="{00000000-0004-0000-0500-0000FA050000}"/>
    <hyperlink ref="Q1533" r:id="rId1532" xr:uid="{00000000-0004-0000-0500-0000FB050000}"/>
    <hyperlink ref="Q1534" r:id="rId1533" xr:uid="{00000000-0004-0000-0500-0000FC050000}"/>
    <hyperlink ref="Q1535" r:id="rId1534" xr:uid="{00000000-0004-0000-0500-0000FD050000}"/>
    <hyperlink ref="Q1536" r:id="rId1535" xr:uid="{00000000-0004-0000-0500-0000FE050000}"/>
    <hyperlink ref="Q1537" r:id="rId1536" xr:uid="{00000000-0004-0000-0500-0000FF050000}"/>
    <hyperlink ref="Q1538" r:id="rId1537" xr:uid="{00000000-0004-0000-0500-000000060000}"/>
    <hyperlink ref="Q1539" r:id="rId1538" xr:uid="{00000000-0004-0000-0500-000001060000}"/>
    <hyperlink ref="Q1540" r:id="rId1539" xr:uid="{00000000-0004-0000-0500-000002060000}"/>
    <hyperlink ref="Q1541" r:id="rId1540" xr:uid="{00000000-0004-0000-0500-000003060000}"/>
    <hyperlink ref="Q1542" r:id="rId1541" xr:uid="{00000000-0004-0000-0500-000004060000}"/>
    <hyperlink ref="Q1543" r:id="rId1542" xr:uid="{00000000-0004-0000-0500-000005060000}"/>
    <hyperlink ref="Q1544" r:id="rId1543" xr:uid="{00000000-0004-0000-0500-000006060000}"/>
    <hyperlink ref="Q1545" r:id="rId1544" xr:uid="{00000000-0004-0000-0500-000007060000}"/>
    <hyperlink ref="Q1546" r:id="rId1545" xr:uid="{00000000-0004-0000-0500-000008060000}"/>
    <hyperlink ref="Q1547" r:id="rId1546" xr:uid="{00000000-0004-0000-0500-000009060000}"/>
    <hyperlink ref="Q1548" r:id="rId1547" xr:uid="{00000000-0004-0000-0500-00000A060000}"/>
    <hyperlink ref="Q1549" r:id="rId1548" xr:uid="{00000000-0004-0000-0500-00000B060000}"/>
    <hyperlink ref="Q1550" r:id="rId1549" xr:uid="{00000000-0004-0000-0500-00000C060000}"/>
    <hyperlink ref="Q1551" r:id="rId1550" xr:uid="{00000000-0004-0000-0500-00000D060000}"/>
    <hyperlink ref="Q1552" r:id="rId1551" xr:uid="{00000000-0004-0000-0500-00000E060000}"/>
    <hyperlink ref="Q1553" r:id="rId1552" xr:uid="{00000000-0004-0000-0500-00000F060000}"/>
    <hyperlink ref="Q1554" r:id="rId1553" xr:uid="{00000000-0004-0000-0500-000010060000}"/>
    <hyperlink ref="Q1555" r:id="rId1554" xr:uid="{00000000-0004-0000-0500-000011060000}"/>
    <hyperlink ref="Q1556" r:id="rId1555" xr:uid="{00000000-0004-0000-0500-000012060000}"/>
    <hyperlink ref="Q1557" r:id="rId1556" xr:uid="{00000000-0004-0000-0500-000013060000}"/>
    <hyperlink ref="Q1558" r:id="rId1557" xr:uid="{00000000-0004-0000-0500-000014060000}"/>
    <hyperlink ref="Q1559" r:id="rId1558" xr:uid="{00000000-0004-0000-0500-000015060000}"/>
    <hyperlink ref="Q1560" r:id="rId1559" xr:uid="{00000000-0004-0000-0500-000016060000}"/>
    <hyperlink ref="Q1561" r:id="rId1560" xr:uid="{00000000-0004-0000-0500-000017060000}"/>
    <hyperlink ref="Q1562" r:id="rId1561" xr:uid="{00000000-0004-0000-0500-000018060000}"/>
    <hyperlink ref="Q1563" r:id="rId1562" xr:uid="{00000000-0004-0000-0500-000019060000}"/>
    <hyperlink ref="Q1564" r:id="rId1563" xr:uid="{00000000-0004-0000-0500-00001A060000}"/>
    <hyperlink ref="Q1565" r:id="rId1564" xr:uid="{00000000-0004-0000-0500-00001B060000}"/>
    <hyperlink ref="Q1566" r:id="rId1565" xr:uid="{00000000-0004-0000-0500-00001C060000}"/>
    <hyperlink ref="Q1567" r:id="rId1566" xr:uid="{00000000-0004-0000-0500-00001D060000}"/>
    <hyperlink ref="Q1568" r:id="rId1567" xr:uid="{00000000-0004-0000-0500-00001E060000}"/>
    <hyperlink ref="Q1569" r:id="rId1568" xr:uid="{00000000-0004-0000-0500-00001F060000}"/>
    <hyperlink ref="Q1570" r:id="rId1569" xr:uid="{00000000-0004-0000-0500-000020060000}"/>
    <hyperlink ref="Q1571" r:id="rId1570" xr:uid="{00000000-0004-0000-0500-000021060000}"/>
    <hyperlink ref="Q1572" r:id="rId1571" xr:uid="{00000000-0004-0000-0500-000022060000}"/>
    <hyperlink ref="Q1573" r:id="rId1572" xr:uid="{00000000-0004-0000-0500-000023060000}"/>
    <hyperlink ref="Q1574" r:id="rId1573" xr:uid="{00000000-0004-0000-0500-000024060000}"/>
    <hyperlink ref="Q1575" r:id="rId1574" xr:uid="{00000000-0004-0000-0500-000025060000}"/>
    <hyperlink ref="Q1576" r:id="rId1575" xr:uid="{00000000-0004-0000-0500-000026060000}"/>
    <hyperlink ref="Q1577" r:id="rId1576" xr:uid="{00000000-0004-0000-0500-000027060000}"/>
    <hyperlink ref="Q1578" r:id="rId1577" xr:uid="{00000000-0004-0000-0500-000028060000}"/>
    <hyperlink ref="Q1579" r:id="rId1578" xr:uid="{00000000-0004-0000-0500-000029060000}"/>
    <hyperlink ref="Q1580" r:id="rId1579" xr:uid="{00000000-0004-0000-0500-00002A060000}"/>
    <hyperlink ref="Q1581" r:id="rId1580" xr:uid="{00000000-0004-0000-0500-00002B060000}"/>
    <hyperlink ref="Q1582" r:id="rId1581" xr:uid="{00000000-0004-0000-0500-00002C060000}"/>
    <hyperlink ref="Q1583" r:id="rId1582" xr:uid="{00000000-0004-0000-0500-00002D060000}"/>
    <hyperlink ref="Q1584" r:id="rId1583" xr:uid="{00000000-0004-0000-0500-00002E060000}"/>
    <hyperlink ref="Q1585" r:id="rId1584" xr:uid="{00000000-0004-0000-0500-00002F060000}"/>
    <hyperlink ref="Q1586" r:id="rId1585" xr:uid="{00000000-0004-0000-0500-000030060000}"/>
    <hyperlink ref="Q1587" r:id="rId1586" xr:uid="{00000000-0004-0000-0500-000031060000}"/>
    <hyperlink ref="Q1588" r:id="rId1587" xr:uid="{00000000-0004-0000-0500-000032060000}"/>
    <hyperlink ref="Q1589" r:id="rId1588" xr:uid="{00000000-0004-0000-0500-000033060000}"/>
    <hyperlink ref="Q1590" r:id="rId1589" xr:uid="{00000000-0004-0000-0500-000034060000}"/>
    <hyperlink ref="Q1591" r:id="rId1590" xr:uid="{00000000-0004-0000-0500-000035060000}"/>
    <hyperlink ref="Q1592" r:id="rId1591" xr:uid="{00000000-0004-0000-0500-000036060000}"/>
    <hyperlink ref="Q1593" r:id="rId1592" xr:uid="{00000000-0004-0000-0500-000037060000}"/>
    <hyperlink ref="Q1594" r:id="rId1593" xr:uid="{00000000-0004-0000-0500-000038060000}"/>
    <hyperlink ref="Q1595" r:id="rId1594" xr:uid="{00000000-0004-0000-0500-000039060000}"/>
    <hyperlink ref="Q1596" r:id="rId1595" xr:uid="{00000000-0004-0000-0500-00003A060000}"/>
    <hyperlink ref="Q1597" r:id="rId1596" xr:uid="{00000000-0004-0000-0500-00003B060000}"/>
    <hyperlink ref="Q1598" r:id="rId1597" xr:uid="{00000000-0004-0000-0500-00003C060000}"/>
    <hyperlink ref="Q1599" r:id="rId1598" xr:uid="{00000000-0004-0000-0500-00003D060000}"/>
    <hyperlink ref="Q1600" r:id="rId1599" xr:uid="{00000000-0004-0000-0500-00003E060000}"/>
    <hyperlink ref="Q1601" r:id="rId1600" xr:uid="{00000000-0004-0000-0500-00003F060000}"/>
    <hyperlink ref="Q1602" r:id="rId1601" xr:uid="{00000000-0004-0000-0500-000040060000}"/>
    <hyperlink ref="Q1603" r:id="rId1602" xr:uid="{00000000-0004-0000-0500-000041060000}"/>
    <hyperlink ref="Q1604" r:id="rId1603" xr:uid="{00000000-0004-0000-0500-000042060000}"/>
    <hyperlink ref="Q1605" r:id="rId1604" xr:uid="{00000000-0004-0000-0500-000043060000}"/>
    <hyperlink ref="Q1606" r:id="rId1605" xr:uid="{00000000-0004-0000-0500-000044060000}"/>
    <hyperlink ref="Q1607" r:id="rId1606" xr:uid="{00000000-0004-0000-0500-000045060000}"/>
    <hyperlink ref="Q1608" r:id="rId1607" xr:uid="{00000000-0004-0000-0500-000046060000}"/>
    <hyperlink ref="Q1609" r:id="rId1608" xr:uid="{00000000-0004-0000-0500-000047060000}"/>
    <hyperlink ref="Q1610" r:id="rId1609" xr:uid="{00000000-0004-0000-0500-000048060000}"/>
    <hyperlink ref="Q1611" r:id="rId1610" xr:uid="{00000000-0004-0000-0500-000049060000}"/>
    <hyperlink ref="Q1612" r:id="rId1611" xr:uid="{00000000-0004-0000-0500-00004A060000}"/>
    <hyperlink ref="Q1613" r:id="rId1612" xr:uid="{00000000-0004-0000-0500-00004B060000}"/>
    <hyperlink ref="Q1614" r:id="rId1613" xr:uid="{00000000-0004-0000-0500-00004C060000}"/>
    <hyperlink ref="Q1615" r:id="rId1614" xr:uid="{00000000-0004-0000-0500-00004D060000}"/>
    <hyperlink ref="Q1616" r:id="rId1615" xr:uid="{00000000-0004-0000-0500-00004E060000}"/>
    <hyperlink ref="Q1617" r:id="rId1616" xr:uid="{00000000-0004-0000-0500-00004F060000}"/>
    <hyperlink ref="Q1618" r:id="rId1617" xr:uid="{00000000-0004-0000-0500-000050060000}"/>
    <hyperlink ref="Q1619" r:id="rId1618" xr:uid="{00000000-0004-0000-0500-000051060000}"/>
    <hyperlink ref="Q1620" r:id="rId1619" xr:uid="{00000000-0004-0000-0500-000052060000}"/>
    <hyperlink ref="Q1621" r:id="rId1620" xr:uid="{00000000-0004-0000-0500-000053060000}"/>
    <hyperlink ref="Q1622" r:id="rId1621" xr:uid="{00000000-0004-0000-0500-000054060000}"/>
    <hyperlink ref="Q1623" r:id="rId1622" xr:uid="{00000000-0004-0000-0500-000055060000}"/>
    <hyperlink ref="Q1624" r:id="rId1623" xr:uid="{00000000-0004-0000-0500-000056060000}"/>
    <hyperlink ref="Q1625" r:id="rId1624" xr:uid="{00000000-0004-0000-0500-000057060000}"/>
    <hyperlink ref="Q1626" r:id="rId1625" xr:uid="{00000000-0004-0000-0500-000058060000}"/>
    <hyperlink ref="Q1627" r:id="rId1626" xr:uid="{00000000-0004-0000-0500-000059060000}"/>
    <hyperlink ref="Q1628" r:id="rId1627" xr:uid="{00000000-0004-0000-0500-00005A060000}"/>
    <hyperlink ref="Q1629" r:id="rId1628" xr:uid="{00000000-0004-0000-0500-00005B060000}"/>
    <hyperlink ref="Q1630" r:id="rId1629" xr:uid="{00000000-0004-0000-0500-00005C060000}"/>
    <hyperlink ref="Q1631" r:id="rId1630" xr:uid="{00000000-0004-0000-0500-00005D060000}"/>
    <hyperlink ref="Q1632" r:id="rId1631" xr:uid="{00000000-0004-0000-0500-00005E060000}"/>
    <hyperlink ref="Q1633" r:id="rId1632" xr:uid="{00000000-0004-0000-0500-00005F060000}"/>
    <hyperlink ref="Q1634" r:id="rId1633" xr:uid="{00000000-0004-0000-0500-000060060000}"/>
    <hyperlink ref="Q1635" r:id="rId1634" xr:uid="{00000000-0004-0000-0500-000061060000}"/>
    <hyperlink ref="Q1636" r:id="rId1635" xr:uid="{00000000-0004-0000-0500-000062060000}"/>
    <hyperlink ref="Q1637" r:id="rId1636" xr:uid="{00000000-0004-0000-0500-000063060000}"/>
    <hyperlink ref="Q1638" r:id="rId1637" xr:uid="{00000000-0004-0000-0500-000064060000}"/>
    <hyperlink ref="Q1639" r:id="rId1638" xr:uid="{00000000-0004-0000-0500-000065060000}"/>
    <hyperlink ref="Q1640" r:id="rId1639" xr:uid="{00000000-0004-0000-0500-000066060000}"/>
    <hyperlink ref="Q1641" r:id="rId1640" xr:uid="{00000000-0004-0000-0500-000067060000}"/>
    <hyperlink ref="Q1642" r:id="rId1641" xr:uid="{00000000-0004-0000-0500-000068060000}"/>
    <hyperlink ref="Q1643" r:id="rId1642" xr:uid="{00000000-0004-0000-0500-000069060000}"/>
    <hyperlink ref="Q1644" r:id="rId1643" xr:uid="{00000000-0004-0000-0500-00006A060000}"/>
    <hyperlink ref="Q1645" r:id="rId1644" xr:uid="{00000000-0004-0000-0500-00006B060000}"/>
    <hyperlink ref="Q1646" r:id="rId1645" xr:uid="{00000000-0004-0000-0500-00006C060000}"/>
    <hyperlink ref="Q1647" r:id="rId1646" xr:uid="{00000000-0004-0000-0500-00006D060000}"/>
    <hyperlink ref="Q1648" r:id="rId1647" xr:uid="{00000000-0004-0000-0500-00006E060000}"/>
    <hyperlink ref="Q1649" r:id="rId1648" xr:uid="{00000000-0004-0000-0500-00006F060000}"/>
    <hyperlink ref="Q1650" r:id="rId1649" xr:uid="{00000000-0004-0000-0500-000070060000}"/>
    <hyperlink ref="Q1651" r:id="rId1650" xr:uid="{00000000-0004-0000-0500-000071060000}"/>
    <hyperlink ref="Q1652" r:id="rId1651" xr:uid="{00000000-0004-0000-0500-000072060000}"/>
    <hyperlink ref="Q1653" r:id="rId1652" xr:uid="{00000000-0004-0000-0500-000073060000}"/>
    <hyperlink ref="Q1654" r:id="rId1653" xr:uid="{00000000-0004-0000-0500-000074060000}"/>
    <hyperlink ref="Q1655" r:id="rId1654" xr:uid="{00000000-0004-0000-0500-000075060000}"/>
    <hyperlink ref="Q1656" r:id="rId1655" xr:uid="{00000000-0004-0000-0500-000076060000}"/>
    <hyperlink ref="Q1657" r:id="rId1656" xr:uid="{00000000-0004-0000-0500-000077060000}"/>
    <hyperlink ref="Q1658" r:id="rId1657" xr:uid="{00000000-0004-0000-0500-000078060000}"/>
    <hyperlink ref="Q1659" r:id="rId1658" xr:uid="{00000000-0004-0000-0500-000079060000}"/>
    <hyperlink ref="Q1660" r:id="rId1659" xr:uid="{00000000-0004-0000-0500-00007A060000}"/>
    <hyperlink ref="Q1661" r:id="rId1660" xr:uid="{00000000-0004-0000-0500-00007B060000}"/>
    <hyperlink ref="Q1662" r:id="rId1661" xr:uid="{00000000-0004-0000-0500-00007C060000}"/>
    <hyperlink ref="Q1663" r:id="rId1662" xr:uid="{00000000-0004-0000-0500-00007D060000}"/>
    <hyperlink ref="Q1664" r:id="rId1663" xr:uid="{00000000-0004-0000-0500-00007E060000}"/>
    <hyperlink ref="Q1665" r:id="rId1664" xr:uid="{00000000-0004-0000-0500-00007F060000}"/>
    <hyperlink ref="Q1666" r:id="rId1665" xr:uid="{00000000-0004-0000-0500-000080060000}"/>
    <hyperlink ref="Q1667" r:id="rId1666" xr:uid="{00000000-0004-0000-0500-000081060000}"/>
    <hyperlink ref="Q1668" r:id="rId1667" xr:uid="{00000000-0004-0000-0500-000082060000}"/>
    <hyperlink ref="Q1669" r:id="rId1668" xr:uid="{00000000-0004-0000-0500-000083060000}"/>
    <hyperlink ref="Q1670" r:id="rId1669" xr:uid="{00000000-0004-0000-0500-000084060000}"/>
    <hyperlink ref="Q1671" r:id="rId1670" xr:uid="{00000000-0004-0000-0500-000085060000}"/>
    <hyperlink ref="Q1672" r:id="rId1671" xr:uid="{00000000-0004-0000-0500-000086060000}"/>
    <hyperlink ref="Q1673" r:id="rId1672" xr:uid="{00000000-0004-0000-0500-000087060000}"/>
    <hyperlink ref="Q1674" r:id="rId1673" xr:uid="{00000000-0004-0000-0500-000088060000}"/>
    <hyperlink ref="Q1675" r:id="rId1674" xr:uid="{00000000-0004-0000-0500-000089060000}"/>
    <hyperlink ref="Q1676" r:id="rId1675" xr:uid="{00000000-0004-0000-0500-00008A060000}"/>
    <hyperlink ref="Q1677" r:id="rId1676" xr:uid="{00000000-0004-0000-0500-00008B060000}"/>
    <hyperlink ref="Q1678" r:id="rId1677" xr:uid="{00000000-0004-0000-0500-00008C060000}"/>
    <hyperlink ref="Q1679" r:id="rId1678" xr:uid="{00000000-0004-0000-0500-00008D060000}"/>
    <hyperlink ref="Q1680" r:id="rId1679" xr:uid="{00000000-0004-0000-0500-00008E060000}"/>
    <hyperlink ref="Q1681" r:id="rId1680" xr:uid="{00000000-0004-0000-0500-00008F060000}"/>
    <hyperlink ref="Q1682" r:id="rId1681" xr:uid="{00000000-0004-0000-0500-000090060000}"/>
    <hyperlink ref="Q1683" r:id="rId1682" xr:uid="{00000000-0004-0000-0500-000091060000}"/>
    <hyperlink ref="Q1684" r:id="rId1683" xr:uid="{00000000-0004-0000-0500-000092060000}"/>
    <hyperlink ref="Q1685" r:id="rId1684" xr:uid="{00000000-0004-0000-0500-000093060000}"/>
    <hyperlink ref="Q1686" r:id="rId1685" xr:uid="{00000000-0004-0000-0500-000094060000}"/>
    <hyperlink ref="Q1687" r:id="rId1686" xr:uid="{00000000-0004-0000-0500-000095060000}"/>
    <hyperlink ref="Q1688" r:id="rId1687" xr:uid="{00000000-0004-0000-0500-000096060000}"/>
    <hyperlink ref="Q1689" r:id="rId1688" xr:uid="{00000000-0004-0000-0500-000097060000}"/>
    <hyperlink ref="Q1690" r:id="rId1689" xr:uid="{00000000-0004-0000-0500-000098060000}"/>
    <hyperlink ref="Q1691" r:id="rId1690" xr:uid="{00000000-0004-0000-0500-000099060000}"/>
    <hyperlink ref="Q1692" r:id="rId1691" xr:uid="{00000000-0004-0000-0500-00009A060000}"/>
    <hyperlink ref="Q1693" r:id="rId1692" xr:uid="{00000000-0004-0000-0500-00009B060000}"/>
    <hyperlink ref="Q1694" r:id="rId1693" xr:uid="{00000000-0004-0000-0500-00009C060000}"/>
    <hyperlink ref="Q1695" r:id="rId1694" xr:uid="{00000000-0004-0000-0500-00009D060000}"/>
    <hyperlink ref="Q1696" r:id="rId1695" xr:uid="{00000000-0004-0000-0500-00009E060000}"/>
    <hyperlink ref="Q1697" r:id="rId1696" xr:uid="{00000000-0004-0000-0500-00009F060000}"/>
    <hyperlink ref="Q1698" r:id="rId1697" xr:uid="{00000000-0004-0000-0500-0000A0060000}"/>
    <hyperlink ref="Q1699" r:id="rId1698" xr:uid="{00000000-0004-0000-0500-0000A1060000}"/>
    <hyperlink ref="Q1700" r:id="rId1699" xr:uid="{00000000-0004-0000-0500-0000A2060000}"/>
    <hyperlink ref="Q1701" r:id="rId1700" xr:uid="{00000000-0004-0000-0500-0000A3060000}"/>
    <hyperlink ref="Q1702" r:id="rId1701" xr:uid="{00000000-0004-0000-0500-0000A4060000}"/>
    <hyperlink ref="Q1703" r:id="rId1702" xr:uid="{00000000-0004-0000-0500-0000A5060000}"/>
    <hyperlink ref="Q1704" r:id="rId1703" xr:uid="{00000000-0004-0000-0500-0000A6060000}"/>
    <hyperlink ref="Q1705" r:id="rId1704" xr:uid="{00000000-0004-0000-0500-0000A7060000}"/>
    <hyperlink ref="Q1706" r:id="rId1705" xr:uid="{00000000-0004-0000-0500-0000A8060000}"/>
    <hyperlink ref="Q1707" r:id="rId1706" xr:uid="{00000000-0004-0000-0500-0000A9060000}"/>
    <hyperlink ref="Q1708" r:id="rId1707" xr:uid="{00000000-0004-0000-0500-0000AA060000}"/>
    <hyperlink ref="Q1709" r:id="rId1708" xr:uid="{00000000-0004-0000-0500-0000AB060000}"/>
    <hyperlink ref="Q1710" r:id="rId1709" xr:uid="{00000000-0004-0000-0500-0000AC060000}"/>
    <hyperlink ref="Q1711" r:id="rId1710" xr:uid="{00000000-0004-0000-0500-0000AD060000}"/>
    <hyperlink ref="Q1712" r:id="rId1711" xr:uid="{00000000-0004-0000-0500-0000AE060000}"/>
    <hyperlink ref="Q1713" r:id="rId1712" xr:uid="{00000000-0004-0000-0500-0000AF060000}"/>
    <hyperlink ref="Q1714" r:id="rId1713" xr:uid="{00000000-0004-0000-0500-0000B0060000}"/>
    <hyperlink ref="Q1715" r:id="rId1714" xr:uid="{00000000-0004-0000-0500-0000B1060000}"/>
    <hyperlink ref="Q1716" r:id="rId1715" xr:uid="{00000000-0004-0000-0500-0000B2060000}"/>
    <hyperlink ref="Q1717" r:id="rId1716" xr:uid="{00000000-0004-0000-0500-0000B3060000}"/>
    <hyperlink ref="Q1718" r:id="rId1717" xr:uid="{00000000-0004-0000-0500-0000B4060000}"/>
    <hyperlink ref="Q1719" r:id="rId1718" xr:uid="{00000000-0004-0000-0500-0000B5060000}"/>
    <hyperlink ref="Q1720" r:id="rId1719" xr:uid="{00000000-0004-0000-0500-0000B6060000}"/>
    <hyperlink ref="Q1721" r:id="rId1720" xr:uid="{00000000-0004-0000-0500-0000B7060000}"/>
    <hyperlink ref="Q1722" r:id="rId1721" xr:uid="{00000000-0004-0000-0500-0000B8060000}"/>
    <hyperlink ref="Q1723" r:id="rId1722" xr:uid="{00000000-0004-0000-0500-0000B9060000}"/>
    <hyperlink ref="Q1724" r:id="rId1723" xr:uid="{00000000-0004-0000-0500-0000BA060000}"/>
    <hyperlink ref="Q1725" r:id="rId1724" xr:uid="{00000000-0004-0000-0500-0000BB060000}"/>
    <hyperlink ref="Q1726" r:id="rId1725" xr:uid="{00000000-0004-0000-0500-0000BC060000}"/>
    <hyperlink ref="Q1727" r:id="rId1726" xr:uid="{00000000-0004-0000-0500-0000BD060000}"/>
    <hyperlink ref="Q1728" r:id="rId1727" xr:uid="{00000000-0004-0000-0500-0000BE060000}"/>
    <hyperlink ref="Q1729" r:id="rId1728" xr:uid="{00000000-0004-0000-0500-0000BF060000}"/>
    <hyperlink ref="Q1730" r:id="rId1729" xr:uid="{00000000-0004-0000-0500-0000C0060000}"/>
    <hyperlink ref="Q1731" r:id="rId1730" xr:uid="{00000000-0004-0000-0500-0000C1060000}"/>
    <hyperlink ref="Q1732" r:id="rId1731" xr:uid="{00000000-0004-0000-0500-0000C2060000}"/>
    <hyperlink ref="Q1733" r:id="rId1732" xr:uid="{00000000-0004-0000-0500-0000C3060000}"/>
    <hyperlink ref="Q1734" r:id="rId1733" xr:uid="{00000000-0004-0000-0500-0000C4060000}"/>
    <hyperlink ref="Q1735" r:id="rId1734" xr:uid="{00000000-0004-0000-0500-0000C5060000}"/>
    <hyperlink ref="Q1736" r:id="rId1735" xr:uid="{00000000-0004-0000-0500-0000C6060000}"/>
    <hyperlink ref="Q1737" r:id="rId1736" xr:uid="{00000000-0004-0000-0500-0000C7060000}"/>
    <hyperlink ref="Q1738" r:id="rId1737" xr:uid="{00000000-0004-0000-0500-0000C8060000}"/>
    <hyperlink ref="Q1739" r:id="rId1738" xr:uid="{00000000-0004-0000-0500-0000C9060000}"/>
    <hyperlink ref="Q1740" r:id="rId1739" xr:uid="{00000000-0004-0000-0500-0000CA060000}"/>
    <hyperlink ref="Q1741" r:id="rId1740" xr:uid="{00000000-0004-0000-0500-0000CB060000}"/>
    <hyperlink ref="Q1742" r:id="rId1741" xr:uid="{00000000-0004-0000-0500-0000CC060000}"/>
    <hyperlink ref="Q1743" r:id="rId1742" xr:uid="{00000000-0004-0000-0500-0000CD060000}"/>
    <hyperlink ref="Q1744" r:id="rId1743" xr:uid="{00000000-0004-0000-0500-0000CE060000}"/>
    <hyperlink ref="Q1745" r:id="rId1744" xr:uid="{00000000-0004-0000-0500-0000CF060000}"/>
    <hyperlink ref="Q1746" r:id="rId1745" xr:uid="{00000000-0004-0000-0500-0000D0060000}"/>
    <hyperlink ref="Q1747" r:id="rId1746" xr:uid="{00000000-0004-0000-0500-0000D1060000}"/>
    <hyperlink ref="Q1748" r:id="rId1747" xr:uid="{00000000-0004-0000-0500-0000D2060000}"/>
    <hyperlink ref="Q1749" r:id="rId1748" xr:uid="{00000000-0004-0000-0500-0000D3060000}"/>
    <hyperlink ref="Q1750" r:id="rId1749" xr:uid="{00000000-0004-0000-0500-0000D4060000}"/>
    <hyperlink ref="Q1751" r:id="rId1750" xr:uid="{00000000-0004-0000-0500-0000D5060000}"/>
    <hyperlink ref="Q1752" r:id="rId1751" xr:uid="{00000000-0004-0000-0500-0000D6060000}"/>
    <hyperlink ref="Q1753" r:id="rId1752" xr:uid="{00000000-0004-0000-0500-0000D7060000}"/>
    <hyperlink ref="Q1754" r:id="rId1753" xr:uid="{00000000-0004-0000-0500-0000D8060000}"/>
    <hyperlink ref="Q1755" r:id="rId1754" xr:uid="{00000000-0004-0000-0500-0000D9060000}"/>
    <hyperlink ref="Q1756" r:id="rId1755" xr:uid="{00000000-0004-0000-0500-0000DA060000}"/>
    <hyperlink ref="Q1757" r:id="rId1756" xr:uid="{00000000-0004-0000-0500-0000DB060000}"/>
    <hyperlink ref="Q1758" r:id="rId1757" xr:uid="{00000000-0004-0000-0500-0000DC060000}"/>
    <hyperlink ref="Q1759" r:id="rId1758" xr:uid="{00000000-0004-0000-0500-0000DD060000}"/>
    <hyperlink ref="Q1760" r:id="rId1759" xr:uid="{00000000-0004-0000-0500-0000DE060000}"/>
    <hyperlink ref="Q1761" r:id="rId1760" xr:uid="{00000000-0004-0000-0500-0000DF060000}"/>
    <hyperlink ref="Q1762" r:id="rId1761" xr:uid="{00000000-0004-0000-0500-0000E0060000}"/>
    <hyperlink ref="Q1763" r:id="rId1762" xr:uid="{00000000-0004-0000-0500-0000E1060000}"/>
    <hyperlink ref="Q1764" r:id="rId1763" xr:uid="{00000000-0004-0000-0500-0000E2060000}"/>
    <hyperlink ref="Q1765" r:id="rId1764" xr:uid="{00000000-0004-0000-0500-0000E3060000}"/>
    <hyperlink ref="Q1766" r:id="rId1765" xr:uid="{00000000-0004-0000-0500-0000E4060000}"/>
    <hyperlink ref="Q1767" r:id="rId1766" xr:uid="{00000000-0004-0000-0500-0000E5060000}"/>
    <hyperlink ref="Q1768" r:id="rId1767" xr:uid="{00000000-0004-0000-0500-0000E6060000}"/>
    <hyperlink ref="Q1769" r:id="rId1768" xr:uid="{00000000-0004-0000-0500-0000E7060000}"/>
    <hyperlink ref="Q1770" r:id="rId1769" xr:uid="{00000000-0004-0000-0500-0000E8060000}"/>
    <hyperlink ref="Q1771" r:id="rId1770" xr:uid="{00000000-0004-0000-0500-0000E9060000}"/>
    <hyperlink ref="Q1772" r:id="rId1771" xr:uid="{00000000-0004-0000-0500-0000EA060000}"/>
    <hyperlink ref="Q1773" r:id="rId1772" xr:uid="{00000000-0004-0000-0500-0000EB060000}"/>
    <hyperlink ref="Q1774" r:id="rId1773" xr:uid="{00000000-0004-0000-0500-0000EC060000}"/>
    <hyperlink ref="Q1775" r:id="rId1774" xr:uid="{00000000-0004-0000-0500-0000ED060000}"/>
    <hyperlink ref="Q1776" r:id="rId1775" xr:uid="{00000000-0004-0000-0500-0000EE060000}"/>
    <hyperlink ref="Q1777" r:id="rId1776" xr:uid="{00000000-0004-0000-0500-0000EF060000}"/>
    <hyperlink ref="Q1778" r:id="rId1777" xr:uid="{00000000-0004-0000-0500-0000F0060000}"/>
    <hyperlink ref="Q1779" r:id="rId1778" xr:uid="{00000000-0004-0000-0500-0000F1060000}"/>
    <hyperlink ref="Q1780" r:id="rId1779" xr:uid="{00000000-0004-0000-0500-0000F2060000}"/>
    <hyperlink ref="Q1781" r:id="rId1780" xr:uid="{00000000-0004-0000-0500-0000F3060000}"/>
    <hyperlink ref="Q1782" r:id="rId1781" xr:uid="{00000000-0004-0000-0500-0000F4060000}"/>
    <hyperlink ref="Q1783" r:id="rId1782" xr:uid="{00000000-0004-0000-0500-0000F5060000}"/>
    <hyperlink ref="Q1784" r:id="rId1783" xr:uid="{00000000-0004-0000-0500-0000F6060000}"/>
    <hyperlink ref="Q1785" r:id="rId1784" xr:uid="{00000000-0004-0000-0500-0000F7060000}"/>
    <hyperlink ref="Q1786" r:id="rId1785" xr:uid="{00000000-0004-0000-0500-0000F8060000}"/>
    <hyperlink ref="Q1787" r:id="rId1786" xr:uid="{00000000-0004-0000-0500-0000F9060000}"/>
    <hyperlink ref="Q1788" r:id="rId1787" xr:uid="{00000000-0004-0000-0500-0000FA060000}"/>
    <hyperlink ref="Q1789" r:id="rId1788" xr:uid="{00000000-0004-0000-0500-0000FB060000}"/>
    <hyperlink ref="Q1790" r:id="rId1789" xr:uid="{00000000-0004-0000-0500-0000FC060000}"/>
    <hyperlink ref="Q1791" r:id="rId1790" xr:uid="{00000000-0004-0000-0500-0000FD060000}"/>
    <hyperlink ref="Q1792" r:id="rId1791" xr:uid="{00000000-0004-0000-0500-0000FE060000}"/>
    <hyperlink ref="Q1793" r:id="rId1792" xr:uid="{00000000-0004-0000-0500-0000FF060000}"/>
    <hyperlink ref="Q1794" r:id="rId1793" xr:uid="{00000000-0004-0000-0500-000000070000}"/>
    <hyperlink ref="Q1795" r:id="rId1794" xr:uid="{00000000-0004-0000-0500-000001070000}"/>
    <hyperlink ref="Q1796" r:id="rId1795" xr:uid="{00000000-0004-0000-0500-000002070000}"/>
    <hyperlink ref="Q1797" r:id="rId1796" xr:uid="{00000000-0004-0000-0500-000003070000}"/>
    <hyperlink ref="Q1798" r:id="rId1797" xr:uid="{00000000-0004-0000-0500-000004070000}"/>
    <hyperlink ref="Q1799" r:id="rId1798" xr:uid="{00000000-0004-0000-0500-000005070000}"/>
    <hyperlink ref="Q1800" r:id="rId1799" xr:uid="{00000000-0004-0000-0500-000006070000}"/>
    <hyperlink ref="Q1801" r:id="rId1800" xr:uid="{00000000-0004-0000-0500-000007070000}"/>
    <hyperlink ref="Q1802" r:id="rId1801" xr:uid="{00000000-0004-0000-0500-000008070000}"/>
    <hyperlink ref="Q1803" r:id="rId1802" xr:uid="{00000000-0004-0000-0500-000009070000}"/>
    <hyperlink ref="Q1804" r:id="rId1803" xr:uid="{00000000-0004-0000-0500-00000A070000}"/>
    <hyperlink ref="Q1805" r:id="rId1804" xr:uid="{00000000-0004-0000-0500-00000B070000}"/>
    <hyperlink ref="Q1806" r:id="rId1805" xr:uid="{00000000-0004-0000-0500-00000C070000}"/>
    <hyperlink ref="Q1807" r:id="rId1806" xr:uid="{00000000-0004-0000-0500-00000D070000}"/>
    <hyperlink ref="Q1808" r:id="rId1807" xr:uid="{00000000-0004-0000-0500-00000E070000}"/>
    <hyperlink ref="Q1809" r:id="rId1808" xr:uid="{00000000-0004-0000-0500-00000F070000}"/>
    <hyperlink ref="Q1810" r:id="rId1809" xr:uid="{00000000-0004-0000-0500-000010070000}"/>
    <hyperlink ref="Q1811" r:id="rId1810" xr:uid="{00000000-0004-0000-0500-000011070000}"/>
    <hyperlink ref="Q1812" r:id="rId1811" xr:uid="{00000000-0004-0000-0500-000012070000}"/>
    <hyperlink ref="Q1813" r:id="rId1812" xr:uid="{00000000-0004-0000-0500-000013070000}"/>
    <hyperlink ref="Q1814" r:id="rId1813" xr:uid="{00000000-0004-0000-0500-000014070000}"/>
    <hyperlink ref="Q1815" r:id="rId1814" xr:uid="{00000000-0004-0000-0500-000015070000}"/>
    <hyperlink ref="Q1816" r:id="rId1815" xr:uid="{00000000-0004-0000-0500-000016070000}"/>
    <hyperlink ref="Q1817" r:id="rId1816" xr:uid="{00000000-0004-0000-0500-000017070000}"/>
    <hyperlink ref="Q1818" r:id="rId1817" xr:uid="{00000000-0004-0000-0500-000018070000}"/>
    <hyperlink ref="Q1819" r:id="rId1818" xr:uid="{00000000-0004-0000-0500-000019070000}"/>
    <hyperlink ref="Q1820" r:id="rId1819" xr:uid="{00000000-0004-0000-0500-00001A070000}"/>
    <hyperlink ref="Q1821" r:id="rId1820" xr:uid="{00000000-0004-0000-0500-00001B070000}"/>
    <hyperlink ref="Q1822" r:id="rId1821" xr:uid="{00000000-0004-0000-0500-00001C070000}"/>
    <hyperlink ref="Q1823" r:id="rId1822" xr:uid="{00000000-0004-0000-0500-00001D070000}"/>
    <hyperlink ref="Q1824" r:id="rId1823" xr:uid="{00000000-0004-0000-0500-00001E070000}"/>
    <hyperlink ref="Q1825" r:id="rId1824" xr:uid="{00000000-0004-0000-0500-00001F070000}"/>
    <hyperlink ref="Q1826" r:id="rId1825" xr:uid="{00000000-0004-0000-0500-000020070000}"/>
    <hyperlink ref="Q1827" r:id="rId1826" xr:uid="{00000000-0004-0000-0500-000021070000}"/>
    <hyperlink ref="Q1828" r:id="rId1827" xr:uid="{00000000-0004-0000-0500-000022070000}"/>
    <hyperlink ref="Q1829" r:id="rId1828" xr:uid="{00000000-0004-0000-0500-000023070000}"/>
    <hyperlink ref="Q1830" r:id="rId1829" xr:uid="{00000000-0004-0000-0500-000024070000}"/>
    <hyperlink ref="Q1831" r:id="rId1830" xr:uid="{00000000-0004-0000-0500-000025070000}"/>
    <hyperlink ref="Q1832" r:id="rId1831" xr:uid="{00000000-0004-0000-0500-000026070000}"/>
    <hyperlink ref="Q1833" r:id="rId1832" xr:uid="{00000000-0004-0000-0500-00002707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P503"/>
  <sheetViews>
    <sheetView topLeftCell="F1" zoomScale="70" zoomScaleNormal="70" workbookViewId="0">
      <pane ySplit="1" topLeftCell="A236" activePane="bottomLeft" state="frozen"/>
      <selection activeCell="F1" sqref="F1"/>
      <selection pane="bottomLeft" activeCell="J504" sqref="J504"/>
    </sheetView>
  </sheetViews>
  <sheetFormatPr defaultColWidth="8.6640625" defaultRowHeight="14.4" x14ac:dyDescent="0.3"/>
  <cols>
    <col min="1" max="1" width="12" customWidth="1"/>
    <col min="2" max="2" width="9" customWidth="1"/>
    <col min="3" max="3" width="11" customWidth="1"/>
    <col min="4" max="4" width="20" customWidth="1"/>
    <col min="5" max="5" width="11" customWidth="1"/>
    <col min="6" max="8" width="35" customWidth="1"/>
    <col min="9" max="9" width="22" customWidth="1"/>
    <col min="10" max="11" width="18" customWidth="1"/>
    <col min="12" max="12" width="59.77734375" customWidth="1"/>
    <col min="13" max="13" width="16" customWidth="1"/>
    <col min="14" max="14" width="12" customWidth="1"/>
    <col min="15" max="15" width="18" customWidth="1"/>
    <col min="16" max="16" width="28" customWidth="1"/>
  </cols>
  <sheetData>
    <row r="1" spans="1:16" ht="26.25" customHeight="1" x14ac:dyDescent="0.3">
      <c r="A1" s="15" t="s">
        <v>45</v>
      </c>
      <c r="B1" s="15" t="s">
        <v>48</v>
      </c>
      <c r="C1" s="15" t="s">
        <v>51</v>
      </c>
      <c r="D1" s="15" t="s">
        <v>100</v>
      </c>
      <c r="E1" s="15" t="s">
        <v>4</v>
      </c>
      <c r="F1" s="15" t="s">
        <v>101</v>
      </c>
      <c r="G1" s="15" t="s">
        <v>56</v>
      </c>
      <c r="H1" s="15" t="s">
        <v>102</v>
      </c>
      <c r="I1" s="15" t="s">
        <v>59</v>
      </c>
      <c r="J1" s="15" t="s">
        <v>62</v>
      </c>
      <c r="K1" s="15" t="s">
        <v>68</v>
      </c>
      <c r="L1" s="15" t="s">
        <v>70</v>
      </c>
      <c r="M1" s="15" t="s">
        <v>65</v>
      </c>
      <c r="N1" s="15" t="s">
        <v>73</v>
      </c>
      <c r="O1" s="15" t="s">
        <v>103</v>
      </c>
      <c r="P1" s="15" t="s">
        <v>79</v>
      </c>
    </row>
    <row r="2" spans="1:16" hidden="1" x14ac:dyDescent="0.3">
      <c r="A2" s="20">
        <f t="shared" ref="A2:A65" si="0">IF($B2="","",ROW()-1)</f>
        <v>1</v>
      </c>
      <c r="B2" s="21" t="s">
        <v>87</v>
      </c>
      <c r="C2" s="21" t="s">
        <v>91</v>
      </c>
      <c r="D2" s="22" t="str">
        <f>IF($C2="","",IFERROR(VLOOKUP($C2,Map_Register!$A$2:$C$5,3,FALSE()),""))</f>
        <v>Cultural Heritage Area</v>
      </c>
      <c r="E2" s="21" t="s">
        <v>104</v>
      </c>
      <c r="F2" s="23">
        <v>170</v>
      </c>
      <c r="G2" s="20" t="s">
        <v>105</v>
      </c>
      <c r="H2" s="20" t="s">
        <v>106</v>
      </c>
      <c r="I2" s="20" t="s">
        <v>8</v>
      </c>
      <c r="J2" s="20" t="s">
        <v>107</v>
      </c>
      <c r="K2" s="20" t="s">
        <v>108</v>
      </c>
      <c r="L2" s="20" t="s">
        <v>109</v>
      </c>
      <c r="M2" s="21" t="s">
        <v>108</v>
      </c>
      <c r="N2" s="21"/>
      <c r="O2" s="21"/>
      <c r="P2" s="24" t="s">
        <v>110</v>
      </c>
    </row>
    <row r="3" spans="1:16" hidden="1" x14ac:dyDescent="0.3">
      <c r="A3" s="20">
        <f t="shared" si="0"/>
        <v>2</v>
      </c>
      <c r="B3" s="21" t="s">
        <v>87</v>
      </c>
      <c r="C3" s="21" t="s">
        <v>91</v>
      </c>
      <c r="D3" s="22" t="str">
        <f>IF($C3="","",IFERROR(VLOOKUP($C3,Map_Register!$A$2:$C$5,3,FALSE()),""))</f>
        <v>Cultural Heritage Area</v>
      </c>
      <c r="E3" s="21" t="s">
        <v>104</v>
      </c>
      <c r="F3" s="23">
        <v>239</v>
      </c>
      <c r="G3" s="20" t="s">
        <v>111</v>
      </c>
      <c r="H3" s="20" t="s">
        <v>112</v>
      </c>
      <c r="I3" s="20" t="s">
        <v>8</v>
      </c>
      <c r="J3" s="20" t="s">
        <v>107</v>
      </c>
      <c r="K3" s="20" t="s">
        <v>107</v>
      </c>
      <c r="L3" s="20" t="s">
        <v>113</v>
      </c>
      <c r="M3" s="21" t="s">
        <v>108</v>
      </c>
      <c r="N3" s="21"/>
      <c r="O3" s="21"/>
      <c r="P3" s="24" t="s">
        <v>114</v>
      </c>
    </row>
    <row r="4" spans="1:16" hidden="1" x14ac:dyDescent="0.3">
      <c r="A4" s="20">
        <f t="shared" si="0"/>
        <v>3</v>
      </c>
      <c r="B4" s="21" t="s">
        <v>87</v>
      </c>
      <c r="C4" s="21" t="s">
        <v>91</v>
      </c>
      <c r="D4" s="22" t="str">
        <f>IF($C4="","",IFERROR(VLOOKUP($C4,Map_Register!$A$2:$C$5,3,FALSE()),""))</f>
        <v>Cultural Heritage Area</v>
      </c>
      <c r="E4" s="21" t="s">
        <v>104</v>
      </c>
      <c r="F4" s="23">
        <v>529</v>
      </c>
      <c r="G4" s="20" t="s">
        <v>111</v>
      </c>
      <c r="H4" s="20" t="s">
        <v>115</v>
      </c>
      <c r="I4" s="20" t="s">
        <v>8</v>
      </c>
      <c r="J4" s="20" t="s">
        <v>107</v>
      </c>
      <c r="K4" s="20" t="s">
        <v>107</v>
      </c>
      <c r="L4" s="20" t="s">
        <v>116</v>
      </c>
      <c r="M4" s="21" t="s">
        <v>108</v>
      </c>
      <c r="N4" s="21"/>
      <c r="O4" s="21"/>
      <c r="P4" s="24" t="s">
        <v>117</v>
      </c>
    </row>
    <row r="5" spans="1:16" hidden="1" x14ac:dyDescent="0.3">
      <c r="A5" s="20">
        <f t="shared" si="0"/>
        <v>4</v>
      </c>
      <c r="B5" s="21" t="s">
        <v>87</v>
      </c>
      <c r="C5" s="21" t="s">
        <v>91</v>
      </c>
      <c r="D5" s="22" t="str">
        <f>IF($C5="","",IFERROR(VLOOKUP($C5,Map_Register!$A$2:$C$5,3,FALSE()),""))</f>
        <v>Cultural Heritage Area</v>
      </c>
      <c r="E5" s="21" t="s">
        <v>104</v>
      </c>
      <c r="F5" s="23">
        <v>586</v>
      </c>
      <c r="G5" s="20" t="s">
        <v>111</v>
      </c>
      <c r="H5" s="20" t="s">
        <v>118</v>
      </c>
      <c r="I5" s="20" t="s">
        <v>8</v>
      </c>
      <c r="J5" s="20" t="s">
        <v>107</v>
      </c>
      <c r="K5" s="20" t="s">
        <v>107</v>
      </c>
      <c r="L5" s="20" t="s">
        <v>119</v>
      </c>
      <c r="M5" s="21" t="s">
        <v>108</v>
      </c>
      <c r="N5" s="21"/>
      <c r="O5" s="21"/>
      <c r="P5" s="24" t="s">
        <v>120</v>
      </c>
    </row>
    <row r="6" spans="1:16" hidden="1" x14ac:dyDescent="0.3">
      <c r="A6" s="20">
        <f t="shared" si="0"/>
        <v>5</v>
      </c>
      <c r="B6" s="21" t="s">
        <v>87</v>
      </c>
      <c r="C6" s="21" t="s">
        <v>91</v>
      </c>
      <c r="D6" s="22" t="str">
        <f>IF($C6="","",IFERROR(VLOOKUP($C6,Map_Register!$A$2:$C$5,3,FALSE()),""))</f>
        <v>Cultural Heritage Area</v>
      </c>
      <c r="E6" s="21" t="s">
        <v>104</v>
      </c>
      <c r="F6" s="23">
        <v>587</v>
      </c>
      <c r="G6" s="20" t="s">
        <v>111</v>
      </c>
      <c r="H6" s="20" t="s">
        <v>121</v>
      </c>
      <c r="I6" s="20" t="s">
        <v>8</v>
      </c>
      <c r="J6" s="20" t="s">
        <v>107</v>
      </c>
      <c r="K6" s="20" t="s">
        <v>107</v>
      </c>
      <c r="L6" s="20" t="s">
        <v>122</v>
      </c>
      <c r="M6" s="21" t="s">
        <v>108</v>
      </c>
      <c r="N6" s="21"/>
      <c r="O6" s="21"/>
      <c r="P6" s="24" t="s">
        <v>123</v>
      </c>
    </row>
    <row r="7" spans="1:16" hidden="1" x14ac:dyDescent="0.3">
      <c r="A7" s="20">
        <f t="shared" si="0"/>
        <v>6</v>
      </c>
      <c r="B7" s="21" t="s">
        <v>87</v>
      </c>
      <c r="C7" s="21" t="s">
        <v>91</v>
      </c>
      <c r="D7" s="22" t="str">
        <f>IF($C7="","",IFERROR(VLOOKUP($C7,Map_Register!$A$2:$C$5,3,FALSE()),""))</f>
        <v>Cultural Heritage Area</v>
      </c>
      <c r="E7" s="21" t="s">
        <v>104</v>
      </c>
      <c r="F7" s="23">
        <v>588</v>
      </c>
      <c r="G7" s="20" t="s">
        <v>111</v>
      </c>
      <c r="H7" s="20" t="s">
        <v>124</v>
      </c>
      <c r="I7" s="20" t="s">
        <v>8</v>
      </c>
      <c r="J7" s="20" t="s">
        <v>107</v>
      </c>
      <c r="K7" s="20" t="s">
        <v>107</v>
      </c>
      <c r="L7" s="20" t="s">
        <v>125</v>
      </c>
      <c r="M7" s="21" t="s">
        <v>108</v>
      </c>
      <c r="N7" s="21"/>
      <c r="O7" s="21"/>
      <c r="P7" s="24" t="s">
        <v>126</v>
      </c>
    </row>
    <row r="8" spans="1:16" hidden="1" x14ac:dyDescent="0.3">
      <c r="A8" s="20">
        <f t="shared" si="0"/>
        <v>7</v>
      </c>
      <c r="B8" s="21" t="s">
        <v>87</v>
      </c>
      <c r="C8" s="21" t="s">
        <v>91</v>
      </c>
      <c r="D8" s="22" t="str">
        <f>IF($C8="","",IFERROR(VLOOKUP($C8,Map_Register!$A$2:$C$5,3,FALSE()),""))</f>
        <v>Cultural Heritage Area</v>
      </c>
      <c r="E8" s="21" t="s">
        <v>104</v>
      </c>
      <c r="F8" s="23">
        <v>589</v>
      </c>
      <c r="G8" s="20" t="s">
        <v>111</v>
      </c>
      <c r="H8" s="20" t="s">
        <v>127</v>
      </c>
      <c r="I8" s="20" t="s">
        <v>8</v>
      </c>
      <c r="J8" s="20" t="s">
        <v>107</v>
      </c>
      <c r="K8" s="20" t="s">
        <v>107</v>
      </c>
      <c r="L8" s="20" t="s">
        <v>125</v>
      </c>
      <c r="M8" s="21" t="s">
        <v>108</v>
      </c>
      <c r="N8" s="21"/>
      <c r="O8" s="21"/>
      <c r="P8" s="24" t="s">
        <v>128</v>
      </c>
    </row>
    <row r="9" spans="1:16" hidden="1" x14ac:dyDescent="0.3">
      <c r="A9" s="20">
        <f t="shared" si="0"/>
        <v>8</v>
      </c>
      <c r="B9" s="21" t="s">
        <v>87</v>
      </c>
      <c r="C9" s="21" t="s">
        <v>91</v>
      </c>
      <c r="D9" s="22" t="str">
        <f>IF($C9="","",IFERROR(VLOOKUP($C9,Map_Register!$A$2:$C$5,3,FALSE()),""))</f>
        <v>Cultural Heritage Area</v>
      </c>
      <c r="E9" s="21" t="s">
        <v>104</v>
      </c>
      <c r="F9" s="23">
        <v>594</v>
      </c>
      <c r="G9" s="20" t="s">
        <v>111</v>
      </c>
      <c r="H9" s="20" t="s">
        <v>129</v>
      </c>
      <c r="I9" s="20" t="s">
        <v>8</v>
      </c>
      <c r="J9" s="20" t="s">
        <v>107</v>
      </c>
      <c r="K9" s="20" t="s">
        <v>107</v>
      </c>
      <c r="L9" s="20" t="s">
        <v>130</v>
      </c>
      <c r="M9" s="21" t="s">
        <v>108</v>
      </c>
      <c r="N9" s="21"/>
      <c r="O9" s="21"/>
      <c r="P9" s="24" t="s">
        <v>131</v>
      </c>
    </row>
    <row r="10" spans="1:16" hidden="1" x14ac:dyDescent="0.3">
      <c r="A10" s="20">
        <f t="shared" si="0"/>
        <v>9</v>
      </c>
      <c r="B10" s="21" t="s">
        <v>87</v>
      </c>
      <c r="C10" s="21" t="s">
        <v>91</v>
      </c>
      <c r="D10" s="22" t="str">
        <f>IF($C10="","",IFERROR(VLOOKUP($C10,Map_Register!$A$2:$C$5,3,FALSE()),""))</f>
        <v>Cultural Heritage Area</v>
      </c>
      <c r="E10" s="21" t="s">
        <v>104</v>
      </c>
      <c r="F10" s="23">
        <v>595</v>
      </c>
      <c r="G10" s="20" t="s">
        <v>111</v>
      </c>
      <c r="H10" s="20" t="s">
        <v>132</v>
      </c>
      <c r="I10" s="20" t="s">
        <v>8</v>
      </c>
      <c r="J10" s="20" t="s">
        <v>107</v>
      </c>
      <c r="K10" s="20" t="s">
        <v>107</v>
      </c>
      <c r="L10" s="20" t="s">
        <v>130</v>
      </c>
      <c r="M10" s="21" t="s">
        <v>108</v>
      </c>
      <c r="N10" s="21"/>
      <c r="O10" s="21"/>
      <c r="P10" s="24" t="s">
        <v>133</v>
      </c>
    </row>
    <row r="11" spans="1:16" hidden="1" x14ac:dyDescent="0.3">
      <c r="A11" s="20">
        <f t="shared" si="0"/>
        <v>10</v>
      </c>
      <c r="B11" s="21" t="s">
        <v>87</v>
      </c>
      <c r="C11" s="21" t="s">
        <v>91</v>
      </c>
      <c r="D11" s="22" t="str">
        <f>IF($C11="","",IFERROR(VLOOKUP($C11,Map_Register!$A$2:$C$5,3,FALSE()),""))</f>
        <v>Cultural Heritage Area</v>
      </c>
      <c r="E11" s="21" t="s">
        <v>104</v>
      </c>
      <c r="F11" s="23">
        <v>597</v>
      </c>
      <c r="G11" s="20" t="s">
        <v>111</v>
      </c>
      <c r="H11" s="20" t="s">
        <v>134</v>
      </c>
      <c r="I11" s="20" t="s">
        <v>8</v>
      </c>
      <c r="J11" s="20" t="s">
        <v>107</v>
      </c>
      <c r="K11" s="20" t="s">
        <v>107</v>
      </c>
      <c r="L11" s="20" t="s">
        <v>130</v>
      </c>
      <c r="M11" s="21" t="s">
        <v>108</v>
      </c>
      <c r="N11" s="21"/>
      <c r="O11" s="21"/>
      <c r="P11" s="24" t="s">
        <v>135</v>
      </c>
    </row>
    <row r="12" spans="1:16" hidden="1" x14ac:dyDescent="0.3">
      <c r="A12" s="20">
        <f t="shared" si="0"/>
        <v>11</v>
      </c>
      <c r="B12" s="21" t="s">
        <v>87</v>
      </c>
      <c r="C12" s="21" t="s">
        <v>91</v>
      </c>
      <c r="D12" s="22" t="str">
        <f>IF($C12="","",IFERROR(VLOOKUP($C12,Map_Register!$A$2:$C$5,3,FALSE()),""))</f>
        <v>Cultural Heritage Area</v>
      </c>
      <c r="E12" s="21" t="s">
        <v>104</v>
      </c>
      <c r="F12" s="23">
        <v>613</v>
      </c>
      <c r="G12" s="20" t="s">
        <v>111</v>
      </c>
      <c r="H12" s="20" t="s">
        <v>136</v>
      </c>
      <c r="I12" s="20" t="s">
        <v>6</v>
      </c>
      <c r="J12" s="20" t="s">
        <v>137</v>
      </c>
      <c r="K12" s="20" t="s">
        <v>137</v>
      </c>
      <c r="L12" s="20" t="s">
        <v>138</v>
      </c>
      <c r="M12" s="21"/>
      <c r="N12" s="21"/>
      <c r="O12" s="21"/>
      <c r="P12" s="24" t="s">
        <v>139</v>
      </c>
    </row>
    <row r="13" spans="1:16" hidden="1" x14ac:dyDescent="0.3">
      <c r="A13" s="20">
        <f t="shared" si="0"/>
        <v>12</v>
      </c>
      <c r="B13" s="21" t="s">
        <v>87</v>
      </c>
      <c r="C13" s="21" t="s">
        <v>91</v>
      </c>
      <c r="D13" s="22" t="str">
        <f>IF($C13="","",IFERROR(VLOOKUP($C13,Map_Register!$A$2:$C$5,3,FALSE()),""))</f>
        <v>Cultural Heritage Area</v>
      </c>
      <c r="E13" s="21" t="s">
        <v>104</v>
      </c>
      <c r="F13" s="23">
        <v>614</v>
      </c>
      <c r="G13" s="20" t="s">
        <v>111</v>
      </c>
      <c r="H13" s="20" t="s">
        <v>140</v>
      </c>
      <c r="I13" s="20" t="s">
        <v>8</v>
      </c>
      <c r="J13" s="20" t="s">
        <v>107</v>
      </c>
      <c r="K13" s="20" t="s">
        <v>107</v>
      </c>
      <c r="L13" s="20" t="s">
        <v>141</v>
      </c>
      <c r="M13" s="21" t="s">
        <v>108</v>
      </c>
      <c r="N13" s="21"/>
      <c r="O13" s="21"/>
      <c r="P13" s="24" t="s">
        <v>142</v>
      </c>
    </row>
    <row r="14" spans="1:16" hidden="1" x14ac:dyDescent="0.3">
      <c r="A14" s="20">
        <f t="shared" si="0"/>
        <v>13</v>
      </c>
      <c r="B14" s="21" t="s">
        <v>87</v>
      </c>
      <c r="C14" s="21" t="s">
        <v>91</v>
      </c>
      <c r="D14" s="22" t="str">
        <f>IF($C14="","",IFERROR(VLOOKUP($C14,Map_Register!$A$2:$C$5,3,FALSE()),""))</f>
        <v>Cultural Heritage Area</v>
      </c>
      <c r="E14" s="21" t="s">
        <v>104</v>
      </c>
      <c r="F14" s="23">
        <v>615</v>
      </c>
      <c r="G14" s="20" t="s">
        <v>111</v>
      </c>
      <c r="H14" s="20" t="s">
        <v>143</v>
      </c>
      <c r="I14" s="20" t="s">
        <v>8</v>
      </c>
      <c r="J14" s="20" t="s">
        <v>107</v>
      </c>
      <c r="K14" s="20" t="s">
        <v>107</v>
      </c>
      <c r="L14" s="20" t="s">
        <v>130</v>
      </c>
      <c r="M14" s="21" t="s">
        <v>108</v>
      </c>
      <c r="N14" s="21"/>
      <c r="O14" s="21"/>
      <c r="P14" s="24" t="s">
        <v>144</v>
      </c>
    </row>
    <row r="15" spans="1:16" hidden="1" x14ac:dyDescent="0.3">
      <c r="A15" s="20">
        <f t="shared" si="0"/>
        <v>14</v>
      </c>
      <c r="B15" s="21" t="s">
        <v>87</v>
      </c>
      <c r="C15" s="21" t="s">
        <v>91</v>
      </c>
      <c r="D15" s="22" t="str">
        <f>IF($C15="","",IFERROR(VLOOKUP($C15,Map_Register!$A$2:$C$5,3,FALSE()),""))</f>
        <v>Cultural Heritage Area</v>
      </c>
      <c r="E15" s="21" t="s">
        <v>104</v>
      </c>
      <c r="F15" s="23">
        <v>678</v>
      </c>
      <c r="G15" s="20" t="s">
        <v>111</v>
      </c>
      <c r="H15" s="20" t="s">
        <v>145</v>
      </c>
      <c r="I15" s="20" t="s">
        <v>8</v>
      </c>
      <c r="J15" s="20" t="s">
        <v>107</v>
      </c>
      <c r="K15" s="20" t="s">
        <v>107</v>
      </c>
      <c r="L15" s="20" t="s">
        <v>125</v>
      </c>
      <c r="M15" s="21" t="s">
        <v>108</v>
      </c>
      <c r="N15" s="21"/>
      <c r="O15" s="21"/>
      <c r="P15" s="24" t="s">
        <v>146</v>
      </c>
    </row>
    <row r="16" spans="1:16" hidden="1" x14ac:dyDescent="0.3">
      <c r="A16" s="20">
        <f t="shared" si="0"/>
        <v>15</v>
      </c>
      <c r="B16" s="21" t="s">
        <v>87</v>
      </c>
      <c r="C16" s="21" t="s">
        <v>91</v>
      </c>
      <c r="D16" s="22" t="str">
        <f>IF($C16="","",IFERROR(VLOOKUP($C16,Map_Register!$A$2:$C$5,3,FALSE()),""))</f>
        <v>Cultural Heritage Area</v>
      </c>
      <c r="E16" s="21" t="s">
        <v>104</v>
      </c>
      <c r="F16" s="23">
        <v>679</v>
      </c>
      <c r="G16" s="20" t="s">
        <v>111</v>
      </c>
      <c r="H16" s="20" t="s">
        <v>147</v>
      </c>
      <c r="I16" s="20" t="s">
        <v>8</v>
      </c>
      <c r="J16" s="20" t="s">
        <v>107</v>
      </c>
      <c r="K16" s="20" t="s">
        <v>107</v>
      </c>
      <c r="L16" s="20" t="s">
        <v>125</v>
      </c>
      <c r="M16" s="21" t="s">
        <v>108</v>
      </c>
      <c r="N16" s="21"/>
      <c r="O16" s="21"/>
      <c r="P16" s="24" t="s">
        <v>148</v>
      </c>
    </row>
    <row r="17" spans="1:16" hidden="1" x14ac:dyDescent="0.3">
      <c r="A17" s="20">
        <f t="shared" si="0"/>
        <v>16</v>
      </c>
      <c r="B17" s="21" t="s">
        <v>87</v>
      </c>
      <c r="C17" s="21" t="s">
        <v>91</v>
      </c>
      <c r="D17" s="22" t="str">
        <f>IF($C17="","",IFERROR(VLOOKUP($C17,Map_Register!$A$2:$C$5,3,FALSE()),""))</f>
        <v>Cultural Heritage Area</v>
      </c>
      <c r="E17" s="21" t="s">
        <v>104</v>
      </c>
      <c r="F17" s="23">
        <v>680</v>
      </c>
      <c r="G17" s="20" t="s">
        <v>111</v>
      </c>
      <c r="H17" s="20" t="s">
        <v>149</v>
      </c>
      <c r="I17" s="20" t="s">
        <v>8</v>
      </c>
      <c r="J17" s="20" t="s">
        <v>107</v>
      </c>
      <c r="K17" s="20" t="s">
        <v>107</v>
      </c>
      <c r="L17" s="20" t="s">
        <v>130</v>
      </c>
      <c r="M17" s="21" t="s">
        <v>108</v>
      </c>
      <c r="N17" s="21"/>
      <c r="O17" s="21"/>
      <c r="P17" s="24" t="s">
        <v>150</v>
      </c>
    </row>
    <row r="18" spans="1:16" hidden="1" x14ac:dyDescent="0.3">
      <c r="A18" s="20">
        <f t="shared" si="0"/>
        <v>17</v>
      </c>
      <c r="B18" s="21" t="s">
        <v>87</v>
      </c>
      <c r="C18" s="21" t="s">
        <v>91</v>
      </c>
      <c r="D18" s="22" t="str">
        <f>IF($C18="","",IFERROR(VLOOKUP($C18,Map_Register!$A$2:$C$5,3,FALSE()),""))</f>
        <v>Cultural Heritage Area</v>
      </c>
      <c r="E18" s="21" t="s">
        <v>104</v>
      </c>
      <c r="F18" s="23">
        <v>681</v>
      </c>
      <c r="G18" s="20" t="s">
        <v>111</v>
      </c>
      <c r="H18" s="20" t="s">
        <v>151</v>
      </c>
      <c r="I18" s="20" t="s">
        <v>8</v>
      </c>
      <c r="J18" s="20" t="s">
        <v>107</v>
      </c>
      <c r="K18" s="20" t="s">
        <v>107</v>
      </c>
      <c r="L18" s="20" t="s">
        <v>130</v>
      </c>
      <c r="M18" s="21" t="s">
        <v>108</v>
      </c>
      <c r="N18" s="21"/>
      <c r="O18" s="21"/>
      <c r="P18" s="24" t="s">
        <v>152</v>
      </c>
    </row>
    <row r="19" spans="1:16" hidden="1" x14ac:dyDescent="0.3">
      <c r="A19" s="20">
        <f t="shared" si="0"/>
        <v>18</v>
      </c>
      <c r="B19" s="21" t="s">
        <v>87</v>
      </c>
      <c r="C19" s="21" t="s">
        <v>91</v>
      </c>
      <c r="D19" s="22" t="str">
        <f>IF($C19="","",IFERROR(VLOOKUP($C19,Map_Register!$A$2:$C$5,3,FALSE()),""))</f>
        <v>Cultural Heritage Area</v>
      </c>
      <c r="E19" s="21" t="s">
        <v>104</v>
      </c>
      <c r="F19" s="23">
        <v>682</v>
      </c>
      <c r="G19" s="20" t="s">
        <v>111</v>
      </c>
      <c r="H19" s="20" t="s">
        <v>153</v>
      </c>
      <c r="I19" s="20" t="s">
        <v>8</v>
      </c>
      <c r="J19" s="20" t="s">
        <v>107</v>
      </c>
      <c r="K19" s="20" t="s">
        <v>107</v>
      </c>
      <c r="L19" s="20" t="s">
        <v>125</v>
      </c>
      <c r="M19" s="21" t="s">
        <v>108</v>
      </c>
      <c r="N19" s="21"/>
      <c r="O19" s="21"/>
      <c r="P19" s="24" t="s">
        <v>154</v>
      </c>
    </row>
    <row r="20" spans="1:16" hidden="1" x14ac:dyDescent="0.3">
      <c r="A20" s="20">
        <f t="shared" si="0"/>
        <v>19</v>
      </c>
      <c r="B20" s="21" t="s">
        <v>87</v>
      </c>
      <c r="C20" s="21" t="s">
        <v>91</v>
      </c>
      <c r="D20" s="22" t="str">
        <f>IF($C20="","",IFERROR(VLOOKUP($C20,Map_Register!$A$2:$C$5,3,FALSE()),""))</f>
        <v>Cultural Heritage Area</v>
      </c>
      <c r="E20" s="21" t="s">
        <v>104</v>
      </c>
      <c r="F20" s="23">
        <v>683</v>
      </c>
      <c r="G20" s="20" t="s">
        <v>111</v>
      </c>
      <c r="H20" s="20" t="s">
        <v>155</v>
      </c>
      <c r="I20" s="20" t="s">
        <v>8</v>
      </c>
      <c r="J20" s="20" t="s">
        <v>107</v>
      </c>
      <c r="K20" s="20" t="s">
        <v>107</v>
      </c>
      <c r="L20" s="20" t="s">
        <v>130</v>
      </c>
      <c r="M20" s="21" t="s">
        <v>108</v>
      </c>
      <c r="N20" s="21"/>
      <c r="O20" s="21"/>
      <c r="P20" s="24" t="s">
        <v>156</v>
      </c>
    </row>
    <row r="21" spans="1:16" hidden="1" x14ac:dyDescent="0.3">
      <c r="A21" s="20">
        <f t="shared" si="0"/>
        <v>20</v>
      </c>
      <c r="B21" s="21" t="s">
        <v>87</v>
      </c>
      <c r="C21" s="21" t="s">
        <v>91</v>
      </c>
      <c r="D21" s="22" t="str">
        <f>IF($C21="","",IFERROR(VLOOKUP($C21,Map_Register!$A$2:$C$5,3,FALSE()),""))</f>
        <v>Cultural Heritage Area</v>
      </c>
      <c r="E21" s="21" t="s">
        <v>104</v>
      </c>
      <c r="F21" s="23">
        <v>3049</v>
      </c>
      <c r="G21" s="20" t="s">
        <v>157</v>
      </c>
      <c r="H21" s="20" t="s">
        <v>158</v>
      </c>
      <c r="I21" s="20" t="s">
        <v>6</v>
      </c>
      <c r="J21" s="20" t="s">
        <v>137</v>
      </c>
      <c r="K21" s="20" t="s">
        <v>137</v>
      </c>
      <c r="L21" s="20" t="s">
        <v>138</v>
      </c>
      <c r="M21" s="21"/>
      <c r="N21" s="21"/>
      <c r="O21" s="21"/>
      <c r="P21" s="24" t="s">
        <v>159</v>
      </c>
    </row>
    <row r="22" spans="1:16" hidden="1" x14ac:dyDescent="0.3">
      <c r="A22" s="20">
        <f t="shared" si="0"/>
        <v>21</v>
      </c>
      <c r="B22" s="21" t="s">
        <v>87</v>
      </c>
      <c r="C22" s="21" t="s">
        <v>91</v>
      </c>
      <c r="D22" s="22" t="str">
        <f>IF($C22="","",IFERROR(VLOOKUP($C22,Map_Register!$A$2:$C$5,3,FALSE()),""))</f>
        <v>Cultural Heritage Area</v>
      </c>
      <c r="E22" s="21" t="s">
        <v>104</v>
      </c>
      <c r="F22" s="23">
        <v>3050</v>
      </c>
      <c r="G22" s="20" t="s">
        <v>157</v>
      </c>
      <c r="H22" s="20" t="s">
        <v>160</v>
      </c>
      <c r="I22" s="20" t="s">
        <v>6</v>
      </c>
      <c r="J22" s="20" t="s">
        <v>137</v>
      </c>
      <c r="K22" s="20" t="s">
        <v>137</v>
      </c>
      <c r="L22" s="20" t="s">
        <v>161</v>
      </c>
      <c r="M22" s="21"/>
      <c r="N22" s="21"/>
      <c r="O22" s="21"/>
      <c r="P22" s="24" t="s">
        <v>162</v>
      </c>
    </row>
    <row r="23" spans="1:16" hidden="1" x14ac:dyDescent="0.3">
      <c r="A23" s="20">
        <f t="shared" si="0"/>
        <v>22</v>
      </c>
      <c r="B23" s="21" t="s">
        <v>87</v>
      </c>
      <c r="C23" s="21" t="s">
        <v>91</v>
      </c>
      <c r="D23" s="22" t="str">
        <f>IF($C23="","",IFERROR(VLOOKUP($C23,Map_Register!$A$2:$C$5,3,FALSE()),""))</f>
        <v>Cultural Heritage Area</v>
      </c>
      <c r="E23" s="21" t="s">
        <v>104</v>
      </c>
      <c r="F23" s="23">
        <v>4378</v>
      </c>
      <c r="G23" s="20" t="s">
        <v>163</v>
      </c>
      <c r="H23" s="20" t="s">
        <v>164</v>
      </c>
      <c r="I23" s="20" t="s">
        <v>6</v>
      </c>
      <c r="J23" s="20" t="s">
        <v>137</v>
      </c>
      <c r="K23" s="20" t="s">
        <v>137</v>
      </c>
      <c r="L23" s="20" t="s">
        <v>165</v>
      </c>
      <c r="M23" s="21"/>
      <c r="N23" s="21"/>
      <c r="O23" s="21"/>
      <c r="P23" s="24" t="s">
        <v>166</v>
      </c>
    </row>
    <row r="24" spans="1:16" hidden="1" x14ac:dyDescent="0.3">
      <c r="A24" s="20">
        <f t="shared" si="0"/>
        <v>23</v>
      </c>
      <c r="B24" s="21" t="s">
        <v>87</v>
      </c>
      <c r="C24" s="21" t="s">
        <v>91</v>
      </c>
      <c r="D24" s="22" t="str">
        <f>IF($C24="","",IFERROR(VLOOKUP($C24,Map_Register!$A$2:$C$5,3,FALSE()),""))</f>
        <v>Cultural Heritage Area</v>
      </c>
      <c r="E24" s="21" t="s">
        <v>104</v>
      </c>
      <c r="F24" s="23">
        <v>6751</v>
      </c>
      <c r="G24" s="20" t="s">
        <v>167</v>
      </c>
      <c r="H24" s="20" t="s">
        <v>168</v>
      </c>
      <c r="I24" s="20" t="s">
        <v>6</v>
      </c>
      <c r="J24" s="20" t="s">
        <v>137</v>
      </c>
      <c r="K24" s="20" t="s">
        <v>137</v>
      </c>
      <c r="L24" s="20" t="s">
        <v>169</v>
      </c>
      <c r="M24" s="21"/>
      <c r="N24" s="21"/>
      <c r="O24" s="21"/>
      <c r="P24" s="24" t="s">
        <v>170</v>
      </c>
    </row>
    <row r="25" spans="1:16" hidden="1" x14ac:dyDescent="0.3">
      <c r="A25" s="20">
        <f t="shared" si="0"/>
        <v>24</v>
      </c>
      <c r="B25" s="21" t="s">
        <v>87</v>
      </c>
      <c r="C25" s="21" t="s">
        <v>91</v>
      </c>
      <c r="D25" s="22" t="str">
        <f>IF($C25="","",IFERROR(VLOOKUP($C25,Map_Register!$A$2:$C$5,3,FALSE()),""))</f>
        <v>Cultural Heritage Area</v>
      </c>
      <c r="E25" s="21" t="s">
        <v>104</v>
      </c>
      <c r="F25" s="23">
        <v>6752</v>
      </c>
      <c r="G25" s="20" t="s">
        <v>167</v>
      </c>
      <c r="H25" s="20" t="s">
        <v>171</v>
      </c>
      <c r="I25" s="20" t="s">
        <v>6</v>
      </c>
      <c r="J25" s="20" t="s">
        <v>137</v>
      </c>
      <c r="K25" s="20" t="s">
        <v>137</v>
      </c>
      <c r="L25" s="20" t="s">
        <v>172</v>
      </c>
      <c r="M25" s="21"/>
      <c r="N25" s="21"/>
      <c r="O25" s="21"/>
      <c r="P25" s="24" t="s">
        <v>173</v>
      </c>
    </row>
    <row r="26" spans="1:16" hidden="1" x14ac:dyDescent="0.3">
      <c r="A26" s="20">
        <f t="shared" si="0"/>
        <v>25</v>
      </c>
      <c r="B26" s="21" t="s">
        <v>87</v>
      </c>
      <c r="C26" s="21" t="s">
        <v>91</v>
      </c>
      <c r="D26" s="22" t="str">
        <f>IF($C26="","",IFERROR(VLOOKUP($C26,Map_Register!$A$2:$C$5,3,FALSE()),""))</f>
        <v>Cultural Heritage Area</v>
      </c>
      <c r="E26" s="21" t="s">
        <v>104</v>
      </c>
      <c r="F26" s="23">
        <v>6766</v>
      </c>
      <c r="G26" s="20" t="s">
        <v>167</v>
      </c>
      <c r="H26" s="20" t="s">
        <v>174</v>
      </c>
      <c r="I26" s="20" t="s">
        <v>6</v>
      </c>
      <c r="J26" s="20" t="s">
        <v>137</v>
      </c>
      <c r="K26" s="20" t="s">
        <v>137</v>
      </c>
      <c r="L26" s="20" t="s">
        <v>172</v>
      </c>
      <c r="M26" s="21"/>
      <c r="N26" s="21"/>
      <c r="O26" s="21"/>
      <c r="P26" s="24" t="s">
        <v>175</v>
      </c>
    </row>
    <row r="27" spans="1:16" hidden="1" x14ac:dyDescent="0.3">
      <c r="A27" s="20">
        <f t="shared" si="0"/>
        <v>26</v>
      </c>
      <c r="B27" s="21" t="s">
        <v>87</v>
      </c>
      <c r="C27" s="21" t="s">
        <v>91</v>
      </c>
      <c r="D27" s="22" t="str">
        <f>IF($C27="","",IFERROR(VLOOKUP($C27,Map_Register!$A$2:$C$5,3,FALSE()),""))</f>
        <v>Cultural Heritage Area</v>
      </c>
      <c r="E27" s="21" t="s">
        <v>104</v>
      </c>
      <c r="F27" s="23">
        <v>6768</v>
      </c>
      <c r="G27" s="20" t="s">
        <v>167</v>
      </c>
      <c r="H27" s="20" t="s">
        <v>176</v>
      </c>
      <c r="I27" s="20" t="s">
        <v>6</v>
      </c>
      <c r="J27" s="20" t="s">
        <v>137</v>
      </c>
      <c r="K27" s="20" t="s">
        <v>137</v>
      </c>
      <c r="L27" s="20" t="s">
        <v>169</v>
      </c>
      <c r="M27" s="21"/>
      <c r="N27" s="21"/>
      <c r="O27" s="21"/>
      <c r="P27" s="24" t="s">
        <v>177</v>
      </c>
    </row>
    <row r="28" spans="1:16" hidden="1" x14ac:dyDescent="0.3">
      <c r="A28" s="20">
        <f t="shared" si="0"/>
        <v>27</v>
      </c>
      <c r="B28" s="21" t="s">
        <v>87</v>
      </c>
      <c r="C28" s="21" t="s">
        <v>91</v>
      </c>
      <c r="D28" s="22" t="str">
        <f>IF($C28="","",IFERROR(VLOOKUP($C28,Map_Register!$A$2:$C$5,3,FALSE()),""))</f>
        <v>Cultural Heritage Area</v>
      </c>
      <c r="E28" s="21" t="s">
        <v>104</v>
      </c>
      <c r="F28" s="23">
        <v>7298</v>
      </c>
      <c r="G28" s="20" t="s">
        <v>167</v>
      </c>
      <c r="H28" s="20" t="s">
        <v>178</v>
      </c>
      <c r="I28" s="20" t="s">
        <v>6</v>
      </c>
      <c r="J28" s="20" t="s">
        <v>137</v>
      </c>
      <c r="K28" s="20" t="s">
        <v>137</v>
      </c>
      <c r="L28" s="20" t="s">
        <v>179</v>
      </c>
      <c r="M28" s="21"/>
      <c r="N28" s="21"/>
      <c r="O28" s="21"/>
      <c r="P28" s="24" t="s">
        <v>180</v>
      </c>
    </row>
    <row r="29" spans="1:16" hidden="1" x14ac:dyDescent="0.3">
      <c r="A29" s="20">
        <f t="shared" si="0"/>
        <v>28</v>
      </c>
      <c r="B29" s="21" t="s">
        <v>87</v>
      </c>
      <c r="C29" s="21" t="s">
        <v>91</v>
      </c>
      <c r="D29" s="22" t="str">
        <f>IF($C29="","",IFERROR(VLOOKUP($C29,Map_Register!$A$2:$C$5,3,FALSE()),""))</f>
        <v>Cultural Heritage Area</v>
      </c>
      <c r="E29" s="21" t="s">
        <v>104</v>
      </c>
      <c r="F29" s="23">
        <v>19129</v>
      </c>
      <c r="G29" s="20" t="s">
        <v>157</v>
      </c>
      <c r="H29" s="20" t="s">
        <v>181</v>
      </c>
      <c r="I29" s="20" t="s">
        <v>6</v>
      </c>
      <c r="J29" s="20" t="s">
        <v>137</v>
      </c>
      <c r="K29" s="20" t="s">
        <v>137</v>
      </c>
      <c r="L29" s="20" t="s">
        <v>161</v>
      </c>
      <c r="M29" s="21"/>
      <c r="N29" s="21"/>
      <c r="O29" s="21"/>
      <c r="P29" s="24" t="s">
        <v>182</v>
      </c>
    </row>
    <row r="30" spans="1:16" hidden="1" x14ac:dyDescent="0.3">
      <c r="A30" s="20">
        <f t="shared" si="0"/>
        <v>29</v>
      </c>
      <c r="B30" s="21" t="s">
        <v>87</v>
      </c>
      <c r="C30" s="21" t="s">
        <v>91</v>
      </c>
      <c r="D30" s="22" t="str">
        <f>IF($C30="","",IFERROR(VLOOKUP($C30,Map_Register!$A$2:$C$5,3,FALSE()),""))</f>
        <v>Cultural Heritage Area</v>
      </c>
      <c r="E30" s="21" t="s">
        <v>104</v>
      </c>
      <c r="F30" s="23">
        <v>19131</v>
      </c>
      <c r="G30" s="20" t="s">
        <v>111</v>
      </c>
      <c r="H30" s="20" t="s">
        <v>183</v>
      </c>
      <c r="I30" s="20" t="s">
        <v>8</v>
      </c>
      <c r="J30" s="20" t="s">
        <v>107</v>
      </c>
      <c r="K30" s="20" t="s">
        <v>107</v>
      </c>
      <c r="L30" s="20" t="s">
        <v>141</v>
      </c>
      <c r="M30" s="21" t="s">
        <v>108</v>
      </c>
      <c r="N30" s="21"/>
      <c r="O30" s="21"/>
      <c r="P30" s="24" t="s">
        <v>184</v>
      </c>
    </row>
    <row r="31" spans="1:16" hidden="1" x14ac:dyDescent="0.3">
      <c r="A31" s="20">
        <f t="shared" si="0"/>
        <v>30</v>
      </c>
      <c r="B31" s="21" t="s">
        <v>87</v>
      </c>
      <c r="C31" s="21" t="s">
        <v>91</v>
      </c>
      <c r="D31" s="22" t="str">
        <f>IF($C31="","",IFERROR(VLOOKUP($C31,Map_Register!$A$2:$C$5,3,FALSE()),""))</f>
        <v>Cultural Heritage Area</v>
      </c>
      <c r="E31" s="21" t="s">
        <v>104</v>
      </c>
      <c r="F31" s="23">
        <v>19272</v>
      </c>
      <c r="G31" s="20" t="s">
        <v>167</v>
      </c>
      <c r="H31" s="20" t="s">
        <v>185</v>
      </c>
      <c r="I31" s="20" t="s">
        <v>6</v>
      </c>
      <c r="J31" s="20" t="s">
        <v>137</v>
      </c>
      <c r="K31" s="20" t="s">
        <v>137</v>
      </c>
      <c r="L31" s="20" t="s">
        <v>186</v>
      </c>
      <c r="M31" s="21"/>
      <c r="N31" s="21"/>
      <c r="O31" s="21"/>
      <c r="P31" s="24" t="s">
        <v>187</v>
      </c>
    </row>
    <row r="32" spans="1:16" hidden="1" x14ac:dyDescent="0.3">
      <c r="A32" s="20">
        <f t="shared" si="0"/>
        <v>31</v>
      </c>
      <c r="B32" s="21" t="s">
        <v>87</v>
      </c>
      <c r="C32" s="21" t="s">
        <v>91</v>
      </c>
      <c r="D32" s="22" t="str">
        <f>IF($C32="","",IFERROR(VLOOKUP($C32,Map_Register!$A$2:$C$5,3,FALSE()),""))</f>
        <v>Cultural Heritage Area</v>
      </c>
      <c r="E32" s="21" t="s">
        <v>104</v>
      </c>
      <c r="F32" s="23">
        <v>20065</v>
      </c>
      <c r="G32" s="20" t="s">
        <v>167</v>
      </c>
      <c r="H32" s="20" t="s">
        <v>188</v>
      </c>
      <c r="I32" s="20" t="s">
        <v>6</v>
      </c>
      <c r="J32" s="20" t="s">
        <v>137</v>
      </c>
      <c r="K32" s="20" t="s">
        <v>137</v>
      </c>
      <c r="L32" s="20" t="s">
        <v>172</v>
      </c>
      <c r="M32" s="21"/>
      <c r="N32" s="21"/>
      <c r="O32" s="21"/>
      <c r="P32" s="24" t="s">
        <v>189</v>
      </c>
    </row>
    <row r="33" spans="1:16" hidden="1" x14ac:dyDescent="0.3">
      <c r="A33" s="20">
        <f t="shared" si="0"/>
        <v>32</v>
      </c>
      <c r="B33" s="21" t="s">
        <v>87</v>
      </c>
      <c r="C33" s="21" t="s">
        <v>91</v>
      </c>
      <c r="D33" s="22" t="str">
        <f>IF($C33="","",IFERROR(VLOOKUP($C33,Map_Register!$A$2:$C$5,3,FALSE()),""))</f>
        <v>Cultural Heritage Area</v>
      </c>
      <c r="E33" s="21" t="s">
        <v>104</v>
      </c>
      <c r="F33" s="23">
        <v>25511</v>
      </c>
      <c r="G33" s="20" t="s">
        <v>111</v>
      </c>
      <c r="H33" s="20" t="s">
        <v>190</v>
      </c>
      <c r="I33" s="20" t="s">
        <v>8</v>
      </c>
      <c r="J33" s="20" t="s">
        <v>107</v>
      </c>
      <c r="K33" s="20" t="s">
        <v>107</v>
      </c>
      <c r="L33" s="20" t="s">
        <v>130</v>
      </c>
      <c r="M33" s="21" t="s">
        <v>108</v>
      </c>
      <c r="N33" s="21"/>
      <c r="O33" s="21"/>
      <c r="P33" s="24" t="s">
        <v>191</v>
      </c>
    </row>
    <row r="34" spans="1:16" hidden="1" x14ac:dyDescent="0.3">
      <c r="A34" s="20">
        <f t="shared" si="0"/>
        <v>33</v>
      </c>
      <c r="B34" s="21" t="s">
        <v>87</v>
      </c>
      <c r="C34" s="21" t="s">
        <v>91</v>
      </c>
      <c r="D34" s="22" t="str">
        <f>IF($C34="","",IFERROR(VLOOKUP($C34,Map_Register!$A$2:$C$5,3,FALSE()),""))</f>
        <v>Cultural Heritage Area</v>
      </c>
      <c r="E34" s="21" t="s">
        <v>104</v>
      </c>
      <c r="F34" s="23">
        <v>27083</v>
      </c>
      <c r="G34" s="20" t="s">
        <v>111</v>
      </c>
      <c r="H34" s="20" t="s">
        <v>192</v>
      </c>
      <c r="I34" s="20" t="s">
        <v>8</v>
      </c>
      <c r="J34" s="20" t="s">
        <v>107</v>
      </c>
      <c r="K34" s="20" t="s">
        <v>107</v>
      </c>
      <c r="L34" s="20" t="s">
        <v>130</v>
      </c>
      <c r="M34" s="21" t="s">
        <v>108</v>
      </c>
      <c r="N34" s="21"/>
      <c r="O34" s="21"/>
      <c r="P34" s="24" t="s">
        <v>193</v>
      </c>
    </row>
    <row r="35" spans="1:16" hidden="1" x14ac:dyDescent="0.3">
      <c r="A35" s="20">
        <f t="shared" si="0"/>
        <v>34</v>
      </c>
      <c r="B35" s="21" t="s">
        <v>87</v>
      </c>
      <c r="C35" s="21" t="s">
        <v>91</v>
      </c>
      <c r="D35" s="22" t="str">
        <f>IF($C35="","",IFERROR(VLOOKUP($C35,Map_Register!$A$2:$C$5,3,FALSE()),""))</f>
        <v>Cultural Heritage Area</v>
      </c>
      <c r="E35" s="21" t="s">
        <v>104</v>
      </c>
      <c r="F35" s="23">
        <v>27086</v>
      </c>
      <c r="G35" s="20" t="s">
        <v>111</v>
      </c>
      <c r="H35" s="20" t="s">
        <v>194</v>
      </c>
      <c r="I35" s="20" t="s">
        <v>8</v>
      </c>
      <c r="J35" s="20" t="s">
        <v>107</v>
      </c>
      <c r="K35" s="20" t="s">
        <v>107</v>
      </c>
      <c r="L35" s="20" t="s">
        <v>130</v>
      </c>
      <c r="M35" s="21" t="s">
        <v>108</v>
      </c>
      <c r="N35" s="21"/>
      <c r="O35" s="21"/>
      <c r="P35" s="24" t="s">
        <v>195</v>
      </c>
    </row>
    <row r="36" spans="1:16" hidden="1" x14ac:dyDescent="0.3">
      <c r="A36" s="20">
        <f t="shared" si="0"/>
        <v>35</v>
      </c>
      <c r="B36" s="21" t="s">
        <v>87</v>
      </c>
      <c r="C36" s="21" t="s">
        <v>91</v>
      </c>
      <c r="D36" s="22" t="str">
        <f>IF($C36="","",IFERROR(VLOOKUP($C36,Map_Register!$A$2:$C$5,3,FALSE()),""))</f>
        <v>Cultural Heritage Area</v>
      </c>
      <c r="E36" s="21" t="s">
        <v>104</v>
      </c>
      <c r="F36" s="23">
        <v>27087</v>
      </c>
      <c r="G36" s="20" t="s">
        <v>111</v>
      </c>
      <c r="H36" s="20" t="s">
        <v>196</v>
      </c>
      <c r="I36" s="20" t="s">
        <v>8</v>
      </c>
      <c r="J36" s="20" t="s">
        <v>107</v>
      </c>
      <c r="K36" s="20" t="s">
        <v>107</v>
      </c>
      <c r="L36" s="20" t="s">
        <v>130</v>
      </c>
      <c r="M36" s="21" t="s">
        <v>108</v>
      </c>
      <c r="N36" s="21"/>
      <c r="O36" s="21"/>
      <c r="P36" s="24" t="s">
        <v>197</v>
      </c>
    </row>
    <row r="37" spans="1:16" hidden="1" x14ac:dyDescent="0.3">
      <c r="A37" s="20">
        <f t="shared" si="0"/>
        <v>36</v>
      </c>
      <c r="B37" s="21" t="s">
        <v>87</v>
      </c>
      <c r="C37" s="21" t="s">
        <v>91</v>
      </c>
      <c r="D37" s="22" t="str">
        <f>IF($C37="","",IFERROR(VLOOKUP($C37,Map_Register!$A$2:$C$5,3,FALSE()),""))</f>
        <v>Cultural Heritage Area</v>
      </c>
      <c r="E37" s="21" t="s">
        <v>104</v>
      </c>
      <c r="F37" s="23">
        <v>27088</v>
      </c>
      <c r="G37" s="20" t="s">
        <v>111</v>
      </c>
      <c r="H37" s="20" t="s">
        <v>198</v>
      </c>
      <c r="I37" s="20" t="s">
        <v>8</v>
      </c>
      <c r="J37" s="20" t="s">
        <v>107</v>
      </c>
      <c r="K37" s="20" t="s">
        <v>107</v>
      </c>
      <c r="L37" s="20" t="s">
        <v>130</v>
      </c>
      <c r="M37" s="21" t="s">
        <v>108</v>
      </c>
      <c r="N37" s="21"/>
      <c r="O37" s="21"/>
      <c r="P37" s="24" t="s">
        <v>199</v>
      </c>
    </row>
    <row r="38" spans="1:16" hidden="1" x14ac:dyDescent="0.3">
      <c r="A38" s="20">
        <f t="shared" si="0"/>
        <v>37</v>
      </c>
      <c r="B38" s="21" t="s">
        <v>87</v>
      </c>
      <c r="C38" s="21" t="s">
        <v>91</v>
      </c>
      <c r="D38" s="22" t="str">
        <f>IF($C38="","",IFERROR(VLOOKUP($C38,Map_Register!$A$2:$C$5,3,FALSE()),""))</f>
        <v>Cultural Heritage Area</v>
      </c>
      <c r="E38" s="21" t="s">
        <v>104</v>
      </c>
      <c r="F38" s="23">
        <v>28207</v>
      </c>
      <c r="G38" s="20" t="s">
        <v>111</v>
      </c>
      <c r="H38" s="20" t="s">
        <v>200</v>
      </c>
      <c r="I38" s="20" t="s">
        <v>8</v>
      </c>
      <c r="J38" s="20" t="s">
        <v>107</v>
      </c>
      <c r="K38" s="20" t="s">
        <v>107</v>
      </c>
      <c r="L38" s="20" t="s">
        <v>125</v>
      </c>
      <c r="M38" s="21" t="s">
        <v>108</v>
      </c>
      <c r="N38" s="21"/>
      <c r="O38" s="21"/>
      <c r="P38" s="24" t="s">
        <v>201</v>
      </c>
    </row>
    <row r="39" spans="1:16" hidden="1" x14ac:dyDescent="0.3">
      <c r="A39" s="20">
        <f t="shared" si="0"/>
        <v>38</v>
      </c>
      <c r="B39" s="21" t="s">
        <v>87</v>
      </c>
      <c r="C39" s="21" t="s">
        <v>91</v>
      </c>
      <c r="D39" s="22" t="str">
        <f>IF($C39="","",IFERROR(VLOOKUP($C39,Map_Register!$A$2:$C$5,3,FALSE()),""))</f>
        <v>Cultural Heritage Area</v>
      </c>
      <c r="E39" s="21" t="s">
        <v>104</v>
      </c>
      <c r="F39" s="23">
        <v>38477</v>
      </c>
      <c r="G39" s="20" t="s">
        <v>111</v>
      </c>
      <c r="H39" s="20" t="s">
        <v>202</v>
      </c>
      <c r="I39" s="20" t="s">
        <v>8</v>
      </c>
      <c r="J39" s="20" t="s">
        <v>107</v>
      </c>
      <c r="K39" s="20" t="s">
        <v>107</v>
      </c>
      <c r="L39" s="20" t="s">
        <v>125</v>
      </c>
      <c r="M39" s="21" t="s">
        <v>108</v>
      </c>
      <c r="N39" s="21"/>
      <c r="O39" s="21"/>
      <c r="P39" s="24" t="s">
        <v>203</v>
      </c>
    </row>
    <row r="40" spans="1:16" hidden="1" x14ac:dyDescent="0.3">
      <c r="A40" s="20">
        <f t="shared" si="0"/>
        <v>39</v>
      </c>
      <c r="B40" s="21" t="s">
        <v>87</v>
      </c>
      <c r="C40" s="21" t="s">
        <v>91</v>
      </c>
      <c r="D40" s="22" t="str">
        <f>IF($C40="","",IFERROR(VLOOKUP($C40,Map_Register!$A$2:$C$5,3,FALSE()),""))</f>
        <v>Cultural Heritage Area</v>
      </c>
      <c r="E40" s="21" t="s">
        <v>104</v>
      </c>
      <c r="F40" s="23">
        <v>38719</v>
      </c>
      <c r="G40" s="20" t="s">
        <v>111</v>
      </c>
      <c r="H40" s="20" t="s">
        <v>204</v>
      </c>
      <c r="I40" s="20" t="s">
        <v>8</v>
      </c>
      <c r="J40" s="20" t="s">
        <v>107</v>
      </c>
      <c r="K40" s="20" t="s">
        <v>107</v>
      </c>
      <c r="L40" s="20" t="s">
        <v>205</v>
      </c>
      <c r="M40" s="21" t="s">
        <v>108</v>
      </c>
      <c r="N40" s="21"/>
      <c r="O40" s="21"/>
      <c r="P40" s="24" t="s">
        <v>206</v>
      </c>
    </row>
    <row r="41" spans="1:16" hidden="1" x14ac:dyDescent="0.3">
      <c r="A41" s="20">
        <f t="shared" si="0"/>
        <v>40</v>
      </c>
      <c r="B41" s="21" t="s">
        <v>87</v>
      </c>
      <c r="C41" s="21" t="s">
        <v>91</v>
      </c>
      <c r="D41" s="22" t="str">
        <f>IF($C41="","",IFERROR(VLOOKUP($C41,Map_Register!$A$2:$C$5,3,FALSE()),""))</f>
        <v>Cultural Heritage Area</v>
      </c>
      <c r="E41" s="21" t="s">
        <v>104</v>
      </c>
      <c r="F41" s="23">
        <v>38723</v>
      </c>
      <c r="G41" s="20" t="s">
        <v>207</v>
      </c>
      <c r="H41" s="20" t="s">
        <v>208</v>
      </c>
      <c r="I41" s="20" t="s">
        <v>8</v>
      </c>
      <c r="J41" s="20" t="s">
        <v>107</v>
      </c>
      <c r="K41" s="20" t="s">
        <v>107</v>
      </c>
      <c r="L41" s="20" t="s">
        <v>209</v>
      </c>
      <c r="M41" s="21" t="s">
        <v>108</v>
      </c>
      <c r="N41" s="21"/>
      <c r="O41" s="21"/>
      <c r="P41" s="24" t="s">
        <v>210</v>
      </c>
    </row>
    <row r="42" spans="1:16" hidden="1" x14ac:dyDescent="0.3">
      <c r="A42" s="20">
        <f t="shared" si="0"/>
        <v>41</v>
      </c>
      <c r="B42" s="21" t="s">
        <v>87</v>
      </c>
      <c r="C42" s="21" t="s">
        <v>91</v>
      </c>
      <c r="D42" s="22" t="str">
        <f>IF($C42="","",IFERROR(VLOOKUP($C42,Map_Register!$A$2:$C$5,3,FALSE()),""))</f>
        <v>Cultural Heritage Area</v>
      </c>
      <c r="E42" s="21" t="s">
        <v>104</v>
      </c>
      <c r="F42" s="23">
        <v>40904</v>
      </c>
      <c r="G42" s="20" t="s">
        <v>167</v>
      </c>
      <c r="H42" s="20" t="s">
        <v>211</v>
      </c>
      <c r="I42" s="20" t="s">
        <v>6</v>
      </c>
      <c r="J42" s="20" t="s">
        <v>137</v>
      </c>
      <c r="K42" s="20" t="s">
        <v>137</v>
      </c>
      <c r="L42" s="20" t="s">
        <v>186</v>
      </c>
      <c r="M42" s="21"/>
      <c r="N42" s="21"/>
      <c r="O42" s="21"/>
      <c r="P42" s="24" t="s">
        <v>212</v>
      </c>
    </row>
    <row r="43" spans="1:16" hidden="1" x14ac:dyDescent="0.3">
      <c r="A43" s="20">
        <f t="shared" si="0"/>
        <v>42</v>
      </c>
      <c r="B43" s="21" t="s">
        <v>87</v>
      </c>
      <c r="C43" s="21" t="s">
        <v>91</v>
      </c>
      <c r="D43" s="22" t="str">
        <f>IF($C43="","",IFERROR(VLOOKUP($C43,Map_Register!$A$2:$C$5,3,FALSE()),""))</f>
        <v>Cultural Heritage Area</v>
      </c>
      <c r="E43" s="21" t="s">
        <v>104</v>
      </c>
      <c r="F43" s="23">
        <v>49261</v>
      </c>
      <c r="G43" s="20" t="s">
        <v>207</v>
      </c>
      <c r="H43" s="20" t="s">
        <v>213</v>
      </c>
      <c r="I43" s="20" t="s">
        <v>6</v>
      </c>
      <c r="J43" s="20" t="s">
        <v>137</v>
      </c>
      <c r="K43" s="20" t="s">
        <v>137</v>
      </c>
      <c r="L43" s="20" t="s">
        <v>214</v>
      </c>
      <c r="M43" s="21"/>
      <c r="N43" s="21"/>
      <c r="O43" s="21"/>
      <c r="P43" s="24" t="s">
        <v>215</v>
      </c>
    </row>
    <row r="44" spans="1:16" hidden="1" x14ac:dyDescent="0.3">
      <c r="A44" s="20">
        <f t="shared" si="0"/>
        <v>43</v>
      </c>
      <c r="B44" s="21" t="s">
        <v>87</v>
      </c>
      <c r="C44" s="21" t="s">
        <v>91</v>
      </c>
      <c r="D44" s="22" t="str">
        <f>IF($C44="","",IFERROR(VLOOKUP($C44,Map_Register!$A$2:$C$5,3,FALSE()),""))</f>
        <v>Cultural Heritage Area</v>
      </c>
      <c r="E44" s="21" t="s">
        <v>104</v>
      </c>
      <c r="F44" s="23">
        <v>49266</v>
      </c>
      <c r="G44" s="20" t="s">
        <v>207</v>
      </c>
      <c r="H44" s="20" t="s">
        <v>216</v>
      </c>
      <c r="I44" s="20" t="s">
        <v>6</v>
      </c>
      <c r="J44" s="20" t="s">
        <v>137</v>
      </c>
      <c r="K44" s="20" t="s">
        <v>137</v>
      </c>
      <c r="L44" s="20" t="s">
        <v>217</v>
      </c>
      <c r="M44" s="21"/>
      <c r="N44" s="21"/>
      <c r="O44" s="21"/>
      <c r="P44" s="24" t="s">
        <v>218</v>
      </c>
    </row>
    <row r="45" spans="1:16" hidden="1" x14ac:dyDescent="0.3">
      <c r="A45" s="20">
        <f t="shared" si="0"/>
        <v>44</v>
      </c>
      <c r="B45" s="21" t="s">
        <v>87</v>
      </c>
      <c r="C45" s="21" t="s">
        <v>91</v>
      </c>
      <c r="D45" s="22" t="str">
        <f>IF($C45="","",IFERROR(VLOOKUP($C45,Map_Register!$A$2:$C$5,3,FALSE()),""))</f>
        <v>Cultural Heritage Area</v>
      </c>
      <c r="E45" s="21" t="s">
        <v>104</v>
      </c>
      <c r="F45" s="23">
        <v>49268</v>
      </c>
      <c r="G45" s="20" t="s">
        <v>207</v>
      </c>
      <c r="H45" s="20" t="s">
        <v>219</v>
      </c>
      <c r="I45" s="20" t="s">
        <v>220</v>
      </c>
      <c r="J45" s="20" t="s">
        <v>137</v>
      </c>
      <c r="K45" s="20" t="s">
        <v>137</v>
      </c>
      <c r="L45" s="20" t="s">
        <v>221</v>
      </c>
      <c r="M45" s="21"/>
      <c r="N45" s="21"/>
      <c r="O45" s="21" t="s">
        <v>222</v>
      </c>
      <c r="P45" s="24" t="s">
        <v>223</v>
      </c>
    </row>
    <row r="46" spans="1:16" hidden="1" x14ac:dyDescent="0.3">
      <c r="A46" s="20">
        <f t="shared" si="0"/>
        <v>45</v>
      </c>
      <c r="B46" s="21" t="s">
        <v>87</v>
      </c>
      <c r="C46" s="21" t="s">
        <v>91</v>
      </c>
      <c r="D46" s="22" t="str">
        <f>IF($C46="","",IFERROR(VLOOKUP($C46,Map_Register!$A$2:$C$5,3,FALSE()),""))</f>
        <v>Cultural Heritage Area</v>
      </c>
      <c r="E46" s="21" t="s">
        <v>104</v>
      </c>
      <c r="F46" s="23">
        <v>49270</v>
      </c>
      <c r="G46" s="20" t="s">
        <v>207</v>
      </c>
      <c r="H46" s="20" t="s">
        <v>224</v>
      </c>
      <c r="I46" s="20" t="s">
        <v>6</v>
      </c>
      <c r="J46" s="20" t="s">
        <v>137</v>
      </c>
      <c r="K46" s="20" t="s">
        <v>137</v>
      </c>
      <c r="L46" s="20" t="s">
        <v>225</v>
      </c>
      <c r="M46" s="21"/>
      <c r="N46" s="21"/>
      <c r="O46" s="21"/>
      <c r="P46" s="24" t="s">
        <v>226</v>
      </c>
    </row>
    <row r="47" spans="1:16" hidden="1" x14ac:dyDescent="0.3">
      <c r="A47" s="20">
        <f t="shared" si="0"/>
        <v>46</v>
      </c>
      <c r="B47" s="21" t="s">
        <v>87</v>
      </c>
      <c r="C47" s="21" t="s">
        <v>91</v>
      </c>
      <c r="D47" s="22" t="str">
        <f>IF($C47="","",IFERROR(VLOOKUP($C47,Map_Register!$A$2:$C$5,3,FALSE()),""))</f>
        <v>Cultural Heritage Area</v>
      </c>
      <c r="E47" s="21" t="s">
        <v>104</v>
      </c>
      <c r="F47" s="23">
        <v>49271</v>
      </c>
      <c r="G47" s="20" t="s">
        <v>207</v>
      </c>
      <c r="H47" s="20" t="s">
        <v>227</v>
      </c>
      <c r="I47" s="20" t="s">
        <v>6</v>
      </c>
      <c r="J47" s="20" t="s">
        <v>137</v>
      </c>
      <c r="K47" s="20" t="s">
        <v>137</v>
      </c>
      <c r="L47" s="20" t="s">
        <v>225</v>
      </c>
      <c r="M47" s="21"/>
      <c r="N47" s="21"/>
      <c r="O47" s="21"/>
      <c r="P47" s="24" t="s">
        <v>228</v>
      </c>
    </row>
    <row r="48" spans="1:16" hidden="1" x14ac:dyDescent="0.3">
      <c r="A48" s="20">
        <f t="shared" si="0"/>
        <v>47</v>
      </c>
      <c r="B48" s="21" t="s">
        <v>87</v>
      </c>
      <c r="C48" s="21" t="s">
        <v>91</v>
      </c>
      <c r="D48" s="22" t="str">
        <f>IF($C48="","",IFERROR(VLOOKUP($C48,Map_Register!$A$2:$C$5,3,FALSE()),""))</f>
        <v>Cultural Heritage Area</v>
      </c>
      <c r="E48" s="21" t="s">
        <v>104</v>
      </c>
      <c r="F48" s="23">
        <v>49272</v>
      </c>
      <c r="G48" s="20" t="s">
        <v>207</v>
      </c>
      <c r="H48" s="20" t="s">
        <v>229</v>
      </c>
      <c r="I48" s="20" t="s">
        <v>6</v>
      </c>
      <c r="J48" s="20" t="s">
        <v>137</v>
      </c>
      <c r="K48" s="20" t="s">
        <v>137</v>
      </c>
      <c r="L48" s="20" t="s">
        <v>230</v>
      </c>
      <c r="M48" s="21"/>
      <c r="N48" s="21"/>
      <c r="O48" s="21"/>
      <c r="P48" s="24" t="s">
        <v>231</v>
      </c>
    </row>
    <row r="49" spans="1:16" hidden="1" x14ac:dyDescent="0.3">
      <c r="A49" s="20">
        <f t="shared" si="0"/>
        <v>48</v>
      </c>
      <c r="B49" s="21" t="s">
        <v>87</v>
      </c>
      <c r="C49" s="21" t="s">
        <v>91</v>
      </c>
      <c r="D49" s="22" t="str">
        <f>IF($C49="","",IFERROR(VLOOKUP($C49,Map_Register!$A$2:$C$5,3,FALSE()),""))</f>
        <v>Cultural Heritage Area</v>
      </c>
      <c r="E49" s="21" t="s">
        <v>104</v>
      </c>
      <c r="F49" s="23">
        <v>49273</v>
      </c>
      <c r="G49" s="20" t="s">
        <v>207</v>
      </c>
      <c r="H49" s="20" t="s">
        <v>232</v>
      </c>
      <c r="I49" s="20" t="s">
        <v>8</v>
      </c>
      <c r="J49" s="20" t="s">
        <v>107</v>
      </c>
      <c r="K49" s="20" t="s">
        <v>107</v>
      </c>
      <c r="L49" s="20" t="s">
        <v>209</v>
      </c>
      <c r="M49" s="21" t="s">
        <v>108</v>
      </c>
      <c r="N49" s="21"/>
      <c r="O49" s="21"/>
      <c r="P49" s="24" t="s">
        <v>233</v>
      </c>
    </row>
    <row r="50" spans="1:16" hidden="1" x14ac:dyDescent="0.3">
      <c r="A50" s="20">
        <f t="shared" si="0"/>
        <v>49</v>
      </c>
      <c r="B50" s="21" t="s">
        <v>87</v>
      </c>
      <c r="C50" s="21" t="s">
        <v>91</v>
      </c>
      <c r="D50" s="22" t="str">
        <f>IF($C50="","",IFERROR(VLOOKUP($C50,Map_Register!$A$2:$C$5,3,FALSE()),""))</f>
        <v>Cultural Heritage Area</v>
      </c>
      <c r="E50" s="21" t="s">
        <v>104</v>
      </c>
      <c r="F50" s="23">
        <v>49278</v>
      </c>
      <c r="G50" s="20" t="s">
        <v>207</v>
      </c>
      <c r="H50" s="20" t="s">
        <v>234</v>
      </c>
      <c r="I50" s="20" t="s">
        <v>6</v>
      </c>
      <c r="J50" s="20" t="s">
        <v>137</v>
      </c>
      <c r="K50" s="20" t="s">
        <v>137</v>
      </c>
      <c r="L50" s="20" t="s">
        <v>235</v>
      </c>
      <c r="M50" s="21"/>
      <c r="N50" s="21"/>
      <c r="O50" s="21"/>
      <c r="P50" s="24" t="s">
        <v>236</v>
      </c>
    </row>
    <row r="51" spans="1:16" hidden="1" x14ac:dyDescent="0.3">
      <c r="A51" s="20">
        <f t="shared" si="0"/>
        <v>50</v>
      </c>
      <c r="B51" s="21" t="s">
        <v>87</v>
      </c>
      <c r="C51" s="21" t="s">
        <v>91</v>
      </c>
      <c r="D51" s="22" t="str">
        <f>IF($C51="","",IFERROR(VLOOKUP($C51,Map_Register!$A$2:$C$5,3,FALSE()),""))</f>
        <v>Cultural Heritage Area</v>
      </c>
      <c r="E51" s="21" t="s">
        <v>104</v>
      </c>
      <c r="F51" s="23">
        <v>49279</v>
      </c>
      <c r="G51" s="20" t="s">
        <v>207</v>
      </c>
      <c r="H51" s="20" t="s">
        <v>237</v>
      </c>
      <c r="I51" s="20" t="s">
        <v>8</v>
      </c>
      <c r="J51" s="20" t="s">
        <v>107</v>
      </c>
      <c r="K51" s="20" t="s">
        <v>107</v>
      </c>
      <c r="L51" s="20" t="s">
        <v>238</v>
      </c>
      <c r="M51" s="21" t="s">
        <v>108</v>
      </c>
      <c r="N51" s="21"/>
      <c r="O51" s="21"/>
      <c r="P51" s="24" t="s">
        <v>239</v>
      </c>
    </row>
    <row r="52" spans="1:16" hidden="1" x14ac:dyDescent="0.3">
      <c r="A52" s="20">
        <f t="shared" si="0"/>
        <v>51</v>
      </c>
      <c r="B52" s="21" t="s">
        <v>87</v>
      </c>
      <c r="C52" s="21" t="s">
        <v>91</v>
      </c>
      <c r="D52" s="22" t="str">
        <f>IF($C52="","",IFERROR(VLOOKUP($C52,Map_Register!$A$2:$C$5,3,FALSE()),""))</f>
        <v>Cultural Heritage Area</v>
      </c>
      <c r="E52" s="21" t="s">
        <v>104</v>
      </c>
      <c r="F52" s="23">
        <v>49284</v>
      </c>
      <c r="G52" s="20" t="s">
        <v>207</v>
      </c>
      <c r="H52" s="20" t="s">
        <v>240</v>
      </c>
      <c r="I52" s="20" t="s">
        <v>6</v>
      </c>
      <c r="J52" s="20" t="s">
        <v>137</v>
      </c>
      <c r="K52" s="20" t="s">
        <v>137</v>
      </c>
      <c r="L52" s="20" t="s">
        <v>241</v>
      </c>
      <c r="M52" s="21"/>
      <c r="N52" s="21"/>
      <c r="O52" s="21"/>
      <c r="P52" s="24" t="s">
        <v>242</v>
      </c>
    </row>
    <row r="53" spans="1:16" hidden="1" x14ac:dyDescent="0.3">
      <c r="A53" s="20">
        <f t="shared" si="0"/>
        <v>52</v>
      </c>
      <c r="B53" s="21" t="s">
        <v>87</v>
      </c>
      <c r="C53" s="21" t="s">
        <v>91</v>
      </c>
      <c r="D53" s="22" t="str">
        <f>IF($C53="","",IFERROR(VLOOKUP($C53,Map_Register!$A$2:$C$5,3,FALSE()),""))</f>
        <v>Cultural Heritage Area</v>
      </c>
      <c r="E53" s="21" t="s">
        <v>104</v>
      </c>
      <c r="F53" s="23">
        <v>49285</v>
      </c>
      <c r="G53" s="20" t="s">
        <v>207</v>
      </c>
      <c r="H53" s="20" t="s">
        <v>243</v>
      </c>
      <c r="I53" s="20" t="s">
        <v>6</v>
      </c>
      <c r="J53" s="20" t="s">
        <v>137</v>
      </c>
      <c r="K53" s="20" t="s">
        <v>137</v>
      </c>
      <c r="L53" s="20" t="s">
        <v>244</v>
      </c>
      <c r="M53" s="21"/>
      <c r="N53" s="21"/>
      <c r="O53" s="21"/>
      <c r="P53" s="24" t="s">
        <v>245</v>
      </c>
    </row>
    <row r="54" spans="1:16" hidden="1" x14ac:dyDescent="0.3">
      <c r="A54" s="20">
        <f t="shared" si="0"/>
        <v>53</v>
      </c>
      <c r="B54" s="21" t="s">
        <v>87</v>
      </c>
      <c r="C54" s="21" t="s">
        <v>91</v>
      </c>
      <c r="D54" s="22" t="str">
        <f>IF($C54="","",IFERROR(VLOOKUP($C54,Map_Register!$A$2:$C$5,3,FALSE()),""))</f>
        <v>Cultural Heritage Area</v>
      </c>
      <c r="E54" s="21" t="s">
        <v>104</v>
      </c>
      <c r="F54" s="23">
        <v>49286</v>
      </c>
      <c r="G54" s="20" t="s">
        <v>207</v>
      </c>
      <c r="H54" s="20" t="s">
        <v>246</v>
      </c>
      <c r="I54" s="20" t="s">
        <v>220</v>
      </c>
      <c r="J54" s="20" t="s">
        <v>137</v>
      </c>
      <c r="K54" s="20" t="s">
        <v>137</v>
      </c>
      <c r="L54" s="20" t="s">
        <v>247</v>
      </c>
      <c r="M54" s="21"/>
      <c r="N54" s="21"/>
      <c r="O54" s="21" t="s">
        <v>222</v>
      </c>
      <c r="P54" s="24" t="s">
        <v>248</v>
      </c>
    </row>
    <row r="55" spans="1:16" hidden="1" x14ac:dyDescent="0.3">
      <c r="A55" s="20">
        <f t="shared" si="0"/>
        <v>54</v>
      </c>
      <c r="B55" s="21" t="s">
        <v>87</v>
      </c>
      <c r="C55" s="21" t="s">
        <v>91</v>
      </c>
      <c r="D55" s="22" t="str">
        <f>IF($C55="","",IFERROR(VLOOKUP($C55,Map_Register!$A$2:$C$5,3,FALSE()),""))</f>
        <v>Cultural Heritage Area</v>
      </c>
      <c r="E55" s="21" t="s">
        <v>104</v>
      </c>
      <c r="F55" s="23">
        <v>49376</v>
      </c>
      <c r="G55" s="20" t="s">
        <v>157</v>
      </c>
      <c r="H55" s="20" t="s">
        <v>249</v>
      </c>
      <c r="I55" s="20" t="s">
        <v>6</v>
      </c>
      <c r="J55" s="20" t="s">
        <v>137</v>
      </c>
      <c r="K55" s="20" t="s">
        <v>137</v>
      </c>
      <c r="L55" s="20" t="s">
        <v>250</v>
      </c>
      <c r="M55" s="21"/>
      <c r="N55" s="21"/>
      <c r="O55" s="21"/>
      <c r="P55" s="24" t="s">
        <v>251</v>
      </c>
    </row>
    <row r="56" spans="1:16" hidden="1" x14ac:dyDescent="0.3">
      <c r="A56" s="20">
        <f t="shared" si="0"/>
        <v>55</v>
      </c>
      <c r="B56" s="21" t="s">
        <v>87</v>
      </c>
      <c r="C56" s="21" t="s">
        <v>91</v>
      </c>
      <c r="D56" s="22" t="str">
        <f>IF($C56="","",IFERROR(VLOOKUP($C56,Map_Register!$A$2:$C$5,3,FALSE()),""))</f>
        <v>Cultural Heritage Area</v>
      </c>
      <c r="E56" s="21" t="s">
        <v>104</v>
      </c>
      <c r="F56" s="23">
        <v>49540</v>
      </c>
      <c r="G56" s="20" t="s">
        <v>252</v>
      </c>
      <c r="H56" s="20" t="s">
        <v>253</v>
      </c>
      <c r="I56" s="20" t="s">
        <v>6</v>
      </c>
      <c r="J56" s="20" t="s">
        <v>137</v>
      </c>
      <c r="K56" s="20" t="s">
        <v>137</v>
      </c>
      <c r="L56" s="20" t="s">
        <v>254</v>
      </c>
      <c r="M56" s="21"/>
      <c r="N56" s="21"/>
      <c r="O56" s="21"/>
      <c r="P56" s="24" t="s">
        <v>255</v>
      </c>
    </row>
    <row r="57" spans="1:16" hidden="1" x14ac:dyDescent="0.3">
      <c r="A57" s="20">
        <f t="shared" si="0"/>
        <v>56</v>
      </c>
      <c r="B57" s="21" t="s">
        <v>87</v>
      </c>
      <c r="C57" s="21" t="s">
        <v>91</v>
      </c>
      <c r="D57" s="22" t="str">
        <f>IF($C57="","",IFERROR(VLOOKUP($C57,Map_Register!$A$2:$C$5,3,FALSE()),""))</f>
        <v>Cultural Heritage Area</v>
      </c>
      <c r="E57" s="21" t="s">
        <v>104</v>
      </c>
      <c r="F57" s="23">
        <v>49553</v>
      </c>
      <c r="G57" s="20" t="s">
        <v>252</v>
      </c>
      <c r="H57" s="20" t="s">
        <v>256</v>
      </c>
      <c r="I57" s="20" t="s">
        <v>6</v>
      </c>
      <c r="J57" s="20" t="s">
        <v>137</v>
      </c>
      <c r="K57" s="20" t="s">
        <v>137</v>
      </c>
      <c r="L57" s="20" t="s">
        <v>244</v>
      </c>
      <c r="M57" s="21"/>
      <c r="N57" s="21"/>
      <c r="O57" s="21"/>
      <c r="P57" s="24" t="s">
        <v>257</v>
      </c>
    </row>
    <row r="58" spans="1:16" hidden="1" x14ac:dyDescent="0.3">
      <c r="A58" s="20">
        <f t="shared" si="0"/>
        <v>57</v>
      </c>
      <c r="B58" s="21" t="s">
        <v>87</v>
      </c>
      <c r="C58" s="21" t="s">
        <v>91</v>
      </c>
      <c r="D58" s="22" t="str">
        <f>IF($C58="","",IFERROR(VLOOKUP($C58,Map_Register!$A$2:$C$5,3,FALSE()),""))</f>
        <v>Cultural Heritage Area</v>
      </c>
      <c r="E58" s="21" t="s">
        <v>104</v>
      </c>
      <c r="F58" s="23">
        <v>49554</v>
      </c>
      <c r="G58" s="20" t="s">
        <v>252</v>
      </c>
      <c r="H58" s="20" t="s">
        <v>258</v>
      </c>
      <c r="I58" s="20" t="s">
        <v>6</v>
      </c>
      <c r="J58" s="20" t="s">
        <v>137</v>
      </c>
      <c r="K58" s="20" t="s">
        <v>137</v>
      </c>
      <c r="L58" s="20" t="s">
        <v>244</v>
      </c>
      <c r="M58" s="21"/>
      <c r="N58" s="21"/>
      <c r="O58" s="21"/>
      <c r="P58" s="24" t="s">
        <v>259</v>
      </c>
    </row>
    <row r="59" spans="1:16" hidden="1" x14ac:dyDescent="0.3">
      <c r="A59" s="20">
        <f t="shared" si="0"/>
        <v>58</v>
      </c>
      <c r="B59" s="21" t="s">
        <v>87</v>
      </c>
      <c r="C59" s="21" t="s">
        <v>91</v>
      </c>
      <c r="D59" s="22" t="str">
        <f>IF($C59="","",IFERROR(VLOOKUP($C59,Map_Register!$A$2:$C$5,3,FALSE()),""))</f>
        <v>Cultural Heritage Area</v>
      </c>
      <c r="E59" s="21" t="s">
        <v>104</v>
      </c>
      <c r="F59" s="23">
        <v>49565</v>
      </c>
      <c r="G59" s="20" t="s">
        <v>252</v>
      </c>
      <c r="H59" s="20" t="s">
        <v>260</v>
      </c>
      <c r="I59" s="20" t="s">
        <v>6</v>
      </c>
      <c r="J59" s="20" t="s">
        <v>137</v>
      </c>
      <c r="K59" s="20" t="s">
        <v>137</v>
      </c>
      <c r="L59" s="20" t="s">
        <v>244</v>
      </c>
      <c r="M59" s="21"/>
      <c r="N59" s="21"/>
      <c r="O59" s="21"/>
      <c r="P59" s="24" t="s">
        <v>261</v>
      </c>
    </row>
    <row r="60" spans="1:16" hidden="1" x14ac:dyDescent="0.3">
      <c r="A60" s="20">
        <f t="shared" si="0"/>
        <v>59</v>
      </c>
      <c r="B60" s="21" t="s">
        <v>87</v>
      </c>
      <c r="C60" s="21" t="s">
        <v>91</v>
      </c>
      <c r="D60" s="22" t="str">
        <f>IF($C60="","",IFERROR(VLOOKUP($C60,Map_Register!$A$2:$C$5,3,FALSE()),""))</f>
        <v>Cultural Heritage Area</v>
      </c>
      <c r="E60" s="21" t="s">
        <v>104</v>
      </c>
      <c r="F60" s="23">
        <v>57015</v>
      </c>
      <c r="G60" s="20" t="s">
        <v>163</v>
      </c>
      <c r="H60" s="20" t="s">
        <v>262</v>
      </c>
      <c r="I60" s="20" t="s">
        <v>6</v>
      </c>
      <c r="J60" s="20" t="s">
        <v>137</v>
      </c>
      <c r="K60" s="20" t="s">
        <v>137</v>
      </c>
      <c r="L60" s="20" t="s">
        <v>244</v>
      </c>
      <c r="M60" s="21"/>
      <c r="N60" s="21"/>
      <c r="O60" s="21"/>
      <c r="P60" s="24" t="s">
        <v>263</v>
      </c>
    </row>
    <row r="61" spans="1:16" hidden="1" x14ac:dyDescent="0.3">
      <c r="A61" s="20">
        <f t="shared" si="0"/>
        <v>60</v>
      </c>
      <c r="B61" s="21" t="s">
        <v>87</v>
      </c>
      <c r="C61" s="21" t="s">
        <v>91</v>
      </c>
      <c r="D61" s="22" t="str">
        <f>IF($C61="","",IFERROR(VLOOKUP($C61,Map_Register!$A$2:$C$5,3,FALSE()),""))</f>
        <v>Cultural Heritage Area</v>
      </c>
      <c r="E61" s="21" t="s">
        <v>104</v>
      </c>
      <c r="F61" s="23">
        <v>57116</v>
      </c>
      <c r="G61" s="20" t="s">
        <v>157</v>
      </c>
      <c r="H61" s="20" t="s">
        <v>249</v>
      </c>
      <c r="I61" s="20" t="s">
        <v>6</v>
      </c>
      <c r="J61" s="20" t="s">
        <v>137</v>
      </c>
      <c r="K61" s="20" t="s">
        <v>137</v>
      </c>
      <c r="L61" s="20" t="s">
        <v>250</v>
      </c>
      <c r="M61" s="21"/>
      <c r="N61" s="21"/>
      <c r="O61" s="21"/>
      <c r="P61" s="24" t="s">
        <v>264</v>
      </c>
    </row>
    <row r="62" spans="1:16" hidden="1" x14ac:dyDescent="0.3">
      <c r="A62" s="20">
        <f t="shared" si="0"/>
        <v>61</v>
      </c>
      <c r="B62" s="21" t="s">
        <v>87</v>
      </c>
      <c r="C62" s="21" t="s">
        <v>91</v>
      </c>
      <c r="D62" s="22" t="str">
        <f>IF($C62="","",IFERROR(VLOOKUP($C62,Map_Register!$A$2:$C$5,3,FALSE()),""))</f>
        <v>Cultural Heritage Area</v>
      </c>
      <c r="E62" s="21" t="s">
        <v>104</v>
      </c>
      <c r="F62" s="23">
        <v>57391</v>
      </c>
      <c r="G62" s="20" t="s">
        <v>157</v>
      </c>
      <c r="H62" s="20" t="s">
        <v>249</v>
      </c>
      <c r="I62" s="20" t="s">
        <v>8</v>
      </c>
      <c r="J62" s="20" t="s">
        <v>107</v>
      </c>
      <c r="K62" s="20" t="s">
        <v>107</v>
      </c>
      <c r="L62" s="20" t="s">
        <v>265</v>
      </c>
      <c r="M62" s="21" t="s">
        <v>108</v>
      </c>
      <c r="N62" s="21"/>
      <c r="O62" s="21"/>
      <c r="P62" s="24" t="s">
        <v>266</v>
      </c>
    </row>
    <row r="63" spans="1:16" hidden="1" x14ac:dyDescent="0.3">
      <c r="A63" s="20">
        <f t="shared" si="0"/>
        <v>62</v>
      </c>
      <c r="B63" s="21" t="s">
        <v>87</v>
      </c>
      <c r="C63" s="21" t="s">
        <v>91</v>
      </c>
      <c r="D63" s="22" t="str">
        <f>IF($C63="","",IFERROR(VLOOKUP($C63,Map_Register!$A$2:$C$5,3,FALSE()),""))</f>
        <v>Cultural Heritage Area</v>
      </c>
      <c r="E63" s="21" t="s">
        <v>104</v>
      </c>
      <c r="F63" s="23">
        <v>57633</v>
      </c>
      <c r="G63" s="20" t="s">
        <v>157</v>
      </c>
      <c r="H63" s="20" t="s">
        <v>249</v>
      </c>
      <c r="I63" s="20" t="s">
        <v>8</v>
      </c>
      <c r="J63" s="20" t="s">
        <v>107</v>
      </c>
      <c r="K63" s="20" t="s">
        <v>107</v>
      </c>
      <c r="L63" s="20" t="s">
        <v>265</v>
      </c>
      <c r="M63" s="21" t="s">
        <v>108</v>
      </c>
      <c r="N63" s="21"/>
      <c r="O63" s="21"/>
      <c r="P63" s="24" t="s">
        <v>267</v>
      </c>
    </row>
    <row r="64" spans="1:16" hidden="1" x14ac:dyDescent="0.3">
      <c r="A64" s="20">
        <f t="shared" si="0"/>
        <v>63</v>
      </c>
      <c r="B64" s="21" t="s">
        <v>87</v>
      </c>
      <c r="C64" s="21" t="s">
        <v>91</v>
      </c>
      <c r="D64" s="22" t="str">
        <f>IF($C64="","",IFERROR(VLOOKUP($C64,Map_Register!$A$2:$C$5,3,FALSE()),""))</f>
        <v>Cultural Heritage Area</v>
      </c>
      <c r="E64" s="21" t="s">
        <v>104</v>
      </c>
      <c r="F64" s="23">
        <v>64709</v>
      </c>
      <c r="G64" s="20" t="s">
        <v>252</v>
      </c>
      <c r="H64" s="20" t="s">
        <v>268</v>
      </c>
      <c r="I64" s="20" t="s">
        <v>6</v>
      </c>
      <c r="J64" s="20" t="s">
        <v>137</v>
      </c>
      <c r="K64" s="20" t="s">
        <v>137</v>
      </c>
      <c r="L64" s="20" t="s">
        <v>244</v>
      </c>
      <c r="M64" s="21"/>
      <c r="N64" s="21"/>
      <c r="O64" s="21"/>
      <c r="P64" s="24" t="s">
        <v>269</v>
      </c>
    </row>
    <row r="65" spans="1:16" hidden="1" x14ac:dyDescent="0.3">
      <c r="A65" s="20">
        <f t="shared" si="0"/>
        <v>64</v>
      </c>
      <c r="B65" s="21" t="s">
        <v>87</v>
      </c>
      <c r="C65" s="21" t="s">
        <v>91</v>
      </c>
      <c r="D65" s="22" t="str">
        <f>IF($C65="","",IFERROR(VLOOKUP($C65,Map_Register!$A$2:$C$5,3,FALSE()),""))</f>
        <v>Cultural Heritage Area</v>
      </c>
      <c r="E65" s="21" t="s">
        <v>104</v>
      </c>
      <c r="F65" s="23">
        <v>64728</v>
      </c>
      <c r="G65" s="20" t="s">
        <v>111</v>
      </c>
      <c r="H65" s="20" t="s">
        <v>270</v>
      </c>
      <c r="I65" s="20" t="s">
        <v>8</v>
      </c>
      <c r="J65" s="20" t="s">
        <v>107</v>
      </c>
      <c r="K65" s="20" t="s">
        <v>107</v>
      </c>
      <c r="L65" s="20" t="s">
        <v>130</v>
      </c>
      <c r="M65" s="21" t="s">
        <v>108</v>
      </c>
      <c r="N65" s="21"/>
      <c r="O65" s="21"/>
      <c r="P65" s="24" t="s">
        <v>271</v>
      </c>
    </row>
    <row r="66" spans="1:16" hidden="1" x14ac:dyDescent="0.3">
      <c r="A66" s="20">
        <f t="shared" ref="A66:A129" si="1">IF($B66="","",ROW()-1)</f>
        <v>65</v>
      </c>
      <c r="B66" s="21" t="s">
        <v>87</v>
      </c>
      <c r="C66" s="21" t="s">
        <v>91</v>
      </c>
      <c r="D66" s="22" t="str">
        <f>IF($C66="","",IFERROR(VLOOKUP($C66,Map_Register!$A$2:$C$5,3,FALSE()),""))</f>
        <v>Cultural Heritage Area</v>
      </c>
      <c r="E66" s="21" t="s">
        <v>104</v>
      </c>
      <c r="F66" s="23">
        <v>64819</v>
      </c>
      <c r="G66" s="20" t="s">
        <v>111</v>
      </c>
      <c r="H66" s="20" t="s">
        <v>272</v>
      </c>
      <c r="I66" s="20" t="s">
        <v>8</v>
      </c>
      <c r="J66" s="20" t="s">
        <v>107</v>
      </c>
      <c r="K66" s="20" t="s">
        <v>107</v>
      </c>
      <c r="L66" s="20" t="s">
        <v>205</v>
      </c>
      <c r="M66" s="21" t="s">
        <v>108</v>
      </c>
      <c r="N66" s="21"/>
      <c r="O66" s="21"/>
      <c r="P66" s="24" t="s">
        <v>273</v>
      </c>
    </row>
    <row r="67" spans="1:16" hidden="1" x14ac:dyDescent="0.3">
      <c r="A67" s="20">
        <f t="shared" si="1"/>
        <v>66</v>
      </c>
      <c r="B67" s="21" t="s">
        <v>87</v>
      </c>
      <c r="C67" s="21" t="s">
        <v>91</v>
      </c>
      <c r="D67" s="22" t="str">
        <f>IF($C67="","",IFERROR(VLOOKUP($C67,Map_Register!$A$2:$C$5,3,FALSE()),""))</f>
        <v>Cultural Heritage Area</v>
      </c>
      <c r="E67" s="21" t="s">
        <v>104</v>
      </c>
      <c r="F67" s="23">
        <v>64843</v>
      </c>
      <c r="G67" s="20" t="s">
        <v>111</v>
      </c>
      <c r="H67" s="20" t="s">
        <v>274</v>
      </c>
      <c r="I67" s="20" t="s">
        <v>8</v>
      </c>
      <c r="J67" s="20" t="s">
        <v>107</v>
      </c>
      <c r="K67" s="20" t="s">
        <v>107</v>
      </c>
      <c r="L67" s="20" t="s">
        <v>130</v>
      </c>
      <c r="M67" s="21" t="s">
        <v>108</v>
      </c>
      <c r="N67" s="21"/>
      <c r="O67" s="21"/>
      <c r="P67" s="24" t="s">
        <v>275</v>
      </c>
    </row>
    <row r="68" spans="1:16" hidden="1" x14ac:dyDescent="0.3">
      <c r="A68" s="20">
        <f t="shared" si="1"/>
        <v>67</v>
      </c>
      <c r="B68" s="21" t="s">
        <v>87</v>
      </c>
      <c r="C68" s="21" t="s">
        <v>91</v>
      </c>
      <c r="D68" s="22" t="str">
        <f>IF($C68="","",IFERROR(VLOOKUP($C68,Map_Register!$A$2:$C$5,3,FALSE()),""))</f>
        <v>Cultural Heritage Area</v>
      </c>
      <c r="E68" s="21" t="s">
        <v>104</v>
      </c>
      <c r="F68" s="23">
        <v>64854</v>
      </c>
      <c r="G68" s="20" t="s">
        <v>111</v>
      </c>
      <c r="H68" s="20" t="s">
        <v>276</v>
      </c>
      <c r="I68" s="20" t="s">
        <v>8</v>
      </c>
      <c r="J68" s="20" t="s">
        <v>107</v>
      </c>
      <c r="K68" s="20" t="s">
        <v>107</v>
      </c>
      <c r="L68" s="20" t="s">
        <v>130</v>
      </c>
      <c r="M68" s="21" t="s">
        <v>108</v>
      </c>
      <c r="N68" s="21"/>
      <c r="O68" s="21"/>
      <c r="P68" s="24" t="s">
        <v>277</v>
      </c>
    </row>
    <row r="69" spans="1:16" hidden="1" x14ac:dyDescent="0.3">
      <c r="A69" s="20">
        <f t="shared" si="1"/>
        <v>68</v>
      </c>
      <c r="B69" s="21" t="s">
        <v>87</v>
      </c>
      <c r="C69" s="21" t="s">
        <v>91</v>
      </c>
      <c r="D69" s="22" t="str">
        <f>IF($C69="","",IFERROR(VLOOKUP($C69,Map_Register!$A$2:$C$5,3,FALSE()),""))</f>
        <v>Cultural Heritage Area</v>
      </c>
      <c r="E69" s="21" t="s">
        <v>104</v>
      </c>
      <c r="F69" s="23">
        <v>64855</v>
      </c>
      <c r="G69" s="20" t="s">
        <v>111</v>
      </c>
      <c r="H69" s="20" t="s">
        <v>278</v>
      </c>
      <c r="I69" s="20" t="s">
        <v>8</v>
      </c>
      <c r="J69" s="20" t="s">
        <v>107</v>
      </c>
      <c r="K69" s="20" t="s">
        <v>107</v>
      </c>
      <c r="L69" s="20" t="s">
        <v>130</v>
      </c>
      <c r="M69" s="21" t="s">
        <v>108</v>
      </c>
      <c r="N69" s="21"/>
      <c r="O69" s="21"/>
      <c r="P69" s="24" t="s">
        <v>279</v>
      </c>
    </row>
    <row r="70" spans="1:16" hidden="1" x14ac:dyDescent="0.3">
      <c r="A70" s="20">
        <f t="shared" si="1"/>
        <v>69</v>
      </c>
      <c r="B70" s="21" t="s">
        <v>87</v>
      </c>
      <c r="C70" s="21" t="s">
        <v>91</v>
      </c>
      <c r="D70" s="22" t="str">
        <f>IF($C70="","",IFERROR(VLOOKUP($C70,Map_Register!$A$2:$C$5,3,FALSE()),""))</f>
        <v>Cultural Heritage Area</v>
      </c>
      <c r="E70" s="21" t="s">
        <v>104</v>
      </c>
      <c r="F70" s="23">
        <v>64914</v>
      </c>
      <c r="G70" s="20" t="s">
        <v>207</v>
      </c>
      <c r="H70" s="20" t="s">
        <v>280</v>
      </c>
      <c r="I70" s="20" t="s">
        <v>6</v>
      </c>
      <c r="J70" s="20" t="s">
        <v>137</v>
      </c>
      <c r="K70" s="20" t="s">
        <v>137</v>
      </c>
      <c r="L70" s="20" t="s">
        <v>281</v>
      </c>
      <c r="M70" s="21"/>
      <c r="N70" s="21"/>
      <c r="O70" s="21"/>
      <c r="P70" s="24" t="s">
        <v>282</v>
      </c>
    </row>
    <row r="71" spans="1:16" hidden="1" x14ac:dyDescent="0.3">
      <c r="A71" s="20">
        <f t="shared" si="1"/>
        <v>70</v>
      </c>
      <c r="B71" s="21" t="s">
        <v>87</v>
      </c>
      <c r="C71" s="21" t="s">
        <v>91</v>
      </c>
      <c r="D71" s="22" t="str">
        <f>IF($C71="","",IFERROR(VLOOKUP($C71,Map_Register!$A$2:$C$5,3,FALSE()),""))</f>
        <v>Cultural Heritage Area</v>
      </c>
      <c r="E71" s="21" t="s">
        <v>104</v>
      </c>
      <c r="F71" s="23">
        <v>64930</v>
      </c>
      <c r="G71" s="20" t="s">
        <v>111</v>
      </c>
      <c r="H71" s="20" t="s">
        <v>283</v>
      </c>
      <c r="I71" s="20" t="s">
        <v>8</v>
      </c>
      <c r="J71" s="20" t="s">
        <v>107</v>
      </c>
      <c r="K71" s="20" t="s">
        <v>107</v>
      </c>
      <c r="L71" s="20" t="s">
        <v>130</v>
      </c>
      <c r="M71" s="21" t="s">
        <v>108</v>
      </c>
      <c r="N71" s="21"/>
      <c r="O71" s="21"/>
      <c r="P71" s="24" t="s">
        <v>284</v>
      </c>
    </row>
    <row r="72" spans="1:16" hidden="1" x14ac:dyDescent="0.3">
      <c r="A72" s="20">
        <f t="shared" si="1"/>
        <v>71</v>
      </c>
      <c r="B72" s="21" t="s">
        <v>87</v>
      </c>
      <c r="C72" s="21" t="s">
        <v>91</v>
      </c>
      <c r="D72" s="22" t="str">
        <f>IF($C72="","",IFERROR(VLOOKUP($C72,Map_Register!$A$2:$C$5,3,FALSE()),""))</f>
        <v>Cultural Heritage Area</v>
      </c>
      <c r="E72" s="21" t="s">
        <v>104</v>
      </c>
      <c r="F72" s="23">
        <v>64938</v>
      </c>
      <c r="G72" s="20" t="s">
        <v>111</v>
      </c>
      <c r="H72" s="20" t="s">
        <v>285</v>
      </c>
      <c r="I72" s="20" t="s">
        <v>8</v>
      </c>
      <c r="J72" s="20" t="s">
        <v>107</v>
      </c>
      <c r="K72" s="20" t="s">
        <v>107</v>
      </c>
      <c r="L72" s="20" t="s">
        <v>130</v>
      </c>
      <c r="M72" s="21" t="s">
        <v>108</v>
      </c>
      <c r="N72" s="21"/>
      <c r="O72" s="21"/>
      <c r="P72" s="24" t="s">
        <v>286</v>
      </c>
    </row>
    <row r="73" spans="1:16" hidden="1" x14ac:dyDescent="0.3">
      <c r="A73" s="20">
        <f t="shared" si="1"/>
        <v>72</v>
      </c>
      <c r="B73" s="21" t="s">
        <v>87</v>
      </c>
      <c r="C73" s="21" t="s">
        <v>91</v>
      </c>
      <c r="D73" s="22" t="str">
        <f>IF($C73="","",IFERROR(VLOOKUP($C73,Map_Register!$A$2:$C$5,3,FALSE()),""))</f>
        <v>Cultural Heritage Area</v>
      </c>
      <c r="E73" s="21" t="s">
        <v>104</v>
      </c>
      <c r="F73" s="23">
        <v>64962</v>
      </c>
      <c r="G73" s="20" t="s">
        <v>111</v>
      </c>
      <c r="H73" s="20" t="s">
        <v>287</v>
      </c>
      <c r="I73" s="20" t="s">
        <v>8</v>
      </c>
      <c r="J73" s="20" t="s">
        <v>107</v>
      </c>
      <c r="K73" s="20" t="s">
        <v>107</v>
      </c>
      <c r="L73" s="20" t="s">
        <v>130</v>
      </c>
      <c r="M73" s="21" t="s">
        <v>108</v>
      </c>
      <c r="N73" s="21"/>
      <c r="O73" s="21"/>
      <c r="P73" s="24" t="s">
        <v>288</v>
      </c>
    </row>
    <row r="74" spans="1:16" hidden="1" x14ac:dyDescent="0.3">
      <c r="A74" s="20">
        <f t="shared" si="1"/>
        <v>73</v>
      </c>
      <c r="B74" s="21" t="s">
        <v>87</v>
      </c>
      <c r="C74" s="21" t="s">
        <v>91</v>
      </c>
      <c r="D74" s="22" t="str">
        <f>IF($C74="","",IFERROR(VLOOKUP($C74,Map_Register!$A$2:$C$5,3,FALSE()),""))</f>
        <v>Cultural Heritage Area</v>
      </c>
      <c r="E74" s="21" t="s">
        <v>104</v>
      </c>
      <c r="F74" s="23">
        <v>64968</v>
      </c>
      <c r="G74" s="20" t="s">
        <v>252</v>
      </c>
      <c r="H74" s="20" t="s">
        <v>289</v>
      </c>
      <c r="I74" s="20" t="s">
        <v>6</v>
      </c>
      <c r="J74" s="20" t="s">
        <v>137</v>
      </c>
      <c r="K74" s="20" t="s">
        <v>137</v>
      </c>
      <c r="L74" s="20" t="s">
        <v>244</v>
      </c>
      <c r="M74" s="21"/>
      <c r="N74" s="21"/>
      <c r="O74" s="21"/>
      <c r="P74" s="24" t="s">
        <v>290</v>
      </c>
    </row>
    <row r="75" spans="1:16" hidden="1" x14ac:dyDescent="0.3">
      <c r="A75" s="20">
        <f t="shared" si="1"/>
        <v>74</v>
      </c>
      <c r="B75" s="21" t="s">
        <v>87</v>
      </c>
      <c r="C75" s="21" t="s">
        <v>91</v>
      </c>
      <c r="D75" s="22" t="str">
        <f>IF($C75="","",IFERROR(VLOOKUP($C75,Map_Register!$A$2:$C$5,3,FALSE()),""))</f>
        <v>Cultural Heritage Area</v>
      </c>
      <c r="E75" s="21" t="s">
        <v>104</v>
      </c>
      <c r="F75" s="23">
        <v>64995</v>
      </c>
      <c r="G75" s="20" t="s">
        <v>111</v>
      </c>
      <c r="H75" s="20" t="s">
        <v>291</v>
      </c>
      <c r="I75" s="20" t="s">
        <v>8</v>
      </c>
      <c r="J75" s="20" t="s">
        <v>107</v>
      </c>
      <c r="K75" s="20" t="s">
        <v>107</v>
      </c>
      <c r="L75" s="20" t="s">
        <v>130</v>
      </c>
      <c r="M75" s="21" t="s">
        <v>108</v>
      </c>
      <c r="N75" s="21"/>
      <c r="O75" s="21"/>
      <c r="P75" s="24" t="s">
        <v>292</v>
      </c>
    </row>
    <row r="76" spans="1:16" hidden="1" x14ac:dyDescent="0.3">
      <c r="A76" s="20">
        <f t="shared" si="1"/>
        <v>75</v>
      </c>
      <c r="B76" s="21" t="s">
        <v>87</v>
      </c>
      <c r="C76" s="21" t="s">
        <v>91</v>
      </c>
      <c r="D76" s="22" t="str">
        <f>IF($C76="","",IFERROR(VLOOKUP($C76,Map_Register!$A$2:$C$5,3,FALSE()),""))</f>
        <v>Cultural Heritage Area</v>
      </c>
      <c r="E76" s="21" t="s">
        <v>104</v>
      </c>
      <c r="F76" s="23">
        <v>65100</v>
      </c>
      <c r="G76" s="20" t="s">
        <v>167</v>
      </c>
      <c r="H76" s="20" t="s">
        <v>293</v>
      </c>
      <c r="I76" s="20" t="s">
        <v>6</v>
      </c>
      <c r="J76" s="20" t="s">
        <v>137</v>
      </c>
      <c r="K76" s="20" t="s">
        <v>137</v>
      </c>
      <c r="L76" s="20" t="s">
        <v>186</v>
      </c>
      <c r="M76" s="21"/>
      <c r="N76" s="21"/>
      <c r="O76" s="21"/>
      <c r="P76" s="24" t="s">
        <v>294</v>
      </c>
    </row>
    <row r="77" spans="1:16" hidden="1" x14ac:dyDescent="0.3">
      <c r="A77" s="20">
        <f t="shared" si="1"/>
        <v>76</v>
      </c>
      <c r="B77" s="21" t="s">
        <v>87</v>
      </c>
      <c r="C77" s="21" t="s">
        <v>91</v>
      </c>
      <c r="D77" s="22" t="str">
        <f>IF($C77="","",IFERROR(VLOOKUP($C77,Map_Register!$A$2:$C$5,3,FALSE()),""))</f>
        <v>Cultural Heritage Area</v>
      </c>
      <c r="E77" s="21" t="s">
        <v>104</v>
      </c>
      <c r="F77" s="23">
        <v>65130</v>
      </c>
      <c r="G77" s="20" t="s">
        <v>111</v>
      </c>
      <c r="H77" s="20" t="s">
        <v>295</v>
      </c>
      <c r="I77" s="20" t="s">
        <v>8</v>
      </c>
      <c r="J77" s="20" t="s">
        <v>107</v>
      </c>
      <c r="K77" s="20" t="s">
        <v>107</v>
      </c>
      <c r="L77" s="20" t="s">
        <v>130</v>
      </c>
      <c r="M77" s="21" t="s">
        <v>108</v>
      </c>
      <c r="N77" s="21"/>
      <c r="O77" s="21"/>
      <c r="P77" s="24" t="s">
        <v>296</v>
      </c>
    </row>
    <row r="78" spans="1:16" hidden="1" x14ac:dyDescent="0.3">
      <c r="A78" s="20">
        <f t="shared" si="1"/>
        <v>77</v>
      </c>
      <c r="B78" s="21" t="s">
        <v>87</v>
      </c>
      <c r="C78" s="21" t="s">
        <v>91</v>
      </c>
      <c r="D78" s="22" t="str">
        <f>IF($C78="","",IFERROR(VLOOKUP($C78,Map_Register!$A$2:$C$5,3,FALSE()),""))</f>
        <v>Cultural Heritage Area</v>
      </c>
      <c r="E78" s="21" t="s">
        <v>104</v>
      </c>
      <c r="F78" s="23">
        <v>65136</v>
      </c>
      <c r="G78" s="20" t="s">
        <v>111</v>
      </c>
      <c r="H78" s="20" t="s">
        <v>297</v>
      </c>
      <c r="I78" s="20" t="s">
        <v>6</v>
      </c>
      <c r="J78" s="20" t="s">
        <v>137</v>
      </c>
      <c r="K78" s="20" t="s">
        <v>137</v>
      </c>
      <c r="L78" s="20" t="s">
        <v>298</v>
      </c>
      <c r="M78" s="21"/>
      <c r="N78" s="21"/>
      <c r="O78" s="21"/>
      <c r="P78" s="24" t="s">
        <v>299</v>
      </c>
    </row>
    <row r="79" spans="1:16" hidden="1" x14ac:dyDescent="0.3">
      <c r="A79" s="20">
        <f t="shared" si="1"/>
        <v>78</v>
      </c>
      <c r="B79" s="21" t="s">
        <v>87</v>
      </c>
      <c r="C79" s="21" t="s">
        <v>91</v>
      </c>
      <c r="D79" s="22" t="str">
        <f>IF($C79="","",IFERROR(VLOOKUP($C79,Map_Register!$A$2:$C$5,3,FALSE()),""))</f>
        <v>Cultural Heritage Area</v>
      </c>
      <c r="E79" s="21" t="s">
        <v>104</v>
      </c>
      <c r="F79" s="23">
        <v>65190</v>
      </c>
      <c r="G79" s="20" t="s">
        <v>167</v>
      </c>
      <c r="H79" s="20" t="s">
        <v>300</v>
      </c>
      <c r="I79" s="20" t="s">
        <v>6</v>
      </c>
      <c r="J79" s="20" t="s">
        <v>137</v>
      </c>
      <c r="K79" s="20" t="s">
        <v>137</v>
      </c>
      <c r="L79" s="20" t="s">
        <v>186</v>
      </c>
      <c r="M79" s="21"/>
      <c r="N79" s="21"/>
      <c r="O79" s="21"/>
      <c r="P79" s="24" t="s">
        <v>301</v>
      </c>
    </row>
    <row r="80" spans="1:16" hidden="1" x14ac:dyDescent="0.3">
      <c r="A80" s="20">
        <f t="shared" si="1"/>
        <v>79</v>
      </c>
      <c r="B80" s="21" t="s">
        <v>87</v>
      </c>
      <c r="C80" s="21" t="s">
        <v>91</v>
      </c>
      <c r="D80" s="22" t="str">
        <f>IF($C80="","",IFERROR(VLOOKUP($C80,Map_Register!$A$2:$C$5,3,FALSE()),""))</f>
        <v>Cultural Heritage Area</v>
      </c>
      <c r="E80" s="21" t="s">
        <v>104</v>
      </c>
      <c r="F80" s="23">
        <v>65268</v>
      </c>
      <c r="G80" s="20" t="s">
        <v>111</v>
      </c>
      <c r="H80" s="20" t="s">
        <v>302</v>
      </c>
      <c r="I80" s="20" t="s">
        <v>8</v>
      </c>
      <c r="J80" s="20" t="s">
        <v>107</v>
      </c>
      <c r="K80" s="20" t="s">
        <v>107</v>
      </c>
      <c r="L80" s="20" t="s">
        <v>130</v>
      </c>
      <c r="M80" s="21" t="s">
        <v>108</v>
      </c>
      <c r="N80" s="21"/>
      <c r="O80" s="21"/>
      <c r="P80" s="24" t="s">
        <v>303</v>
      </c>
    </row>
    <row r="81" spans="1:16" hidden="1" x14ac:dyDescent="0.3">
      <c r="A81" s="20">
        <f t="shared" si="1"/>
        <v>80</v>
      </c>
      <c r="B81" s="21" t="s">
        <v>87</v>
      </c>
      <c r="C81" s="21" t="s">
        <v>91</v>
      </c>
      <c r="D81" s="22" t="str">
        <f>IF($C81="","",IFERROR(VLOOKUP($C81,Map_Register!$A$2:$C$5,3,FALSE()),""))</f>
        <v>Cultural Heritage Area</v>
      </c>
      <c r="E81" s="21" t="s">
        <v>104</v>
      </c>
      <c r="F81" s="23">
        <v>65274</v>
      </c>
      <c r="G81" s="20" t="s">
        <v>111</v>
      </c>
      <c r="H81" s="20" t="s">
        <v>304</v>
      </c>
      <c r="I81" s="20" t="s">
        <v>8</v>
      </c>
      <c r="J81" s="20" t="s">
        <v>107</v>
      </c>
      <c r="K81" s="20" t="s">
        <v>107</v>
      </c>
      <c r="L81" s="20" t="s">
        <v>305</v>
      </c>
      <c r="M81" s="21" t="s">
        <v>108</v>
      </c>
      <c r="N81" s="21"/>
      <c r="O81" s="21"/>
      <c r="P81" s="24" t="s">
        <v>306</v>
      </c>
    </row>
    <row r="82" spans="1:16" hidden="1" x14ac:dyDescent="0.3">
      <c r="A82" s="20">
        <f t="shared" si="1"/>
        <v>81</v>
      </c>
      <c r="B82" s="21" t="s">
        <v>87</v>
      </c>
      <c r="C82" s="21" t="s">
        <v>91</v>
      </c>
      <c r="D82" s="22" t="str">
        <f>IF($C82="","",IFERROR(VLOOKUP($C82,Map_Register!$A$2:$C$5,3,FALSE()),""))</f>
        <v>Cultural Heritage Area</v>
      </c>
      <c r="E82" s="21" t="s">
        <v>104</v>
      </c>
      <c r="F82" s="23">
        <v>65333</v>
      </c>
      <c r="G82" s="20" t="s">
        <v>111</v>
      </c>
      <c r="H82" s="20" t="s">
        <v>307</v>
      </c>
      <c r="I82" s="20" t="s">
        <v>8</v>
      </c>
      <c r="J82" s="20" t="s">
        <v>107</v>
      </c>
      <c r="K82" s="20" t="s">
        <v>107</v>
      </c>
      <c r="L82" s="20" t="s">
        <v>130</v>
      </c>
      <c r="M82" s="21" t="s">
        <v>108</v>
      </c>
      <c r="N82" s="21"/>
      <c r="O82" s="21"/>
      <c r="P82" s="24" t="s">
        <v>308</v>
      </c>
    </row>
    <row r="83" spans="1:16" hidden="1" x14ac:dyDescent="0.3">
      <c r="A83" s="20">
        <f t="shared" si="1"/>
        <v>82</v>
      </c>
      <c r="B83" s="21" t="s">
        <v>87</v>
      </c>
      <c r="C83" s="21" t="s">
        <v>91</v>
      </c>
      <c r="D83" s="22" t="str">
        <f>IF($C83="","",IFERROR(VLOOKUP($C83,Map_Register!$A$2:$C$5,3,FALSE()),""))</f>
        <v>Cultural Heritage Area</v>
      </c>
      <c r="E83" s="21" t="s">
        <v>104</v>
      </c>
      <c r="F83" s="23">
        <v>65337</v>
      </c>
      <c r="G83" s="20" t="s">
        <v>111</v>
      </c>
      <c r="H83" s="20" t="s">
        <v>309</v>
      </c>
      <c r="I83" s="20" t="s">
        <v>8</v>
      </c>
      <c r="J83" s="20" t="s">
        <v>107</v>
      </c>
      <c r="K83" s="20" t="s">
        <v>107</v>
      </c>
      <c r="L83" s="20" t="s">
        <v>130</v>
      </c>
      <c r="M83" s="21" t="s">
        <v>108</v>
      </c>
      <c r="N83" s="21"/>
      <c r="O83" s="21"/>
      <c r="P83" s="24" t="s">
        <v>310</v>
      </c>
    </row>
    <row r="84" spans="1:16" hidden="1" x14ac:dyDescent="0.3">
      <c r="A84" s="20">
        <f t="shared" si="1"/>
        <v>83</v>
      </c>
      <c r="B84" s="21" t="s">
        <v>87</v>
      </c>
      <c r="C84" s="21" t="s">
        <v>91</v>
      </c>
      <c r="D84" s="22" t="str">
        <f>IF($C84="","",IFERROR(VLOOKUP($C84,Map_Register!$A$2:$C$5,3,FALSE()),""))</f>
        <v>Cultural Heritage Area</v>
      </c>
      <c r="E84" s="21" t="s">
        <v>104</v>
      </c>
      <c r="F84" s="23">
        <v>65371</v>
      </c>
      <c r="G84" s="20" t="s">
        <v>111</v>
      </c>
      <c r="H84" s="20" t="s">
        <v>311</v>
      </c>
      <c r="I84" s="20" t="s">
        <v>6</v>
      </c>
      <c r="J84" s="20" t="s">
        <v>137</v>
      </c>
      <c r="K84" s="20" t="s">
        <v>137</v>
      </c>
      <c r="L84" s="20" t="s">
        <v>312</v>
      </c>
      <c r="M84" s="21"/>
      <c r="N84" s="21"/>
      <c r="O84" s="21"/>
      <c r="P84" s="24" t="s">
        <v>313</v>
      </c>
    </row>
    <row r="85" spans="1:16" hidden="1" x14ac:dyDescent="0.3">
      <c r="A85" s="20">
        <f t="shared" si="1"/>
        <v>84</v>
      </c>
      <c r="B85" s="21" t="s">
        <v>87</v>
      </c>
      <c r="C85" s="21" t="s">
        <v>91</v>
      </c>
      <c r="D85" s="22" t="str">
        <f>IF($C85="","",IFERROR(VLOOKUP($C85,Map_Register!$A$2:$C$5,3,FALSE()),""))</f>
        <v>Cultural Heritage Area</v>
      </c>
      <c r="E85" s="21" t="s">
        <v>104</v>
      </c>
      <c r="F85" s="23">
        <v>65412</v>
      </c>
      <c r="G85" s="20" t="s">
        <v>111</v>
      </c>
      <c r="H85" s="20" t="s">
        <v>314</v>
      </c>
      <c r="I85" s="20" t="s">
        <v>8</v>
      </c>
      <c r="J85" s="20" t="s">
        <v>107</v>
      </c>
      <c r="K85" s="20" t="s">
        <v>107</v>
      </c>
      <c r="L85" s="20" t="s">
        <v>130</v>
      </c>
      <c r="M85" s="21" t="s">
        <v>108</v>
      </c>
      <c r="N85" s="21"/>
      <c r="O85" s="21"/>
      <c r="P85" s="24" t="s">
        <v>315</v>
      </c>
    </row>
    <row r="86" spans="1:16" hidden="1" x14ac:dyDescent="0.3">
      <c r="A86" s="20">
        <f t="shared" si="1"/>
        <v>85</v>
      </c>
      <c r="B86" s="21" t="s">
        <v>87</v>
      </c>
      <c r="C86" s="21" t="s">
        <v>91</v>
      </c>
      <c r="D86" s="22" t="str">
        <f>IF($C86="","",IFERROR(VLOOKUP($C86,Map_Register!$A$2:$C$5,3,FALSE()),""))</f>
        <v>Cultural Heritage Area</v>
      </c>
      <c r="E86" s="21" t="s">
        <v>104</v>
      </c>
      <c r="F86" s="23">
        <v>65487</v>
      </c>
      <c r="G86" s="20" t="s">
        <v>111</v>
      </c>
      <c r="H86" s="20" t="s">
        <v>316</v>
      </c>
      <c r="I86" s="20" t="s">
        <v>8</v>
      </c>
      <c r="J86" s="20" t="s">
        <v>107</v>
      </c>
      <c r="K86" s="20" t="s">
        <v>107</v>
      </c>
      <c r="L86" s="20" t="s">
        <v>130</v>
      </c>
      <c r="M86" s="21" t="s">
        <v>108</v>
      </c>
      <c r="N86" s="21"/>
      <c r="O86" s="21"/>
      <c r="P86" s="24" t="s">
        <v>317</v>
      </c>
    </row>
    <row r="87" spans="1:16" hidden="1" x14ac:dyDescent="0.3">
      <c r="A87" s="20">
        <f t="shared" si="1"/>
        <v>86</v>
      </c>
      <c r="B87" s="21" t="s">
        <v>87</v>
      </c>
      <c r="C87" s="21" t="s">
        <v>91</v>
      </c>
      <c r="D87" s="22" t="str">
        <f>IF($C87="","",IFERROR(VLOOKUP($C87,Map_Register!$A$2:$C$5,3,FALSE()),""))</f>
        <v>Cultural Heritage Area</v>
      </c>
      <c r="E87" s="21" t="s">
        <v>104</v>
      </c>
      <c r="F87" s="23">
        <v>65490</v>
      </c>
      <c r="G87" s="20" t="s">
        <v>111</v>
      </c>
      <c r="H87" s="20" t="s">
        <v>318</v>
      </c>
      <c r="I87" s="20" t="s">
        <v>8</v>
      </c>
      <c r="J87" s="20" t="s">
        <v>107</v>
      </c>
      <c r="K87" s="20" t="s">
        <v>107</v>
      </c>
      <c r="L87" s="20" t="s">
        <v>130</v>
      </c>
      <c r="M87" s="21" t="s">
        <v>108</v>
      </c>
      <c r="N87" s="21"/>
      <c r="O87" s="21"/>
      <c r="P87" s="24" t="s">
        <v>319</v>
      </c>
    </row>
    <row r="88" spans="1:16" hidden="1" x14ac:dyDescent="0.3">
      <c r="A88" s="20">
        <f t="shared" si="1"/>
        <v>87</v>
      </c>
      <c r="B88" s="21" t="s">
        <v>87</v>
      </c>
      <c r="C88" s="21" t="s">
        <v>91</v>
      </c>
      <c r="D88" s="22" t="str">
        <f>IF($C88="","",IFERROR(VLOOKUP($C88,Map_Register!$A$2:$C$5,3,FALSE()),""))</f>
        <v>Cultural Heritage Area</v>
      </c>
      <c r="E88" s="21" t="s">
        <v>104</v>
      </c>
      <c r="F88" s="23">
        <v>65496</v>
      </c>
      <c r="G88" s="20" t="s">
        <v>111</v>
      </c>
      <c r="H88" s="20" t="s">
        <v>320</v>
      </c>
      <c r="I88" s="20" t="s">
        <v>8</v>
      </c>
      <c r="J88" s="20" t="s">
        <v>107</v>
      </c>
      <c r="K88" s="20" t="s">
        <v>107</v>
      </c>
      <c r="L88" s="20" t="s">
        <v>130</v>
      </c>
      <c r="M88" s="21" t="s">
        <v>108</v>
      </c>
      <c r="N88" s="21"/>
      <c r="O88" s="21"/>
      <c r="P88" s="24" t="s">
        <v>321</v>
      </c>
    </row>
    <row r="89" spans="1:16" hidden="1" x14ac:dyDescent="0.3">
      <c r="A89" s="20">
        <f t="shared" si="1"/>
        <v>88</v>
      </c>
      <c r="B89" s="21" t="s">
        <v>87</v>
      </c>
      <c r="C89" s="21" t="s">
        <v>91</v>
      </c>
      <c r="D89" s="22" t="str">
        <f>IF($C89="","",IFERROR(VLOOKUP($C89,Map_Register!$A$2:$C$5,3,FALSE()),""))</f>
        <v>Cultural Heritage Area</v>
      </c>
      <c r="E89" s="21" t="s">
        <v>104</v>
      </c>
      <c r="F89" s="23">
        <v>65531</v>
      </c>
      <c r="G89" s="20" t="s">
        <v>111</v>
      </c>
      <c r="H89" s="20" t="s">
        <v>322</v>
      </c>
      <c r="I89" s="20" t="s">
        <v>8</v>
      </c>
      <c r="J89" s="20" t="s">
        <v>107</v>
      </c>
      <c r="K89" s="20" t="s">
        <v>107</v>
      </c>
      <c r="L89" s="20" t="s">
        <v>130</v>
      </c>
      <c r="M89" s="21" t="s">
        <v>108</v>
      </c>
      <c r="N89" s="21"/>
      <c r="O89" s="21"/>
      <c r="P89" s="24" t="s">
        <v>323</v>
      </c>
    </row>
    <row r="90" spans="1:16" hidden="1" x14ac:dyDescent="0.3">
      <c r="A90" s="20">
        <f t="shared" si="1"/>
        <v>89</v>
      </c>
      <c r="B90" s="21" t="s">
        <v>87</v>
      </c>
      <c r="C90" s="21" t="s">
        <v>91</v>
      </c>
      <c r="D90" s="22" t="str">
        <f>IF($C90="","",IFERROR(VLOOKUP($C90,Map_Register!$A$2:$C$5,3,FALSE()),""))</f>
        <v>Cultural Heritage Area</v>
      </c>
      <c r="E90" s="21" t="s">
        <v>104</v>
      </c>
      <c r="F90" s="23">
        <v>65544</v>
      </c>
      <c r="G90" s="20" t="s">
        <v>207</v>
      </c>
      <c r="H90" s="20" t="s">
        <v>324</v>
      </c>
      <c r="I90" s="20" t="s">
        <v>6</v>
      </c>
      <c r="J90" s="20" t="s">
        <v>137</v>
      </c>
      <c r="K90" s="20" t="s">
        <v>137</v>
      </c>
      <c r="L90" s="20" t="s">
        <v>244</v>
      </c>
      <c r="M90" s="21"/>
      <c r="N90" s="21"/>
      <c r="O90" s="21"/>
      <c r="P90" s="24" t="s">
        <v>325</v>
      </c>
    </row>
    <row r="91" spans="1:16" hidden="1" x14ac:dyDescent="0.3">
      <c r="A91" s="20">
        <f t="shared" si="1"/>
        <v>90</v>
      </c>
      <c r="B91" s="21" t="s">
        <v>87</v>
      </c>
      <c r="C91" s="21" t="s">
        <v>91</v>
      </c>
      <c r="D91" s="22" t="str">
        <f>IF($C91="","",IFERROR(VLOOKUP($C91,Map_Register!$A$2:$C$5,3,FALSE()),""))</f>
        <v>Cultural Heritage Area</v>
      </c>
      <c r="E91" s="21" t="s">
        <v>104</v>
      </c>
      <c r="F91" s="23">
        <v>65596</v>
      </c>
      <c r="G91" s="20" t="s">
        <v>167</v>
      </c>
      <c r="H91" s="20" t="s">
        <v>326</v>
      </c>
      <c r="I91" s="20" t="s">
        <v>6</v>
      </c>
      <c r="J91" s="20" t="s">
        <v>137</v>
      </c>
      <c r="K91" s="20" t="s">
        <v>137</v>
      </c>
      <c r="L91" s="20" t="s">
        <v>186</v>
      </c>
      <c r="M91" s="21"/>
      <c r="N91" s="21"/>
      <c r="O91" s="21"/>
      <c r="P91" s="24" t="s">
        <v>327</v>
      </c>
    </row>
    <row r="92" spans="1:16" hidden="1" x14ac:dyDescent="0.3">
      <c r="A92" s="20">
        <f t="shared" si="1"/>
        <v>91</v>
      </c>
      <c r="B92" s="21" t="s">
        <v>87</v>
      </c>
      <c r="C92" s="21" t="s">
        <v>91</v>
      </c>
      <c r="D92" s="22" t="str">
        <f>IF($C92="","",IFERROR(VLOOKUP($C92,Map_Register!$A$2:$C$5,3,FALSE()),""))</f>
        <v>Cultural Heritage Area</v>
      </c>
      <c r="E92" s="21" t="s">
        <v>104</v>
      </c>
      <c r="F92" s="23">
        <v>65623</v>
      </c>
      <c r="G92" s="20" t="s">
        <v>111</v>
      </c>
      <c r="H92" s="20" t="s">
        <v>328</v>
      </c>
      <c r="I92" s="20" t="s">
        <v>6</v>
      </c>
      <c r="J92" s="20" t="s">
        <v>137</v>
      </c>
      <c r="K92" s="20" t="s">
        <v>137</v>
      </c>
      <c r="L92" s="20" t="s">
        <v>329</v>
      </c>
      <c r="M92" s="21"/>
      <c r="N92" s="21"/>
      <c r="O92" s="21"/>
      <c r="P92" s="24" t="s">
        <v>330</v>
      </c>
    </row>
    <row r="93" spans="1:16" hidden="1" x14ac:dyDescent="0.3">
      <c r="A93" s="20">
        <f t="shared" si="1"/>
        <v>92</v>
      </c>
      <c r="B93" s="21" t="s">
        <v>87</v>
      </c>
      <c r="C93" s="21" t="s">
        <v>91</v>
      </c>
      <c r="D93" s="22" t="str">
        <f>IF($C93="","",IFERROR(VLOOKUP($C93,Map_Register!$A$2:$C$5,3,FALSE()),""))</f>
        <v>Cultural Heritage Area</v>
      </c>
      <c r="E93" s="21" t="s">
        <v>104</v>
      </c>
      <c r="F93" s="23">
        <v>65667</v>
      </c>
      <c r="G93" s="20" t="s">
        <v>111</v>
      </c>
      <c r="H93" s="20" t="s">
        <v>331</v>
      </c>
      <c r="I93" s="20" t="s">
        <v>8</v>
      </c>
      <c r="J93" s="20" t="s">
        <v>107</v>
      </c>
      <c r="K93" s="20" t="s">
        <v>107</v>
      </c>
      <c r="L93" s="20" t="s">
        <v>130</v>
      </c>
      <c r="M93" s="21" t="s">
        <v>108</v>
      </c>
      <c r="N93" s="21"/>
      <c r="O93" s="21"/>
      <c r="P93" s="24" t="s">
        <v>332</v>
      </c>
    </row>
    <row r="94" spans="1:16" hidden="1" x14ac:dyDescent="0.3">
      <c r="A94" s="20">
        <f t="shared" si="1"/>
        <v>93</v>
      </c>
      <c r="B94" s="21" t="s">
        <v>87</v>
      </c>
      <c r="C94" s="21" t="s">
        <v>91</v>
      </c>
      <c r="D94" s="22" t="str">
        <f>IF($C94="","",IFERROR(VLOOKUP($C94,Map_Register!$A$2:$C$5,3,FALSE()),""))</f>
        <v>Cultural Heritage Area</v>
      </c>
      <c r="E94" s="21" t="s">
        <v>104</v>
      </c>
      <c r="F94" s="23">
        <v>65688</v>
      </c>
      <c r="G94" s="20" t="s">
        <v>111</v>
      </c>
      <c r="H94" s="20" t="s">
        <v>333</v>
      </c>
      <c r="I94" s="20" t="s">
        <v>8</v>
      </c>
      <c r="J94" s="20" t="s">
        <v>107</v>
      </c>
      <c r="K94" s="20" t="s">
        <v>107</v>
      </c>
      <c r="L94" s="20" t="s">
        <v>130</v>
      </c>
      <c r="M94" s="21" t="s">
        <v>108</v>
      </c>
      <c r="N94" s="21"/>
      <c r="O94" s="21"/>
      <c r="P94" s="24" t="s">
        <v>334</v>
      </c>
    </row>
    <row r="95" spans="1:16" hidden="1" x14ac:dyDescent="0.3">
      <c r="A95" s="20">
        <f t="shared" si="1"/>
        <v>94</v>
      </c>
      <c r="B95" s="21" t="s">
        <v>87</v>
      </c>
      <c r="C95" s="21" t="s">
        <v>91</v>
      </c>
      <c r="D95" s="22" t="str">
        <f>IF($C95="","",IFERROR(VLOOKUP($C95,Map_Register!$A$2:$C$5,3,FALSE()),""))</f>
        <v>Cultural Heritage Area</v>
      </c>
      <c r="E95" s="21" t="s">
        <v>104</v>
      </c>
      <c r="F95" s="23">
        <v>65761</v>
      </c>
      <c r="G95" s="20" t="s">
        <v>252</v>
      </c>
      <c r="H95" s="20" t="s">
        <v>335</v>
      </c>
      <c r="I95" s="20" t="s">
        <v>6</v>
      </c>
      <c r="J95" s="20" t="s">
        <v>137</v>
      </c>
      <c r="K95" s="20" t="s">
        <v>137</v>
      </c>
      <c r="L95" s="20" t="s">
        <v>244</v>
      </c>
      <c r="M95" s="21"/>
      <c r="N95" s="21"/>
      <c r="O95" s="21"/>
      <c r="P95" s="24" t="s">
        <v>336</v>
      </c>
    </row>
    <row r="96" spans="1:16" hidden="1" x14ac:dyDescent="0.3">
      <c r="A96" s="20">
        <f t="shared" si="1"/>
        <v>95</v>
      </c>
      <c r="B96" s="21" t="s">
        <v>87</v>
      </c>
      <c r="C96" s="21" t="s">
        <v>91</v>
      </c>
      <c r="D96" s="22" t="str">
        <f>IF($C96="","",IFERROR(VLOOKUP($C96,Map_Register!$A$2:$C$5,3,FALSE()),""))</f>
        <v>Cultural Heritage Area</v>
      </c>
      <c r="E96" s="21" t="s">
        <v>104</v>
      </c>
      <c r="F96" s="23">
        <v>65799</v>
      </c>
      <c r="G96" s="20" t="s">
        <v>111</v>
      </c>
      <c r="H96" s="20" t="s">
        <v>337</v>
      </c>
      <c r="I96" s="20" t="s">
        <v>6</v>
      </c>
      <c r="J96" s="20" t="s">
        <v>137</v>
      </c>
      <c r="K96" s="20" t="s">
        <v>137</v>
      </c>
      <c r="L96" s="20" t="s">
        <v>338</v>
      </c>
      <c r="M96" s="21"/>
      <c r="N96" s="21"/>
      <c r="O96" s="21" t="s">
        <v>339</v>
      </c>
      <c r="P96" s="24" t="s">
        <v>340</v>
      </c>
    </row>
    <row r="97" spans="1:16" hidden="1" x14ac:dyDescent="0.3">
      <c r="A97" s="20">
        <f t="shared" si="1"/>
        <v>96</v>
      </c>
      <c r="B97" s="21" t="s">
        <v>87</v>
      </c>
      <c r="C97" s="21" t="s">
        <v>91</v>
      </c>
      <c r="D97" s="22" t="str">
        <f>IF($C97="","",IFERROR(VLOOKUP($C97,Map_Register!$A$2:$C$5,3,FALSE()),""))</f>
        <v>Cultural Heritage Area</v>
      </c>
      <c r="E97" s="21" t="s">
        <v>104</v>
      </c>
      <c r="F97" s="23">
        <v>65809</v>
      </c>
      <c r="G97" s="20" t="s">
        <v>111</v>
      </c>
      <c r="H97" s="20" t="s">
        <v>341</v>
      </c>
      <c r="I97" s="20" t="s">
        <v>8</v>
      </c>
      <c r="J97" s="20" t="s">
        <v>107</v>
      </c>
      <c r="K97" s="20" t="s">
        <v>107</v>
      </c>
      <c r="L97" s="20" t="s">
        <v>130</v>
      </c>
      <c r="M97" s="21" t="s">
        <v>108</v>
      </c>
      <c r="N97" s="21"/>
      <c r="O97" s="21"/>
      <c r="P97" s="24" t="s">
        <v>342</v>
      </c>
    </row>
    <row r="98" spans="1:16" hidden="1" x14ac:dyDescent="0.3">
      <c r="A98" s="20">
        <f t="shared" si="1"/>
        <v>97</v>
      </c>
      <c r="B98" s="21" t="s">
        <v>87</v>
      </c>
      <c r="C98" s="21" t="s">
        <v>91</v>
      </c>
      <c r="D98" s="22" t="str">
        <f>IF($C98="","",IFERROR(VLOOKUP($C98,Map_Register!$A$2:$C$5,3,FALSE()),""))</f>
        <v>Cultural Heritage Area</v>
      </c>
      <c r="E98" s="21" t="s">
        <v>104</v>
      </c>
      <c r="F98" s="23">
        <v>65830</v>
      </c>
      <c r="G98" s="20" t="s">
        <v>111</v>
      </c>
      <c r="H98" s="20" t="s">
        <v>343</v>
      </c>
      <c r="I98" s="20" t="s">
        <v>8</v>
      </c>
      <c r="J98" s="20" t="s">
        <v>107</v>
      </c>
      <c r="K98" s="20" t="s">
        <v>107</v>
      </c>
      <c r="L98" s="20" t="s">
        <v>130</v>
      </c>
      <c r="M98" s="21" t="s">
        <v>108</v>
      </c>
      <c r="N98" s="21"/>
      <c r="O98" s="21"/>
      <c r="P98" s="24" t="s">
        <v>344</v>
      </c>
    </row>
    <row r="99" spans="1:16" hidden="1" x14ac:dyDescent="0.3">
      <c r="A99" s="20">
        <f t="shared" si="1"/>
        <v>98</v>
      </c>
      <c r="B99" s="21" t="s">
        <v>87</v>
      </c>
      <c r="C99" s="21" t="s">
        <v>91</v>
      </c>
      <c r="D99" s="22" t="str">
        <f>IF($C99="","",IFERROR(VLOOKUP($C99,Map_Register!$A$2:$C$5,3,FALSE()),""))</f>
        <v>Cultural Heritage Area</v>
      </c>
      <c r="E99" s="21" t="s">
        <v>104</v>
      </c>
      <c r="F99" s="23">
        <v>65844</v>
      </c>
      <c r="G99" s="20" t="s">
        <v>111</v>
      </c>
      <c r="H99" s="20" t="s">
        <v>345</v>
      </c>
      <c r="I99" s="20" t="s">
        <v>8</v>
      </c>
      <c r="J99" s="20" t="s">
        <v>107</v>
      </c>
      <c r="K99" s="20" t="s">
        <v>107</v>
      </c>
      <c r="L99" s="20" t="s">
        <v>130</v>
      </c>
      <c r="M99" s="21" t="s">
        <v>108</v>
      </c>
      <c r="N99" s="21"/>
      <c r="O99" s="21"/>
      <c r="P99" s="24" t="s">
        <v>346</v>
      </c>
    </row>
    <row r="100" spans="1:16" hidden="1" x14ac:dyDescent="0.3">
      <c r="A100" s="20">
        <f t="shared" si="1"/>
        <v>99</v>
      </c>
      <c r="B100" s="21" t="s">
        <v>87</v>
      </c>
      <c r="C100" s="21" t="s">
        <v>91</v>
      </c>
      <c r="D100" s="22" t="str">
        <f>IF($C100="","",IFERROR(VLOOKUP($C100,Map_Register!$A$2:$C$5,3,FALSE()),""))</f>
        <v>Cultural Heritage Area</v>
      </c>
      <c r="E100" s="21" t="s">
        <v>104</v>
      </c>
      <c r="F100" s="23">
        <v>65853</v>
      </c>
      <c r="G100" s="20" t="s">
        <v>111</v>
      </c>
      <c r="H100" s="20" t="s">
        <v>347</v>
      </c>
      <c r="I100" s="20" t="s">
        <v>8</v>
      </c>
      <c r="J100" s="20" t="s">
        <v>107</v>
      </c>
      <c r="K100" s="20" t="s">
        <v>107</v>
      </c>
      <c r="L100" s="20" t="s">
        <v>130</v>
      </c>
      <c r="M100" s="21" t="s">
        <v>108</v>
      </c>
      <c r="N100" s="21"/>
      <c r="O100" s="21"/>
      <c r="P100" s="24" t="s">
        <v>348</v>
      </c>
    </row>
    <row r="101" spans="1:16" hidden="1" x14ac:dyDescent="0.3">
      <c r="A101" s="20">
        <f t="shared" si="1"/>
        <v>100</v>
      </c>
      <c r="B101" s="21" t="s">
        <v>87</v>
      </c>
      <c r="C101" s="21" t="s">
        <v>91</v>
      </c>
      <c r="D101" s="22" t="str">
        <f>IF($C101="","",IFERROR(VLOOKUP($C101,Map_Register!$A$2:$C$5,3,FALSE()),""))</f>
        <v>Cultural Heritage Area</v>
      </c>
      <c r="E101" s="21" t="s">
        <v>104</v>
      </c>
      <c r="F101" s="23">
        <v>65900</v>
      </c>
      <c r="G101" s="20" t="s">
        <v>111</v>
      </c>
      <c r="H101" s="20" t="s">
        <v>349</v>
      </c>
      <c r="I101" s="20" t="s">
        <v>8</v>
      </c>
      <c r="J101" s="20" t="s">
        <v>107</v>
      </c>
      <c r="K101" s="20" t="s">
        <v>107</v>
      </c>
      <c r="L101" s="20" t="s">
        <v>130</v>
      </c>
      <c r="M101" s="21" t="s">
        <v>108</v>
      </c>
      <c r="N101" s="21"/>
      <c r="O101" s="21"/>
      <c r="P101" s="24" t="s">
        <v>350</v>
      </c>
    </row>
    <row r="102" spans="1:16" hidden="1" x14ac:dyDescent="0.3">
      <c r="A102" s="20">
        <f t="shared" si="1"/>
        <v>101</v>
      </c>
      <c r="B102" s="21" t="s">
        <v>87</v>
      </c>
      <c r="C102" s="21" t="s">
        <v>91</v>
      </c>
      <c r="D102" s="22" t="str">
        <f>IF($C102="","",IFERROR(VLOOKUP($C102,Map_Register!$A$2:$C$5,3,FALSE()),""))</f>
        <v>Cultural Heritage Area</v>
      </c>
      <c r="E102" s="21" t="s">
        <v>104</v>
      </c>
      <c r="F102" s="23">
        <v>65946</v>
      </c>
      <c r="G102" s="20" t="s">
        <v>111</v>
      </c>
      <c r="H102" s="20" t="s">
        <v>351</v>
      </c>
      <c r="I102" s="20" t="s">
        <v>8</v>
      </c>
      <c r="J102" s="20" t="s">
        <v>107</v>
      </c>
      <c r="K102" s="20" t="s">
        <v>107</v>
      </c>
      <c r="L102" s="20" t="s">
        <v>130</v>
      </c>
      <c r="M102" s="21" t="s">
        <v>108</v>
      </c>
      <c r="N102" s="21"/>
      <c r="O102" s="21"/>
      <c r="P102" s="24" t="s">
        <v>352</v>
      </c>
    </row>
    <row r="103" spans="1:16" hidden="1" x14ac:dyDescent="0.3">
      <c r="A103" s="20">
        <f t="shared" si="1"/>
        <v>102</v>
      </c>
      <c r="B103" s="21" t="s">
        <v>87</v>
      </c>
      <c r="C103" s="21" t="s">
        <v>91</v>
      </c>
      <c r="D103" s="22" t="str">
        <f>IF($C103="","",IFERROR(VLOOKUP($C103,Map_Register!$A$2:$C$5,3,FALSE()),""))</f>
        <v>Cultural Heritage Area</v>
      </c>
      <c r="E103" s="21" t="s">
        <v>104</v>
      </c>
      <c r="F103" s="23">
        <v>65947</v>
      </c>
      <c r="G103" s="20" t="s">
        <v>111</v>
      </c>
      <c r="H103" s="20" t="s">
        <v>353</v>
      </c>
      <c r="I103" s="20" t="s">
        <v>8</v>
      </c>
      <c r="J103" s="20" t="s">
        <v>107</v>
      </c>
      <c r="K103" s="20" t="s">
        <v>107</v>
      </c>
      <c r="L103" s="20" t="s">
        <v>354</v>
      </c>
      <c r="M103" s="21" t="s">
        <v>108</v>
      </c>
      <c r="N103" s="21"/>
      <c r="O103" s="21"/>
      <c r="P103" s="24" t="s">
        <v>355</v>
      </c>
    </row>
    <row r="104" spans="1:16" hidden="1" x14ac:dyDescent="0.3">
      <c r="A104" s="20">
        <f t="shared" si="1"/>
        <v>103</v>
      </c>
      <c r="B104" s="21" t="s">
        <v>87</v>
      </c>
      <c r="C104" s="21" t="s">
        <v>91</v>
      </c>
      <c r="D104" s="22" t="str">
        <f>IF($C104="","",IFERROR(VLOOKUP($C104,Map_Register!$A$2:$C$5,3,FALSE()),""))</f>
        <v>Cultural Heritage Area</v>
      </c>
      <c r="E104" s="21" t="s">
        <v>104</v>
      </c>
      <c r="F104" s="23">
        <v>65950</v>
      </c>
      <c r="G104" s="20" t="s">
        <v>207</v>
      </c>
      <c r="H104" s="20" t="s">
        <v>356</v>
      </c>
      <c r="I104" s="20" t="s">
        <v>8</v>
      </c>
      <c r="J104" s="20" t="s">
        <v>107</v>
      </c>
      <c r="K104" s="20" t="s">
        <v>107</v>
      </c>
      <c r="L104" s="20" t="s">
        <v>130</v>
      </c>
      <c r="M104" s="21" t="s">
        <v>108</v>
      </c>
      <c r="N104" s="21"/>
      <c r="O104" s="21"/>
      <c r="P104" s="24" t="s">
        <v>357</v>
      </c>
    </row>
    <row r="105" spans="1:16" hidden="1" x14ac:dyDescent="0.3">
      <c r="A105" s="20">
        <f t="shared" si="1"/>
        <v>104</v>
      </c>
      <c r="B105" s="21" t="s">
        <v>87</v>
      </c>
      <c r="C105" s="21" t="s">
        <v>91</v>
      </c>
      <c r="D105" s="22" t="str">
        <f>IF($C105="","",IFERROR(VLOOKUP($C105,Map_Register!$A$2:$C$5,3,FALSE()),""))</f>
        <v>Cultural Heritage Area</v>
      </c>
      <c r="E105" s="21" t="s">
        <v>104</v>
      </c>
      <c r="F105" s="23">
        <v>65957</v>
      </c>
      <c r="G105" s="20" t="s">
        <v>111</v>
      </c>
      <c r="H105" s="20" t="s">
        <v>358</v>
      </c>
      <c r="I105" s="20" t="s">
        <v>8</v>
      </c>
      <c r="J105" s="20" t="s">
        <v>107</v>
      </c>
      <c r="K105" s="20" t="s">
        <v>107</v>
      </c>
      <c r="L105" s="20" t="s">
        <v>130</v>
      </c>
      <c r="M105" s="21" t="s">
        <v>108</v>
      </c>
      <c r="N105" s="21"/>
      <c r="O105" s="21"/>
      <c r="P105" s="24" t="s">
        <v>359</v>
      </c>
    </row>
    <row r="106" spans="1:16" hidden="1" x14ac:dyDescent="0.3">
      <c r="A106" s="20">
        <f t="shared" si="1"/>
        <v>105</v>
      </c>
      <c r="B106" s="21" t="s">
        <v>87</v>
      </c>
      <c r="C106" s="21" t="s">
        <v>91</v>
      </c>
      <c r="D106" s="22" t="str">
        <f>IF($C106="","",IFERROR(VLOOKUP($C106,Map_Register!$A$2:$C$5,3,FALSE()),""))</f>
        <v>Cultural Heritage Area</v>
      </c>
      <c r="E106" s="21" t="s">
        <v>104</v>
      </c>
      <c r="F106" s="23">
        <v>65980</v>
      </c>
      <c r="G106" s="20" t="s">
        <v>111</v>
      </c>
      <c r="H106" s="20" t="s">
        <v>360</v>
      </c>
      <c r="I106" s="20" t="s">
        <v>8</v>
      </c>
      <c r="J106" s="20" t="s">
        <v>107</v>
      </c>
      <c r="K106" s="20" t="s">
        <v>107</v>
      </c>
      <c r="L106" s="20" t="s">
        <v>130</v>
      </c>
      <c r="M106" s="21" t="s">
        <v>108</v>
      </c>
      <c r="N106" s="21"/>
      <c r="O106" s="21"/>
      <c r="P106" s="24" t="s">
        <v>361</v>
      </c>
    </row>
    <row r="107" spans="1:16" hidden="1" x14ac:dyDescent="0.3">
      <c r="A107" s="20">
        <f t="shared" si="1"/>
        <v>106</v>
      </c>
      <c r="B107" s="21" t="s">
        <v>87</v>
      </c>
      <c r="C107" s="21" t="s">
        <v>91</v>
      </c>
      <c r="D107" s="22" t="str">
        <f>IF($C107="","",IFERROR(VLOOKUP($C107,Map_Register!$A$2:$C$5,3,FALSE()),""))</f>
        <v>Cultural Heritage Area</v>
      </c>
      <c r="E107" s="21" t="s">
        <v>104</v>
      </c>
      <c r="F107" s="23">
        <v>65981</v>
      </c>
      <c r="G107" s="20" t="s">
        <v>111</v>
      </c>
      <c r="H107" s="20" t="s">
        <v>362</v>
      </c>
      <c r="I107" s="20" t="s">
        <v>8</v>
      </c>
      <c r="J107" s="20" t="s">
        <v>107</v>
      </c>
      <c r="K107" s="20" t="s">
        <v>107</v>
      </c>
      <c r="L107" s="20" t="s">
        <v>130</v>
      </c>
      <c r="M107" s="21" t="s">
        <v>108</v>
      </c>
      <c r="N107" s="21"/>
      <c r="O107" s="21"/>
      <c r="P107" s="24" t="s">
        <v>363</v>
      </c>
    </row>
    <row r="108" spans="1:16" hidden="1" x14ac:dyDescent="0.3">
      <c r="A108" s="20">
        <f t="shared" si="1"/>
        <v>107</v>
      </c>
      <c r="B108" s="21" t="s">
        <v>87</v>
      </c>
      <c r="C108" s="21" t="s">
        <v>91</v>
      </c>
      <c r="D108" s="22" t="str">
        <f>IF($C108="","",IFERROR(VLOOKUP($C108,Map_Register!$A$2:$C$5,3,FALSE()),""))</f>
        <v>Cultural Heritage Area</v>
      </c>
      <c r="E108" s="21" t="s">
        <v>104</v>
      </c>
      <c r="F108" s="23">
        <v>66000</v>
      </c>
      <c r="G108" s="20" t="s">
        <v>111</v>
      </c>
      <c r="H108" s="20" t="s">
        <v>364</v>
      </c>
      <c r="I108" s="20" t="s">
        <v>8</v>
      </c>
      <c r="J108" s="20" t="s">
        <v>107</v>
      </c>
      <c r="K108" s="20" t="s">
        <v>107</v>
      </c>
      <c r="L108" s="20" t="s">
        <v>365</v>
      </c>
      <c r="M108" s="21" t="s">
        <v>108</v>
      </c>
      <c r="N108" s="21"/>
      <c r="O108" s="21"/>
      <c r="P108" s="24" t="s">
        <v>366</v>
      </c>
    </row>
    <row r="109" spans="1:16" hidden="1" x14ac:dyDescent="0.3">
      <c r="A109" s="20">
        <f t="shared" si="1"/>
        <v>108</v>
      </c>
      <c r="B109" s="21" t="s">
        <v>87</v>
      </c>
      <c r="C109" s="21" t="s">
        <v>91</v>
      </c>
      <c r="D109" s="22" t="str">
        <f>IF($C109="","",IFERROR(VLOOKUP($C109,Map_Register!$A$2:$C$5,3,FALSE()),""))</f>
        <v>Cultural Heritage Area</v>
      </c>
      <c r="E109" s="21" t="s">
        <v>104</v>
      </c>
      <c r="F109" s="23">
        <v>66026</v>
      </c>
      <c r="G109" s="20" t="s">
        <v>111</v>
      </c>
      <c r="H109" s="20" t="s">
        <v>367</v>
      </c>
      <c r="I109" s="20" t="s">
        <v>8</v>
      </c>
      <c r="J109" s="20" t="s">
        <v>107</v>
      </c>
      <c r="K109" s="20" t="s">
        <v>107</v>
      </c>
      <c r="L109" s="20" t="s">
        <v>368</v>
      </c>
      <c r="M109" s="21" t="s">
        <v>108</v>
      </c>
      <c r="N109" s="21"/>
      <c r="O109" s="21"/>
      <c r="P109" s="24" t="s">
        <v>369</v>
      </c>
    </row>
    <row r="110" spans="1:16" hidden="1" x14ac:dyDescent="0.3">
      <c r="A110" s="20">
        <f t="shared" si="1"/>
        <v>109</v>
      </c>
      <c r="B110" s="21" t="s">
        <v>87</v>
      </c>
      <c r="C110" s="21" t="s">
        <v>91</v>
      </c>
      <c r="D110" s="22" t="str">
        <f>IF($C110="","",IFERROR(VLOOKUP($C110,Map_Register!$A$2:$C$5,3,FALSE()),""))</f>
        <v>Cultural Heritage Area</v>
      </c>
      <c r="E110" s="21" t="s">
        <v>104</v>
      </c>
      <c r="F110" s="23">
        <v>66063</v>
      </c>
      <c r="G110" s="20" t="s">
        <v>111</v>
      </c>
      <c r="H110" s="20" t="s">
        <v>202</v>
      </c>
      <c r="I110" s="20" t="s">
        <v>8</v>
      </c>
      <c r="J110" s="20" t="s">
        <v>107</v>
      </c>
      <c r="K110" s="20" t="s">
        <v>107</v>
      </c>
      <c r="L110" s="20" t="s">
        <v>130</v>
      </c>
      <c r="M110" s="21" t="s">
        <v>108</v>
      </c>
      <c r="N110" s="21"/>
      <c r="O110" s="21"/>
      <c r="P110" s="24" t="s">
        <v>370</v>
      </c>
    </row>
    <row r="111" spans="1:16" hidden="1" x14ac:dyDescent="0.3">
      <c r="A111" s="20">
        <f t="shared" si="1"/>
        <v>110</v>
      </c>
      <c r="B111" s="21" t="s">
        <v>87</v>
      </c>
      <c r="C111" s="21" t="s">
        <v>91</v>
      </c>
      <c r="D111" s="22" t="str">
        <f>IF($C111="","",IFERROR(VLOOKUP($C111,Map_Register!$A$2:$C$5,3,FALSE()),""))</f>
        <v>Cultural Heritage Area</v>
      </c>
      <c r="E111" s="21" t="s">
        <v>104</v>
      </c>
      <c r="F111" s="23">
        <v>66093</v>
      </c>
      <c r="G111" s="20" t="s">
        <v>111</v>
      </c>
      <c r="H111" s="20" t="s">
        <v>371</v>
      </c>
      <c r="I111" s="20" t="s">
        <v>8</v>
      </c>
      <c r="J111" s="20" t="s">
        <v>107</v>
      </c>
      <c r="K111" s="20" t="s">
        <v>107</v>
      </c>
      <c r="L111" s="20" t="s">
        <v>372</v>
      </c>
      <c r="M111" s="21" t="s">
        <v>108</v>
      </c>
      <c r="N111" s="21"/>
      <c r="O111" s="21"/>
      <c r="P111" s="24" t="s">
        <v>373</v>
      </c>
    </row>
    <row r="112" spans="1:16" hidden="1" x14ac:dyDescent="0.3">
      <c r="A112" s="20">
        <f t="shared" si="1"/>
        <v>111</v>
      </c>
      <c r="B112" s="21" t="s">
        <v>87</v>
      </c>
      <c r="C112" s="21" t="s">
        <v>91</v>
      </c>
      <c r="D112" s="22" t="str">
        <f>IF($C112="","",IFERROR(VLOOKUP($C112,Map_Register!$A$2:$C$5,3,FALSE()),""))</f>
        <v>Cultural Heritage Area</v>
      </c>
      <c r="E112" s="21" t="s">
        <v>104</v>
      </c>
      <c r="F112" s="23">
        <v>66123</v>
      </c>
      <c r="G112" s="20" t="s">
        <v>167</v>
      </c>
      <c r="H112" s="20" t="s">
        <v>374</v>
      </c>
      <c r="I112" s="20" t="s">
        <v>6</v>
      </c>
      <c r="J112" s="20" t="s">
        <v>137</v>
      </c>
      <c r="K112" s="20" t="s">
        <v>137</v>
      </c>
      <c r="L112" s="20" t="s">
        <v>186</v>
      </c>
      <c r="M112" s="21"/>
      <c r="N112" s="21"/>
      <c r="O112" s="21"/>
      <c r="P112" s="24" t="s">
        <v>375</v>
      </c>
    </row>
    <row r="113" spans="1:16" hidden="1" x14ac:dyDescent="0.3">
      <c r="A113" s="20">
        <f t="shared" si="1"/>
        <v>112</v>
      </c>
      <c r="B113" s="21" t="s">
        <v>87</v>
      </c>
      <c r="C113" s="21" t="s">
        <v>91</v>
      </c>
      <c r="D113" s="22" t="str">
        <f>IF($C113="","",IFERROR(VLOOKUP($C113,Map_Register!$A$2:$C$5,3,FALSE()),""))</f>
        <v>Cultural Heritage Area</v>
      </c>
      <c r="E113" s="21" t="s">
        <v>104</v>
      </c>
      <c r="F113" s="23">
        <v>66137</v>
      </c>
      <c r="G113" s="20" t="s">
        <v>111</v>
      </c>
      <c r="H113" s="20" t="s">
        <v>376</v>
      </c>
      <c r="I113" s="20" t="s">
        <v>8</v>
      </c>
      <c r="J113" s="20" t="s">
        <v>107</v>
      </c>
      <c r="K113" s="20" t="s">
        <v>107</v>
      </c>
      <c r="L113" s="20" t="s">
        <v>130</v>
      </c>
      <c r="M113" s="21" t="s">
        <v>108</v>
      </c>
      <c r="N113" s="21"/>
      <c r="O113" s="21"/>
      <c r="P113" s="24" t="s">
        <v>377</v>
      </c>
    </row>
    <row r="114" spans="1:16" hidden="1" x14ac:dyDescent="0.3">
      <c r="A114" s="20">
        <f t="shared" si="1"/>
        <v>113</v>
      </c>
      <c r="B114" s="21" t="s">
        <v>87</v>
      </c>
      <c r="C114" s="21" t="s">
        <v>91</v>
      </c>
      <c r="D114" s="22" t="str">
        <f>IF($C114="","",IFERROR(VLOOKUP($C114,Map_Register!$A$2:$C$5,3,FALSE()),""))</f>
        <v>Cultural Heritage Area</v>
      </c>
      <c r="E114" s="21" t="s">
        <v>104</v>
      </c>
      <c r="F114" s="23">
        <v>66141</v>
      </c>
      <c r="G114" s="20" t="s">
        <v>111</v>
      </c>
      <c r="H114" s="20" t="s">
        <v>378</v>
      </c>
      <c r="I114" s="20" t="s">
        <v>8</v>
      </c>
      <c r="J114" s="20" t="s">
        <v>107</v>
      </c>
      <c r="K114" s="20" t="s">
        <v>107</v>
      </c>
      <c r="L114" s="20" t="s">
        <v>130</v>
      </c>
      <c r="M114" s="21" t="s">
        <v>108</v>
      </c>
      <c r="N114" s="21"/>
      <c r="O114" s="21"/>
      <c r="P114" s="24" t="s">
        <v>379</v>
      </c>
    </row>
    <row r="115" spans="1:16" hidden="1" x14ac:dyDescent="0.3">
      <c r="A115" s="20">
        <f t="shared" si="1"/>
        <v>114</v>
      </c>
      <c r="B115" s="21" t="s">
        <v>87</v>
      </c>
      <c r="C115" s="21" t="s">
        <v>91</v>
      </c>
      <c r="D115" s="22" t="str">
        <f>IF($C115="","",IFERROR(VLOOKUP($C115,Map_Register!$A$2:$C$5,3,FALSE()),""))</f>
        <v>Cultural Heritage Area</v>
      </c>
      <c r="E115" s="21" t="s">
        <v>104</v>
      </c>
      <c r="F115" s="23">
        <v>66164</v>
      </c>
      <c r="G115" s="20" t="s">
        <v>111</v>
      </c>
      <c r="H115" s="20" t="s">
        <v>380</v>
      </c>
      <c r="I115" s="20" t="s">
        <v>8</v>
      </c>
      <c r="J115" s="20" t="s">
        <v>107</v>
      </c>
      <c r="K115" s="20" t="s">
        <v>107</v>
      </c>
      <c r="L115" s="20" t="s">
        <v>130</v>
      </c>
      <c r="M115" s="21" t="s">
        <v>108</v>
      </c>
      <c r="N115" s="21"/>
      <c r="O115" s="21"/>
      <c r="P115" s="24" t="s">
        <v>381</v>
      </c>
    </row>
    <row r="116" spans="1:16" hidden="1" x14ac:dyDescent="0.3">
      <c r="A116" s="20">
        <f t="shared" si="1"/>
        <v>115</v>
      </c>
      <c r="B116" s="21" t="s">
        <v>87</v>
      </c>
      <c r="C116" s="21" t="s">
        <v>91</v>
      </c>
      <c r="D116" s="22" t="str">
        <f>IF($C116="","",IFERROR(VLOOKUP($C116,Map_Register!$A$2:$C$5,3,FALSE()),""))</f>
        <v>Cultural Heritage Area</v>
      </c>
      <c r="E116" s="21" t="s">
        <v>104</v>
      </c>
      <c r="F116" s="23">
        <v>66287</v>
      </c>
      <c r="G116" s="20" t="s">
        <v>111</v>
      </c>
      <c r="H116" s="20" t="s">
        <v>382</v>
      </c>
      <c r="I116" s="20" t="s">
        <v>8</v>
      </c>
      <c r="J116" s="20" t="s">
        <v>107</v>
      </c>
      <c r="K116" s="20" t="s">
        <v>107</v>
      </c>
      <c r="L116" s="20" t="s">
        <v>130</v>
      </c>
      <c r="M116" s="21" t="s">
        <v>108</v>
      </c>
      <c r="N116" s="21"/>
      <c r="O116" s="21"/>
      <c r="P116" s="24" t="s">
        <v>383</v>
      </c>
    </row>
    <row r="117" spans="1:16" hidden="1" x14ac:dyDescent="0.3">
      <c r="A117" s="20">
        <f t="shared" si="1"/>
        <v>116</v>
      </c>
      <c r="B117" s="21" t="s">
        <v>87</v>
      </c>
      <c r="C117" s="21" t="s">
        <v>91</v>
      </c>
      <c r="D117" s="22" t="str">
        <f>IF($C117="","",IFERROR(VLOOKUP($C117,Map_Register!$A$2:$C$5,3,FALSE()),""))</f>
        <v>Cultural Heritage Area</v>
      </c>
      <c r="E117" s="21" t="s">
        <v>104</v>
      </c>
      <c r="F117" s="23">
        <v>66295</v>
      </c>
      <c r="G117" s="20" t="s">
        <v>111</v>
      </c>
      <c r="H117" s="20" t="s">
        <v>384</v>
      </c>
      <c r="I117" s="20" t="s">
        <v>8</v>
      </c>
      <c r="J117" s="20" t="s">
        <v>107</v>
      </c>
      <c r="K117" s="20" t="s">
        <v>107</v>
      </c>
      <c r="L117" s="20" t="s">
        <v>130</v>
      </c>
      <c r="M117" s="21" t="s">
        <v>108</v>
      </c>
      <c r="N117" s="21"/>
      <c r="O117" s="21"/>
      <c r="P117" s="24" t="s">
        <v>385</v>
      </c>
    </row>
    <row r="118" spans="1:16" hidden="1" x14ac:dyDescent="0.3">
      <c r="A118" s="20">
        <f t="shared" si="1"/>
        <v>117</v>
      </c>
      <c r="B118" s="21" t="s">
        <v>87</v>
      </c>
      <c r="C118" s="21" t="s">
        <v>91</v>
      </c>
      <c r="D118" s="22" t="str">
        <f>IF($C118="","",IFERROR(VLOOKUP($C118,Map_Register!$A$2:$C$5,3,FALSE()),""))</f>
        <v>Cultural Heritage Area</v>
      </c>
      <c r="E118" s="21" t="s">
        <v>104</v>
      </c>
      <c r="F118" s="23">
        <v>66381</v>
      </c>
      <c r="G118" s="20" t="s">
        <v>111</v>
      </c>
      <c r="H118" s="20" t="s">
        <v>386</v>
      </c>
      <c r="I118" s="20" t="s">
        <v>8</v>
      </c>
      <c r="J118" s="20" t="s">
        <v>107</v>
      </c>
      <c r="K118" s="20" t="s">
        <v>107</v>
      </c>
      <c r="L118" s="20" t="s">
        <v>387</v>
      </c>
      <c r="M118" s="21" t="s">
        <v>108</v>
      </c>
      <c r="N118" s="21"/>
      <c r="O118" s="21"/>
      <c r="P118" s="24" t="s">
        <v>388</v>
      </c>
    </row>
    <row r="119" spans="1:16" hidden="1" x14ac:dyDescent="0.3">
      <c r="A119" s="20">
        <f t="shared" si="1"/>
        <v>118</v>
      </c>
      <c r="B119" s="21" t="s">
        <v>87</v>
      </c>
      <c r="C119" s="21" t="s">
        <v>91</v>
      </c>
      <c r="D119" s="22" t="str">
        <f>IF($C119="","",IFERROR(VLOOKUP($C119,Map_Register!$A$2:$C$5,3,FALSE()),""))</f>
        <v>Cultural Heritage Area</v>
      </c>
      <c r="E119" s="21" t="s">
        <v>104</v>
      </c>
      <c r="F119" s="23">
        <v>66399</v>
      </c>
      <c r="G119" s="20" t="s">
        <v>111</v>
      </c>
      <c r="H119" s="20" t="s">
        <v>140</v>
      </c>
      <c r="I119" s="20" t="s">
        <v>8</v>
      </c>
      <c r="J119" s="20" t="s">
        <v>107</v>
      </c>
      <c r="K119" s="20" t="s">
        <v>107</v>
      </c>
      <c r="L119" s="20" t="s">
        <v>368</v>
      </c>
      <c r="M119" s="21" t="s">
        <v>108</v>
      </c>
      <c r="N119" s="21"/>
      <c r="O119" s="21"/>
      <c r="P119" s="24" t="s">
        <v>389</v>
      </c>
    </row>
    <row r="120" spans="1:16" hidden="1" x14ac:dyDescent="0.3">
      <c r="A120" s="20">
        <f t="shared" si="1"/>
        <v>119</v>
      </c>
      <c r="B120" s="21" t="s">
        <v>87</v>
      </c>
      <c r="C120" s="21" t="s">
        <v>91</v>
      </c>
      <c r="D120" s="22" t="str">
        <f>IF($C120="","",IFERROR(VLOOKUP($C120,Map_Register!$A$2:$C$5,3,FALSE()),""))</f>
        <v>Cultural Heritage Area</v>
      </c>
      <c r="E120" s="21" t="s">
        <v>104</v>
      </c>
      <c r="F120" s="23">
        <v>66403</v>
      </c>
      <c r="G120" s="20" t="s">
        <v>207</v>
      </c>
      <c r="H120" s="20" t="s">
        <v>390</v>
      </c>
      <c r="I120" s="20" t="s">
        <v>6</v>
      </c>
      <c r="J120" s="20" t="s">
        <v>137</v>
      </c>
      <c r="K120" s="20" t="s">
        <v>137</v>
      </c>
      <c r="L120" s="20" t="s">
        <v>244</v>
      </c>
      <c r="M120" s="21"/>
      <c r="N120" s="21"/>
      <c r="O120" s="21"/>
      <c r="P120" s="24" t="s">
        <v>391</v>
      </c>
    </row>
    <row r="121" spans="1:16" hidden="1" x14ac:dyDescent="0.3">
      <c r="A121" s="20">
        <f t="shared" si="1"/>
        <v>120</v>
      </c>
      <c r="B121" s="21" t="s">
        <v>87</v>
      </c>
      <c r="C121" s="21" t="s">
        <v>91</v>
      </c>
      <c r="D121" s="22" t="str">
        <f>IF($C121="","",IFERROR(VLOOKUP($C121,Map_Register!$A$2:$C$5,3,FALSE()),""))</f>
        <v>Cultural Heritage Area</v>
      </c>
      <c r="E121" s="21" t="s">
        <v>104</v>
      </c>
      <c r="F121" s="23">
        <v>66440</v>
      </c>
      <c r="G121" s="20" t="s">
        <v>111</v>
      </c>
      <c r="H121" s="20" t="s">
        <v>392</v>
      </c>
      <c r="I121" s="20" t="s">
        <v>8</v>
      </c>
      <c r="J121" s="20" t="s">
        <v>107</v>
      </c>
      <c r="K121" s="20" t="s">
        <v>107</v>
      </c>
      <c r="L121" s="20" t="s">
        <v>130</v>
      </c>
      <c r="M121" s="21" t="s">
        <v>108</v>
      </c>
      <c r="N121" s="21"/>
      <c r="O121" s="21"/>
      <c r="P121" s="24" t="s">
        <v>393</v>
      </c>
    </row>
    <row r="122" spans="1:16" hidden="1" x14ac:dyDescent="0.3">
      <c r="A122" s="20">
        <f t="shared" si="1"/>
        <v>121</v>
      </c>
      <c r="B122" s="21" t="s">
        <v>87</v>
      </c>
      <c r="C122" s="21" t="s">
        <v>91</v>
      </c>
      <c r="D122" s="22" t="str">
        <f>IF($C122="","",IFERROR(VLOOKUP($C122,Map_Register!$A$2:$C$5,3,FALSE()),""))</f>
        <v>Cultural Heritage Area</v>
      </c>
      <c r="E122" s="21" t="s">
        <v>104</v>
      </c>
      <c r="F122" s="23">
        <v>66501</v>
      </c>
      <c r="G122" s="20" t="s">
        <v>111</v>
      </c>
      <c r="H122" s="20" t="s">
        <v>394</v>
      </c>
      <c r="I122" s="20" t="s">
        <v>8</v>
      </c>
      <c r="J122" s="20" t="s">
        <v>107</v>
      </c>
      <c r="K122" s="20" t="s">
        <v>107</v>
      </c>
      <c r="L122" s="20" t="s">
        <v>130</v>
      </c>
      <c r="M122" s="21" t="s">
        <v>108</v>
      </c>
      <c r="N122" s="21"/>
      <c r="O122" s="21"/>
      <c r="P122" s="24" t="s">
        <v>395</v>
      </c>
    </row>
    <row r="123" spans="1:16" hidden="1" x14ac:dyDescent="0.3">
      <c r="A123" s="20">
        <f t="shared" si="1"/>
        <v>122</v>
      </c>
      <c r="B123" s="21" t="s">
        <v>87</v>
      </c>
      <c r="C123" s="21" t="s">
        <v>91</v>
      </c>
      <c r="D123" s="22" t="str">
        <f>IF($C123="","",IFERROR(VLOOKUP($C123,Map_Register!$A$2:$C$5,3,FALSE()),""))</f>
        <v>Cultural Heritage Area</v>
      </c>
      <c r="E123" s="21" t="s">
        <v>104</v>
      </c>
      <c r="F123" s="23">
        <v>66522</v>
      </c>
      <c r="G123" s="20" t="s">
        <v>111</v>
      </c>
      <c r="H123" s="20" t="s">
        <v>396</v>
      </c>
      <c r="I123" s="20" t="s">
        <v>8</v>
      </c>
      <c r="J123" s="20" t="s">
        <v>107</v>
      </c>
      <c r="K123" s="20" t="s">
        <v>107</v>
      </c>
      <c r="L123" s="20" t="s">
        <v>130</v>
      </c>
      <c r="M123" s="21" t="s">
        <v>108</v>
      </c>
      <c r="N123" s="21"/>
      <c r="O123" s="21"/>
      <c r="P123" s="24" t="s">
        <v>397</v>
      </c>
    </row>
    <row r="124" spans="1:16" hidden="1" x14ac:dyDescent="0.3">
      <c r="A124" s="20">
        <f t="shared" si="1"/>
        <v>123</v>
      </c>
      <c r="B124" s="21" t="s">
        <v>87</v>
      </c>
      <c r="C124" s="21" t="s">
        <v>91</v>
      </c>
      <c r="D124" s="22" t="str">
        <f>IF($C124="","",IFERROR(VLOOKUP($C124,Map_Register!$A$2:$C$5,3,FALSE()),""))</f>
        <v>Cultural Heritage Area</v>
      </c>
      <c r="E124" s="21" t="s">
        <v>104</v>
      </c>
      <c r="F124" s="23">
        <v>66526</v>
      </c>
      <c r="G124" s="20" t="s">
        <v>111</v>
      </c>
      <c r="H124" s="20" t="s">
        <v>398</v>
      </c>
      <c r="I124" s="20" t="s">
        <v>8</v>
      </c>
      <c r="J124" s="20" t="s">
        <v>107</v>
      </c>
      <c r="K124" s="20" t="s">
        <v>107</v>
      </c>
      <c r="L124" s="20" t="s">
        <v>130</v>
      </c>
      <c r="M124" s="21" t="s">
        <v>108</v>
      </c>
      <c r="N124" s="21"/>
      <c r="O124" s="21"/>
      <c r="P124" s="24" t="s">
        <v>399</v>
      </c>
    </row>
    <row r="125" spans="1:16" hidden="1" x14ac:dyDescent="0.3">
      <c r="A125" s="20">
        <f t="shared" si="1"/>
        <v>124</v>
      </c>
      <c r="B125" s="21" t="s">
        <v>87</v>
      </c>
      <c r="C125" s="21" t="s">
        <v>91</v>
      </c>
      <c r="D125" s="22" t="str">
        <f>IF($C125="","",IFERROR(VLOOKUP($C125,Map_Register!$A$2:$C$5,3,FALSE()),""))</f>
        <v>Cultural Heritage Area</v>
      </c>
      <c r="E125" s="21" t="s">
        <v>104</v>
      </c>
      <c r="F125" s="23">
        <v>66557</v>
      </c>
      <c r="G125" s="20" t="s">
        <v>111</v>
      </c>
      <c r="H125" s="20" t="s">
        <v>400</v>
      </c>
      <c r="I125" s="20" t="s">
        <v>8</v>
      </c>
      <c r="J125" s="20" t="s">
        <v>107</v>
      </c>
      <c r="K125" s="20" t="s">
        <v>107</v>
      </c>
      <c r="L125" s="20" t="s">
        <v>130</v>
      </c>
      <c r="M125" s="21" t="s">
        <v>108</v>
      </c>
      <c r="N125" s="21"/>
      <c r="O125" s="21"/>
      <c r="P125" s="24" t="s">
        <v>401</v>
      </c>
    </row>
    <row r="126" spans="1:16" hidden="1" x14ac:dyDescent="0.3">
      <c r="A126" s="20">
        <f t="shared" si="1"/>
        <v>125</v>
      </c>
      <c r="B126" s="21" t="s">
        <v>87</v>
      </c>
      <c r="C126" s="21" t="s">
        <v>91</v>
      </c>
      <c r="D126" s="22" t="str">
        <f>IF($C126="","",IFERROR(VLOOKUP($C126,Map_Register!$A$2:$C$5,3,FALSE()),""))</f>
        <v>Cultural Heritage Area</v>
      </c>
      <c r="E126" s="21" t="s">
        <v>104</v>
      </c>
      <c r="F126" s="23">
        <v>66558</v>
      </c>
      <c r="G126" s="20" t="s">
        <v>111</v>
      </c>
      <c r="H126" s="20" t="s">
        <v>402</v>
      </c>
      <c r="I126" s="20" t="s">
        <v>8</v>
      </c>
      <c r="J126" s="20" t="s">
        <v>107</v>
      </c>
      <c r="K126" s="20" t="s">
        <v>107</v>
      </c>
      <c r="L126" s="20" t="s">
        <v>130</v>
      </c>
      <c r="M126" s="21" t="s">
        <v>108</v>
      </c>
      <c r="N126" s="21"/>
      <c r="O126" s="21"/>
      <c r="P126" s="24" t="s">
        <v>403</v>
      </c>
    </row>
    <row r="127" spans="1:16" hidden="1" x14ac:dyDescent="0.3">
      <c r="A127" s="20">
        <f t="shared" si="1"/>
        <v>126</v>
      </c>
      <c r="B127" s="21" t="s">
        <v>87</v>
      </c>
      <c r="C127" s="21" t="s">
        <v>91</v>
      </c>
      <c r="D127" s="22" t="str">
        <f>IF($C127="","",IFERROR(VLOOKUP($C127,Map_Register!$A$2:$C$5,3,FALSE()),""))</f>
        <v>Cultural Heritage Area</v>
      </c>
      <c r="E127" s="21" t="s">
        <v>104</v>
      </c>
      <c r="F127" s="23">
        <v>66566</v>
      </c>
      <c r="G127" s="20" t="s">
        <v>111</v>
      </c>
      <c r="H127" s="20" t="s">
        <v>404</v>
      </c>
      <c r="I127" s="20" t="s">
        <v>8</v>
      </c>
      <c r="J127" s="20" t="s">
        <v>107</v>
      </c>
      <c r="K127" s="20" t="s">
        <v>107</v>
      </c>
      <c r="L127" s="20" t="s">
        <v>130</v>
      </c>
      <c r="M127" s="21" t="s">
        <v>108</v>
      </c>
      <c r="N127" s="21"/>
      <c r="O127" s="21"/>
      <c r="P127" s="24" t="s">
        <v>405</v>
      </c>
    </row>
    <row r="128" spans="1:16" hidden="1" x14ac:dyDescent="0.3">
      <c r="A128" s="20">
        <f t="shared" si="1"/>
        <v>127</v>
      </c>
      <c r="B128" s="21" t="s">
        <v>87</v>
      </c>
      <c r="C128" s="21" t="s">
        <v>91</v>
      </c>
      <c r="D128" s="22" t="str">
        <f>IF($C128="","",IFERROR(VLOOKUP($C128,Map_Register!$A$2:$C$5,3,FALSE()),""))</f>
        <v>Cultural Heritage Area</v>
      </c>
      <c r="E128" s="21" t="s">
        <v>104</v>
      </c>
      <c r="F128" s="23">
        <v>66597</v>
      </c>
      <c r="G128" s="20" t="s">
        <v>207</v>
      </c>
      <c r="H128" s="20" t="s">
        <v>406</v>
      </c>
      <c r="I128" s="20" t="s">
        <v>6</v>
      </c>
      <c r="J128" s="20" t="s">
        <v>137</v>
      </c>
      <c r="K128" s="20" t="s">
        <v>137</v>
      </c>
      <c r="L128" s="20" t="s">
        <v>244</v>
      </c>
      <c r="M128" s="21"/>
      <c r="N128" s="21"/>
      <c r="O128" s="21"/>
      <c r="P128" s="24" t="s">
        <v>407</v>
      </c>
    </row>
    <row r="129" spans="1:16" hidden="1" x14ac:dyDescent="0.3">
      <c r="A129" s="20">
        <f t="shared" si="1"/>
        <v>128</v>
      </c>
      <c r="B129" s="21" t="s">
        <v>87</v>
      </c>
      <c r="C129" s="21" t="s">
        <v>91</v>
      </c>
      <c r="D129" s="22" t="str">
        <f>IF($C129="","",IFERROR(VLOOKUP($C129,Map_Register!$A$2:$C$5,3,FALSE()),""))</f>
        <v>Cultural Heritage Area</v>
      </c>
      <c r="E129" s="21" t="s">
        <v>104</v>
      </c>
      <c r="F129" s="23">
        <v>66609</v>
      </c>
      <c r="G129" s="20" t="s">
        <v>167</v>
      </c>
      <c r="H129" s="20" t="s">
        <v>408</v>
      </c>
      <c r="I129" s="20" t="s">
        <v>6</v>
      </c>
      <c r="J129" s="20" t="s">
        <v>137</v>
      </c>
      <c r="K129" s="20" t="s">
        <v>137</v>
      </c>
      <c r="L129" s="20" t="s">
        <v>409</v>
      </c>
      <c r="M129" s="21"/>
      <c r="N129" s="21"/>
      <c r="O129" s="21"/>
      <c r="P129" s="24" t="s">
        <v>410</v>
      </c>
    </row>
    <row r="130" spans="1:16" hidden="1" x14ac:dyDescent="0.3">
      <c r="A130" s="20">
        <f t="shared" ref="A130:A193" si="2">IF($B130="","",ROW()-1)</f>
        <v>129</v>
      </c>
      <c r="B130" s="21" t="s">
        <v>87</v>
      </c>
      <c r="C130" s="21" t="s">
        <v>91</v>
      </c>
      <c r="D130" s="22" t="str">
        <f>IF($C130="","",IFERROR(VLOOKUP($C130,Map_Register!$A$2:$C$5,3,FALSE()),""))</f>
        <v>Cultural Heritage Area</v>
      </c>
      <c r="E130" s="21" t="s">
        <v>104</v>
      </c>
      <c r="F130" s="23">
        <v>66618</v>
      </c>
      <c r="G130" s="20" t="s">
        <v>111</v>
      </c>
      <c r="H130" s="20" t="s">
        <v>411</v>
      </c>
      <c r="I130" s="20" t="s">
        <v>8</v>
      </c>
      <c r="J130" s="20" t="s">
        <v>107</v>
      </c>
      <c r="K130" s="20" t="s">
        <v>107</v>
      </c>
      <c r="L130" s="20" t="s">
        <v>130</v>
      </c>
      <c r="M130" s="21" t="s">
        <v>108</v>
      </c>
      <c r="N130" s="21"/>
      <c r="O130" s="21"/>
      <c r="P130" s="24" t="s">
        <v>412</v>
      </c>
    </row>
    <row r="131" spans="1:16" hidden="1" x14ac:dyDescent="0.3">
      <c r="A131" s="20">
        <f t="shared" si="2"/>
        <v>130</v>
      </c>
      <c r="B131" s="21" t="s">
        <v>87</v>
      </c>
      <c r="C131" s="21" t="s">
        <v>91</v>
      </c>
      <c r="D131" s="22" t="str">
        <f>IF($C131="","",IFERROR(VLOOKUP($C131,Map_Register!$A$2:$C$5,3,FALSE()),""))</f>
        <v>Cultural Heritage Area</v>
      </c>
      <c r="E131" s="21" t="s">
        <v>104</v>
      </c>
      <c r="F131" s="23">
        <v>66628</v>
      </c>
      <c r="G131" s="20" t="s">
        <v>111</v>
      </c>
      <c r="H131" s="20" t="s">
        <v>413</v>
      </c>
      <c r="I131" s="20" t="s">
        <v>8</v>
      </c>
      <c r="J131" s="20" t="s">
        <v>107</v>
      </c>
      <c r="K131" s="20" t="s">
        <v>107</v>
      </c>
      <c r="L131" s="20" t="s">
        <v>130</v>
      </c>
      <c r="M131" s="21" t="s">
        <v>108</v>
      </c>
      <c r="N131" s="21"/>
      <c r="O131" s="21"/>
      <c r="P131" s="24" t="s">
        <v>414</v>
      </c>
    </row>
    <row r="132" spans="1:16" hidden="1" x14ac:dyDescent="0.3">
      <c r="A132" s="20">
        <f t="shared" si="2"/>
        <v>131</v>
      </c>
      <c r="B132" s="21" t="s">
        <v>87</v>
      </c>
      <c r="C132" s="21" t="s">
        <v>91</v>
      </c>
      <c r="D132" s="22" t="str">
        <f>IF($C132="","",IFERROR(VLOOKUP($C132,Map_Register!$A$2:$C$5,3,FALSE()),""))</f>
        <v>Cultural Heritage Area</v>
      </c>
      <c r="E132" s="21" t="s">
        <v>104</v>
      </c>
      <c r="F132" s="23">
        <v>66651</v>
      </c>
      <c r="G132" s="20" t="s">
        <v>111</v>
      </c>
      <c r="H132" s="20" t="s">
        <v>415</v>
      </c>
      <c r="I132" s="20" t="s">
        <v>8</v>
      </c>
      <c r="J132" s="20" t="s">
        <v>107</v>
      </c>
      <c r="K132" s="20" t="s">
        <v>107</v>
      </c>
      <c r="L132" s="20" t="s">
        <v>130</v>
      </c>
      <c r="M132" s="21" t="s">
        <v>108</v>
      </c>
      <c r="N132" s="21"/>
      <c r="O132" s="21"/>
      <c r="P132" s="24" t="s">
        <v>416</v>
      </c>
    </row>
    <row r="133" spans="1:16" hidden="1" x14ac:dyDescent="0.3">
      <c r="A133" s="20">
        <f t="shared" si="2"/>
        <v>132</v>
      </c>
      <c r="B133" s="21" t="s">
        <v>87</v>
      </c>
      <c r="C133" s="21" t="s">
        <v>91</v>
      </c>
      <c r="D133" s="22" t="str">
        <f>IF($C133="","",IFERROR(VLOOKUP($C133,Map_Register!$A$2:$C$5,3,FALSE()),""))</f>
        <v>Cultural Heritage Area</v>
      </c>
      <c r="E133" s="21" t="s">
        <v>104</v>
      </c>
      <c r="F133" s="23">
        <v>66676</v>
      </c>
      <c r="G133" s="20" t="s">
        <v>111</v>
      </c>
      <c r="H133" s="20" t="s">
        <v>417</v>
      </c>
      <c r="I133" s="20" t="s">
        <v>8</v>
      </c>
      <c r="J133" s="20" t="s">
        <v>107</v>
      </c>
      <c r="K133" s="20" t="s">
        <v>107</v>
      </c>
      <c r="L133" s="20" t="s">
        <v>130</v>
      </c>
      <c r="M133" s="21" t="s">
        <v>108</v>
      </c>
      <c r="N133" s="21"/>
      <c r="O133" s="21"/>
      <c r="P133" s="24" t="s">
        <v>418</v>
      </c>
    </row>
    <row r="134" spans="1:16" hidden="1" x14ac:dyDescent="0.3">
      <c r="A134" s="20">
        <f t="shared" si="2"/>
        <v>133</v>
      </c>
      <c r="B134" s="21" t="s">
        <v>87</v>
      </c>
      <c r="C134" s="21" t="s">
        <v>91</v>
      </c>
      <c r="D134" s="22" t="str">
        <f>IF($C134="","",IFERROR(VLOOKUP($C134,Map_Register!$A$2:$C$5,3,FALSE()),""))</f>
        <v>Cultural Heritage Area</v>
      </c>
      <c r="E134" s="21" t="s">
        <v>104</v>
      </c>
      <c r="F134" s="23">
        <v>66766</v>
      </c>
      <c r="G134" s="20" t="s">
        <v>111</v>
      </c>
      <c r="H134" s="20" t="s">
        <v>419</v>
      </c>
      <c r="I134" s="20" t="s">
        <v>8</v>
      </c>
      <c r="J134" s="20" t="s">
        <v>107</v>
      </c>
      <c r="K134" s="20" t="s">
        <v>107</v>
      </c>
      <c r="L134" s="20" t="s">
        <v>130</v>
      </c>
      <c r="M134" s="21" t="s">
        <v>108</v>
      </c>
      <c r="N134" s="21"/>
      <c r="O134" s="21"/>
      <c r="P134" s="24" t="s">
        <v>420</v>
      </c>
    </row>
    <row r="135" spans="1:16" hidden="1" x14ac:dyDescent="0.3">
      <c r="A135" s="20">
        <f t="shared" si="2"/>
        <v>134</v>
      </c>
      <c r="B135" s="21" t="s">
        <v>87</v>
      </c>
      <c r="C135" s="21" t="s">
        <v>91</v>
      </c>
      <c r="D135" s="22" t="str">
        <f>IF($C135="","",IFERROR(VLOOKUP($C135,Map_Register!$A$2:$C$5,3,FALSE()),""))</f>
        <v>Cultural Heritage Area</v>
      </c>
      <c r="E135" s="21" t="s">
        <v>104</v>
      </c>
      <c r="F135" s="23">
        <v>66777</v>
      </c>
      <c r="G135" s="20" t="s">
        <v>111</v>
      </c>
      <c r="H135" s="20" t="s">
        <v>421</v>
      </c>
      <c r="I135" s="20" t="s">
        <v>220</v>
      </c>
      <c r="J135" s="20" t="s">
        <v>137</v>
      </c>
      <c r="K135" s="20" t="s">
        <v>137</v>
      </c>
      <c r="L135" s="20" t="s">
        <v>422</v>
      </c>
      <c r="M135" s="21"/>
      <c r="N135" s="21"/>
      <c r="O135" s="21" t="s">
        <v>222</v>
      </c>
      <c r="P135" s="24" t="s">
        <v>423</v>
      </c>
    </row>
    <row r="136" spans="1:16" hidden="1" x14ac:dyDescent="0.3">
      <c r="A136" s="20">
        <f t="shared" si="2"/>
        <v>135</v>
      </c>
      <c r="B136" s="21" t="s">
        <v>87</v>
      </c>
      <c r="C136" s="21" t="s">
        <v>91</v>
      </c>
      <c r="D136" s="22" t="str">
        <f>IF($C136="","",IFERROR(VLOOKUP($C136,Map_Register!$A$2:$C$5,3,FALSE()),""))</f>
        <v>Cultural Heritage Area</v>
      </c>
      <c r="E136" s="21" t="s">
        <v>104</v>
      </c>
      <c r="F136" s="23">
        <v>66801</v>
      </c>
      <c r="G136" s="20" t="s">
        <v>207</v>
      </c>
      <c r="H136" s="20" t="s">
        <v>178</v>
      </c>
      <c r="I136" s="20" t="s">
        <v>6</v>
      </c>
      <c r="J136" s="20" t="s">
        <v>137</v>
      </c>
      <c r="K136" s="20" t="s">
        <v>137</v>
      </c>
      <c r="L136" s="20" t="s">
        <v>186</v>
      </c>
      <c r="M136" s="21"/>
      <c r="N136" s="21"/>
      <c r="O136" s="21"/>
      <c r="P136" s="24" t="s">
        <v>424</v>
      </c>
    </row>
    <row r="137" spans="1:16" hidden="1" x14ac:dyDescent="0.3">
      <c r="A137" s="20">
        <f t="shared" si="2"/>
        <v>136</v>
      </c>
      <c r="B137" s="21" t="s">
        <v>87</v>
      </c>
      <c r="C137" s="21" t="s">
        <v>91</v>
      </c>
      <c r="D137" s="22" t="str">
        <f>IF($C137="","",IFERROR(VLOOKUP($C137,Map_Register!$A$2:$C$5,3,FALSE()),""))</f>
        <v>Cultural Heritage Area</v>
      </c>
      <c r="E137" s="21" t="s">
        <v>104</v>
      </c>
      <c r="F137" s="23">
        <v>66803</v>
      </c>
      <c r="G137" s="20" t="s">
        <v>111</v>
      </c>
      <c r="H137" s="20" t="s">
        <v>425</v>
      </c>
      <c r="I137" s="20" t="s">
        <v>8</v>
      </c>
      <c r="J137" s="20" t="s">
        <v>107</v>
      </c>
      <c r="K137" s="20" t="s">
        <v>107</v>
      </c>
      <c r="L137" s="20" t="s">
        <v>130</v>
      </c>
      <c r="M137" s="21" t="s">
        <v>108</v>
      </c>
      <c r="N137" s="21"/>
      <c r="O137" s="21"/>
      <c r="P137" s="24" t="s">
        <v>426</v>
      </c>
    </row>
    <row r="138" spans="1:16" hidden="1" x14ac:dyDescent="0.3">
      <c r="A138" s="20">
        <f t="shared" si="2"/>
        <v>137</v>
      </c>
      <c r="B138" s="21" t="s">
        <v>87</v>
      </c>
      <c r="C138" s="21" t="s">
        <v>91</v>
      </c>
      <c r="D138" s="22" t="str">
        <f>IF($C138="","",IFERROR(VLOOKUP($C138,Map_Register!$A$2:$C$5,3,FALSE()),""))</f>
        <v>Cultural Heritage Area</v>
      </c>
      <c r="E138" s="21" t="s">
        <v>104</v>
      </c>
      <c r="F138" s="21"/>
      <c r="G138" s="21" t="s">
        <v>427</v>
      </c>
      <c r="H138" s="21" t="s">
        <v>428</v>
      </c>
      <c r="I138" s="20" t="s">
        <v>220</v>
      </c>
      <c r="J138" s="21"/>
      <c r="K138" s="21"/>
      <c r="L138" s="20" t="s">
        <v>429</v>
      </c>
      <c r="M138" s="21"/>
      <c r="N138" s="21"/>
      <c r="O138" s="21" t="s">
        <v>222</v>
      </c>
      <c r="P138" s="24" t="s">
        <v>430</v>
      </c>
    </row>
    <row r="139" spans="1:16" hidden="1" x14ac:dyDescent="0.3">
      <c r="A139" s="20">
        <f t="shared" si="2"/>
        <v>138</v>
      </c>
      <c r="B139" s="21" t="s">
        <v>87</v>
      </c>
      <c r="C139" s="21" t="s">
        <v>91</v>
      </c>
      <c r="D139" s="22" t="str">
        <f>IF($C139="","",IFERROR(VLOOKUP($C139,Map_Register!$A$2:$C$5,3,FALSE()),""))</f>
        <v>Cultural Heritage Area</v>
      </c>
      <c r="E139" s="21" t="s">
        <v>104</v>
      </c>
      <c r="F139" s="21"/>
      <c r="G139" s="21" t="s">
        <v>427</v>
      </c>
      <c r="H139" s="21" t="s">
        <v>431</v>
      </c>
      <c r="I139" s="20" t="s">
        <v>220</v>
      </c>
      <c r="J139" s="21"/>
      <c r="K139" s="21"/>
      <c r="L139" s="20" t="s">
        <v>429</v>
      </c>
      <c r="M139" s="21"/>
      <c r="N139" s="21"/>
      <c r="O139" s="21" t="s">
        <v>222</v>
      </c>
      <c r="P139" s="21" t="s">
        <v>430</v>
      </c>
    </row>
    <row r="140" spans="1:16" hidden="1" x14ac:dyDescent="0.3">
      <c r="A140" s="20">
        <f t="shared" si="2"/>
        <v>139</v>
      </c>
      <c r="B140" s="21" t="s">
        <v>87</v>
      </c>
      <c r="C140" s="21" t="s">
        <v>91</v>
      </c>
      <c r="D140" s="22" t="str">
        <f>IF($C140="","",IFERROR(VLOOKUP($C140,Map_Register!$A$2:$C$5,3,FALSE()),""))</f>
        <v>Cultural Heritage Area</v>
      </c>
      <c r="E140" s="21" t="s">
        <v>104</v>
      </c>
      <c r="F140" s="21"/>
      <c r="G140" s="21" t="s">
        <v>432</v>
      </c>
      <c r="H140" s="21" t="s">
        <v>433</v>
      </c>
      <c r="I140" s="20" t="s">
        <v>220</v>
      </c>
      <c r="J140" s="21"/>
      <c r="K140" s="21"/>
      <c r="L140" s="20" t="s">
        <v>434</v>
      </c>
      <c r="M140" s="21"/>
      <c r="N140" s="21"/>
      <c r="O140" s="21" t="s">
        <v>222</v>
      </c>
      <c r="P140" s="21" t="s">
        <v>435</v>
      </c>
    </row>
    <row r="141" spans="1:16" hidden="1" x14ac:dyDescent="0.3">
      <c r="A141" s="20">
        <f t="shared" si="2"/>
        <v>140</v>
      </c>
      <c r="B141" s="21" t="s">
        <v>87</v>
      </c>
      <c r="C141" s="21" t="s">
        <v>94</v>
      </c>
      <c r="D141" s="22" t="str">
        <f>IF($C141="","",IFERROR(VLOOKUP($C141,Map_Register!$A$2:$C$5,3,FALSE()),""))</f>
        <v>Military Zone</v>
      </c>
      <c r="E141" s="21" t="s">
        <v>104</v>
      </c>
      <c r="F141" s="23">
        <v>425</v>
      </c>
      <c r="G141" s="20" t="s">
        <v>111</v>
      </c>
      <c r="H141" s="20" t="s">
        <v>436</v>
      </c>
      <c r="I141" s="20" t="s">
        <v>8</v>
      </c>
      <c r="J141" s="20" t="s">
        <v>107</v>
      </c>
      <c r="K141" s="20" t="s">
        <v>107</v>
      </c>
      <c r="L141" s="20" t="s">
        <v>137</v>
      </c>
      <c r="M141" s="21" t="s">
        <v>108</v>
      </c>
      <c r="N141" s="21"/>
      <c r="O141" s="21"/>
      <c r="P141" s="24" t="s">
        <v>110</v>
      </c>
    </row>
    <row r="142" spans="1:16" hidden="1" x14ac:dyDescent="0.3">
      <c r="A142" s="20">
        <f t="shared" si="2"/>
        <v>141</v>
      </c>
      <c r="B142" s="21" t="s">
        <v>87</v>
      </c>
      <c r="C142" s="21" t="s">
        <v>94</v>
      </c>
      <c r="D142" s="22" t="str">
        <f>IF($C142="","",IFERROR(VLOOKUP($C142,Map_Register!$A$2:$C$5,3,FALSE()),""))</f>
        <v>Military Zone</v>
      </c>
      <c r="E142" s="21" t="s">
        <v>104</v>
      </c>
      <c r="F142" s="23">
        <v>3500</v>
      </c>
      <c r="G142" s="20" t="s">
        <v>163</v>
      </c>
      <c r="H142" s="20" t="s">
        <v>437</v>
      </c>
      <c r="I142" s="20" t="s">
        <v>6</v>
      </c>
      <c r="J142" s="20" t="s">
        <v>137</v>
      </c>
      <c r="K142" s="20" t="s">
        <v>137</v>
      </c>
      <c r="L142" s="20" t="s">
        <v>438</v>
      </c>
      <c r="M142" s="21"/>
      <c r="N142" s="21"/>
      <c r="O142" s="21"/>
      <c r="P142" s="24" t="s">
        <v>114</v>
      </c>
    </row>
    <row r="143" spans="1:16" hidden="1" x14ac:dyDescent="0.3">
      <c r="A143" s="20">
        <f t="shared" si="2"/>
        <v>142</v>
      </c>
      <c r="B143" s="21" t="s">
        <v>87</v>
      </c>
      <c r="C143" s="21" t="s">
        <v>94</v>
      </c>
      <c r="D143" s="22" t="str">
        <f>IF($C143="","",IFERROR(VLOOKUP($C143,Map_Register!$A$2:$C$5,3,FALSE()),""))</f>
        <v>Military Zone</v>
      </c>
      <c r="E143" s="21" t="s">
        <v>104</v>
      </c>
      <c r="F143" s="23">
        <v>3506</v>
      </c>
      <c r="G143" s="20" t="s">
        <v>163</v>
      </c>
      <c r="H143" s="20" t="s">
        <v>439</v>
      </c>
      <c r="I143" s="20" t="s">
        <v>6</v>
      </c>
      <c r="J143" s="20" t="s">
        <v>137</v>
      </c>
      <c r="K143" s="20" t="s">
        <v>137</v>
      </c>
      <c r="L143" s="20" t="s">
        <v>440</v>
      </c>
      <c r="M143" s="21"/>
      <c r="N143" s="21"/>
      <c r="O143" s="21"/>
      <c r="P143" s="24" t="s">
        <v>117</v>
      </c>
    </row>
    <row r="144" spans="1:16" hidden="1" x14ac:dyDescent="0.3">
      <c r="A144" s="20">
        <f t="shared" si="2"/>
        <v>143</v>
      </c>
      <c r="B144" s="21" t="s">
        <v>87</v>
      </c>
      <c r="C144" s="21" t="s">
        <v>94</v>
      </c>
      <c r="D144" s="22" t="str">
        <f>IF($C144="","",IFERROR(VLOOKUP($C144,Map_Register!$A$2:$C$5,3,FALSE()),""))</f>
        <v>Military Zone</v>
      </c>
      <c r="E144" s="21" t="s">
        <v>104</v>
      </c>
      <c r="F144" s="23">
        <v>3509</v>
      </c>
      <c r="G144" s="20" t="s">
        <v>163</v>
      </c>
      <c r="H144" s="20" t="s">
        <v>441</v>
      </c>
      <c r="I144" s="20" t="s">
        <v>6</v>
      </c>
      <c r="J144" s="20" t="s">
        <v>137</v>
      </c>
      <c r="K144" s="20" t="s">
        <v>137</v>
      </c>
      <c r="L144" s="20" t="s">
        <v>442</v>
      </c>
      <c r="M144" s="21"/>
      <c r="N144" s="21"/>
      <c r="O144" s="21"/>
      <c r="P144" s="24" t="s">
        <v>120</v>
      </c>
    </row>
    <row r="145" spans="1:16" hidden="1" x14ac:dyDescent="0.3">
      <c r="A145" s="20">
        <f t="shared" si="2"/>
        <v>144</v>
      </c>
      <c r="B145" s="21" t="s">
        <v>87</v>
      </c>
      <c r="C145" s="21" t="s">
        <v>94</v>
      </c>
      <c r="D145" s="22" t="str">
        <f>IF($C145="","",IFERROR(VLOOKUP($C145,Map_Register!$A$2:$C$5,3,FALSE()),""))</f>
        <v>Military Zone</v>
      </c>
      <c r="E145" s="21" t="s">
        <v>104</v>
      </c>
      <c r="F145" s="23">
        <v>3789</v>
      </c>
      <c r="G145" s="20" t="s">
        <v>163</v>
      </c>
      <c r="H145" s="20" t="s">
        <v>443</v>
      </c>
      <c r="I145" s="20" t="s">
        <v>6</v>
      </c>
      <c r="J145" s="20" t="s">
        <v>137</v>
      </c>
      <c r="K145" s="20" t="s">
        <v>137</v>
      </c>
      <c r="L145" s="20" t="s">
        <v>444</v>
      </c>
      <c r="M145" s="21"/>
      <c r="N145" s="21"/>
      <c r="O145" s="21"/>
      <c r="P145" s="24" t="s">
        <v>123</v>
      </c>
    </row>
    <row r="146" spans="1:16" hidden="1" x14ac:dyDescent="0.3">
      <c r="A146" s="20">
        <f t="shared" si="2"/>
        <v>145</v>
      </c>
      <c r="B146" s="21" t="s">
        <v>87</v>
      </c>
      <c r="C146" s="21" t="s">
        <v>94</v>
      </c>
      <c r="D146" s="22" t="str">
        <f>IF($C146="","",IFERROR(VLOOKUP($C146,Map_Register!$A$2:$C$5,3,FALSE()),""))</f>
        <v>Military Zone</v>
      </c>
      <c r="E146" s="21" t="s">
        <v>104</v>
      </c>
      <c r="F146" s="23">
        <v>3792</v>
      </c>
      <c r="G146" s="20" t="s">
        <v>163</v>
      </c>
      <c r="H146" s="20" t="s">
        <v>445</v>
      </c>
      <c r="I146" s="20" t="s">
        <v>6</v>
      </c>
      <c r="J146" s="20" t="s">
        <v>137</v>
      </c>
      <c r="K146" s="20" t="s">
        <v>137</v>
      </c>
      <c r="L146" s="20" t="s">
        <v>438</v>
      </c>
      <c r="M146" s="21"/>
      <c r="N146" s="21"/>
      <c r="O146" s="21"/>
      <c r="P146" s="24" t="s">
        <v>126</v>
      </c>
    </row>
    <row r="147" spans="1:16" hidden="1" x14ac:dyDescent="0.3">
      <c r="A147" s="20">
        <f t="shared" si="2"/>
        <v>146</v>
      </c>
      <c r="B147" s="21" t="s">
        <v>87</v>
      </c>
      <c r="C147" s="21" t="s">
        <v>94</v>
      </c>
      <c r="D147" s="22" t="str">
        <f>IF($C147="","",IFERROR(VLOOKUP($C147,Map_Register!$A$2:$C$5,3,FALSE()),""))</f>
        <v>Military Zone</v>
      </c>
      <c r="E147" s="21" t="s">
        <v>104</v>
      </c>
      <c r="F147" s="23">
        <v>3793</v>
      </c>
      <c r="G147" s="20" t="s">
        <v>163</v>
      </c>
      <c r="H147" s="20" t="s">
        <v>446</v>
      </c>
      <c r="I147" s="20" t="s">
        <v>6</v>
      </c>
      <c r="J147" s="20" t="s">
        <v>137</v>
      </c>
      <c r="K147" s="20" t="s">
        <v>137</v>
      </c>
      <c r="L147" s="20" t="s">
        <v>447</v>
      </c>
      <c r="M147" s="21"/>
      <c r="N147" s="21"/>
      <c r="O147" s="21"/>
      <c r="P147" s="24" t="s">
        <v>128</v>
      </c>
    </row>
    <row r="148" spans="1:16" hidden="1" x14ac:dyDescent="0.3">
      <c r="A148" s="20">
        <f t="shared" si="2"/>
        <v>147</v>
      </c>
      <c r="B148" s="21" t="s">
        <v>87</v>
      </c>
      <c r="C148" s="21" t="s">
        <v>94</v>
      </c>
      <c r="D148" s="22" t="str">
        <f>IF($C148="","",IFERROR(VLOOKUP($C148,Map_Register!$A$2:$C$5,3,FALSE()),""))</f>
        <v>Military Zone</v>
      </c>
      <c r="E148" s="21" t="s">
        <v>104</v>
      </c>
      <c r="F148" s="23">
        <v>4350</v>
      </c>
      <c r="G148" s="20" t="s">
        <v>163</v>
      </c>
      <c r="H148" s="20" t="s">
        <v>448</v>
      </c>
      <c r="I148" s="20" t="s">
        <v>6</v>
      </c>
      <c r="J148" s="20" t="s">
        <v>137</v>
      </c>
      <c r="K148" s="20" t="s">
        <v>137</v>
      </c>
      <c r="L148" s="20" t="s">
        <v>449</v>
      </c>
      <c r="M148" s="21"/>
      <c r="N148" s="21"/>
      <c r="O148" s="21"/>
      <c r="P148" s="24" t="s">
        <v>131</v>
      </c>
    </row>
    <row r="149" spans="1:16" hidden="1" x14ac:dyDescent="0.3">
      <c r="A149" s="20">
        <f t="shared" si="2"/>
        <v>148</v>
      </c>
      <c r="B149" s="21" t="s">
        <v>87</v>
      </c>
      <c r="C149" s="21" t="s">
        <v>94</v>
      </c>
      <c r="D149" s="22" t="str">
        <f>IF($C149="","",IFERROR(VLOOKUP($C149,Map_Register!$A$2:$C$5,3,FALSE()),""))</f>
        <v>Military Zone</v>
      </c>
      <c r="E149" s="21" t="s">
        <v>104</v>
      </c>
      <c r="F149" s="23">
        <v>4351</v>
      </c>
      <c r="G149" s="20" t="s">
        <v>163</v>
      </c>
      <c r="H149" s="20" t="s">
        <v>450</v>
      </c>
      <c r="I149" s="20" t="s">
        <v>6</v>
      </c>
      <c r="J149" s="20" t="s">
        <v>137</v>
      </c>
      <c r="K149" s="20" t="s">
        <v>137</v>
      </c>
      <c r="L149" s="20" t="s">
        <v>451</v>
      </c>
      <c r="M149" s="21"/>
      <c r="N149" s="21"/>
      <c r="O149" s="21"/>
      <c r="P149" s="24" t="s">
        <v>133</v>
      </c>
    </row>
    <row r="150" spans="1:16" hidden="1" x14ac:dyDescent="0.3">
      <c r="A150" s="20">
        <f t="shared" si="2"/>
        <v>149</v>
      </c>
      <c r="B150" s="21" t="s">
        <v>87</v>
      </c>
      <c r="C150" s="21" t="s">
        <v>94</v>
      </c>
      <c r="D150" s="22" t="str">
        <f>IF($C150="","",IFERROR(VLOOKUP($C150,Map_Register!$A$2:$C$5,3,FALSE()),""))</f>
        <v>Military Zone</v>
      </c>
      <c r="E150" s="21" t="s">
        <v>104</v>
      </c>
      <c r="F150" s="23">
        <v>32937</v>
      </c>
      <c r="G150" s="20" t="s">
        <v>163</v>
      </c>
      <c r="H150" s="20" t="s">
        <v>452</v>
      </c>
      <c r="I150" s="20" t="s">
        <v>6</v>
      </c>
      <c r="J150" s="20" t="s">
        <v>137</v>
      </c>
      <c r="K150" s="20" t="s">
        <v>137</v>
      </c>
      <c r="L150" s="20" t="s">
        <v>453</v>
      </c>
      <c r="M150" s="21"/>
      <c r="N150" s="21"/>
      <c r="O150" s="21"/>
      <c r="P150" s="24" t="s">
        <v>135</v>
      </c>
    </row>
    <row r="151" spans="1:16" hidden="1" x14ac:dyDescent="0.3">
      <c r="A151" s="20">
        <f t="shared" si="2"/>
        <v>150</v>
      </c>
      <c r="B151" s="21" t="s">
        <v>87</v>
      </c>
      <c r="C151" s="21" t="s">
        <v>94</v>
      </c>
      <c r="D151" s="22" t="str">
        <f>IF($C151="","",IFERROR(VLOOKUP($C151,Map_Register!$A$2:$C$5,3,FALSE()),""))</f>
        <v>Military Zone</v>
      </c>
      <c r="E151" s="21" t="s">
        <v>104</v>
      </c>
      <c r="F151" s="23">
        <v>45114</v>
      </c>
      <c r="G151" s="20" t="s">
        <v>163</v>
      </c>
      <c r="H151" s="20" t="s">
        <v>454</v>
      </c>
      <c r="I151" s="20" t="s">
        <v>455</v>
      </c>
      <c r="J151" s="20" t="s">
        <v>137</v>
      </c>
      <c r="K151" s="20" t="s">
        <v>137</v>
      </c>
      <c r="L151" s="20" t="s">
        <v>455</v>
      </c>
      <c r="M151" s="21"/>
      <c r="N151" s="21"/>
      <c r="O151" s="21"/>
      <c r="P151" s="24" t="s">
        <v>139</v>
      </c>
    </row>
    <row r="152" spans="1:16" hidden="1" x14ac:dyDescent="0.3">
      <c r="A152" s="20">
        <f t="shared" si="2"/>
        <v>151</v>
      </c>
      <c r="B152" s="21" t="s">
        <v>87</v>
      </c>
      <c r="C152" s="21" t="s">
        <v>94</v>
      </c>
      <c r="D152" s="22" t="str">
        <f>IF($C152="","",IFERROR(VLOOKUP($C152,Map_Register!$A$2:$C$5,3,FALSE()),""))</f>
        <v>Military Zone</v>
      </c>
      <c r="E152" s="21" t="s">
        <v>104</v>
      </c>
      <c r="F152" s="23">
        <v>58351</v>
      </c>
      <c r="G152" s="20" t="s">
        <v>111</v>
      </c>
      <c r="H152" s="20" t="s">
        <v>456</v>
      </c>
      <c r="I152" s="20" t="s">
        <v>8</v>
      </c>
      <c r="J152" s="20" t="s">
        <v>107</v>
      </c>
      <c r="K152" s="20" t="s">
        <v>107</v>
      </c>
      <c r="L152" s="20" t="s">
        <v>455</v>
      </c>
      <c r="M152" s="21" t="s">
        <v>108</v>
      </c>
      <c r="N152" s="21"/>
      <c r="O152" s="21"/>
      <c r="P152" s="24" t="s">
        <v>142</v>
      </c>
    </row>
    <row r="153" spans="1:16" hidden="1" x14ac:dyDescent="0.3">
      <c r="A153" s="20">
        <f t="shared" si="2"/>
        <v>152</v>
      </c>
      <c r="B153" s="21" t="s">
        <v>87</v>
      </c>
      <c r="C153" s="21" t="s">
        <v>94</v>
      </c>
      <c r="D153" s="22" t="str">
        <f>IF($C153="","",IFERROR(VLOOKUP($C153,Map_Register!$A$2:$C$5,3,FALSE()),""))</f>
        <v>Military Zone</v>
      </c>
      <c r="E153" s="21" t="s">
        <v>104</v>
      </c>
      <c r="F153" s="23">
        <v>61751</v>
      </c>
      <c r="G153" s="20" t="s">
        <v>111</v>
      </c>
      <c r="H153" s="20" t="s">
        <v>457</v>
      </c>
      <c r="I153" s="20" t="s">
        <v>8</v>
      </c>
      <c r="J153" s="20" t="s">
        <v>107</v>
      </c>
      <c r="K153" s="20" t="s">
        <v>107</v>
      </c>
      <c r="L153" s="20" t="s">
        <v>455</v>
      </c>
      <c r="M153" s="21" t="s">
        <v>108</v>
      </c>
      <c r="N153" s="21"/>
      <c r="O153" s="21"/>
      <c r="P153" s="24" t="s">
        <v>144</v>
      </c>
    </row>
    <row r="154" spans="1:16" hidden="1" x14ac:dyDescent="0.3">
      <c r="A154" s="20">
        <f t="shared" si="2"/>
        <v>153</v>
      </c>
      <c r="B154" s="21" t="s">
        <v>87</v>
      </c>
      <c r="C154" s="21" t="s">
        <v>94</v>
      </c>
      <c r="D154" s="22" t="str">
        <f>IF($C154="","",IFERROR(VLOOKUP($C154,Map_Register!$A$2:$C$5,3,FALSE()),""))</f>
        <v>Military Zone</v>
      </c>
      <c r="E154" s="21" t="s">
        <v>104</v>
      </c>
      <c r="F154" s="23">
        <v>61773</v>
      </c>
      <c r="G154" s="20" t="s">
        <v>207</v>
      </c>
      <c r="H154" s="20" t="s">
        <v>458</v>
      </c>
      <c r="I154" s="20" t="s">
        <v>6</v>
      </c>
      <c r="J154" s="20" t="s">
        <v>137</v>
      </c>
      <c r="K154" s="20" t="s">
        <v>137</v>
      </c>
      <c r="L154" s="20" t="s">
        <v>254</v>
      </c>
      <c r="M154" s="21"/>
      <c r="N154" s="21"/>
      <c r="O154" s="21"/>
      <c r="P154" s="24" t="s">
        <v>146</v>
      </c>
    </row>
    <row r="155" spans="1:16" hidden="1" x14ac:dyDescent="0.3">
      <c r="A155" s="20">
        <f t="shared" si="2"/>
        <v>154</v>
      </c>
      <c r="B155" s="21" t="s">
        <v>87</v>
      </c>
      <c r="C155" s="21" t="s">
        <v>94</v>
      </c>
      <c r="D155" s="22" t="str">
        <f>IF($C155="","",IFERROR(VLOOKUP($C155,Map_Register!$A$2:$C$5,3,FALSE()),""))</f>
        <v>Military Zone</v>
      </c>
      <c r="E155" s="21" t="s">
        <v>104</v>
      </c>
      <c r="F155" s="23">
        <v>61779</v>
      </c>
      <c r="G155" s="20" t="s">
        <v>163</v>
      </c>
      <c r="H155" s="20" t="s">
        <v>459</v>
      </c>
      <c r="I155" s="20" t="s">
        <v>8</v>
      </c>
      <c r="J155" s="20" t="s">
        <v>107</v>
      </c>
      <c r="K155" s="20" t="s">
        <v>108</v>
      </c>
      <c r="L155" s="20" t="s">
        <v>460</v>
      </c>
      <c r="M155" s="21" t="s">
        <v>108</v>
      </c>
      <c r="N155" s="21"/>
      <c r="O155" s="21"/>
      <c r="P155" s="24" t="s">
        <v>148</v>
      </c>
    </row>
    <row r="156" spans="1:16" hidden="1" x14ac:dyDescent="0.3">
      <c r="A156" s="20">
        <f t="shared" si="2"/>
        <v>155</v>
      </c>
      <c r="B156" s="21" t="s">
        <v>87</v>
      </c>
      <c r="C156" s="21" t="s">
        <v>94</v>
      </c>
      <c r="D156" s="22" t="str">
        <f>IF($C156="","",IFERROR(VLOOKUP($C156,Map_Register!$A$2:$C$5,3,FALSE()),""))</f>
        <v>Military Zone</v>
      </c>
      <c r="E156" s="21" t="s">
        <v>104</v>
      </c>
      <c r="F156" s="23">
        <v>61796</v>
      </c>
      <c r="G156" s="20" t="s">
        <v>111</v>
      </c>
      <c r="H156" s="20" t="s">
        <v>461</v>
      </c>
      <c r="I156" s="20" t="s">
        <v>8</v>
      </c>
      <c r="J156" s="20" t="s">
        <v>107</v>
      </c>
      <c r="K156" s="20" t="s">
        <v>107</v>
      </c>
      <c r="L156" s="20" t="s">
        <v>130</v>
      </c>
      <c r="M156" s="21" t="s">
        <v>108</v>
      </c>
      <c r="N156" s="21"/>
      <c r="O156" s="21"/>
      <c r="P156" s="24" t="s">
        <v>150</v>
      </c>
    </row>
    <row r="157" spans="1:16" hidden="1" x14ac:dyDescent="0.3">
      <c r="A157" s="20">
        <f t="shared" si="2"/>
        <v>156</v>
      </c>
      <c r="B157" s="21" t="s">
        <v>87</v>
      </c>
      <c r="C157" s="21" t="s">
        <v>94</v>
      </c>
      <c r="D157" s="22" t="str">
        <f>IF($C157="","",IFERROR(VLOOKUP($C157,Map_Register!$A$2:$C$5,3,FALSE()),""))</f>
        <v>Military Zone</v>
      </c>
      <c r="E157" s="21" t="s">
        <v>104</v>
      </c>
      <c r="F157" s="23">
        <v>61839</v>
      </c>
      <c r="G157" s="20" t="s">
        <v>163</v>
      </c>
      <c r="H157" s="20" t="s">
        <v>462</v>
      </c>
      <c r="I157" s="20" t="s">
        <v>6</v>
      </c>
      <c r="J157" s="20" t="s">
        <v>137</v>
      </c>
      <c r="K157" s="20" t="s">
        <v>137</v>
      </c>
      <c r="L157" s="20" t="s">
        <v>438</v>
      </c>
      <c r="M157" s="21"/>
      <c r="N157" s="21"/>
      <c r="O157" s="21"/>
      <c r="P157" s="24" t="s">
        <v>152</v>
      </c>
    </row>
    <row r="158" spans="1:16" hidden="1" x14ac:dyDescent="0.3">
      <c r="A158" s="20">
        <f t="shared" si="2"/>
        <v>157</v>
      </c>
      <c r="B158" s="21" t="s">
        <v>87</v>
      </c>
      <c r="C158" s="21" t="s">
        <v>94</v>
      </c>
      <c r="D158" s="22" t="str">
        <f>IF($C158="","",IFERROR(VLOOKUP($C158,Map_Register!$A$2:$C$5,3,FALSE()),""))</f>
        <v>Military Zone</v>
      </c>
      <c r="E158" s="21" t="s">
        <v>104</v>
      </c>
      <c r="F158" s="23">
        <v>61857</v>
      </c>
      <c r="G158" s="20" t="s">
        <v>157</v>
      </c>
      <c r="H158" s="20" t="s">
        <v>463</v>
      </c>
      <c r="I158" s="20" t="s">
        <v>6</v>
      </c>
      <c r="J158" s="20" t="s">
        <v>137</v>
      </c>
      <c r="K158" s="20" t="s">
        <v>137</v>
      </c>
      <c r="L158" s="20" t="s">
        <v>250</v>
      </c>
      <c r="M158" s="21"/>
      <c r="N158" s="21"/>
      <c r="O158" s="21"/>
      <c r="P158" s="24" t="s">
        <v>154</v>
      </c>
    </row>
    <row r="159" spans="1:16" hidden="1" x14ac:dyDescent="0.3">
      <c r="A159" s="20">
        <f t="shared" si="2"/>
        <v>158</v>
      </c>
      <c r="B159" s="21" t="s">
        <v>87</v>
      </c>
      <c r="C159" s="21" t="s">
        <v>94</v>
      </c>
      <c r="D159" s="22" t="str">
        <f>IF($C159="","",IFERROR(VLOOKUP($C159,Map_Register!$A$2:$C$5,3,FALSE()),""))</f>
        <v>Military Zone</v>
      </c>
      <c r="E159" s="21" t="s">
        <v>104</v>
      </c>
      <c r="F159" s="23">
        <v>61886</v>
      </c>
      <c r="G159" s="20" t="s">
        <v>111</v>
      </c>
      <c r="H159" s="20" t="s">
        <v>464</v>
      </c>
      <c r="I159" s="20" t="s">
        <v>8</v>
      </c>
      <c r="J159" s="20" t="s">
        <v>107</v>
      </c>
      <c r="K159" s="20" t="s">
        <v>107</v>
      </c>
      <c r="L159" s="20" t="s">
        <v>130</v>
      </c>
      <c r="M159" s="21" t="s">
        <v>108</v>
      </c>
      <c r="N159" s="21"/>
      <c r="O159" s="21"/>
      <c r="P159" s="24" t="s">
        <v>156</v>
      </c>
    </row>
    <row r="160" spans="1:16" hidden="1" x14ac:dyDescent="0.3">
      <c r="A160" s="20">
        <f t="shared" si="2"/>
        <v>159</v>
      </c>
      <c r="B160" s="21" t="s">
        <v>87</v>
      </c>
      <c r="C160" s="21" t="s">
        <v>94</v>
      </c>
      <c r="D160" s="22" t="str">
        <f>IF($C160="","",IFERROR(VLOOKUP($C160,Map_Register!$A$2:$C$5,3,FALSE()),""))</f>
        <v>Military Zone</v>
      </c>
      <c r="E160" s="21" t="s">
        <v>104</v>
      </c>
      <c r="F160" s="23">
        <v>61909</v>
      </c>
      <c r="G160" s="20" t="s">
        <v>111</v>
      </c>
      <c r="H160" s="20" t="s">
        <v>465</v>
      </c>
      <c r="I160" s="20" t="s">
        <v>455</v>
      </c>
      <c r="J160" s="20" t="s">
        <v>137</v>
      </c>
      <c r="K160" s="20" t="s">
        <v>137</v>
      </c>
      <c r="L160" s="20" t="s">
        <v>466</v>
      </c>
      <c r="M160" s="21"/>
      <c r="N160" s="21"/>
      <c r="O160" s="21"/>
      <c r="P160" s="24" t="s">
        <v>159</v>
      </c>
    </row>
    <row r="161" spans="1:16" hidden="1" x14ac:dyDescent="0.3">
      <c r="A161" s="20">
        <f t="shared" si="2"/>
        <v>160</v>
      </c>
      <c r="B161" s="21" t="s">
        <v>87</v>
      </c>
      <c r="C161" s="21" t="s">
        <v>94</v>
      </c>
      <c r="D161" s="22" t="str">
        <f>IF($C161="","",IFERROR(VLOOKUP($C161,Map_Register!$A$2:$C$5,3,FALSE()),""))</f>
        <v>Military Zone</v>
      </c>
      <c r="E161" s="21" t="s">
        <v>104</v>
      </c>
      <c r="F161" s="23">
        <v>61941</v>
      </c>
      <c r="G161" s="20" t="s">
        <v>163</v>
      </c>
      <c r="H161" s="20" t="s">
        <v>467</v>
      </c>
      <c r="I161" s="20" t="s">
        <v>6</v>
      </c>
      <c r="J161" s="20" t="s">
        <v>137</v>
      </c>
      <c r="K161" s="20" t="s">
        <v>137</v>
      </c>
      <c r="L161" s="20" t="s">
        <v>438</v>
      </c>
      <c r="M161" s="21"/>
      <c r="N161" s="21"/>
      <c r="O161" s="21"/>
      <c r="P161" s="24" t="s">
        <v>162</v>
      </c>
    </row>
    <row r="162" spans="1:16" hidden="1" x14ac:dyDescent="0.3">
      <c r="A162" s="20">
        <f t="shared" si="2"/>
        <v>161</v>
      </c>
      <c r="B162" s="21" t="s">
        <v>87</v>
      </c>
      <c r="C162" s="21" t="s">
        <v>94</v>
      </c>
      <c r="D162" s="22" t="str">
        <f>IF($C162="","",IFERROR(VLOOKUP($C162,Map_Register!$A$2:$C$5,3,FALSE()),""))</f>
        <v>Military Zone</v>
      </c>
      <c r="E162" s="21" t="s">
        <v>104</v>
      </c>
      <c r="F162" s="23">
        <v>61953</v>
      </c>
      <c r="G162" s="20" t="s">
        <v>111</v>
      </c>
      <c r="H162" s="20" t="s">
        <v>468</v>
      </c>
      <c r="I162" s="20" t="s">
        <v>8</v>
      </c>
      <c r="J162" s="20" t="s">
        <v>107</v>
      </c>
      <c r="K162" s="20" t="s">
        <v>107</v>
      </c>
      <c r="L162" s="20" t="s">
        <v>130</v>
      </c>
      <c r="M162" s="21" t="s">
        <v>108</v>
      </c>
      <c r="N162" s="21"/>
      <c r="O162" s="21"/>
      <c r="P162" s="24" t="s">
        <v>166</v>
      </c>
    </row>
    <row r="163" spans="1:16" hidden="1" x14ac:dyDescent="0.3">
      <c r="A163" s="20">
        <f t="shared" si="2"/>
        <v>162</v>
      </c>
      <c r="B163" s="21" t="s">
        <v>87</v>
      </c>
      <c r="C163" s="21" t="s">
        <v>94</v>
      </c>
      <c r="D163" s="22" t="str">
        <f>IF($C163="","",IFERROR(VLOOKUP($C163,Map_Register!$A$2:$C$5,3,FALSE()),""))</f>
        <v>Military Zone</v>
      </c>
      <c r="E163" s="21" t="s">
        <v>104</v>
      </c>
      <c r="F163" s="23">
        <v>61963</v>
      </c>
      <c r="G163" s="20" t="s">
        <v>111</v>
      </c>
      <c r="H163" s="20" t="s">
        <v>469</v>
      </c>
      <c r="I163" s="20" t="s">
        <v>8</v>
      </c>
      <c r="J163" s="20" t="s">
        <v>107</v>
      </c>
      <c r="K163" s="20" t="s">
        <v>107</v>
      </c>
      <c r="L163" s="20" t="s">
        <v>130</v>
      </c>
      <c r="M163" s="21" t="s">
        <v>108</v>
      </c>
      <c r="N163" s="21"/>
      <c r="O163" s="21"/>
      <c r="P163" s="24" t="s">
        <v>170</v>
      </c>
    </row>
    <row r="164" spans="1:16" hidden="1" x14ac:dyDescent="0.3">
      <c r="A164" s="20">
        <f t="shared" si="2"/>
        <v>163</v>
      </c>
      <c r="B164" s="21" t="s">
        <v>87</v>
      </c>
      <c r="C164" s="21" t="s">
        <v>94</v>
      </c>
      <c r="D164" s="22" t="str">
        <f>IF($C164="","",IFERROR(VLOOKUP($C164,Map_Register!$A$2:$C$5,3,FALSE()),""))</f>
        <v>Military Zone</v>
      </c>
      <c r="E164" s="21" t="s">
        <v>104</v>
      </c>
      <c r="F164" s="23">
        <v>61965</v>
      </c>
      <c r="G164" s="20" t="s">
        <v>111</v>
      </c>
      <c r="H164" s="20" t="s">
        <v>470</v>
      </c>
      <c r="I164" s="20" t="s">
        <v>8</v>
      </c>
      <c r="J164" s="20" t="s">
        <v>107</v>
      </c>
      <c r="K164" s="20" t="s">
        <v>107</v>
      </c>
      <c r="L164" s="20" t="s">
        <v>130</v>
      </c>
      <c r="M164" s="21" t="s">
        <v>108</v>
      </c>
      <c r="N164" s="21"/>
      <c r="O164" s="21"/>
      <c r="P164" s="24" t="s">
        <v>173</v>
      </c>
    </row>
    <row r="165" spans="1:16" hidden="1" x14ac:dyDescent="0.3">
      <c r="A165" s="20">
        <f t="shared" si="2"/>
        <v>164</v>
      </c>
      <c r="B165" s="21" t="s">
        <v>87</v>
      </c>
      <c r="C165" s="21" t="s">
        <v>94</v>
      </c>
      <c r="D165" s="22" t="str">
        <f>IF($C165="","",IFERROR(VLOOKUP($C165,Map_Register!$A$2:$C$5,3,FALSE()),""))</f>
        <v>Military Zone</v>
      </c>
      <c r="E165" s="21" t="s">
        <v>104</v>
      </c>
      <c r="F165" s="23">
        <v>61983</v>
      </c>
      <c r="G165" s="20" t="s">
        <v>207</v>
      </c>
      <c r="H165" s="20" t="s">
        <v>471</v>
      </c>
      <c r="I165" s="20" t="s">
        <v>6</v>
      </c>
      <c r="J165" s="20" t="s">
        <v>137</v>
      </c>
      <c r="K165" s="20" t="s">
        <v>137</v>
      </c>
      <c r="L165" s="20" t="s">
        <v>472</v>
      </c>
      <c r="M165" s="21"/>
      <c r="N165" s="21"/>
      <c r="O165" s="21"/>
      <c r="P165" s="24" t="s">
        <v>175</v>
      </c>
    </row>
    <row r="166" spans="1:16" hidden="1" x14ac:dyDescent="0.3">
      <c r="A166" s="20">
        <f t="shared" si="2"/>
        <v>165</v>
      </c>
      <c r="B166" s="21" t="s">
        <v>87</v>
      </c>
      <c r="C166" s="21" t="s">
        <v>94</v>
      </c>
      <c r="D166" s="22" t="str">
        <f>IF($C166="","",IFERROR(VLOOKUP($C166,Map_Register!$A$2:$C$5,3,FALSE()),""))</f>
        <v>Military Zone</v>
      </c>
      <c r="E166" s="21" t="s">
        <v>104</v>
      </c>
      <c r="F166" s="23">
        <v>62015</v>
      </c>
      <c r="G166" s="20" t="s">
        <v>111</v>
      </c>
      <c r="H166" s="20" t="s">
        <v>473</v>
      </c>
      <c r="I166" s="20" t="s">
        <v>8</v>
      </c>
      <c r="J166" s="20" t="s">
        <v>107</v>
      </c>
      <c r="K166" s="20" t="s">
        <v>107</v>
      </c>
      <c r="L166" s="20" t="s">
        <v>130</v>
      </c>
      <c r="M166" s="21" t="s">
        <v>108</v>
      </c>
      <c r="N166" s="21"/>
      <c r="O166" s="21"/>
      <c r="P166" s="24" t="s">
        <v>177</v>
      </c>
    </row>
    <row r="167" spans="1:16" hidden="1" x14ac:dyDescent="0.3">
      <c r="A167" s="20">
        <f t="shared" si="2"/>
        <v>166</v>
      </c>
      <c r="B167" s="21" t="s">
        <v>87</v>
      </c>
      <c r="C167" s="21" t="s">
        <v>94</v>
      </c>
      <c r="D167" s="22" t="str">
        <f>IF($C167="","",IFERROR(VLOOKUP($C167,Map_Register!$A$2:$C$5,3,FALSE()),""))</f>
        <v>Military Zone</v>
      </c>
      <c r="E167" s="21" t="s">
        <v>104</v>
      </c>
      <c r="F167" s="23">
        <v>62026</v>
      </c>
      <c r="G167" s="20" t="s">
        <v>111</v>
      </c>
      <c r="H167" s="20" t="s">
        <v>474</v>
      </c>
      <c r="I167" s="20" t="s">
        <v>8</v>
      </c>
      <c r="J167" s="20" t="s">
        <v>107</v>
      </c>
      <c r="K167" s="20" t="s">
        <v>107</v>
      </c>
      <c r="L167" s="20" t="s">
        <v>130</v>
      </c>
      <c r="M167" s="21" t="s">
        <v>108</v>
      </c>
      <c r="N167" s="21"/>
      <c r="O167" s="21"/>
      <c r="P167" s="24" t="s">
        <v>180</v>
      </c>
    </row>
    <row r="168" spans="1:16" hidden="1" x14ac:dyDescent="0.3">
      <c r="A168" s="20">
        <f t="shared" si="2"/>
        <v>167</v>
      </c>
      <c r="B168" s="21" t="s">
        <v>87</v>
      </c>
      <c r="C168" s="21" t="s">
        <v>94</v>
      </c>
      <c r="D168" s="22" t="str">
        <f>IF($C168="","",IFERROR(VLOOKUP($C168,Map_Register!$A$2:$C$5,3,FALSE()),""))</f>
        <v>Military Zone</v>
      </c>
      <c r="E168" s="21" t="s">
        <v>104</v>
      </c>
      <c r="F168" s="23">
        <v>62082</v>
      </c>
      <c r="G168" s="20" t="s">
        <v>111</v>
      </c>
      <c r="H168" s="20" t="s">
        <v>475</v>
      </c>
      <c r="I168" s="20" t="s">
        <v>8</v>
      </c>
      <c r="J168" s="20" t="s">
        <v>107</v>
      </c>
      <c r="K168" s="20" t="s">
        <v>107</v>
      </c>
      <c r="L168" s="20" t="s">
        <v>130</v>
      </c>
      <c r="M168" s="21" t="s">
        <v>108</v>
      </c>
      <c r="N168" s="21"/>
      <c r="O168" s="21"/>
      <c r="P168" s="24" t="s">
        <v>182</v>
      </c>
    </row>
    <row r="169" spans="1:16" hidden="1" x14ac:dyDescent="0.3">
      <c r="A169" s="20">
        <f t="shared" si="2"/>
        <v>168</v>
      </c>
      <c r="B169" s="21" t="s">
        <v>87</v>
      </c>
      <c r="C169" s="21" t="s">
        <v>94</v>
      </c>
      <c r="D169" s="22" t="str">
        <f>IF($C169="","",IFERROR(VLOOKUP($C169,Map_Register!$A$2:$C$5,3,FALSE()),""))</f>
        <v>Military Zone</v>
      </c>
      <c r="E169" s="21" t="s">
        <v>104</v>
      </c>
      <c r="F169" s="23">
        <v>62193</v>
      </c>
      <c r="G169" s="20" t="s">
        <v>111</v>
      </c>
      <c r="H169" s="20" t="s">
        <v>476</v>
      </c>
      <c r="I169" s="20" t="s">
        <v>8</v>
      </c>
      <c r="J169" s="20" t="s">
        <v>107</v>
      </c>
      <c r="K169" s="20" t="s">
        <v>107</v>
      </c>
      <c r="L169" s="20" t="s">
        <v>130</v>
      </c>
      <c r="M169" s="21" t="s">
        <v>108</v>
      </c>
      <c r="N169" s="21"/>
      <c r="O169" s="21"/>
      <c r="P169" s="24" t="s">
        <v>184</v>
      </c>
    </row>
    <row r="170" spans="1:16" hidden="1" x14ac:dyDescent="0.3">
      <c r="A170" s="20">
        <f t="shared" si="2"/>
        <v>169</v>
      </c>
      <c r="B170" s="21" t="s">
        <v>87</v>
      </c>
      <c r="C170" s="21" t="s">
        <v>94</v>
      </c>
      <c r="D170" s="22" t="str">
        <f>IF($C170="","",IFERROR(VLOOKUP($C170,Map_Register!$A$2:$C$5,3,FALSE()),""))</f>
        <v>Military Zone</v>
      </c>
      <c r="E170" s="21" t="s">
        <v>104</v>
      </c>
      <c r="F170" s="23">
        <v>62228</v>
      </c>
      <c r="G170" s="20" t="s">
        <v>111</v>
      </c>
      <c r="H170" s="20" t="s">
        <v>477</v>
      </c>
      <c r="I170" s="20" t="s">
        <v>8</v>
      </c>
      <c r="J170" s="20" t="s">
        <v>107</v>
      </c>
      <c r="K170" s="20" t="s">
        <v>107</v>
      </c>
      <c r="L170" s="20" t="s">
        <v>130</v>
      </c>
      <c r="M170" s="21" t="s">
        <v>108</v>
      </c>
      <c r="N170" s="21"/>
      <c r="O170" s="21"/>
      <c r="P170" s="24" t="s">
        <v>187</v>
      </c>
    </row>
    <row r="171" spans="1:16" hidden="1" x14ac:dyDescent="0.3">
      <c r="A171" s="20">
        <f t="shared" si="2"/>
        <v>170</v>
      </c>
      <c r="B171" s="21" t="s">
        <v>87</v>
      </c>
      <c r="C171" s="21" t="s">
        <v>94</v>
      </c>
      <c r="D171" s="22" t="str">
        <f>IF($C171="","",IFERROR(VLOOKUP($C171,Map_Register!$A$2:$C$5,3,FALSE()),""))</f>
        <v>Military Zone</v>
      </c>
      <c r="E171" s="21" t="s">
        <v>104</v>
      </c>
      <c r="F171" s="23">
        <v>62287</v>
      </c>
      <c r="G171" s="20" t="s">
        <v>157</v>
      </c>
      <c r="H171" s="20" t="s">
        <v>478</v>
      </c>
      <c r="I171" s="20" t="s">
        <v>8</v>
      </c>
      <c r="J171" s="20" t="s">
        <v>107</v>
      </c>
      <c r="K171" s="20" t="s">
        <v>108</v>
      </c>
      <c r="L171" s="20" t="s">
        <v>479</v>
      </c>
      <c r="M171" s="21" t="s">
        <v>108</v>
      </c>
      <c r="N171" s="21"/>
      <c r="O171" s="21"/>
      <c r="P171" s="24" t="s">
        <v>189</v>
      </c>
    </row>
    <row r="172" spans="1:16" hidden="1" x14ac:dyDescent="0.3">
      <c r="A172" s="20">
        <f t="shared" si="2"/>
        <v>171</v>
      </c>
      <c r="B172" s="21" t="s">
        <v>87</v>
      </c>
      <c r="C172" s="21" t="s">
        <v>94</v>
      </c>
      <c r="D172" s="22" t="str">
        <f>IF($C172="","",IFERROR(VLOOKUP($C172,Map_Register!$A$2:$C$5,3,FALSE()),""))</f>
        <v>Military Zone</v>
      </c>
      <c r="E172" s="21" t="s">
        <v>104</v>
      </c>
      <c r="F172" s="23">
        <v>62293</v>
      </c>
      <c r="G172" s="20" t="s">
        <v>111</v>
      </c>
      <c r="H172" s="20" t="s">
        <v>480</v>
      </c>
      <c r="I172" s="20" t="s">
        <v>8</v>
      </c>
      <c r="J172" s="20" t="s">
        <v>107</v>
      </c>
      <c r="K172" s="20" t="s">
        <v>107</v>
      </c>
      <c r="L172" s="20" t="s">
        <v>130</v>
      </c>
      <c r="M172" s="21" t="s">
        <v>108</v>
      </c>
      <c r="N172" s="21"/>
      <c r="O172" s="21"/>
      <c r="P172" s="24" t="s">
        <v>191</v>
      </c>
    </row>
    <row r="173" spans="1:16" hidden="1" x14ac:dyDescent="0.3">
      <c r="A173" s="20">
        <f t="shared" si="2"/>
        <v>172</v>
      </c>
      <c r="B173" s="21" t="s">
        <v>87</v>
      </c>
      <c r="C173" s="21" t="s">
        <v>94</v>
      </c>
      <c r="D173" s="22" t="str">
        <f>IF($C173="","",IFERROR(VLOOKUP($C173,Map_Register!$A$2:$C$5,3,FALSE()),""))</f>
        <v>Military Zone</v>
      </c>
      <c r="E173" s="21" t="s">
        <v>104</v>
      </c>
      <c r="F173" s="23">
        <v>62324</v>
      </c>
      <c r="G173" s="20" t="s">
        <v>111</v>
      </c>
      <c r="H173" s="20" t="s">
        <v>481</v>
      </c>
      <c r="I173" s="20" t="s">
        <v>8</v>
      </c>
      <c r="J173" s="20" t="s">
        <v>107</v>
      </c>
      <c r="K173" s="20" t="s">
        <v>107</v>
      </c>
      <c r="L173" s="20" t="s">
        <v>130</v>
      </c>
      <c r="M173" s="21" t="s">
        <v>108</v>
      </c>
      <c r="N173" s="21"/>
      <c r="O173" s="21"/>
      <c r="P173" s="24" t="s">
        <v>193</v>
      </c>
    </row>
    <row r="174" spans="1:16" hidden="1" x14ac:dyDescent="0.3">
      <c r="A174" s="20">
        <f t="shared" si="2"/>
        <v>173</v>
      </c>
      <c r="B174" s="21" t="s">
        <v>87</v>
      </c>
      <c r="C174" s="21" t="s">
        <v>94</v>
      </c>
      <c r="D174" s="22" t="str">
        <f>IF($C174="","",IFERROR(VLOOKUP($C174,Map_Register!$A$2:$C$5,3,FALSE()),""))</f>
        <v>Military Zone</v>
      </c>
      <c r="E174" s="21" t="s">
        <v>104</v>
      </c>
      <c r="F174" s="23">
        <v>62329</v>
      </c>
      <c r="G174" s="20" t="s">
        <v>111</v>
      </c>
      <c r="H174" s="20" t="s">
        <v>482</v>
      </c>
      <c r="I174" s="20" t="s">
        <v>8</v>
      </c>
      <c r="J174" s="20" t="s">
        <v>107</v>
      </c>
      <c r="K174" s="20" t="s">
        <v>107</v>
      </c>
      <c r="L174" s="20" t="s">
        <v>130</v>
      </c>
      <c r="M174" s="21" t="s">
        <v>108</v>
      </c>
      <c r="N174" s="21"/>
      <c r="O174" s="21"/>
      <c r="P174" s="24" t="s">
        <v>195</v>
      </c>
    </row>
    <row r="175" spans="1:16" hidden="1" x14ac:dyDescent="0.3">
      <c r="A175" s="20">
        <f t="shared" si="2"/>
        <v>174</v>
      </c>
      <c r="B175" s="21" t="s">
        <v>87</v>
      </c>
      <c r="C175" s="21" t="s">
        <v>94</v>
      </c>
      <c r="D175" s="22" t="str">
        <f>IF($C175="","",IFERROR(VLOOKUP($C175,Map_Register!$A$2:$C$5,3,FALSE()),""))</f>
        <v>Military Zone</v>
      </c>
      <c r="E175" s="21" t="s">
        <v>104</v>
      </c>
      <c r="F175" s="23">
        <v>62348</v>
      </c>
      <c r="G175" s="20" t="s">
        <v>111</v>
      </c>
      <c r="H175" s="20" t="s">
        <v>483</v>
      </c>
      <c r="I175" s="20" t="s">
        <v>8</v>
      </c>
      <c r="J175" s="20" t="s">
        <v>107</v>
      </c>
      <c r="K175" s="20" t="s">
        <v>107</v>
      </c>
      <c r="L175" s="20" t="s">
        <v>130</v>
      </c>
      <c r="M175" s="21" t="s">
        <v>108</v>
      </c>
      <c r="N175" s="21"/>
      <c r="O175" s="21"/>
      <c r="P175" s="24" t="s">
        <v>197</v>
      </c>
    </row>
    <row r="176" spans="1:16" hidden="1" x14ac:dyDescent="0.3">
      <c r="A176" s="20">
        <f t="shared" si="2"/>
        <v>175</v>
      </c>
      <c r="B176" s="21" t="s">
        <v>87</v>
      </c>
      <c r="C176" s="21" t="s">
        <v>94</v>
      </c>
      <c r="D176" s="22" t="str">
        <f>IF($C176="","",IFERROR(VLOOKUP($C176,Map_Register!$A$2:$C$5,3,FALSE()),""))</f>
        <v>Military Zone</v>
      </c>
      <c r="E176" s="21" t="s">
        <v>104</v>
      </c>
      <c r="F176" s="23">
        <v>62358</v>
      </c>
      <c r="G176" s="20" t="s">
        <v>111</v>
      </c>
      <c r="H176" s="20" t="s">
        <v>484</v>
      </c>
      <c r="I176" s="20" t="s">
        <v>8</v>
      </c>
      <c r="J176" s="20" t="s">
        <v>107</v>
      </c>
      <c r="K176" s="20" t="s">
        <v>107</v>
      </c>
      <c r="L176" s="20" t="s">
        <v>130</v>
      </c>
      <c r="M176" s="21" t="s">
        <v>108</v>
      </c>
      <c r="N176" s="21"/>
      <c r="O176" s="21"/>
      <c r="P176" s="24" t="s">
        <v>199</v>
      </c>
    </row>
    <row r="177" spans="1:16" hidden="1" x14ac:dyDescent="0.3">
      <c r="A177" s="20">
        <f t="shared" si="2"/>
        <v>176</v>
      </c>
      <c r="B177" s="21" t="s">
        <v>87</v>
      </c>
      <c r="C177" s="21" t="s">
        <v>94</v>
      </c>
      <c r="D177" s="22" t="str">
        <f>IF($C177="","",IFERROR(VLOOKUP($C177,Map_Register!$A$2:$C$5,3,FALSE()),""))</f>
        <v>Military Zone</v>
      </c>
      <c r="E177" s="21" t="s">
        <v>104</v>
      </c>
      <c r="F177" s="23">
        <v>62371</v>
      </c>
      <c r="G177" s="20" t="s">
        <v>111</v>
      </c>
      <c r="H177" s="20" t="s">
        <v>485</v>
      </c>
      <c r="I177" s="20" t="s">
        <v>8</v>
      </c>
      <c r="J177" s="20" t="s">
        <v>107</v>
      </c>
      <c r="K177" s="20" t="s">
        <v>107</v>
      </c>
      <c r="L177" s="20" t="s">
        <v>130</v>
      </c>
      <c r="M177" s="21" t="s">
        <v>108</v>
      </c>
      <c r="N177" s="21"/>
      <c r="O177" s="21"/>
      <c r="P177" s="24" t="s">
        <v>201</v>
      </c>
    </row>
    <row r="178" spans="1:16" hidden="1" x14ac:dyDescent="0.3">
      <c r="A178" s="20">
        <f t="shared" si="2"/>
        <v>177</v>
      </c>
      <c r="B178" s="21" t="s">
        <v>87</v>
      </c>
      <c r="C178" s="21" t="s">
        <v>94</v>
      </c>
      <c r="D178" s="22" t="str">
        <f>IF($C178="","",IFERROR(VLOOKUP($C178,Map_Register!$A$2:$C$5,3,FALSE()),""))</f>
        <v>Military Zone</v>
      </c>
      <c r="E178" s="21" t="s">
        <v>104</v>
      </c>
      <c r="F178" s="23">
        <v>62374</v>
      </c>
      <c r="G178" s="20" t="s">
        <v>111</v>
      </c>
      <c r="H178" s="20" t="s">
        <v>486</v>
      </c>
      <c r="I178" s="20" t="s">
        <v>8</v>
      </c>
      <c r="J178" s="20" t="s">
        <v>107</v>
      </c>
      <c r="K178" s="20" t="s">
        <v>107</v>
      </c>
      <c r="L178" s="20" t="s">
        <v>130</v>
      </c>
      <c r="M178" s="21" t="s">
        <v>108</v>
      </c>
      <c r="N178" s="21"/>
      <c r="O178" s="21"/>
      <c r="P178" s="24" t="s">
        <v>203</v>
      </c>
    </row>
    <row r="179" spans="1:16" hidden="1" x14ac:dyDescent="0.3">
      <c r="A179" s="20">
        <f t="shared" si="2"/>
        <v>178</v>
      </c>
      <c r="B179" s="21" t="s">
        <v>87</v>
      </c>
      <c r="C179" s="21" t="s">
        <v>94</v>
      </c>
      <c r="D179" s="22" t="str">
        <f>IF($C179="","",IFERROR(VLOOKUP($C179,Map_Register!$A$2:$C$5,3,FALSE()),""))</f>
        <v>Military Zone</v>
      </c>
      <c r="E179" s="21" t="s">
        <v>104</v>
      </c>
      <c r="F179" s="23">
        <v>62393</v>
      </c>
      <c r="G179" s="20" t="s">
        <v>111</v>
      </c>
      <c r="H179" s="20" t="s">
        <v>487</v>
      </c>
      <c r="I179" s="20" t="s">
        <v>8</v>
      </c>
      <c r="J179" s="20" t="s">
        <v>107</v>
      </c>
      <c r="K179" s="20" t="s">
        <v>107</v>
      </c>
      <c r="L179" s="20" t="s">
        <v>130</v>
      </c>
      <c r="M179" s="21" t="s">
        <v>108</v>
      </c>
      <c r="N179" s="21"/>
      <c r="O179" s="21"/>
      <c r="P179" s="24" t="s">
        <v>206</v>
      </c>
    </row>
    <row r="180" spans="1:16" hidden="1" x14ac:dyDescent="0.3">
      <c r="A180" s="20">
        <f t="shared" si="2"/>
        <v>179</v>
      </c>
      <c r="B180" s="21" t="s">
        <v>87</v>
      </c>
      <c r="C180" s="21" t="s">
        <v>94</v>
      </c>
      <c r="D180" s="22" t="str">
        <f>IF($C180="","",IFERROR(VLOOKUP($C180,Map_Register!$A$2:$C$5,3,FALSE()),""))</f>
        <v>Military Zone</v>
      </c>
      <c r="E180" s="21" t="s">
        <v>104</v>
      </c>
      <c r="F180" s="23">
        <v>62405</v>
      </c>
      <c r="G180" s="20" t="s">
        <v>111</v>
      </c>
      <c r="H180" s="20" t="s">
        <v>488</v>
      </c>
      <c r="I180" s="20" t="s">
        <v>8</v>
      </c>
      <c r="J180" s="20" t="s">
        <v>107</v>
      </c>
      <c r="K180" s="20" t="s">
        <v>107</v>
      </c>
      <c r="L180" s="20" t="s">
        <v>130</v>
      </c>
      <c r="M180" s="21" t="s">
        <v>108</v>
      </c>
      <c r="N180" s="21"/>
      <c r="O180" s="21"/>
      <c r="P180" s="24" t="s">
        <v>210</v>
      </c>
    </row>
    <row r="181" spans="1:16" hidden="1" x14ac:dyDescent="0.3">
      <c r="A181" s="20">
        <f t="shared" si="2"/>
        <v>180</v>
      </c>
      <c r="B181" s="21" t="s">
        <v>87</v>
      </c>
      <c r="C181" s="21" t="s">
        <v>94</v>
      </c>
      <c r="D181" s="22" t="str">
        <f>IF($C181="","",IFERROR(VLOOKUP($C181,Map_Register!$A$2:$C$5,3,FALSE()),""))</f>
        <v>Military Zone</v>
      </c>
      <c r="E181" s="21" t="s">
        <v>104</v>
      </c>
      <c r="F181" s="23">
        <v>62411</v>
      </c>
      <c r="G181" s="20" t="s">
        <v>163</v>
      </c>
      <c r="H181" s="20" t="s">
        <v>489</v>
      </c>
      <c r="I181" s="20" t="s">
        <v>6</v>
      </c>
      <c r="J181" s="20" t="s">
        <v>137</v>
      </c>
      <c r="K181" s="20" t="s">
        <v>137</v>
      </c>
      <c r="L181" s="20" t="s">
        <v>490</v>
      </c>
      <c r="M181" s="21"/>
      <c r="N181" s="21"/>
      <c r="O181" s="21"/>
      <c r="P181" s="24" t="s">
        <v>212</v>
      </c>
    </row>
    <row r="182" spans="1:16" hidden="1" x14ac:dyDescent="0.3">
      <c r="A182" s="20">
        <f t="shared" si="2"/>
        <v>181</v>
      </c>
      <c r="B182" s="21" t="s">
        <v>87</v>
      </c>
      <c r="C182" s="21" t="s">
        <v>94</v>
      </c>
      <c r="D182" s="22" t="str">
        <f>IF($C182="","",IFERROR(VLOOKUP($C182,Map_Register!$A$2:$C$5,3,FALSE()),""))</f>
        <v>Military Zone</v>
      </c>
      <c r="E182" s="21" t="s">
        <v>104</v>
      </c>
      <c r="F182" s="23">
        <v>62420</v>
      </c>
      <c r="G182" s="20" t="s">
        <v>111</v>
      </c>
      <c r="H182" s="20" t="s">
        <v>491</v>
      </c>
      <c r="I182" s="20" t="s">
        <v>8</v>
      </c>
      <c r="J182" s="20" t="s">
        <v>107</v>
      </c>
      <c r="K182" s="20" t="s">
        <v>107</v>
      </c>
      <c r="L182" s="20" t="s">
        <v>130</v>
      </c>
      <c r="M182" s="21" t="s">
        <v>108</v>
      </c>
      <c r="N182" s="21"/>
      <c r="O182" s="21"/>
      <c r="P182" s="24" t="s">
        <v>215</v>
      </c>
    </row>
    <row r="183" spans="1:16" hidden="1" x14ac:dyDescent="0.3">
      <c r="A183" s="20">
        <f t="shared" si="2"/>
        <v>182</v>
      </c>
      <c r="B183" s="21" t="s">
        <v>87</v>
      </c>
      <c r="C183" s="21" t="s">
        <v>94</v>
      </c>
      <c r="D183" s="22" t="str">
        <f>IF($C183="","",IFERROR(VLOOKUP($C183,Map_Register!$A$2:$C$5,3,FALSE()),""))</f>
        <v>Military Zone</v>
      </c>
      <c r="E183" s="21" t="s">
        <v>104</v>
      </c>
      <c r="F183" s="23">
        <v>62430</v>
      </c>
      <c r="G183" s="20" t="s">
        <v>207</v>
      </c>
      <c r="H183" s="20" t="s">
        <v>492</v>
      </c>
      <c r="I183" s="20" t="s">
        <v>220</v>
      </c>
      <c r="J183" s="20" t="s">
        <v>137</v>
      </c>
      <c r="K183" s="20" t="s">
        <v>137</v>
      </c>
      <c r="L183" s="20" t="s">
        <v>493</v>
      </c>
      <c r="M183" s="21"/>
      <c r="N183" s="21"/>
      <c r="O183" s="21" t="s">
        <v>222</v>
      </c>
      <c r="P183" s="24" t="s">
        <v>218</v>
      </c>
    </row>
    <row r="184" spans="1:16" hidden="1" x14ac:dyDescent="0.3">
      <c r="A184" s="20">
        <f t="shared" si="2"/>
        <v>183</v>
      </c>
      <c r="B184" s="21" t="s">
        <v>87</v>
      </c>
      <c r="C184" s="21" t="s">
        <v>94</v>
      </c>
      <c r="D184" s="22" t="str">
        <f>IF($C184="","",IFERROR(VLOOKUP($C184,Map_Register!$A$2:$C$5,3,FALSE()),""))</f>
        <v>Military Zone</v>
      </c>
      <c r="E184" s="21" t="s">
        <v>104</v>
      </c>
      <c r="F184" s="23">
        <v>62447</v>
      </c>
      <c r="G184" s="20" t="s">
        <v>111</v>
      </c>
      <c r="H184" s="20" t="s">
        <v>494</v>
      </c>
      <c r="I184" s="20" t="s">
        <v>8</v>
      </c>
      <c r="J184" s="20" t="s">
        <v>107</v>
      </c>
      <c r="K184" s="20" t="s">
        <v>107</v>
      </c>
      <c r="L184" s="20" t="s">
        <v>130</v>
      </c>
      <c r="M184" s="21" t="s">
        <v>108</v>
      </c>
      <c r="N184" s="21"/>
      <c r="O184" s="21"/>
      <c r="P184" s="24" t="s">
        <v>223</v>
      </c>
    </row>
    <row r="185" spans="1:16" hidden="1" x14ac:dyDescent="0.3">
      <c r="A185" s="20">
        <f t="shared" si="2"/>
        <v>184</v>
      </c>
      <c r="B185" s="21" t="s">
        <v>87</v>
      </c>
      <c r="C185" s="21" t="s">
        <v>94</v>
      </c>
      <c r="D185" s="22" t="str">
        <f>IF($C185="","",IFERROR(VLOOKUP($C185,Map_Register!$A$2:$C$5,3,FALSE()),""))</f>
        <v>Military Zone</v>
      </c>
      <c r="E185" s="21" t="s">
        <v>104</v>
      </c>
      <c r="F185" s="23">
        <v>62480</v>
      </c>
      <c r="G185" s="20" t="s">
        <v>111</v>
      </c>
      <c r="H185" s="20" t="s">
        <v>495</v>
      </c>
      <c r="I185" s="20" t="s">
        <v>8</v>
      </c>
      <c r="J185" s="20" t="s">
        <v>107</v>
      </c>
      <c r="K185" s="20" t="s">
        <v>107</v>
      </c>
      <c r="L185" s="20" t="s">
        <v>496</v>
      </c>
      <c r="M185" s="21" t="s">
        <v>108</v>
      </c>
      <c r="N185" s="21"/>
      <c r="O185" s="21"/>
      <c r="P185" s="24" t="s">
        <v>226</v>
      </c>
    </row>
    <row r="186" spans="1:16" hidden="1" x14ac:dyDescent="0.3">
      <c r="A186" s="20">
        <f t="shared" si="2"/>
        <v>185</v>
      </c>
      <c r="B186" s="21" t="s">
        <v>87</v>
      </c>
      <c r="C186" s="21" t="s">
        <v>94</v>
      </c>
      <c r="D186" s="22" t="str">
        <f>IF($C186="","",IFERROR(VLOOKUP($C186,Map_Register!$A$2:$C$5,3,FALSE()),""))</f>
        <v>Military Zone</v>
      </c>
      <c r="E186" s="21" t="s">
        <v>104</v>
      </c>
      <c r="F186" s="23">
        <v>62493</v>
      </c>
      <c r="G186" s="20" t="s">
        <v>111</v>
      </c>
      <c r="H186" s="20" t="s">
        <v>497</v>
      </c>
      <c r="I186" s="20" t="s">
        <v>8</v>
      </c>
      <c r="J186" s="20" t="s">
        <v>107</v>
      </c>
      <c r="K186" s="20" t="s">
        <v>107</v>
      </c>
      <c r="L186" s="20" t="s">
        <v>130</v>
      </c>
      <c r="M186" s="21" t="s">
        <v>108</v>
      </c>
      <c r="N186" s="21"/>
      <c r="O186" s="21"/>
      <c r="P186" s="24" t="s">
        <v>228</v>
      </c>
    </row>
    <row r="187" spans="1:16" hidden="1" x14ac:dyDescent="0.3">
      <c r="A187" s="20">
        <f t="shared" si="2"/>
        <v>186</v>
      </c>
      <c r="B187" s="21" t="s">
        <v>87</v>
      </c>
      <c r="C187" s="21" t="s">
        <v>94</v>
      </c>
      <c r="D187" s="22" t="str">
        <f>IF($C187="","",IFERROR(VLOOKUP($C187,Map_Register!$A$2:$C$5,3,FALSE()),""))</f>
        <v>Military Zone</v>
      </c>
      <c r="E187" s="21" t="s">
        <v>104</v>
      </c>
      <c r="F187" s="23">
        <v>62497</v>
      </c>
      <c r="G187" s="20" t="s">
        <v>111</v>
      </c>
      <c r="H187" s="20" t="s">
        <v>498</v>
      </c>
      <c r="I187" s="20" t="s">
        <v>8</v>
      </c>
      <c r="J187" s="20" t="s">
        <v>107</v>
      </c>
      <c r="K187" s="20" t="s">
        <v>107</v>
      </c>
      <c r="L187" s="20" t="s">
        <v>130</v>
      </c>
      <c r="M187" s="21" t="s">
        <v>108</v>
      </c>
      <c r="N187" s="21"/>
      <c r="O187" s="21"/>
      <c r="P187" s="24" t="s">
        <v>231</v>
      </c>
    </row>
    <row r="188" spans="1:16" hidden="1" x14ac:dyDescent="0.3">
      <c r="A188" s="20">
        <f t="shared" si="2"/>
        <v>187</v>
      </c>
      <c r="B188" s="21" t="s">
        <v>87</v>
      </c>
      <c r="C188" s="21" t="s">
        <v>94</v>
      </c>
      <c r="D188" s="22" t="str">
        <f>IF($C188="","",IFERROR(VLOOKUP($C188,Map_Register!$A$2:$C$5,3,FALSE()),""))</f>
        <v>Military Zone</v>
      </c>
      <c r="E188" s="21" t="s">
        <v>104</v>
      </c>
      <c r="F188" s="23">
        <v>62508</v>
      </c>
      <c r="G188" s="20" t="s">
        <v>111</v>
      </c>
      <c r="H188" s="20" t="s">
        <v>499</v>
      </c>
      <c r="I188" s="20" t="s">
        <v>8</v>
      </c>
      <c r="J188" s="20" t="s">
        <v>107</v>
      </c>
      <c r="K188" s="20" t="s">
        <v>107</v>
      </c>
      <c r="L188" s="20" t="s">
        <v>265</v>
      </c>
      <c r="M188" s="21" t="s">
        <v>108</v>
      </c>
      <c r="N188" s="21"/>
      <c r="O188" s="21"/>
      <c r="P188" s="24" t="s">
        <v>233</v>
      </c>
    </row>
    <row r="189" spans="1:16" hidden="1" x14ac:dyDescent="0.3">
      <c r="A189" s="20">
        <f t="shared" si="2"/>
        <v>188</v>
      </c>
      <c r="B189" s="21" t="s">
        <v>87</v>
      </c>
      <c r="C189" s="21" t="s">
        <v>94</v>
      </c>
      <c r="D189" s="22" t="str">
        <f>IF($C189="","",IFERROR(VLOOKUP($C189,Map_Register!$A$2:$C$5,3,FALSE()),""))</f>
        <v>Military Zone</v>
      </c>
      <c r="E189" s="21" t="s">
        <v>104</v>
      </c>
      <c r="F189" s="23">
        <v>62520</v>
      </c>
      <c r="G189" s="20" t="s">
        <v>111</v>
      </c>
      <c r="H189" s="20" t="s">
        <v>500</v>
      </c>
      <c r="I189" s="20" t="s">
        <v>8</v>
      </c>
      <c r="J189" s="20" t="s">
        <v>107</v>
      </c>
      <c r="K189" s="20" t="s">
        <v>107</v>
      </c>
      <c r="L189" s="20" t="s">
        <v>501</v>
      </c>
      <c r="M189" s="21" t="s">
        <v>108</v>
      </c>
      <c r="N189" s="21"/>
      <c r="O189" s="21"/>
      <c r="P189" s="24" t="s">
        <v>236</v>
      </c>
    </row>
    <row r="190" spans="1:16" hidden="1" x14ac:dyDescent="0.3">
      <c r="A190" s="20">
        <f t="shared" si="2"/>
        <v>189</v>
      </c>
      <c r="B190" s="21" t="s">
        <v>87</v>
      </c>
      <c r="C190" s="21" t="s">
        <v>94</v>
      </c>
      <c r="D190" s="22" t="str">
        <f>IF($C190="","",IFERROR(VLOOKUP($C190,Map_Register!$A$2:$C$5,3,FALSE()),""))</f>
        <v>Military Zone</v>
      </c>
      <c r="E190" s="21" t="s">
        <v>104</v>
      </c>
      <c r="F190" s="23">
        <v>62547</v>
      </c>
      <c r="G190" s="20" t="s">
        <v>167</v>
      </c>
      <c r="H190" s="20" t="s">
        <v>478</v>
      </c>
      <c r="I190" s="20" t="s">
        <v>6</v>
      </c>
      <c r="J190" s="20" t="s">
        <v>137</v>
      </c>
      <c r="K190" s="20" t="s">
        <v>137</v>
      </c>
      <c r="L190" s="20" t="s">
        <v>186</v>
      </c>
      <c r="M190" s="21"/>
      <c r="N190" s="21"/>
      <c r="O190" s="21"/>
      <c r="P190" s="24" t="s">
        <v>239</v>
      </c>
    </row>
    <row r="191" spans="1:16" hidden="1" x14ac:dyDescent="0.3">
      <c r="A191" s="20">
        <f t="shared" si="2"/>
        <v>190</v>
      </c>
      <c r="B191" s="21" t="s">
        <v>87</v>
      </c>
      <c r="C191" s="21" t="s">
        <v>94</v>
      </c>
      <c r="D191" s="22" t="str">
        <f>IF($C191="","",IFERROR(VLOOKUP($C191,Map_Register!$A$2:$C$5,3,FALSE()),""))</f>
        <v>Military Zone</v>
      </c>
      <c r="E191" s="21" t="s">
        <v>104</v>
      </c>
      <c r="F191" s="23">
        <v>62570</v>
      </c>
      <c r="G191" s="20" t="s">
        <v>163</v>
      </c>
      <c r="H191" s="20" t="s">
        <v>502</v>
      </c>
      <c r="I191" s="20" t="s">
        <v>6</v>
      </c>
      <c r="J191" s="20" t="s">
        <v>137</v>
      </c>
      <c r="K191" s="20" t="s">
        <v>137</v>
      </c>
      <c r="L191" s="20" t="s">
        <v>250</v>
      </c>
      <c r="M191" s="21"/>
      <c r="N191" s="21"/>
      <c r="O191" s="21"/>
      <c r="P191" s="24" t="s">
        <v>242</v>
      </c>
    </row>
    <row r="192" spans="1:16" hidden="1" x14ac:dyDescent="0.3">
      <c r="A192" s="20">
        <f t="shared" si="2"/>
        <v>191</v>
      </c>
      <c r="B192" s="21" t="s">
        <v>87</v>
      </c>
      <c r="C192" s="21" t="s">
        <v>94</v>
      </c>
      <c r="D192" s="22" t="str">
        <f>IF($C192="","",IFERROR(VLOOKUP($C192,Map_Register!$A$2:$C$5,3,FALSE()),""))</f>
        <v>Military Zone</v>
      </c>
      <c r="E192" s="21" t="s">
        <v>104</v>
      </c>
      <c r="F192" s="23">
        <v>62573</v>
      </c>
      <c r="G192" s="20" t="s">
        <v>163</v>
      </c>
      <c r="H192" s="20" t="s">
        <v>503</v>
      </c>
      <c r="I192" s="20" t="s">
        <v>6</v>
      </c>
      <c r="J192" s="20" t="s">
        <v>137</v>
      </c>
      <c r="K192" s="20" t="s">
        <v>137</v>
      </c>
      <c r="L192" s="20" t="s">
        <v>504</v>
      </c>
      <c r="M192" s="21"/>
      <c r="N192" s="21"/>
      <c r="O192" s="21"/>
      <c r="P192" s="24" t="s">
        <v>245</v>
      </c>
    </row>
    <row r="193" spans="1:16" hidden="1" x14ac:dyDescent="0.3">
      <c r="A193" s="20">
        <f t="shared" si="2"/>
        <v>192</v>
      </c>
      <c r="B193" s="21" t="s">
        <v>87</v>
      </c>
      <c r="C193" s="21" t="s">
        <v>94</v>
      </c>
      <c r="D193" s="22" t="str">
        <f>IF($C193="","",IFERROR(VLOOKUP($C193,Map_Register!$A$2:$C$5,3,FALSE()),""))</f>
        <v>Military Zone</v>
      </c>
      <c r="E193" s="21" t="s">
        <v>104</v>
      </c>
      <c r="F193" s="23">
        <v>62577</v>
      </c>
      <c r="G193" s="20" t="s">
        <v>111</v>
      </c>
      <c r="H193" s="20" t="s">
        <v>505</v>
      </c>
      <c r="I193" s="20" t="s">
        <v>8</v>
      </c>
      <c r="J193" s="20" t="s">
        <v>107</v>
      </c>
      <c r="K193" s="20" t="s">
        <v>107</v>
      </c>
      <c r="L193" s="20" t="s">
        <v>130</v>
      </c>
      <c r="M193" s="21" t="s">
        <v>108</v>
      </c>
      <c r="N193" s="21"/>
      <c r="O193" s="21"/>
      <c r="P193" s="24" t="s">
        <v>248</v>
      </c>
    </row>
    <row r="194" spans="1:16" hidden="1" x14ac:dyDescent="0.3">
      <c r="A194" s="20">
        <f t="shared" ref="A194:A257" si="3">IF($B194="","",ROW()-1)</f>
        <v>193</v>
      </c>
      <c r="B194" s="21" t="s">
        <v>87</v>
      </c>
      <c r="C194" s="21" t="s">
        <v>94</v>
      </c>
      <c r="D194" s="22" t="str">
        <f>IF($C194="","",IFERROR(VLOOKUP($C194,Map_Register!$A$2:$C$5,3,FALSE()),""))</f>
        <v>Military Zone</v>
      </c>
      <c r="E194" s="21" t="s">
        <v>104</v>
      </c>
      <c r="F194" s="23">
        <v>62606</v>
      </c>
      <c r="G194" s="20" t="s">
        <v>167</v>
      </c>
      <c r="H194" s="20" t="s">
        <v>506</v>
      </c>
      <c r="I194" s="20" t="s">
        <v>6</v>
      </c>
      <c r="J194" s="20" t="s">
        <v>137</v>
      </c>
      <c r="K194" s="20" t="s">
        <v>137</v>
      </c>
      <c r="L194" s="20" t="s">
        <v>186</v>
      </c>
      <c r="M194" s="21"/>
      <c r="N194" s="21"/>
      <c r="O194" s="21"/>
      <c r="P194" s="24" t="s">
        <v>251</v>
      </c>
    </row>
    <row r="195" spans="1:16" hidden="1" x14ac:dyDescent="0.3">
      <c r="A195" s="20">
        <f t="shared" si="3"/>
        <v>194</v>
      </c>
      <c r="B195" s="21" t="s">
        <v>87</v>
      </c>
      <c r="C195" s="21" t="s">
        <v>94</v>
      </c>
      <c r="D195" s="22" t="str">
        <f>IF($C195="","",IFERROR(VLOOKUP($C195,Map_Register!$A$2:$C$5,3,FALSE()),""))</f>
        <v>Military Zone</v>
      </c>
      <c r="E195" s="21" t="s">
        <v>104</v>
      </c>
      <c r="F195" s="23">
        <v>62636</v>
      </c>
      <c r="G195" s="20" t="s">
        <v>111</v>
      </c>
      <c r="H195" s="20" t="s">
        <v>507</v>
      </c>
      <c r="I195" s="20" t="s">
        <v>8</v>
      </c>
      <c r="J195" s="20" t="s">
        <v>107</v>
      </c>
      <c r="K195" s="20" t="s">
        <v>107</v>
      </c>
      <c r="L195" s="20" t="s">
        <v>130</v>
      </c>
      <c r="M195" s="21" t="s">
        <v>108</v>
      </c>
      <c r="N195" s="21"/>
      <c r="O195" s="21"/>
      <c r="P195" s="24" t="s">
        <v>255</v>
      </c>
    </row>
    <row r="196" spans="1:16" hidden="1" x14ac:dyDescent="0.3">
      <c r="A196" s="20">
        <f t="shared" si="3"/>
        <v>195</v>
      </c>
      <c r="B196" s="21" t="s">
        <v>87</v>
      </c>
      <c r="C196" s="21" t="s">
        <v>94</v>
      </c>
      <c r="D196" s="22" t="str">
        <f>IF($C196="","",IFERROR(VLOOKUP($C196,Map_Register!$A$2:$C$5,3,FALSE()),""))</f>
        <v>Military Zone</v>
      </c>
      <c r="E196" s="21" t="s">
        <v>104</v>
      </c>
      <c r="F196" s="23">
        <v>62645</v>
      </c>
      <c r="G196" s="20" t="s">
        <v>111</v>
      </c>
      <c r="H196" s="20" t="s">
        <v>508</v>
      </c>
      <c r="I196" s="20" t="s">
        <v>8</v>
      </c>
      <c r="J196" s="20" t="s">
        <v>107</v>
      </c>
      <c r="K196" s="20" t="s">
        <v>107</v>
      </c>
      <c r="L196" s="20" t="s">
        <v>130</v>
      </c>
      <c r="M196" s="21" t="s">
        <v>108</v>
      </c>
      <c r="N196" s="21"/>
      <c r="O196" s="21"/>
      <c r="P196" s="24" t="s">
        <v>257</v>
      </c>
    </row>
    <row r="197" spans="1:16" hidden="1" x14ac:dyDescent="0.3">
      <c r="A197" s="20">
        <f t="shared" si="3"/>
        <v>196</v>
      </c>
      <c r="B197" s="21" t="s">
        <v>87</v>
      </c>
      <c r="C197" s="21" t="s">
        <v>94</v>
      </c>
      <c r="D197" s="22" t="str">
        <f>IF($C197="","",IFERROR(VLOOKUP($C197,Map_Register!$A$2:$C$5,3,FALSE()),""))</f>
        <v>Military Zone</v>
      </c>
      <c r="E197" s="21" t="s">
        <v>104</v>
      </c>
      <c r="F197" s="23">
        <v>62647</v>
      </c>
      <c r="G197" s="20" t="s">
        <v>163</v>
      </c>
      <c r="H197" s="20" t="s">
        <v>509</v>
      </c>
      <c r="I197" s="20" t="s">
        <v>6</v>
      </c>
      <c r="J197" s="20" t="s">
        <v>137</v>
      </c>
      <c r="K197" s="20" t="s">
        <v>137</v>
      </c>
      <c r="L197" s="20" t="s">
        <v>438</v>
      </c>
      <c r="M197" s="21"/>
      <c r="N197" s="21"/>
      <c r="O197" s="21"/>
      <c r="P197" s="24" t="s">
        <v>259</v>
      </c>
    </row>
    <row r="198" spans="1:16" hidden="1" x14ac:dyDescent="0.3">
      <c r="A198" s="20">
        <f t="shared" si="3"/>
        <v>197</v>
      </c>
      <c r="B198" s="21" t="s">
        <v>87</v>
      </c>
      <c r="C198" s="21" t="s">
        <v>94</v>
      </c>
      <c r="D198" s="22" t="str">
        <f>IF($C198="","",IFERROR(VLOOKUP($C198,Map_Register!$A$2:$C$5,3,FALSE()),""))</f>
        <v>Military Zone</v>
      </c>
      <c r="E198" s="21" t="s">
        <v>104</v>
      </c>
      <c r="F198" s="23">
        <v>62665</v>
      </c>
      <c r="G198" s="20" t="s">
        <v>111</v>
      </c>
      <c r="H198" s="20" t="s">
        <v>510</v>
      </c>
      <c r="I198" s="20" t="s">
        <v>8</v>
      </c>
      <c r="J198" s="20" t="s">
        <v>107</v>
      </c>
      <c r="K198" s="20" t="s">
        <v>107</v>
      </c>
      <c r="L198" s="20" t="s">
        <v>130</v>
      </c>
      <c r="M198" s="21" t="s">
        <v>108</v>
      </c>
      <c r="N198" s="21"/>
      <c r="O198" s="21"/>
      <c r="P198" s="24" t="s">
        <v>261</v>
      </c>
    </row>
    <row r="199" spans="1:16" hidden="1" x14ac:dyDescent="0.3">
      <c r="A199" s="20">
        <f t="shared" si="3"/>
        <v>198</v>
      </c>
      <c r="B199" s="21" t="s">
        <v>87</v>
      </c>
      <c r="C199" s="21" t="s">
        <v>94</v>
      </c>
      <c r="D199" s="22" t="str">
        <f>IF($C199="","",IFERROR(VLOOKUP($C199,Map_Register!$A$2:$C$5,3,FALSE()),""))</f>
        <v>Military Zone</v>
      </c>
      <c r="E199" s="21" t="s">
        <v>104</v>
      </c>
      <c r="F199" s="23">
        <v>62671</v>
      </c>
      <c r="G199" s="20" t="s">
        <v>111</v>
      </c>
      <c r="H199" s="20" t="s">
        <v>511</v>
      </c>
      <c r="I199" s="20" t="s">
        <v>8</v>
      </c>
      <c r="J199" s="20" t="s">
        <v>107</v>
      </c>
      <c r="K199" s="20" t="s">
        <v>107</v>
      </c>
      <c r="L199" s="20" t="s">
        <v>130</v>
      </c>
      <c r="M199" s="21" t="s">
        <v>108</v>
      </c>
      <c r="N199" s="21"/>
      <c r="O199" s="21"/>
      <c r="P199" s="24" t="s">
        <v>263</v>
      </c>
    </row>
    <row r="200" spans="1:16" hidden="1" x14ac:dyDescent="0.3">
      <c r="A200" s="20">
        <f t="shared" si="3"/>
        <v>199</v>
      </c>
      <c r="B200" s="21" t="s">
        <v>87</v>
      </c>
      <c r="C200" s="21" t="s">
        <v>94</v>
      </c>
      <c r="D200" s="22" t="str">
        <f>IF($C200="","",IFERROR(VLOOKUP($C200,Map_Register!$A$2:$C$5,3,FALSE()),""))</f>
        <v>Military Zone</v>
      </c>
      <c r="E200" s="21" t="s">
        <v>104</v>
      </c>
      <c r="F200" s="23">
        <v>62700</v>
      </c>
      <c r="G200" s="20" t="s">
        <v>163</v>
      </c>
      <c r="H200" s="20" t="s">
        <v>512</v>
      </c>
      <c r="I200" s="20" t="s">
        <v>6</v>
      </c>
      <c r="J200" s="20" t="s">
        <v>137</v>
      </c>
      <c r="K200" s="20" t="s">
        <v>137</v>
      </c>
      <c r="L200" s="20" t="s">
        <v>438</v>
      </c>
      <c r="M200" s="21"/>
      <c r="N200" s="21"/>
      <c r="O200" s="21"/>
      <c r="P200" s="24" t="s">
        <v>264</v>
      </c>
    </row>
    <row r="201" spans="1:16" hidden="1" x14ac:dyDescent="0.3">
      <c r="A201" s="20">
        <f t="shared" si="3"/>
        <v>200</v>
      </c>
      <c r="B201" s="21" t="s">
        <v>87</v>
      </c>
      <c r="C201" s="21" t="s">
        <v>94</v>
      </c>
      <c r="D201" s="22" t="str">
        <f>IF($C201="","",IFERROR(VLOOKUP($C201,Map_Register!$A$2:$C$5,3,FALSE()),""))</f>
        <v>Military Zone</v>
      </c>
      <c r="E201" s="21" t="s">
        <v>104</v>
      </c>
      <c r="F201" s="23">
        <v>62752</v>
      </c>
      <c r="G201" s="20" t="s">
        <v>111</v>
      </c>
      <c r="H201" s="20" t="s">
        <v>513</v>
      </c>
      <c r="I201" s="20" t="s">
        <v>8</v>
      </c>
      <c r="J201" s="20" t="s">
        <v>107</v>
      </c>
      <c r="K201" s="20" t="s">
        <v>107</v>
      </c>
      <c r="L201" s="20" t="s">
        <v>130</v>
      </c>
      <c r="M201" s="21" t="s">
        <v>108</v>
      </c>
      <c r="N201" s="21"/>
      <c r="O201" s="21"/>
      <c r="P201" s="24" t="s">
        <v>266</v>
      </c>
    </row>
    <row r="202" spans="1:16" hidden="1" x14ac:dyDescent="0.3">
      <c r="A202" s="20">
        <f t="shared" si="3"/>
        <v>201</v>
      </c>
      <c r="B202" s="21" t="s">
        <v>87</v>
      </c>
      <c r="C202" s="21" t="s">
        <v>94</v>
      </c>
      <c r="D202" s="22" t="str">
        <f>IF($C202="","",IFERROR(VLOOKUP($C202,Map_Register!$A$2:$C$5,3,FALSE()),""))</f>
        <v>Military Zone</v>
      </c>
      <c r="E202" s="21" t="s">
        <v>104</v>
      </c>
      <c r="F202" s="23">
        <v>62773</v>
      </c>
      <c r="G202" s="20" t="s">
        <v>111</v>
      </c>
      <c r="H202" s="20" t="s">
        <v>514</v>
      </c>
      <c r="I202" s="20" t="s">
        <v>8</v>
      </c>
      <c r="J202" s="20" t="s">
        <v>107</v>
      </c>
      <c r="K202" s="20" t="s">
        <v>107</v>
      </c>
      <c r="L202" s="20" t="s">
        <v>130</v>
      </c>
      <c r="M202" s="21" t="s">
        <v>108</v>
      </c>
      <c r="N202" s="21"/>
      <c r="O202" s="21"/>
      <c r="P202" s="24" t="s">
        <v>267</v>
      </c>
    </row>
    <row r="203" spans="1:16" hidden="1" x14ac:dyDescent="0.3">
      <c r="A203" s="20">
        <f t="shared" si="3"/>
        <v>202</v>
      </c>
      <c r="B203" s="21" t="s">
        <v>87</v>
      </c>
      <c r="C203" s="21" t="s">
        <v>94</v>
      </c>
      <c r="D203" s="22" t="str">
        <f>IF($C203="","",IFERROR(VLOOKUP($C203,Map_Register!$A$2:$C$5,3,FALSE()),""))</f>
        <v>Military Zone</v>
      </c>
      <c r="E203" s="21" t="s">
        <v>104</v>
      </c>
      <c r="F203" s="23">
        <v>62782</v>
      </c>
      <c r="G203" s="20" t="s">
        <v>111</v>
      </c>
      <c r="H203" s="20" t="s">
        <v>515</v>
      </c>
      <c r="I203" s="20" t="s">
        <v>8</v>
      </c>
      <c r="J203" s="20" t="s">
        <v>107</v>
      </c>
      <c r="K203" s="20" t="s">
        <v>107</v>
      </c>
      <c r="L203" s="20" t="s">
        <v>130</v>
      </c>
      <c r="M203" s="21" t="s">
        <v>108</v>
      </c>
      <c r="N203" s="21"/>
      <c r="O203" s="21"/>
      <c r="P203" s="24" t="s">
        <v>269</v>
      </c>
    </row>
    <row r="204" spans="1:16" hidden="1" x14ac:dyDescent="0.3">
      <c r="A204" s="20">
        <f t="shared" si="3"/>
        <v>203</v>
      </c>
      <c r="B204" s="21" t="s">
        <v>87</v>
      </c>
      <c r="C204" s="21" t="s">
        <v>94</v>
      </c>
      <c r="D204" s="22" t="str">
        <f>IF($C204="","",IFERROR(VLOOKUP($C204,Map_Register!$A$2:$C$5,3,FALSE()),""))</f>
        <v>Military Zone</v>
      </c>
      <c r="E204" s="21" t="s">
        <v>104</v>
      </c>
      <c r="F204" s="23">
        <v>62824</v>
      </c>
      <c r="G204" s="20" t="s">
        <v>111</v>
      </c>
      <c r="H204" s="20" t="s">
        <v>516</v>
      </c>
      <c r="I204" s="20" t="s">
        <v>8</v>
      </c>
      <c r="J204" s="20" t="s">
        <v>107</v>
      </c>
      <c r="K204" s="20" t="s">
        <v>107</v>
      </c>
      <c r="L204" s="20" t="s">
        <v>130</v>
      </c>
      <c r="M204" s="21" t="s">
        <v>108</v>
      </c>
      <c r="N204" s="21"/>
      <c r="O204" s="21"/>
      <c r="P204" s="24" t="s">
        <v>271</v>
      </c>
    </row>
    <row r="205" spans="1:16" hidden="1" x14ac:dyDescent="0.3">
      <c r="A205" s="20">
        <f t="shared" si="3"/>
        <v>204</v>
      </c>
      <c r="B205" s="21" t="s">
        <v>87</v>
      </c>
      <c r="C205" s="21" t="s">
        <v>94</v>
      </c>
      <c r="D205" s="22" t="str">
        <f>IF($C205="","",IFERROR(VLOOKUP($C205,Map_Register!$A$2:$C$5,3,FALSE()),""))</f>
        <v>Military Zone</v>
      </c>
      <c r="E205" s="21" t="s">
        <v>104</v>
      </c>
      <c r="F205" s="23">
        <v>62864</v>
      </c>
      <c r="G205" s="20" t="s">
        <v>111</v>
      </c>
      <c r="H205" s="20" t="s">
        <v>517</v>
      </c>
      <c r="I205" s="20" t="s">
        <v>8</v>
      </c>
      <c r="J205" s="20" t="s">
        <v>107</v>
      </c>
      <c r="K205" s="20" t="s">
        <v>107</v>
      </c>
      <c r="L205" s="20" t="s">
        <v>518</v>
      </c>
      <c r="M205" s="21" t="s">
        <v>108</v>
      </c>
      <c r="N205" s="21"/>
      <c r="O205" s="21"/>
      <c r="P205" s="24" t="s">
        <v>273</v>
      </c>
    </row>
    <row r="206" spans="1:16" hidden="1" x14ac:dyDescent="0.3">
      <c r="A206" s="20">
        <f t="shared" si="3"/>
        <v>205</v>
      </c>
      <c r="B206" s="21" t="s">
        <v>87</v>
      </c>
      <c r="C206" s="21" t="s">
        <v>94</v>
      </c>
      <c r="D206" s="22" t="str">
        <f>IF($C206="","",IFERROR(VLOOKUP($C206,Map_Register!$A$2:$C$5,3,FALSE()),""))</f>
        <v>Military Zone</v>
      </c>
      <c r="E206" s="21" t="s">
        <v>104</v>
      </c>
      <c r="F206" s="23">
        <v>62928</v>
      </c>
      <c r="G206" s="20" t="s">
        <v>111</v>
      </c>
      <c r="H206" s="20" t="s">
        <v>519</v>
      </c>
      <c r="I206" s="20" t="s">
        <v>8</v>
      </c>
      <c r="J206" s="20" t="s">
        <v>107</v>
      </c>
      <c r="K206" s="20" t="s">
        <v>107</v>
      </c>
      <c r="L206" s="20" t="s">
        <v>130</v>
      </c>
      <c r="M206" s="21" t="s">
        <v>108</v>
      </c>
      <c r="N206" s="21"/>
      <c r="O206" s="21"/>
      <c r="P206" s="24" t="s">
        <v>275</v>
      </c>
    </row>
    <row r="207" spans="1:16" hidden="1" x14ac:dyDescent="0.3">
      <c r="A207" s="20">
        <f t="shared" si="3"/>
        <v>206</v>
      </c>
      <c r="B207" s="21" t="s">
        <v>87</v>
      </c>
      <c r="C207" s="21" t="s">
        <v>94</v>
      </c>
      <c r="D207" s="22" t="str">
        <f>IF($C207="","",IFERROR(VLOOKUP($C207,Map_Register!$A$2:$C$5,3,FALSE()),""))</f>
        <v>Military Zone</v>
      </c>
      <c r="E207" s="21" t="s">
        <v>104</v>
      </c>
      <c r="F207" s="23">
        <v>62935</v>
      </c>
      <c r="G207" s="20" t="s">
        <v>111</v>
      </c>
      <c r="H207" s="20" t="s">
        <v>520</v>
      </c>
      <c r="I207" s="20" t="s">
        <v>8</v>
      </c>
      <c r="J207" s="20" t="s">
        <v>107</v>
      </c>
      <c r="K207" s="20" t="s">
        <v>107</v>
      </c>
      <c r="L207" s="20" t="s">
        <v>130</v>
      </c>
      <c r="M207" s="21" t="s">
        <v>108</v>
      </c>
      <c r="N207" s="21"/>
      <c r="O207" s="21"/>
      <c r="P207" s="24" t="s">
        <v>277</v>
      </c>
    </row>
    <row r="208" spans="1:16" hidden="1" x14ac:dyDescent="0.3">
      <c r="A208" s="20">
        <f t="shared" si="3"/>
        <v>207</v>
      </c>
      <c r="B208" s="21" t="s">
        <v>87</v>
      </c>
      <c r="C208" s="21" t="s">
        <v>94</v>
      </c>
      <c r="D208" s="22" t="str">
        <f>IF($C208="","",IFERROR(VLOOKUP($C208,Map_Register!$A$2:$C$5,3,FALSE()),""))</f>
        <v>Military Zone</v>
      </c>
      <c r="E208" s="21" t="s">
        <v>104</v>
      </c>
      <c r="F208" s="23">
        <v>62944</v>
      </c>
      <c r="G208" s="20" t="s">
        <v>163</v>
      </c>
      <c r="H208" s="20" t="s">
        <v>454</v>
      </c>
      <c r="I208" s="20" t="s">
        <v>455</v>
      </c>
      <c r="J208" s="20" t="s">
        <v>137</v>
      </c>
      <c r="K208" s="20" t="s">
        <v>137</v>
      </c>
      <c r="L208" s="20" t="s">
        <v>466</v>
      </c>
      <c r="M208" s="21"/>
      <c r="N208" s="21"/>
      <c r="O208" s="21"/>
      <c r="P208" s="24" t="s">
        <v>279</v>
      </c>
    </row>
    <row r="209" spans="1:16" hidden="1" x14ac:dyDescent="0.3">
      <c r="A209" s="20">
        <f t="shared" si="3"/>
        <v>208</v>
      </c>
      <c r="B209" s="21" t="s">
        <v>87</v>
      </c>
      <c r="C209" s="21" t="s">
        <v>94</v>
      </c>
      <c r="D209" s="22" t="str">
        <f>IF($C209="","",IFERROR(VLOOKUP($C209,Map_Register!$A$2:$C$5,3,FALSE()),""))</f>
        <v>Military Zone</v>
      </c>
      <c r="E209" s="21" t="s">
        <v>104</v>
      </c>
      <c r="F209" s="23">
        <v>63082</v>
      </c>
      <c r="G209" s="20" t="s">
        <v>111</v>
      </c>
      <c r="H209" s="20" t="s">
        <v>521</v>
      </c>
      <c r="I209" s="20" t="s">
        <v>8</v>
      </c>
      <c r="J209" s="20" t="s">
        <v>107</v>
      </c>
      <c r="K209" s="20" t="s">
        <v>107</v>
      </c>
      <c r="L209" s="20" t="s">
        <v>130</v>
      </c>
      <c r="M209" s="21" t="s">
        <v>108</v>
      </c>
      <c r="N209" s="21"/>
      <c r="O209" s="21"/>
      <c r="P209" s="24" t="s">
        <v>282</v>
      </c>
    </row>
    <row r="210" spans="1:16" hidden="1" x14ac:dyDescent="0.3">
      <c r="A210" s="20">
        <f t="shared" si="3"/>
        <v>209</v>
      </c>
      <c r="B210" s="21" t="s">
        <v>87</v>
      </c>
      <c r="C210" s="21" t="s">
        <v>94</v>
      </c>
      <c r="D210" s="22" t="str">
        <f>IF($C210="","",IFERROR(VLOOKUP($C210,Map_Register!$A$2:$C$5,3,FALSE()),""))</f>
        <v>Military Zone</v>
      </c>
      <c r="E210" s="21" t="s">
        <v>104</v>
      </c>
      <c r="F210" s="23">
        <v>63138</v>
      </c>
      <c r="G210" s="20" t="s">
        <v>111</v>
      </c>
      <c r="H210" s="20" t="s">
        <v>522</v>
      </c>
      <c r="I210" s="20" t="s">
        <v>8</v>
      </c>
      <c r="J210" s="20" t="s">
        <v>107</v>
      </c>
      <c r="K210" s="20" t="s">
        <v>107</v>
      </c>
      <c r="L210" s="20" t="s">
        <v>130</v>
      </c>
      <c r="M210" s="21" t="s">
        <v>108</v>
      </c>
      <c r="N210" s="21"/>
      <c r="O210" s="21"/>
      <c r="P210" s="24" t="s">
        <v>284</v>
      </c>
    </row>
    <row r="211" spans="1:16" hidden="1" x14ac:dyDescent="0.3">
      <c r="A211" s="20">
        <f t="shared" si="3"/>
        <v>210</v>
      </c>
      <c r="B211" s="21" t="s">
        <v>87</v>
      </c>
      <c r="C211" s="21" t="s">
        <v>94</v>
      </c>
      <c r="D211" s="22" t="str">
        <f>IF($C211="","",IFERROR(VLOOKUP($C211,Map_Register!$A$2:$C$5,3,FALSE()),""))</f>
        <v>Military Zone</v>
      </c>
      <c r="E211" s="21" t="s">
        <v>104</v>
      </c>
      <c r="F211" s="23">
        <v>63171</v>
      </c>
      <c r="G211" s="20" t="s">
        <v>111</v>
      </c>
      <c r="H211" s="20" t="s">
        <v>523</v>
      </c>
      <c r="I211" s="20" t="s">
        <v>8</v>
      </c>
      <c r="J211" s="20" t="s">
        <v>107</v>
      </c>
      <c r="K211" s="20" t="s">
        <v>107</v>
      </c>
      <c r="L211" s="20" t="s">
        <v>130</v>
      </c>
      <c r="M211" s="21" t="s">
        <v>108</v>
      </c>
      <c r="N211" s="21"/>
      <c r="O211" s="21"/>
      <c r="P211" s="24" t="s">
        <v>286</v>
      </c>
    </row>
    <row r="212" spans="1:16" hidden="1" x14ac:dyDescent="0.3">
      <c r="A212" s="20">
        <f t="shared" si="3"/>
        <v>211</v>
      </c>
      <c r="B212" s="21" t="s">
        <v>87</v>
      </c>
      <c r="C212" s="21" t="s">
        <v>94</v>
      </c>
      <c r="D212" s="22" t="str">
        <f>IF($C212="","",IFERROR(VLOOKUP($C212,Map_Register!$A$2:$C$5,3,FALSE()),""))</f>
        <v>Military Zone</v>
      </c>
      <c r="E212" s="21" t="s">
        <v>104</v>
      </c>
      <c r="F212" s="23">
        <v>63178</v>
      </c>
      <c r="G212" s="20" t="s">
        <v>111</v>
      </c>
      <c r="H212" s="20" t="s">
        <v>524</v>
      </c>
      <c r="I212" s="20" t="s">
        <v>8</v>
      </c>
      <c r="J212" s="20" t="s">
        <v>107</v>
      </c>
      <c r="K212" s="20" t="s">
        <v>107</v>
      </c>
      <c r="L212" s="20" t="s">
        <v>130</v>
      </c>
      <c r="M212" s="21" t="s">
        <v>108</v>
      </c>
      <c r="N212" s="21"/>
      <c r="O212" s="21"/>
      <c r="P212" s="24" t="s">
        <v>288</v>
      </c>
    </row>
    <row r="213" spans="1:16" hidden="1" x14ac:dyDescent="0.3">
      <c r="A213" s="20">
        <f t="shared" si="3"/>
        <v>212</v>
      </c>
      <c r="B213" s="21" t="s">
        <v>87</v>
      </c>
      <c r="C213" s="21" t="s">
        <v>94</v>
      </c>
      <c r="D213" s="22" t="str">
        <f>IF($C213="","",IFERROR(VLOOKUP($C213,Map_Register!$A$2:$C$5,3,FALSE()),""))</f>
        <v>Military Zone</v>
      </c>
      <c r="E213" s="21" t="s">
        <v>104</v>
      </c>
      <c r="F213" s="23">
        <v>63231</v>
      </c>
      <c r="G213" s="20" t="s">
        <v>163</v>
      </c>
      <c r="H213" s="20" t="s">
        <v>525</v>
      </c>
      <c r="I213" s="20" t="s">
        <v>6</v>
      </c>
      <c r="J213" s="20" t="s">
        <v>137</v>
      </c>
      <c r="K213" s="20" t="s">
        <v>137</v>
      </c>
      <c r="L213" s="20" t="s">
        <v>438</v>
      </c>
      <c r="M213" s="21"/>
      <c r="N213" s="21"/>
      <c r="O213" s="21"/>
      <c r="P213" s="24" t="s">
        <v>290</v>
      </c>
    </row>
    <row r="214" spans="1:16" hidden="1" x14ac:dyDescent="0.3">
      <c r="A214" s="20">
        <f t="shared" si="3"/>
        <v>213</v>
      </c>
      <c r="B214" s="21" t="s">
        <v>87</v>
      </c>
      <c r="C214" s="21" t="s">
        <v>86</v>
      </c>
      <c r="D214" s="22" t="str">
        <f>IF($C214="","",IFERROR(VLOOKUP($C214,Map_Register!$A$2:$C$5,3,FALSE()),""))</f>
        <v>Border Region</v>
      </c>
      <c r="E214" s="21" t="s">
        <v>104</v>
      </c>
      <c r="F214" s="23">
        <v>3508</v>
      </c>
      <c r="G214" s="20" t="s">
        <v>163</v>
      </c>
      <c r="H214" s="20" t="s">
        <v>526</v>
      </c>
      <c r="I214" s="20" t="s">
        <v>8</v>
      </c>
      <c r="J214" s="20" t="s">
        <v>107</v>
      </c>
      <c r="K214" s="20" t="s">
        <v>108</v>
      </c>
      <c r="L214" s="20" t="s">
        <v>527</v>
      </c>
      <c r="M214" s="21" t="s">
        <v>108</v>
      </c>
      <c r="N214" s="21"/>
      <c r="O214" s="21"/>
      <c r="P214" s="24" t="s">
        <v>292</v>
      </c>
    </row>
    <row r="215" spans="1:16" hidden="1" x14ac:dyDescent="0.3">
      <c r="A215" s="20">
        <f t="shared" si="3"/>
        <v>214</v>
      </c>
      <c r="B215" s="21" t="s">
        <v>87</v>
      </c>
      <c r="C215" s="21" t="s">
        <v>86</v>
      </c>
      <c r="D215" s="22" t="str">
        <f>IF($C215="","",IFERROR(VLOOKUP($C215,Map_Register!$A$2:$C$5,3,FALSE()),""))</f>
        <v>Border Region</v>
      </c>
      <c r="E215" s="21" t="s">
        <v>104</v>
      </c>
      <c r="F215" s="23">
        <v>3667</v>
      </c>
      <c r="G215" s="20" t="s">
        <v>163</v>
      </c>
      <c r="H215" s="20" t="s">
        <v>528</v>
      </c>
      <c r="I215" s="20" t="s">
        <v>6</v>
      </c>
      <c r="J215" s="20" t="s">
        <v>137</v>
      </c>
      <c r="K215" s="20" t="s">
        <v>137</v>
      </c>
      <c r="L215" s="20" t="s">
        <v>472</v>
      </c>
      <c r="M215" s="21"/>
      <c r="N215" s="21"/>
      <c r="O215" s="21"/>
      <c r="P215" s="24" t="s">
        <v>294</v>
      </c>
    </row>
    <row r="216" spans="1:16" hidden="1" x14ac:dyDescent="0.3">
      <c r="A216" s="20">
        <f t="shared" si="3"/>
        <v>215</v>
      </c>
      <c r="B216" s="21" t="s">
        <v>87</v>
      </c>
      <c r="C216" s="21" t="s">
        <v>86</v>
      </c>
      <c r="D216" s="22" t="str">
        <f>IF($C216="","",IFERROR(VLOOKUP($C216,Map_Register!$A$2:$C$5,3,FALSE()),""))</f>
        <v>Border Region</v>
      </c>
      <c r="E216" s="21" t="s">
        <v>104</v>
      </c>
      <c r="F216" s="23">
        <v>3671</v>
      </c>
      <c r="G216" s="20" t="s">
        <v>163</v>
      </c>
      <c r="H216" s="20" t="s">
        <v>529</v>
      </c>
      <c r="I216" s="20" t="s">
        <v>8</v>
      </c>
      <c r="J216" s="20" t="s">
        <v>107</v>
      </c>
      <c r="K216" s="20" t="s">
        <v>108</v>
      </c>
      <c r="L216" s="20" t="s">
        <v>530</v>
      </c>
      <c r="M216" s="21" t="s">
        <v>108</v>
      </c>
      <c r="N216" s="21"/>
      <c r="O216" s="21"/>
      <c r="P216" s="24" t="s">
        <v>296</v>
      </c>
    </row>
    <row r="217" spans="1:16" hidden="1" x14ac:dyDescent="0.3">
      <c r="A217" s="20">
        <f t="shared" si="3"/>
        <v>216</v>
      </c>
      <c r="B217" s="21" t="s">
        <v>87</v>
      </c>
      <c r="C217" s="21" t="s">
        <v>86</v>
      </c>
      <c r="D217" s="22" t="str">
        <f>IF($C217="","",IFERROR(VLOOKUP($C217,Map_Register!$A$2:$C$5,3,FALSE()),""))</f>
        <v>Border Region</v>
      </c>
      <c r="E217" s="21" t="s">
        <v>104</v>
      </c>
      <c r="F217" s="23">
        <v>5757</v>
      </c>
      <c r="G217" s="20" t="s">
        <v>167</v>
      </c>
      <c r="H217" s="20" t="s">
        <v>531</v>
      </c>
      <c r="I217" s="20" t="s">
        <v>8</v>
      </c>
      <c r="J217" s="20" t="s">
        <v>107</v>
      </c>
      <c r="K217" s="20" t="s">
        <v>108</v>
      </c>
      <c r="L217" s="20" t="s">
        <v>532</v>
      </c>
      <c r="M217" s="21" t="s">
        <v>108</v>
      </c>
      <c r="N217" s="21"/>
      <c r="O217" s="21"/>
      <c r="P217" s="24" t="s">
        <v>299</v>
      </c>
    </row>
    <row r="218" spans="1:16" hidden="1" x14ac:dyDescent="0.3">
      <c r="A218" s="20">
        <f t="shared" si="3"/>
        <v>217</v>
      </c>
      <c r="B218" s="21" t="s">
        <v>87</v>
      </c>
      <c r="C218" s="21" t="s">
        <v>86</v>
      </c>
      <c r="D218" s="22" t="str">
        <f>IF($C218="","",IFERROR(VLOOKUP($C218,Map_Register!$A$2:$C$5,3,FALSE()),""))</f>
        <v>Border Region</v>
      </c>
      <c r="E218" s="21" t="s">
        <v>104</v>
      </c>
      <c r="F218" s="23">
        <v>61776</v>
      </c>
      <c r="G218" s="20" t="s">
        <v>111</v>
      </c>
      <c r="H218" s="20" t="s">
        <v>533</v>
      </c>
      <c r="I218" s="20" t="s">
        <v>8</v>
      </c>
      <c r="J218" s="20" t="s">
        <v>107</v>
      </c>
      <c r="K218" s="20" t="s">
        <v>107</v>
      </c>
      <c r="L218" s="20" t="s">
        <v>130</v>
      </c>
      <c r="M218" s="21" t="s">
        <v>108</v>
      </c>
      <c r="N218" s="21"/>
      <c r="O218" s="21"/>
      <c r="P218" s="24" t="s">
        <v>301</v>
      </c>
    </row>
    <row r="219" spans="1:16" hidden="1" x14ac:dyDescent="0.3">
      <c r="A219" s="20">
        <f t="shared" si="3"/>
        <v>218</v>
      </c>
      <c r="B219" s="21" t="s">
        <v>87</v>
      </c>
      <c r="C219" s="21" t="s">
        <v>86</v>
      </c>
      <c r="D219" s="22" t="str">
        <f>IF($C219="","",IFERROR(VLOOKUP($C219,Map_Register!$A$2:$C$5,3,FALSE()),""))</f>
        <v>Border Region</v>
      </c>
      <c r="E219" s="21" t="s">
        <v>104</v>
      </c>
      <c r="F219" s="23">
        <v>61921</v>
      </c>
      <c r="G219" s="20" t="s">
        <v>111</v>
      </c>
      <c r="H219" s="20" t="s">
        <v>534</v>
      </c>
      <c r="I219" s="20" t="s">
        <v>8</v>
      </c>
      <c r="J219" s="20" t="s">
        <v>107</v>
      </c>
      <c r="K219" s="20" t="s">
        <v>107</v>
      </c>
      <c r="L219" s="20" t="s">
        <v>535</v>
      </c>
      <c r="M219" s="21" t="s">
        <v>108</v>
      </c>
      <c r="N219" s="21"/>
      <c r="O219" s="21"/>
      <c r="P219" s="24" t="s">
        <v>303</v>
      </c>
    </row>
    <row r="220" spans="1:16" hidden="1" x14ac:dyDescent="0.3">
      <c r="A220" s="20">
        <f t="shared" si="3"/>
        <v>219</v>
      </c>
      <c r="B220" s="21" t="s">
        <v>87</v>
      </c>
      <c r="C220" s="21" t="s">
        <v>86</v>
      </c>
      <c r="D220" s="22" t="str">
        <f>IF($C220="","",IFERROR(VLOOKUP($C220,Map_Register!$A$2:$C$5,3,FALSE()),""))</f>
        <v>Border Region</v>
      </c>
      <c r="E220" s="21" t="s">
        <v>104</v>
      </c>
      <c r="F220" s="23">
        <v>61960</v>
      </c>
      <c r="G220" s="20" t="s">
        <v>163</v>
      </c>
      <c r="H220" s="20" t="s">
        <v>536</v>
      </c>
      <c r="I220" s="20" t="s">
        <v>6</v>
      </c>
      <c r="J220" s="20" t="s">
        <v>137</v>
      </c>
      <c r="K220" s="20" t="s">
        <v>137</v>
      </c>
      <c r="L220" s="20" t="s">
        <v>537</v>
      </c>
      <c r="M220" s="21"/>
      <c r="N220" s="21"/>
      <c r="O220" s="21"/>
      <c r="P220" s="24" t="s">
        <v>306</v>
      </c>
    </row>
    <row r="221" spans="1:16" hidden="1" x14ac:dyDescent="0.3">
      <c r="A221" s="20">
        <f t="shared" si="3"/>
        <v>220</v>
      </c>
      <c r="B221" s="21" t="s">
        <v>87</v>
      </c>
      <c r="C221" s="21" t="s">
        <v>86</v>
      </c>
      <c r="D221" s="22" t="str">
        <f>IF($C221="","",IFERROR(VLOOKUP($C221,Map_Register!$A$2:$C$5,3,FALSE()),""))</f>
        <v>Border Region</v>
      </c>
      <c r="E221" s="21" t="s">
        <v>104</v>
      </c>
      <c r="F221" s="23">
        <v>62104</v>
      </c>
      <c r="G221" s="20" t="s">
        <v>111</v>
      </c>
      <c r="H221" s="20" t="s">
        <v>538</v>
      </c>
      <c r="I221" s="20" t="s">
        <v>8</v>
      </c>
      <c r="J221" s="20" t="s">
        <v>107</v>
      </c>
      <c r="K221" s="20" t="s">
        <v>107</v>
      </c>
      <c r="L221" s="20" t="s">
        <v>130</v>
      </c>
      <c r="M221" s="21" t="s">
        <v>108</v>
      </c>
      <c r="N221" s="21"/>
      <c r="O221" s="21"/>
      <c r="P221" s="24" t="s">
        <v>308</v>
      </c>
    </row>
    <row r="222" spans="1:16" hidden="1" x14ac:dyDescent="0.3">
      <c r="A222" s="20">
        <f t="shared" si="3"/>
        <v>221</v>
      </c>
      <c r="B222" s="21" t="s">
        <v>87</v>
      </c>
      <c r="C222" s="21" t="s">
        <v>86</v>
      </c>
      <c r="D222" s="22" t="str">
        <f>IF($C222="","",IFERROR(VLOOKUP($C222,Map_Register!$A$2:$C$5,3,FALSE()),""))</f>
        <v>Border Region</v>
      </c>
      <c r="E222" s="21" t="s">
        <v>104</v>
      </c>
      <c r="F222" s="23">
        <v>62211</v>
      </c>
      <c r="G222" s="20" t="s">
        <v>167</v>
      </c>
      <c r="H222" s="20" t="s">
        <v>539</v>
      </c>
      <c r="I222" s="20" t="s">
        <v>6</v>
      </c>
      <c r="J222" s="20" t="s">
        <v>137</v>
      </c>
      <c r="K222" s="20" t="s">
        <v>137</v>
      </c>
      <c r="L222" s="20" t="s">
        <v>540</v>
      </c>
      <c r="M222" s="21"/>
      <c r="N222" s="21"/>
      <c r="O222" s="21"/>
      <c r="P222" s="24" t="s">
        <v>310</v>
      </c>
    </row>
    <row r="223" spans="1:16" hidden="1" x14ac:dyDescent="0.3">
      <c r="A223" s="20">
        <f t="shared" si="3"/>
        <v>222</v>
      </c>
      <c r="B223" s="21" t="s">
        <v>87</v>
      </c>
      <c r="C223" s="21" t="s">
        <v>86</v>
      </c>
      <c r="D223" s="22" t="str">
        <f>IF($C223="","",IFERROR(VLOOKUP($C223,Map_Register!$A$2:$C$5,3,FALSE()),""))</f>
        <v>Border Region</v>
      </c>
      <c r="E223" s="21" t="s">
        <v>104</v>
      </c>
      <c r="F223" s="23">
        <v>62272</v>
      </c>
      <c r="G223" s="20" t="s">
        <v>157</v>
      </c>
      <c r="H223" s="20" t="s">
        <v>541</v>
      </c>
      <c r="I223" s="20" t="s">
        <v>8</v>
      </c>
      <c r="J223" s="20" t="s">
        <v>107</v>
      </c>
      <c r="K223" s="20" t="s">
        <v>107</v>
      </c>
      <c r="L223" s="20" t="s">
        <v>368</v>
      </c>
      <c r="M223" s="21" t="s">
        <v>108</v>
      </c>
      <c r="N223" s="21"/>
      <c r="O223" s="21"/>
      <c r="P223" s="24" t="s">
        <v>313</v>
      </c>
    </row>
    <row r="224" spans="1:16" hidden="1" x14ac:dyDescent="0.3">
      <c r="A224" s="20">
        <f t="shared" si="3"/>
        <v>223</v>
      </c>
      <c r="B224" s="21" t="s">
        <v>87</v>
      </c>
      <c r="C224" s="21" t="s">
        <v>86</v>
      </c>
      <c r="D224" s="22" t="str">
        <f>IF($C224="","",IFERROR(VLOOKUP($C224,Map_Register!$A$2:$C$5,3,FALSE()),""))</f>
        <v>Border Region</v>
      </c>
      <c r="E224" s="21" t="s">
        <v>104</v>
      </c>
      <c r="F224" s="23">
        <v>62549</v>
      </c>
      <c r="G224" s="20" t="s">
        <v>157</v>
      </c>
      <c r="H224" s="20" t="s">
        <v>542</v>
      </c>
      <c r="I224" s="20" t="s">
        <v>6</v>
      </c>
      <c r="J224" s="20" t="s">
        <v>137</v>
      </c>
      <c r="K224" s="20" t="s">
        <v>137</v>
      </c>
      <c r="L224" s="20" t="s">
        <v>543</v>
      </c>
      <c r="M224" s="21"/>
      <c r="N224" s="21"/>
      <c r="O224" s="21"/>
      <c r="P224" s="24" t="s">
        <v>315</v>
      </c>
    </row>
    <row r="225" spans="1:16" hidden="1" x14ac:dyDescent="0.3">
      <c r="A225" s="20">
        <f t="shared" si="3"/>
        <v>224</v>
      </c>
      <c r="B225" s="21" t="s">
        <v>87</v>
      </c>
      <c r="C225" s="21" t="s">
        <v>86</v>
      </c>
      <c r="D225" s="22" t="str">
        <f>IF($C225="","",IFERROR(VLOOKUP($C225,Map_Register!$A$2:$C$5,3,FALSE()),""))</f>
        <v>Border Region</v>
      </c>
      <c r="E225" s="21" t="s">
        <v>104</v>
      </c>
      <c r="F225" s="23">
        <v>62689</v>
      </c>
      <c r="G225" s="20" t="s">
        <v>111</v>
      </c>
      <c r="H225" s="20" t="s">
        <v>544</v>
      </c>
      <c r="I225" s="20" t="s">
        <v>8</v>
      </c>
      <c r="J225" s="20" t="s">
        <v>107</v>
      </c>
      <c r="K225" s="20" t="s">
        <v>107</v>
      </c>
      <c r="L225" s="20" t="s">
        <v>130</v>
      </c>
      <c r="M225" s="21" t="s">
        <v>108</v>
      </c>
      <c r="N225" s="21"/>
      <c r="O225" s="21"/>
      <c r="P225" s="24" t="s">
        <v>317</v>
      </c>
    </row>
    <row r="226" spans="1:16" hidden="1" x14ac:dyDescent="0.3">
      <c r="A226" s="20">
        <f t="shared" si="3"/>
        <v>225</v>
      </c>
      <c r="B226" s="21" t="s">
        <v>87</v>
      </c>
      <c r="C226" s="21" t="s">
        <v>86</v>
      </c>
      <c r="D226" s="22" t="str">
        <f>IF($C226="","",IFERROR(VLOOKUP($C226,Map_Register!$A$2:$C$5,3,FALSE()),""))</f>
        <v>Border Region</v>
      </c>
      <c r="E226" s="21" t="s">
        <v>104</v>
      </c>
      <c r="F226" s="23">
        <v>62813</v>
      </c>
      <c r="G226" s="20" t="s">
        <v>111</v>
      </c>
      <c r="H226" s="20" t="s">
        <v>545</v>
      </c>
      <c r="I226" s="20" t="s">
        <v>8</v>
      </c>
      <c r="J226" s="20" t="s">
        <v>107</v>
      </c>
      <c r="K226" s="20" t="s">
        <v>107</v>
      </c>
      <c r="L226" s="20" t="s">
        <v>130</v>
      </c>
      <c r="M226" s="21" t="s">
        <v>108</v>
      </c>
      <c r="N226" s="21"/>
      <c r="O226" s="21"/>
      <c r="P226" s="24" t="s">
        <v>319</v>
      </c>
    </row>
    <row r="227" spans="1:16" hidden="1" x14ac:dyDescent="0.3">
      <c r="A227" s="20">
        <f t="shared" si="3"/>
        <v>226</v>
      </c>
      <c r="B227" s="21" t="s">
        <v>87</v>
      </c>
      <c r="C227" s="21" t="s">
        <v>86</v>
      </c>
      <c r="D227" s="22" t="str">
        <f>IF($C227="","",IFERROR(VLOOKUP($C227,Map_Register!$A$2:$C$5,3,FALSE()),""))</f>
        <v>Border Region</v>
      </c>
      <c r="E227" s="21" t="s">
        <v>104</v>
      </c>
      <c r="F227" s="23">
        <v>62975</v>
      </c>
      <c r="G227" s="20" t="s">
        <v>163</v>
      </c>
      <c r="H227" s="20" t="s">
        <v>546</v>
      </c>
      <c r="I227" s="20" t="s">
        <v>6</v>
      </c>
      <c r="J227" s="20" t="s">
        <v>137</v>
      </c>
      <c r="K227" s="20" t="s">
        <v>137</v>
      </c>
      <c r="L227" s="20" t="s">
        <v>438</v>
      </c>
      <c r="M227" s="21"/>
      <c r="N227" s="21"/>
      <c r="O227" s="21"/>
      <c r="P227" s="24" t="s">
        <v>321</v>
      </c>
    </row>
    <row r="228" spans="1:16" hidden="1" x14ac:dyDescent="0.3">
      <c r="A228" s="20">
        <f t="shared" si="3"/>
        <v>227</v>
      </c>
      <c r="B228" s="21" t="s">
        <v>87</v>
      </c>
      <c r="C228" s="21" t="s">
        <v>86</v>
      </c>
      <c r="D228" s="22" t="str">
        <f>IF($C228="","",IFERROR(VLOOKUP($C228,Map_Register!$A$2:$C$5,3,FALSE()),""))</f>
        <v>Border Region</v>
      </c>
      <c r="E228" s="21" t="s">
        <v>104</v>
      </c>
      <c r="F228" s="23">
        <v>63001</v>
      </c>
      <c r="G228" s="20" t="s">
        <v>163</v>
      </c>
      <c r="H228" s="20" t="s">
        <v>547</v>
      </c>
      <c r="I228" s="20" t="s">
        <v>6</v>
      </c>
      <c r="J228" s="20" t="s">
        <v>137</v>
      </c>
      <c r="K228" s="20" t="s">
        <v>137</v>
      </c>
      <c r="L228" s="20" t="s">
        <v>472</v>
      </c>
      <c r="M228" s="21"/>
      <c r="N228" s="21"/>
      <c r="O228" s="21"/>
      <c r="P228" s="24" t="s">
        <v>323</v>
      </c>
    </row>
    <row r="229" spans="1:16" hidden="1" x14ac:dyDescent="0.3">
      <c r="A229" s="20">
        <f t="shared" si="3"/>
        <v>228</v>
      </c>
      <c r="B229" s="21" t="s">
        <v>87</v>
      </c>
      <c r="C229" s="21" t="s">
        <v>86</v>
      </c>
      <c r="D229" s="22" t="str">
        <f>IF($C229="","",IFERROR(VLOOKUP($C229,Map_Register!$A$2:$C$5,3,FALSE()),""))</f>
        <v>Border Region</v>
      </c>
      <c r="E229" s="21" t="s">
        <v>104</v>
      </c>
      <c r="F229" s="23">
        <v>63103</v>
      </c>
      <c r="G229" s="20" t="s">
        <v>167</v>
      </c>
      <c r="H229" s="20" t="s">
        <v>548</v>
      </c>
      <c r="I229" s="20" t="s">
        <v>6</v>
      </c>
      <c r="J229" s="20" t="s">
        <v>137</v>
      </c>
      <c r="K229" s="20" t="s">
        <v>137</v>
      </c>
      <c r="L229" s="20" t="s">
        <v>540</v>
      </c>
      <c r="M229" s="21"/>
      <c r="N229" s="21"/>
      <c r="O229" s="21"/>
      <c r="P229" s="24" t="s">
        <v>325</v>
      </c>
    </row>
    <row r="230" spans="1:16" hidden="1" x14ac:dyDescent="0.3">
      <c r="A230" s="20">
        <f t="shared" si="3"/>
        <v>229</v>
      </c>
      <c r="B230" s="21" t="s">
        <v>87</v>
      </c>
      <c r="C230" s="21" t="s">
        <v>86</v>
      </c>
      <c r="D230" s="22" t="str">
        <f>IF($C230="","",IFERROR(VLOOKUP($C230,Map_Register!$A$2:$C$5,3,FALSE()),""))</f>
        <v>Border Region</v>
      </c>
      <c r="E230" s="21" t="s">
        <v>104</v>
      </c>
      <c r="F230" s="23">
        <v>63229</v>
      </c>
      <c r="G230" s="20" t="s">
        <v>207</v>
      </c>
      <c r="H230" s="20" t="s">
        <v>549</v>
      </c>
      <c r="I230" s="20" t="s">
        <v>6</v>
      </c>
      <c r="J230" s="20" t="s">
        <v>137</v>
      </c>
      <c r="K230" s="20" t="s">
        <v>137</v>
      </c>
      <c r="L230" s="20" t="s">
        <v>244</v>
      </c>
      <c r="M230" s="21"/>
      <c r="N230" s="21"/>
      <c r="O230" s="21"/>
      <c r="P230" s="24" t="s">
        <v>327</v>
      </c>
    </row>
    <row r="231" spans="1:16" hidden="1" x14ac:dyDescent="0.3">
      <c r="A231" s="20">
        <f t="shared" si="3"/>
        <v>230</v>
      </c>
      <c r="B231" s="21" t="s">
        <v>87</v>
      </c>
      <c r="C231" s="21" t="s">
        <v>97</v>
      </c>
      <c r="D231" s="22" t="str">
        <f>IF($C231="","",IFERROR(VLOOKUP($C231,Map_Register!$A$2:$C$5,3,FALSE()),""))</f>
        <v>Toponym Labels</v>
      </c>
      <c r="E231" s="21" t="s">
        <v>104</v>
      </c>
      <c r="F231" s="23">
        <v>1433</v>
      </c>
      <c r="G231" s="20" t="s">
        <v>111</v>
      </c>
      <c r="H231" s="20" t="s">
        <v>550</v>
      </c>
      <c r="I231" s="20" t="s">
        <v>6</v>
      </c>
      <c r="J231" s="20" t="s">
        <v>137</v>
      </c>
      <c r="K231" s="20" t="s">
        <v>137</v>
      </c>
      <c r="L231" s="20" t="s">
        <v>551</v>
      </c>
      <c r="M231" s="21"/>
      <c r="N231" s="21"/>
      <c r="O231" s="21"/>
      <c r="P231" s="24" t="s">
        <v>330</v>
      </c>
    </row>
    <row r="232" spans="1:16" hidden="1" x14ac:dyDescent="0.3">
      <c r="A232" s="20">
        <f t="shared" si="3"/>
        <v>231</v>
      </c>
      <c r="B232" s="21" t="s">
        <v>87</v>
      </c>
      <c r="C232" s="21" t="s">
        <v>97</v>
      </c>
      <c r="D232" s="22" t="str">
        <f>IF($C232="","",IFERROR(VLOOKUP($C232,Map_Register!$A$2:$C$5,3,FALSE()),""))</f>
        <v>Toponym Labels</v>
      </c>
      <c r="E232" s="21" t="s">
        <v>104</v>
      </c>
      <c r="F232" s="23">
        <v>2746</v>
      </c>
      <c r="G232" s="20" t="s">
        <v>552</v>
      </c>
      <c r="H232" s="20" t="s">
        <v>553</v>
      </c>
      <c r="I232" s="20" t="s">
        <v>6</v>
      </c>
      <c r="J232" s="20" t="s">
        <v>137</v>
      </c>
      <c r="K232" s="20" t="s">
        <v>137</v>
      </c>
      <c r="L232" s="20" t="s">
        <v>554</v>
      </c>
      <c r="M232" s="21"/>
      <c r="N232" s="21"/>
      <c r="O232" s="21"/>
      <c r="P232" s="24" t="s">
        <v>332</v>
      </c>
    </row>
    <row r="233" spans="1:16" hidden="1" x14ac:dyDescent="0.3">
      <c r="A233" s="20">
        <f t="shared" si="3"/>
        <v>232</v>
      </c>
      <c r="B233" s="21" t="s">
        <v>87</v>
      </c>
      <c r="C233" s="21" t="s">
        <v>97</v>
      </c>
      <c r="D233" s="22" t="str">
        <f>IF($C233="","",IFERROR(VLOOKUP($C233,Map_Register!$A$2:$C$5,3,FALSE()),""))</f>
        <v>Toponym Labels</v>
      </c>
      <c r="E233" s="21" t="s">
        <v>104</v>
      </c>
      <c r="F233" s="23">
        <v>3519</v>
      </c>
      <c r="G233" s="20" t="s">
        <v>163</v>
      </c>
      <c r="H233" s="20" t="s">
        <v>555</v>
      </c>
      <c r="I233" s="20" t="s">
        <v>6</v>
      </c>
      <c r="J233" s="20" t="s">
        <v>137</v>
      </c>
      <c r="K233" s="20" t="s">
        <v>137</v>
      </c>
      <c r="L233" s="20" t="s">
        <v>556</v>
      </c>
      <c r="M233" s="21"/>
      <c r="N233" s="21"/>
      <c r="O233" s="21"/>
      <c r="P233" s="24" t="s">
        <v>334</v>
      </c>
    </row>
    <row r="234" spans="1:16" hidden="1" x14ac:dyDescent="0.3">
      <c r="A234" s="20">
        <f t="shared" si="3"/>
        <v>233</v>
      </c>
      <c r="B234" s="21" t="s">
        <v>87</v>
      </c>
      <c r="C234" s="21" t="s">
        <v>97</v>
      </c>
      <c r="D234" s="22" t="str">
        <f>IF($C234="","",IFERROR(VLOOKUP($C234,Map_Register!$A$2:$C$5,3,FALSE()),""))</f>
        <v>Toponym Labels</v>
      </c>
      <c r="E234" s="21" t="s">
        <v>104</v>
      </c>
      <c r="F234" s="23">
        <v>3520</v>
      </c>
      <c r="G234" s="20" t="s">
        <v>163</v>
      </c>
      <c r="H234" s="20" t="s">
        <v>557</v>
      </c>
      <c r="I234" s="20" t="s">
        <v>6</v>
      </c>
      <c r="J234" s="20" t="s">
        <v>137</v>
      </c>
      <c r="K234" s="20" t="s">
        <v>137</v>
      </c>
      <c r="L234" s="20" t="s">
        <v>558</v>
      </c>
      <c r="M234" s="21"/>
      <c r="N234" s="21"/>
      <c r="O234" s="21"/>
      <c r="P234" s="24" t="s">
        <v>336</v>
      </c>
    </row>
    <row r="235" spans="1:16" hidden="1" x14ac:dyDescent="0.3">
      <c r="A235" s="20">
        <f t="shared" si="3"/>
        <v>234</v>
      </c>
      <c r="B235" s="21" t="s">
        <v>87</v>
      </c>
      <c r="C235" s="21" t="s">
        <v>97</v>
      </c>
      <c r="D235" s="22" t="str">
        <f>IF($C235="","",IFERROR(VLOOKUP($C235,Map_Register!$A$2:$C$5,3,FALSE()),""))</f>
        <v>Toponym Labels</v>
      </c>
      <c r="E235" s="21" t="s">
        <v>104</v>
      </c>
      <c r="F235" s="23">
        <v>3521</v>
      </c>
      <c r="G235" s="20" t="s">
        <v>163</v>
      </c>
      <c r="H235" s="20" t="s">
        <v>559</v>
      </c>
      <c r="I235" s="20" t="s">
        <v>6</v>
      </c>
      <c r="J235" s="20" t="s">
        <v>137</v>
      </c>
      <c r="K235" s="20" t="s">
        <v>137</v>
      </c>
      <c r="L235" s="20" t="s">
        <v>560</v>
      </c>
      <c r="M235" s="21"/>
      <c r="N235" s="21"/>
      <c r="O235" s="21"/>
      <c r="P235" s="24" t="s">
        <v>340</v>
      </c>
    </row>
    <row r="236" spans="1:16" x14ac:dyDescent="0.3">
      <c r="A236" s="20">
        <f t="shared" si="3"/>
        <v>235</v>
      </c>
      <c r="B236" s="21" t="s">
        <v>87</v>
      </c>
      <c r="C236" s="21" t="s">
        <v>97</v>
      </c>
      <c r="D236" s="22" t="str">
        <f>IF($C236="","",IFERROR(VLOOKUP($C236,Map_Register!$A$2:$C$5,3,FALSE()),""))</f>
        <v>Toponym Labels</v>
      </c>
      <c r="E236" s="21" t="s">
        <v>104</v>
      </c>
      <c r="F236" s="23">
        <v>3857</v>
      </c>
      <c r="G236" s="20" t="s">
        <v>163</v>
      </c>
      <c r="H236" s="20" t="s">
        <v>561</v>
      </c>
      <c r="I236" s="20" t="s">
        <v>8</v>
      </c>
      <c r="J236" s="20" t="s">
        <v>562</v>
      </c>
      <c r="K236" s="20" t="s">
        <v>107</v>
      </c>
      <c r="L236" s="20" t="s">
        <v>563</v>
      </c>
      <c r="M236" s="21" t="s">
        <v>108</v>
      </c>
      <c r="N236" s="21"/>
      <c r="O236" s="21"/>
      <c r="P236" s="24" t="s">
        <v>342</v>
      </c>
    </row>
    <row r="237" spans="1:16" hidden="1" x14ac:dyDescent="0.3">
      <c r="A237" s="20">
        <f t="shared" si="3"/>
        <v>236</v>
      </c>
      <c r="B237" s="21" t="s">
        <v>87</v>
      </c>
      <c r="C237" s="21" t="s">
        <v>97</v>
      </c>
      <c r="D237" s="22" t="str">
        <f>IF($C237="","",IFERROR(VLOOKUP($C237,Map_Register!$A$2:$C$5,3,FALSE()),""))</f>
        <v>Toponym Labels</v>
      </c>
      <c r="E237" s="21" t="s">
        <v>104</v>
      </c>
      <c r="F237" s="23">
        <v>3914</v>
      </c>
      <c r="G237" s="20" t="s">
        <v>163</v>
      </c>
      <c r="H237" s="20" t="s">
        <v>564</v>
      </c>
      <c r="I237" s="20" t="s">
        <v>6</v>
      </c>
      <c r="J237" s="20" t="s">
        <v>137</v>
      </c>
      <c r="K237" s="20" t="s">
        <v>137</v>
      </c>
      <c r="L237" s="20" t="s">
        <v>565</v>
      </c>
      <c r="M237" s="21"/>
      <c r="N237" s="21"/>
      <c r="O237" s="21"/>
      <c r="P237" s="24" t="s">
        <v>344</v>
      </c>
    </row>
    <row r="238" spans="1:16" hidden="1" x14ac:dyDescent="0.3">
      <c r="A238" s="20">
        <f t="shared" si="3"/>
        <v>237</v>
      </c>
      <c r="B238" s="21" t="s">
        <v>87</v>
      </c>
      <c r="C238" s="21" t="s">
        <v>97</v>
      </c>
      <c r="D238" s="22" t="str">
        <f>IF($C238="","",IFERROR(VLOOKUP($C238,Map_Register!$A$2:$C$5,3,FALSE()),""))</f>
        <v>Toponym Labels</v>
      </c>
      <c r="E238" s="21" t="s">
        <v>104</v>
      </c>
      <c r="F238" s="23">
        <v>3918</v>
      </c>
      <c r="G238" s="20" t="s">
        <v>163</v>
      </c>
      <c r="H238" s="20" t="s">
        <v>566</v>
      </c>
      <c r="I238" s="20" t="s">
        <v>6</v>
      </c>
      <c r="J238" s="20" t="s">
        <v>137</v>
      </c>
      <c r="K238" s="20" t="s">
        <v>137</v>
      </c>
      <c r="L238" s="20" t="s">
        <v>567</v>
      </c>
      <c r="M238" s="21"/>
      <c r="N238" s="21"/>
      <c r="O238" s="21"/>
      <c r="P238" s="24" t="s">
        <v>346</v>
      </c>
    </row>
    <row r="239" spans="1:16" hidden="1" x14ac:dyDescent="0.3">
      <c r="A239" s="20">
        <f t="shared" si="3"/>
        <v>238</v>
      </c>
      <c r="B239" s="21" t="s">
        <v>87</v>
      </c>
      <c r="C239" s="21" t="s">
        <v>97</v>
      </c>
      <c r="D239" s="22" t="str">
        <f>IF($C239="","",IFERROR(VLOOKUP($C239,Map_Register!$A$2:$C$5,3,FALSE()),""))</f>
        <v>Toponym Labels</v>
      </c>
      <c r="E239" s="21" t="s">
        <v>104</v>
      </c>
      <c r="F239" s="23">
        <v>5726</v>
      </c>
      <c r="G239" s="20" t="s">
        <v>167</v>
      </c>
      <c r="H239" s="20" t="s">
        <v>568</v>
      </c>
      <c r="I239" s="20" t="s">
        <v>6</v>
      </c>
      <c r="J239" s="20" t="s">
        <v>137</v>
      </c>
      <c r="K239" s="20" t="s">
        <v>137</v>
      </c>
      <c r="L239" s="20" t="s">
        <v>569</v>
      </c>
      <c r="M239" s="21"/>
      <c r="N239" s="21"/>
      <c r="O239" s="21"/>
      <c r="P239" s="24" t="s">
        <v>348</v>
      </c>
    </row>
    <row r="240" spans="1:16" hidden="1" x14ac:dyDescent="0.3">
      <c r="A240" s="20">
        <f t="shared" si="3"/>
        <v>239</v>
      </c>
      <c r="B240" s="21" t="s">
        <v>87</v>
      </c>
      <c r="C240" s="21" t="s">
        <v>97</v>
      </c>
      <c r="D240" s="22" t="str">
        <f>IF($C240="","",IFERROR(VLOOKUP($C240,Map_Register!$A$2:$C$5,3,FALSE()),""))</f>
        <v>Toponym Labels</v>
      </c>
      <c r="E240" s="21" t="s">
        <v>104</v>
      </c>
      <c r="F240" s="23">
        <v>18984</v>
      </c>
      <c r="G240" s="20" t="s">
        <v>207</v>
      </c>
      <c r="H240" s="20" t="s">
        <v>570</v>
      </c>
      <c r="I240" s="20" t="s">
        <v>6</v>
      </c>
      <c r="J240" s="20" t="s">
        <v>137</v>
      </c>
      <c r="K240" s="20" t="s">
        <v>137</v>
      </c>
      <c r="L240" s="20" t="s">
        <v>571</v>
      </c>
      <c r="M240" s="21"/>
      <c r="N240" s="21"/>
      <c r="O240" s="21"/>
      <c r="P240" s="24" t="s">
        <v>350</v>
      </c>
    </row>
    <row r="241" spans="1:16" hidden="1" x14ac:dyDescent="0.3">
      <c r="A241" s="20">
        <f t="shared" si="3"/>
        <v>240</v>
      </c>
      <c r="B241" s="21" t="s">
        <v>87</v>
      </c>
      <c r="C241" s="21" t="s">
        <v>97</v>
      </c>
      <c r="D241" s="22" t="str">
        <f>IF($C241="","",IFERROR(VLOOKUP($C241,Map_Register!$A$2:$C$5,3,FALSE()),""))</f>
        <v>Toponym Labels</v>
      </c>
      <c r="E241" s="21" t="s">
        <v>104</v>
      </c>
      <c r="F241" s="23">
        <v>19049</v>
      </c>
      <c r="G241" s="20" t="s">
        <v>207</v>
      </c>
      <c r="H241" s="20" t="s">
        <v>572</v>
      </c>
      <c r="I241" s="20" t="s">
        <v>6</v>
      </c>
      <c r="J241" s="20" t="s">
        <v>137</v>
      </c>
      <c r="K241" s="20" t="s">
        <v>137</v>
      </c>
      <c r="L241" s="20" t="s">
        <v>573</v>
      </c>
      <c r="M241" s="21"/>
      <c r="N241" s="21"/>
      <c r="O241" s="21"/>
      <c r="P241" s="24" t="s">
        <v>352</v>
      </c>
    </row>
    <row r="242" spans="1:16" hidden="1" x14ac:dyDescent="0.3">
      <c r="A242" s="20">
        <f t="shared" si="3"/>
        <v>241</v>
      </c>
      <c r="B242" s="21" t="s">
        <v>87</v>
      </c>
      <c r="C242" s="21" t="s">
        <v>97</v>
      </c>
      <c r="D242" s="22" t="str">
        <f>IF($C242="","",IFERROR(VLOOKUP($C242,Map_Register!$A$2:$C$5,3,FALSE()),""))</f>
        <v>Toponym Labels</v>
      </c>
      <c r="E242" s="21" t="s">
        <v>104</v>
      </c>
      <c r="F242" s="23">
        <v>19074</v>
      </c>
      <c r="G242" s="20" t="s">
        <v>207</v>
      </c>
      <c r="H242" s="20" t="s">
        <v>574</v>
      </c>
      <c r="I242" s="20" t="s">
        <v>6</v>
      </c>
      <c r="J242" s="20" t="s">
        <v>137</v>
      </c>
      <c r="K242" s="20" t="s">
        <v>137</v>
      </c>
      <c r="L242" s="20" t="s">
        <v>244</v>
      </c>
      <c r="M242" s="21"/>
      <c r="N242" s="21"/>
      <c r="O242" s="21"/>
      <c r="P242" s="24" t="s">
        <v>355</v>
      </c>
    </row>
    <row r="243" spans="1:16" hidden="1" x14ac:dyDescent="0.3">
      <c r="A243" s="20">
        <f t="shared" si="3"/>
        <v>242</v>
      </c>
      <c r="B243" s="21" t="s">
        <v>87</v>
      </c>
      <c r="C243" s="21" t="s">
        <v>97</v>
      </c>
      <c r="D243" s="22" t="str">
        <f>IF($C243="","",IFERROR(VLOOKUP($C243,Map_Register!$A$2:$C$5,3,FALSE()),""))</f>
        <v>Toponym Labels</v>
      </c>
      <c r="E243" s="21" t="s">
        <v>104</v>
      </c>
      <c r="F243" s="23">
        <v>24028</v>
      </c>
      <c r="G243" s="20" t="s">
        <v>552</v>
      </c>
      <c r="H243" s="20" t="s">
        <v>552</v>
      </c>
      <c r="I243" s="20" t="s">
        <v>6</v>
      </c>
      <c r="J243" s="20" t="s">
        <v>137</v>
      </c>
      <c r="K243" s="20" t="s">
        <v>137</v>
      </c>
      <c r="L243" s="20" t="s">
        <v>575</v>
      </c>
      <c r="M243" s="21"/>
      <c r="N243" s="21"/>
      <c r="O243" s="21"/>
      <c r="P243" s="24" t="s">
        <v>357</v>
      </c>
    </row>
    <row r="244" spans="1:16" hidden="1" x14ac:dyDescent="0.3">
      <c r="A244" s="20">
        <f t="shared" si="3"/>
        <v>243</v>
      </c>
      <c r="B244" s="21" t="s">
        <v>87</v>
      </c>
      <c r="C244" s="21" t="s">
        <v>97</v>
      </c>
      <c r="D244" s="22" t="str">
        <f>IF($C244="","",IFERROR(VLOOKUP($C244,Map_Register!$A$2:$C$5,3,FALSE()),""))</f>
        <v>Toponym Labels</v>
      </c>
      <c r="E244" s="21" t="s">
        <v>104</v>
      </c>
      <c r="F244" s="23">
        <v>24032</v>
      </c>
      <c r="G244" s="20" t="s">
        <v>552</v>
      </c>
      <c r="H244" s="20" t="s">
        <v>552</v>
      </c>
      <c r="I244" s="20" t="s">
        <v>6</v>
      </c>
      <c r="J244" s="20" t="s">
        <v>137</v>
      </c>
      <c r="K244" s="20" t="s">
        <v>137</v>
      </c>
      <c r="L244" s="20" t="s">
        <v>576</v>
      </c>
      <c r="M244" s="21"/>
      <c r="N244" s="21"/>
      <c r="O244" s="21"/>
      <c r="P244" s="24" t="s">
        <v>359</v>
      </c>
    </row>
    <row r="245" spans="1:16" hidden="1" x14ac:dyDescent="0.3">
      <c r="A245" s="20">
        <f t="shared" si="3"/>
        <v>244</v>
      </c>
      <c r="B245" s="21" t="s">
        <v>87</v>
      </c>
      <c r="C245" s="21" t="s">
        <v>97</v>
      </c>
      <c r="D245" s="22" t="str">
        <f>IF($C245="","",IFERROR(VLOOKUP($C245,Map_Register!$A$2:$C$5,3,FALSE()),""))</f>
        <v>Toponym Labels</v>
      </c>
      <c r="E245" s="21" t="s">
        <v>104</v>
      </c>
      <c r="F245" s="21"/>
      <c r="G245" s="21" t="s">
        <v>577</v>
      </c>
      <c r="H245" s="21" t="s">
        <v>578</v>
      </c>
      <c r="I245" s="20" t="s">
        <v>6</v>
      </c>
      <c r="J245" s="21"/>
      <c r="K245" s="21"/>
      <c r="L245" s="25" t="s">
        <v>579</v>
      </c>
      <c r="M245" s="21"/>
      <c r="N245" s="21"/>
      <c r="O245" s="21"/>
      <c r="P245" s="24" t="s">
        <v>435</v>
      </c>
    </row>
    <row r="246" spans="1:16" hidden="1" x14ac:dyDescent="0.3">
      <c r="A246" s="20" t="str">
        <f t="shared" si="3"/>
        <v/>
      </c>
      <c r="B246" s="21"/>
      <c r="C246" s="21"/>
      <c r="D246" s="22" t="str">
        <f>IF($C246="","",IFERROR(VLOOKUP($C246,Map_Register!$A$2:$C$5,3,FALSE()),""))</f>
        <v/>
      </c>
      <c r="E246" s="21"/>
      <c r="F246" s="21"/>
      <c r="G246" s="21"/>
      <c r="H246" s="21"/>
      <c r="I246" s="21"/>
      <c r="J246" s="21"/>
      <c r="K246" s="21"/>
      <c r="L246" s="25"/>
      <c r="M246" s="21"/>
      <c r="N246" s="21"/>
      <c r="O246" s="21"/>
      <c r="P246" s="21"/>
    </row>
    <row r="247" spans="1:16" hidden="1" x14ac:dyDescent="0.3">
      <c r="A247" s="20" t="str">
        <f t="shared" si="3"/>
        <v/>
      </c>
      <c r="B247" s="21"/>
      <c r="C247" s="21"/>
      <c r="D247" s="22" t="str">
        <f>IF($C247="","",IFERROR(VLOOKUP($C247,Map_Register!$A$2:$C$5,3,FALSE()),""))</f>
        <v/>
      </c>
      <c r="E247" s="21"/>
      <c r="F247" s="21"/>
      <c r="G247" s="21"/>
      <c r="H247" s="21"/>
      <c r="I247" s="21"/>
      <c r="J247" s="21"/>
      <c r="K247" s="21"/>
      <c r="L247" s="25"/>
      <c r="M247" s="21"/>
      <c r="N247" s="21"/>
      <c r="O247" s="21"/>
      <c r="P247" s="21"/>
    </row>
    <row r="248" spans="1:16" hidden="1" x14ac:dyDescent="0.3">
      <c r="A248" s="20" t="str">
        <f t="shared" si="3"/>
        <v/>
      </c>
      <c r="B248" s="21"/>
      <c r="C248" s="21"/>
      <c r="D248" s="22" t="str">
        <f>IF($C248="","",IFERROR(VLOOKUP($C248,Map_Register!$A$2:$C$5,3,FALSE()),""))</f>
        <v/>
      </c>
      <c r="E248" s="21"/>
      <c r="F248" s="21"/>
      <c r="G248" s="21"/>
      <c r="H248" s="21"/>
      <c r="I248" s="21"/>
      <c r="J248" s="21"/>
      <c r="K248" s="21"/>
      <c r="L248" s="25"/>
      <c r="M248" s="21"/>
      <c r="N248" s="21"/>
      <c r="O248" s="21"/>
      <c r="P248" s="21"/>
    </row>
    <row r="249" spans="1:16" hidden="1" x14ac:dyDescent="0.3">
      <c r="A249" s="20" t="str">
        <f t="shared" si="3"/>
        <v/>
      </c>
      <c r="B249" s="21"/>
      <c r="C249" s="21"/>
      <c r="D249" s="22" t="str">
        <f>IF($C249="","",IFERROR(VLOOKUP($C249,Map_Register!$A$2:$C$5,3,FALSE()),""))</f>
        <v/>
      </c>
      <c r="E249" s="21"/>
      <c r="F249" s="21"/>
      <c r="G249" s="21"/>
      <c r="H249" s="21"/>
      <c r="I249" s="21"/>
      <c r="J249" s="21"/>
      <c r="K249" s="21"/>
      <c r="L249" s="25"/>
      <c r="M249" s="21"/>
      <c r="N249" s="21"/>
      <c r="O249" s="21"/>
      <c r="P249" s="21"/>
    </row>
    <row r="250" spans="1:16" hidden="1" x14ac:dyDescent="0.3">
      <c r="A250" s="20" t="str">
        <f t="shared" si="3"/>
        <v/>
      </c>
      <c r="B250" s="21"/>
      <c r="C250" s="21"/>
      <c r="D250" s="22" t="str">
        <f>IF($C250="","",IFERROR(VLOOKUP($C250,Map_Register!$A$2:$C$5,3,FALSE()),""))</f>
        <v/>
      </c>
      <c r="E250" s="21"/>
      <c r="F250" s="21"/>
      <c r="G250" s="21"/>
      <c r="H250" s="21"/>
      <c r="I250" s="21"/>
      <c r="J250" s="21"/>
      <c r="K250" s="21"/>
      <c r="L250" s="25"/>
      <c r="M250" s="21"/>
      <c r="N250" s="21"/>
      <c r="O250" s="21"/>
      <c r="P250" s="21"/>
    </row>
    <row r="251" spans="1:16" hidden="1" x14ac:dyDescent="0.3">
      <c r="A251" s="20" t="str">
        <f t="shared" si="3"/>
        <v/>
      </c>
      <c r="B251" s="21"/>
      <c r="C251" s="21"/>
      <c r="D251" s="22" t="str">
        <f>IF($C251="","",IFERROR(VLOOKUP($C251,Map_Register!$A$2:$C$5,3,FALSE()),""))</f>
        <v/>
      </c>
      <c r="E251" s="21"/>
      <c r="F251" s="21"/>
      <c r="G251" s="21"/>
      <c r="H251" s="21"/>
      <c r="I251" s="21"/>
      <c r="J251" s="21"/>
      <c r="K251" s="21"/>
      <c r="L251" s="25"/>
      <c r="M251" s="21"/>
      <c r="N251" s="21"/>
      <c r="O251" s="21"/>
      <c r="P251" s="21"/>
    </row>
    <row r="252" spans="1:16" hidden="1" x14ac:dyDescent="0.3">
      <c r="A252" s="20" t="str">
        <f t="shared" si="3"/>
        <v/>
      </c>
      <c r="B252" s="21"/>
      <c r="C252" s="21"/>
      <c r="D252" s="22" t="str">
        <f>IF($C252="","",IFERROR(VLOOKUP($C252,Map_Register!$A$2:$C$5,3,FALSE()),""))</f>
        <v/>
      </c>
      <c r="E252" s="21"/>
      <c r="F252" s="21"/>
      <c r="G252" s="21"/>
      <c r="H252" s="21"/>
      <c r="I252" s="21"/>
      <c r="J252" s="21"/>
      <c r="K252" s="21"/>
      <c r="L252" s="25"/>
      <c r="M252" s="21"/>
      <c r="N252" s="21"/>
      <c r="O252" s="21"/>
      <c r="P252" s="21"/>
    </row>
    <row r="253" spans="1:16" hidden="1" x14ac:dyDescent="0.3">
      <c r="A253" s="20" t="str">
        <f t="shared" si="3"/>
        <v/>
      </c>
      <c r="B253" s="21"/>
      <c r="C253" s="21"/>
      <c r="D253" s="22" t="str">
        <f>IF($C253="","",IFERROR(VLOOKUP($C253,Map_Register!$A$2:$C$5,3,FALSE()),""))</f>
        <v/>
      </c>
      <c r="E253" s="21"/>
      <c r="F253" s="21"/>
      <c r="G253" s="21"/>
      <c r="H253" s="21"/>
      <c r="I253" s="21"/>
      <c r="J253" s="21"/>
      <c r="K253" s="21"/>
      <c r="L253" s="25"/>
      <c r="M253" s="21"/>
      <c r="N253" s="21"/>
      <c r="O253" s="21"/>
      <c r="P253" s="21"/>
    </row>
    <row r="254" spans="1:16" hidden="1" x14ac:dyDescent="0.3">
      <c r="A254" s="20" t="str">
        <f t="shared" si="3"/>
        <v/>
      </c>
      <c r="B254" s="21"/>
      <c r="C254" s="21"/>
      <c r="D254" s="22" t="str">
        <f>IF($C254="","",IFERROR(VLOOKUP($C254,Map_Register!$A$2:$C$5,3,FALSE()),""))</f>
        <v/>
      </c>
      <c r="E254" s="21"/>
      <c r="F254" s="21"/>
      <c r="G254" s="21"/>
      <c r="H254" s="21"/>
      <c r="I254" s="21"/>
      <c r="J254" s="21"/>
      <c r="K254" s="21"/>
      <c r="L254" s="25"/>
      <c r="M254" s="21"/>
      <c r="N254" s="21"/>
      <c r="O254" s="21"/>
      <c r="P254" s="21"/>
    </row>
    <row r="255" spans="1:16" hidden="1" x14ac:dyDescent="0.3">
      <c r="A255" s="20" t="str">
        <f t="shared" si="3"/>
        <v/>
      </c>
      <c r="B255" s="21"/>
      <c r="C255" s="21"/>
      <c r="D255" s="22" t="str">
        <f>IF($C255="","",IFERROR(VLOOKUP($C255,Map_Register!$A$2:$C$5,3,FALSE()),""))</f>
        <v/>
      </c>
      <c r="E255" s="21"/>
      <c r="F255" s="21"/>
      <c r="G255" s="21"/>
      <c r="H255" s="21"/>
      <c r="I255" s="21"/>
      <c r="J255" s="21"/>
      <c r="K255" s="21"/>
      <c r="L255" s="25"/>
      <c r="M255" s="21"/>
      <c r="N255" s="21"/>
      <c r="O255" s="21"/>
      <c r="P255" s="21"/>
    </row>
    <row r="256" spans="1:16" hidden="1" x14ac:dyDescent="0.3">
      <c r="A256" s="20" t="str">
        <f t="shared" si="3"/>
        <v/>
      </c>
      <c r="B256" s="21"/>
      <c r="C256" s="21"/>
      <c r="D256" s="22" t="str">
        <f>IF($C256="","",IFERROR(VLOOKUP($C256,Map_Register!$A$2:$C$5,3,FALSE()),""))</f>
        <v/>
      </c>
      <c r="E256" s="21"/>
      <c r="F256" s="21"/>
      <c r="G256" s="21"/>
      <c r="H256" s="21"/>
      <c r="I256" s="21"/>
      <c r="J256" s="21"/>
      <c r="K256" s="21"/>
      <c r="L256" s="25"/>
      <c r="M256" s="21"/>
      <c r="N256" s="21"/>
      <c r="O256" s="21"/>
      <c r="P256" s="21"/>
    </row>
    <row r="257" spans="1:16" hidden="1" x14ac:dyDescent="0.3">
      <c r="A257" s="20" t="str">
        <f t="shared" si="3"/>
        <v/>
      </c>
      <c r="B257" s="21"/>
      <c r="C257" s="21"/>
      <c r="D257" s="22" t="str">
        <f>IF($C257="","",IFERROR(VLOOKUP($C257,Map_Register!$A$2:$C$5,3,FALSE()),""))</f>
        <v/>
      </c>
      <c r="E257" s="21"/>
      <c r="F257" s="21"/>
      <c r="G257" s="21"/>
      <c r="H257" s="21"/>
      <c r="I257" s="21"/>
      <c r="J257" s="21"/>
      <c r="K257" s="21"/>
      <c r="L257" s="25"/>
      <c r="M257" s="21"/>
      <c r="N257" s="21"/>
      <c r="O257" s="21"/>
      <c r="P257" s="21"/>
    </row>
    <row r="258" spans="1:16" hidden="1" x14ac:dyDescent="0.3">
      <c r="A258" s="20" t="str">
        <f t="shared" ref="A258:A321" si="4">IF($B258="","",ROW()-1)</f>
        <v/>
      </c>
      <c r="B258" s="21"/>
      <c r="C258" s="21"/>
      <c r="D258" s="22" t="str">
        <f>IF($C258="","",IFERROR(VLOOKUP($C258,Map_Register!$A$2:$C$5,3,FALSE()),""))</f>
        <v/>
      </c>
      <c r="E258" s="21"/>
      <c r="F258" s="21"/>
      <c r="G258" s="21"/>
      <c r="H258" s="21"/>
      <c r="I258" s="21"/>
      <c r="J258" s="21"/>
      <c r="K258" s="21"/>
      <c r="L258" s="25"/>
      <c r="M258" s="21"/>
      <c r="N258" s="21"/>
      <c r="O258" s="21"/>
      <c r="P258" s="21"/>
    </row>
    <row r="259" spans="1:16" hidden="1" x14ac:dyDescent="0.3">
      <c r="A259" s="20" t="str">
        <f t="shared" si="4"/>
        <v/>
      </c>
      <c r="B259" s="21"/>
      <c r="C259" s="21"/>
      <c r="D259" s="22" t="str">
        <f>IF($C259="","",IFERROR(VLOOKUP($C259,Map_Register!$A$2:$C$5,3,FALSE()),""))</f>
        <v/>
      </c>
      <c r="E259" s="21"/>
      <c r="F259" s="21"/>
      <c r="G259" s="21"/>
      <c r="H259" s="21"/>
      <c r="I259" s="21"/>
      <c r="J259" s="21"/>
      <c r="K259" s="21"/>
      <c r="L259" s="25"/>
      <c r="M259" s="21"/>
      <c r="N259" s="21"/>
      <c r="O259" s="21"/>
      <c r="P259" s="21"/>
    </row>
    <row r="260" spans="1:16" hidden="1" x14ac:dyDescent="0.3">
      <c r="A260" s="20" t="str">
        <f t="shared" si="4"/>
        <v/>
      </c>
      <c r="B260" s="21"/>
      <c r="C260" s="21"/>
      <c r="D260" s="22" t="str">
        <f>IF($C260="","",IFERROR(VLOOKUP($C260,Map_Register!$A$2:$C$5,3,FALSE()),""))</f>
        <v/>
      </c>
      <c r="E260" s="21"/>
      <c r="F260" s="21"/>
      <c r="G260" s="21"/>
      <c r="H260" s="21"/>
      <c r="I260" s="21"/>
      <c r="J260" s="21"/>
      <c r="K260" s="21"/>
      <c r="L260" s="25"/>
      <c r="M260" s="21"/>
      <c r="N260" s="21"/>
      <c r="O260" s="21"/>
      <c r="P260" s="21"/>
    </row>
    <row r="261" spans="1:16" hidden="1" x14ac:dyDescent="0.3">
      <c r="A261" s="20" t="str">
        <f t="shared" si="4"/>
        <v/>
      </c>
      <c r="B261" s="21"/>
      <c r="C261" s="21"/>
      <c r="D261" s="22" t="str">
        <f>IF($C261="","",IFERROR(VLOOKUP($C261,Map_Register!$A$2:$C$5,3,FALSE()),""))</f>
        <v/>
      </c>
      <c r="E261" s="21"/>
      <c r="F261" s="21"/>
      <c r="G261" s="21"/>
      <c r="H261" s="21"/>
      <c r="I261" s="21"/>
      <c r="J261" s="21"/>
      <c r="K261" s="21"/>
      <c r="L261" s="25"/>
      <c r="M261" s="21"/>
      <c r="N261" s="21"/>
      <c r="O261" s="21"/>
      <c r="P261" s="21"/>
    </row>
    <row r="262" spans="1:16" hidden="1" x14ac:dyDescent="0.3">
      <c r="A262" s="20" t="str">
        <f t="shared" si="4"/>
        <v/>
      </c>
      <c r="B262" s="21"/>
      <c r="C262" s="21"/>
      <c r="D262" s="22" t="str">
        <f>IF($C262="","",IFERROR(VLOOKUP($C262,Map_Register!$A$2:$C$5,3,FALSE()),""))</f>
        <v/>
      </c>
      <c r="E262" s="21"/>
      <c r="F262" s="21"/>
      <c r="G262" s="21"/>
      <c r="H262" s="21"/>
      <c r="I262" s="21"/>
      <c r="J262" s="21"/>
      <c r="K262" s="21"/>
      <c r="L262" s="25"/>
      <c r="M262" s="21"/>
      <c r="N262" s="21"/>
      <c r="O262" s="21"/>
      <c r="P262" s="21"/>
    </row>
    <row r="263" spans="1:16" hidden="1" x14ac:dyDescent="0.3">
      <c r="A263" s="20" t="str">
        <f t="shared" si="4"/>
        <v/>
      </c>
      <c r="B263" s="21"/>
      <c r="C263" s="21"/>
      <c r="D263" s="22" t="str">
        <f>IF($C263="","",IFERROR(VLOOKUP($C263,Map_Register!$A$2:$C$5,3,FALSE()),""))</f>
        <v/>
      </c>
      <c r="E263" s="21"/>
      <c r="F263" s="21"/>
      <c r="G263" s="21"/>
      <c r="H263" s="21"/>
      <c r="I263" s="21"/>
      <c r="J263" s="21"/>
      <c r="K263" s="21"/>
      <c r="L263" s="25"/>
      <c r="M263" s="21"/>
      <c r="N263" s="21"/>
      <c r="O263" s="21"/>
      <c r="P263" s="21"/>
    </row>
    <row r="264" spans="1:16" hidden="1" x14ac:dyDescent="0.3">
      <c r="A264" s="20" t="str">
        <f t="shared" si="4"/>
        <v/>
      </c>
      <c r="B264" s="21"/>
      <c r="C264" s="21"/>
      <c r="D264" s="22" t="str">
        <f>IF($C264="","",IFERROR(VLOOKUP($C264,Map_Register!$A$2:$C$5,3,FALSE()),""))</f>
        <v/>
      </c>
      <c r="E264" s="21"/>
      <c r="F264" s="21"/>
      <c r="G264" s="21"/>
      <c r="H264" s="21"/>
      <c r="I264" s="21"/>
      <c r="J264" s="21"/>
      <c r="K264" s="21"/>
      <c r="L264" s="25"/>
      <c r="M264" s="21"/>
      <c r="N264" s="21"/>
      <c r="O264" s="21"/>
      <c r="P264" s="21"/>
    </row>
    <row r="265" spans="1:16" hidden="1" x14ac:dyDescent="0.3">
      <c r="A265" s="20" t="str">
        <f t="shared" si="4"/>
        <v/>
      </c>
      <c r="B265" s="21"/>
      <c r="C265" s="21"/>
      <c r="D265" s="22" t="str">
        <f>IF($C265="","",IFERROR(VLOOKUP($C265,Map_Register!$A$2:$C$5,3,FALSE()),""))</f>
        <v/>
      </c>
      <c r="E265" s="21"/>
      <c r="F265" s="21"/>
      <c r="G265" s="21"/>
      <c r="H265" s="21"/>
      <c r="I265" s="21"/>
      <c r="J265" s="21"/>
      <c r="K265" s="21"/>
      <c r="L265" s="25"/>
      <c r="M265" s="21"/>
      <c r="N265" s="21"/>
      <c r="O265" s="21"/>
      <c r="P265" s="21"/>
    </row>
    <row r="266" spans="1:16" hidden="1" x14ac:dyDescent="0.3">
      <c r="A266" s="20" t="str">
        <f t="shared" si="4"/>
        <v/>
      </c>
      <c r="B266" s="21"/>
      <c r="C266" s="21"/>
      <c r="D266" s="22" t="str">
        <f>IF($C266="","",IFERROR(VLOOKUP($C266,Map_Register!$A$2:$C$5,3,FALSE()),""))</f>
        <v/>
      </c>
      <c r="E266" s="21"/>
      <c r="F266" s="21"/>
      <c r="G266" s="21"/>
      <c r="H266" s="21"/>
      <c r="I266" s="21"/>
      <c r="J266" s="21"/>
      <c r="K266" s="21"/>
      <c r="L266" s="25"/>
      <c r="M266" s="21"/>
      <c r="N266" s="21"/>
      <c r="O266" s="21"/>
      <c r="P266" s="21"/>
    </row>
    <row r="267" spans="1:16" hidden="1" x14ac:dyDescent="0.3">
      <c r="A267" s="20" t="str">
        <f t="shared" si="4"/>
        <v/>
      </c>
      <c r="B267" s="21"/>
      <c r="C267" s="21"/>
      <c r="D267" s="22" t="str">
        <f>IF($C267="","",IFERROR(VLOOKUP($C267,Map_Register!$A$2:$C$5,3,FALSE()),""))</f>
        <v/>
      </c>
      <c r="E267" s="21"/>
      <c r="F267" s="21"/>
      <c r="G267" s="21"/>
      <c r="H267" s="21"/>
      <c r="I267" s="21"/>
      <c r="J267" s="21"/>
      <c r="K267" s="21"/>
      <c r="L267" s="25"/>
      <c r="M267" s="21"/>
      <c r="N267" s="21"/>
      <c r="O267" s="21"/>
      <c r="P267" s="21"/>
    </row>
    <row r="268" spans="1:16" hidden="1" x14ac:dyDescent="0.3">
      <c r="A268" s="20" t="str">
        <f t="shared" si="4"/>
        <v/>
      </c>
      <c r="B268" s="21"/>
      <c r="C268" s="21"/>
      <c r="D268" s="22" t="str">
        <f>IF($C268="","",IFERROR(VLOOKUP($C268,Map_Register!$A$2:$C$5,3,FALSE()),""))</f>
        <v/>
      </c>
      <c r="E268" s="21"/>
      <c r="F268" s="21"/>
      <c r="G268" s="21"/>
      <c r="H268" s="21"/>
      <c r="I268" s="21"/>
      <c r="J268" s="21"/>
      <c r="K268" s="21"/>
      <c r="L268" s="25"/>
      <c r="M268" s="21"/>
      <c r="N268" s="21"/>
      <c r="O268" s="21"/>
      <c r="P268" s="21"/>
    </row>
    <row r="269" spans="1:16" hidden="1" x14ac:dyDescent="0.3">
      <c r="A269" s="20" t="str">
        <f t="shared" si="4"/>
        <v/>
      </c>
      <c r="B269" s="21"/>
      <c r="C269" s="21"/>
      <c r="D269" s="22" t="str">
        <f>IF($C269="","",IFERROR(VLOOKUP($C269,Map_Register!$A$2:$C$5,3,FALSE()),""))</f>
        <v/>
      </c>
      <c r="E269" s="21"/>
      <c r="F269" s="21"/>
      <c r="G269" s="21"/>
      <c r="H269" s="21"/>
      <c r="I269" s="21"/>
      <c r="J269" s="21"/>
      <c r="K269" s="21"/>
      <c r="L269" s="25"/>
      <c r="M269" s="21"/>
      <c r="N269" s="21"/>
      <c r="O269" s="21"/>
      <c r="P269" s="21"/>
    </row>
    <row r="270" spans="1:16" hidden="1" x14ac:dyDescent="0.3">
      <c r="A270" s="20" t="str">
        <f t="shared" si="4"/>
        <v/>
      </c>
      <c r="B270" s="21"/>
      <c r="C270" s="21"/>
      <c r="D270" s="22" t="str">
        <f>IF($C270="","",IFERROR(VLOOKUP($C270,Map_Register!$A$2:$C$5,3,FALSE()),""))</f>
        <v/>
      </c>
      <c r="E270" s="21"/>
      <c r="F270" s="21"/>
      <c r="G270" s="21"/>
      <c r="H270" s="21"/>
      <c r="I270" s="21"/>
      <c r="J270" s="21"/>
      <c r="K270" s="21"/>
      <c r="L270" s="25"/>
      <c r="M270" s="21"/>
      <c r="N270" s="21"/>
      <c r="O270" s="21"/>
      <c r="P270" s="21"/>
    </row>
    <row r="271" spans="1:16" hidden="1" x14ac:dyDescent="0.3">
      <c r="A271" s="20" t="str">
        <f t="shared" si="4"/>
        <v/>
      </c>
      <c r="B271" s="21"/>
      <c r="C271" s="21"/>
      <c r="D271" s="22" t="str">
        <f>IF($C271="","",IFERROR(VLOOKUP($C271,Map_Register!$A$2:$C$5,3,FALSE()),""))</f>
        <v/>
      </c>
      <c r="E271" s="21"/>
      <c r="F271" s="21"/>
      <c r="G271" s="21"/>
      <c r="H271" s="21"/>
      <c r="I271" s="21"/>
      <c r="J271" s="21"/>
      <c r="K271" s="21"/>
      <c r="L271" s="25"/>
      <c r="M271" s="21"/>
      <c r="N271" s="21"/>
      <c r="O271" s="21"/>
      <c r="P271" s="21"/>
    </row>
    <row r="272" spans="1:16" hidden="1" x14ac:dyDescent="0.3">
      <c r="A272" s="20" t="str">
        <f t="shared" si="4"/>
        <v/>
      </c>
      <c r="B272" s="21"/>
      <c r="C272" s="21"/>
      <c r="D272" s="22" t="str">
        <f>IF($C272="","",IFERROR(VLOOKUP($C272,Map_Register!$A$2:$C$5,3,FALSE()),""))</f>
        <v/>
      </c>
      <c r="E272" s="21"/>
      <c r="F272" s="21"/>
      <c r="G272" s="21"/>
      <c r="H272" s="21"/>
      <c r="I272" s="21"/>
      <c r="J272" s="21"/>
      <c r="K272" s="21"/>
      <c r="L272" s="25"/>
      <c r="M272" s="21"/>
      <c r="N272" s="21"/>
      <c r="O272" s="21"/>
      <c r="P272" s="21"/>
    </row>
    <row r="273" spans="1:16" hidden="1" x14ac:dyDescent="0.3">
      <c r="A273" s="20" t="str">
        <f t="shared" si="4"/>
        <v/>
      </c>
      <c r="B273" s="21"/>
      <c r="C273" s="21"/>
      <c r="D273" s="22" t="str">
        <f>IF($C273="","",IFERROR(VLOOKUP($C273,Map_Register!$A$2:$C$5,3,FALSE()),""))</f>
        <v/>
      </c>
      <c r="E273" s="21"/>
      <c r="F273" s="21"/>
      <c r="G273" s="21"/>
      <c r="H273" s="21"/>
      <c r="I273" s="21"/>
      <c r="J273" s="21"/>
      <c r="K273" s="21"/>
      <c r="L273" s="25"/>
      <c r="M273" s="21"/>
      <c r="N273" s="21"/>
      <c r="O273" s="21"/>
      <c r="P273" s="21"/>
    </row>
    <row r="274" spans="1:16" hidden="1" x14ac:dyDescent="0.3">
      <c r="A274" s="20" t="str">
        <f t="shared" si="4"/>
        <v/>
      </c>
      <c r="B274" s="21"/>
      <c r="C274" s="21"/>
      <c r="D274" s="22" t="str">
        <f>IF($C274="","",IFERROR(VLOOKUP($C274,Map_Register!$A$2:$C$5,3,FALSE()),""))</f>
        <v/>
      </c>
      <c r="E274" s="21"/>
      <c r="F274" s="21"/>
      <c r="G274" s="21"/>
      <c r="H274" s="21"/>
      <c r="I274" s="21"/>
      <c r="J274" s="21"/>
      <c r="K274" s="21"/>
      <c r="L274" s="25"/>
      <c r="M274" s="21"/>
      <c r="N274" s="21"/>
      <c r="O274" s="21"/>
      <c r="P274" s="21"/>
    </row>
    <row r="275" spans="1:16" hidden="1" x14ac:dyDescent="0.3">
      <c r="A275" s="20" t="str">
        <f t="shared" si="4"/>
        <v/>
      </c>
      <c r="B275" s="21"/>
      <c r="C275" s="21"/>
      <c r="D275" s="22" t="str">
        <f>IF($C275="","",IFERROR(VLOOKUP($C275,Map_Register!$A$2:$C$5,3,FALSE()),""))</f>
        <v/>
      </c>
      <c r="E275" s="21"/>
      <c r="F275" s="21"/>
      <c r="G275" s="21"/>
      <c r="H275" s="21"/>
      <c r="I275" s="21"/>
      <c r="J275" s="21"/>
      <c r="K275" s="21"/>
      <c r="L275" s="25"/>
      <c r="M275" s="21"/>
      <c r="N275" s="21"/>
      <c r="O275" s="21"/>
      <c r="P275" s="21"/>
    </row>
    <row r="276" spans="1:16" hidden="1" x14ac:dyDescent="0.3">
      <c r="A276" s="20" t="str">
        <f t="shared" si="4"/>
        <v/>
      </c>
      <c r="B276" s="21"/>
      <c r="C276" s="21"/>
      <c r="D276" s="22" t="str">
        <f>IF($C276="","",IFERROR(VLOOKUP($C276,Map_Register!$A$2:$C$5,3,FALSE()),""))</f>
        <v/>
      </c>
      <c r="E276" s="21"/>
      <c r="F276" s="21"/>
      <c r="G276" s="21"/>
      <c r="H276" s="21"/>
      <c r="I276" s="21"/>
      <c r="J276" s="21"/>
      <c r="K276" s="21"/>
      <c r="L276" s="25"/>
      <c r="M276" s="21"/>
      <c r="N276" s="21"/>
      <c r="O276" s="21"/>
      <c r="P276" s="21"/>
    </row>
    <row r="277" spans="1:16" hidden="1" x14ac:dyDescent="0.3">
      <c r="A277" s="20" t="str">
        <f t="shared" si="4"/>
        <v/>
      </c>
      <c r="B277" s="21"/>
      <c r="C277" s="21"/>
      <c r="D277" s="22" t="str">
        <f>IF($C277="","",IFERROR(VLOOKUP($C277,Map_Register!$A$2:$C$5,3,FALSE()),""))</f>
        <v/>
      </c>
      <c r="E277" s="21"/>
      <c r="F277" s="21"/>
      <c r="G277" s="21"/>
      <c r="H277" s="21"/>
      <c r="I277" s="21"/>
      <c r="J277" s="21"/>
      <c r="K277" s="21"/>
      <c r="L277" s="25"/>
      <c r="M277" s="21"/>
      <c r="N277" s="21"/>
      <c r="O277" s="21"/>
      <c r="P277" s="21"/>
    </row>
    <row r="278" spans="1:16" hidden="1" x14ac:dyDescent="0.3">
      <c r="A278" s="20" t="str">
        <f t="shared" si="4"/>
        <v/>
      </c>
      <c r="B278" s="21"/>
      <c r="C278" s="21"/>
      <c r="D278" s="22" t="str">
        <f>IF($C278="","",IFERROR(VLOOKUP($C278,Map_Register!$A$2:$C$5,3,FALSE()),""))</f>
        <v/>
      </c>
      <c r="E278" s="21"/>
      <c r="F278" s="21"/>
      <c r="G278" s="21"/>
      <c r="H278" s="21"/>
      <c r="I278" s="21"/>
      <c r="J278" s="21"/>
      <c r="K278" s="21"/>
      <c r="L278" s="25"/>
      <c r="M278" s="21"/>
      <c r="N278" s="21"/>
      <c r="O278" s="21"/>
      <c r="P278" s="21"/>
    </row>
    <row r="279" spans="1:16" hidden="1" x14ac:dyDescent="0.3">
      <c r="A279" s="20" t="str">
        <f t="shared" si="4"/>
        <v/>
      </c>
      <c r="B279" s="21"/>
      <c r="C279" s="21"/>
      <c r="D279" s="22" t="str">
        <f>IF($C279="","",IFERROR(VLOOKUP($C279,Map_Register!$A$2:$C$5,3,FALSE()),""))</f>
        <v/>
      </c>
      <c r="E279" s="21"/>
      <c r="F279" s="21"/>
      <c r="G279" s="21"/>
      <c r="H279" s="21"/>
      <c r="I279" s="21"/>
      <c r="J279" s="21"/>
      <c r="K279" s="21"/>
      <c r="L279" s="25"/>
      <c r="M279" s="21"/>
      <c r="N279" s="21"/>
      <c r="O279" s="21"/>
      <c r="P279" s="21"/>
    </row>
    <row r="280" spans="1:16" hidden="1" x14ac:dyDescent="0.3">
      <c r="A280" s="20" t="str">
        <f t="shared" si="4"/>
        <v/>
      </c>
      <c r="B280" s="21"/>
      <c r="C280" s="21"/>
      <c r="D280" s="22" t="str">
        <f>IF($C280="","",IFERROR(VLOOKUP($C280,Map_Register!$A$2:$C$5,3,FALSE()),""))</f>
        <v/>
      </c>
      <c r="E280" s="21"/>
      <c r="F280" s="21"/>
      <c r="G280" s="21"/>
      <c r="H280" s="21"/>
      <c r="I280" s="21"/>
      <c r="J280" s="21"/>
      <c r="K280" s="21"/>
      <c r="L280" s="25"/>
      <c r="M280" s="21"/>
      <c r="N280" s="21"/>
      <c r="O280" s="21"/>
      <c r="P280" s="21"/>
    </row>
    <row r="281" spans="1:16" hidden="1" x14ac:dyDescent="0.3">
      <c r="A281" s="20" t="str">
        <f t="shared" si="4"/>
        <v/>
      </c>
      <c r="B281" s="21"/>
      <c r="C281" s="21"/>
      <c r="D281" s="22" t="str">
        <f>IF($C281="","",IFERROR(VLOOKUP($C281,Map_Register!$A$2:$C$5,3,FALSE()),""))</f>
        <v/>
      </c>
      <c r="E281" s="21"/>
      <c r="F281" s="21"/>
      <c r="G281" s="21"/>
      <c r="H281" s="21"/>
      <c r="I281" s="21"/>
      <c r="J281" s="21"/>
      <c r="K281" s="21"/>
      <c r="L281" s="25"/>
      <c r="M281" s="21"/>
      <c r="N281" s="21"/>
      <c r="O281" s="21"/>
      <c r="P281" s="21"/>
    </row>
    <row r="282" spans="1:16" hidden="1" x14ac:dyDescent="0.3">
      <c r="A282" s="20" t="str">
        <f t="shared" si="4"/>
        <v/>
      </c>
      <c r="B282" s="21"/>
      <c r="C282" s="21"/>
      <c r="D282" s="22" t="str">
        <f>IF($C282="","",IFERROR(VLOOKUP($C282,Map_Register!$A$2:$C$5,3,FALSE()),""))</f>
        <v/>
      </c>
      <c r="E282" s="21"/>
      <c r="F282" s="21"/>
      <c r="G282" s="21"/>
      <c r="H282" s="21"/>
      <c r="I282" s="21"/>
      <c r="J282" s="21"/>
      <c r="K282" s="21"/>
      <c r="L282" s="25"/>
      <c r="M282" s="21"/>
      <c r="N282" s="21"/>
      <c r="O282" s="21"/>
      <c r="P282" s="21"/>
    </row>
    <row r="283" spans="1:16" hidden="1" x14ac:dyDescent="0.3">
      <c r="A283" s="20" t="str">
        <f t="shared" si="4"/>
        <v/>
      </c>
      <c r="B283" s="21"/>
      <c r="C283" s="21"/>
      <c r="D283" s="22" t="str">
        <f>IF($C283="","",IFERROR(VLOOKUP($C283,Map_Register!$A$2:$C$5,3,FALSE()),""))</f>
        <v/>
      </c>
      <c r="E283" s="21"/>
      <c r="F283" s="21"/>
      <c r="G283" s="21"/>
      <c r="H283" s="21"/>
      <c r="I283" s="21"/>
      <c r="J283" s="21"/>
      <c r="K283" s="21"/>
      <c r="L283" s="25"/>
      <c r="M283" s="21"/>
      <c r="N283" s="21"/>
      <c r="O283" s="21"/>
      <c r="P283" s="21"/>
    </row>
    <row r="284" spans="1:16" hidden="1" x14ac:dyDescent="0.3">
      <c r="A284" s="20" t="str">
        <f t="shared" si="4"/>
        <v/>
      </c>
      <c r="B284" s="21"/>
      <c r="C284" s="21"/>
      <c r="D284" s="22" t="str">
        <f>IF($C284="","",IFERROR(VLOOKUP($C284,Map_Register!$A$2:$C$5,3,FALSE()),""))</f>
        <v/>
      </c>
      <c r="E284" s="21"/>
      <c r="F284" s="21"/>
      <c r="G284" s="21"/>
      <c r="H284" s="21"/>
      <c r="I284" s="21"/>
      <c r="J284" s="21"/>
      <c r="K284" s="21"/>
      <c r="L284" s="25"/>
      <c r="M284" s="21"/>
      <c r="N284" s="21"/>
      <c r="O284" s="21"/>
      <c r="P284" s="21"/>
    </row>
    <row r="285" spans="1:16" hidden="1" x14ac:dyDescent="0.3">
      <c r="A285" s="20" t="str">
        <f t="shared" si="4"/>
        <v/>
      </c>
      <c r="B285" s="21"/>
      <c r="C285" s="21"/>
      <c r="D285" s="22" t="str">
        <f>IF($C285="","",IFERROR(VLOOKUP($C285,Map_Register!$A$2:$C$5,3,FALSE()),""))</f>
        <v/>
      </c>
      <c r="E285" s="21"/>
      <c r="F285" s="21"/>
      <c r="G285" s="21"/>
      <c r="H285" s="21"/>
      <c r="I285" s="21"/>
      <c r="J285" s="21"/>
      <c r="K285" s="21"/>
      <c r="L285" s="25"/>
      <c r="M285" s="21"/>
      <c r="N285" s="21"/>
      <c r="O285" s="21"/>
      <c r="P285" s="21"/>
    </row>
    <row r="286" spans="1:16" hidden="1" x14ac:dyDescent="0.3">
      <c r="A286" s="20" t="str">
        <f t="shared" si="4"/>
        <v/>
      </c>
      <c r="B286" s="21"/>
      <c r="C286" s="21"/>
      <c r="D286" s="22" t="str">
        <f>IF($C286="","",IFERROR(VLOOKUP($C286,Map_Register!$A$2:$C$5,3,FALSE()),""))</f>
        <v/>
      </c>
      <c r="E286" s="21"/>
      <c r="F286" s="21"/>
      <c r="G286" s="21"/>
      <c r="H286" s="21"/>
      <c r="I286" s="21"/>
      <c r="J286" s="21"/>
      <c r="K286" s="21"/>
      <c r="L286" s="25"/>
      <c r="M286" s="21"/>
      <c r="N286" s="21"/>
      <c r="O286" s="21"/>
      <c r="P286" s="21"/>
    </row>
    <row r="287" spans="1:16" hidden="1" x14ac:dyDescent="0.3">
      <c r="A287" s="20" t="str">
        <f t="shared" si="4"/>
        <v/>
      </c>
      <c r="B287" s="21"/>
      <c r="C287" s="21"/>
      <c r="D287" s="22" t="str">
        <f>IF($C287="","",IFERROR(VLOOKUP($C287,Map_Register!$A$2:$C$5,3,FALSE()),""))</f>
        <v/>
      </c>
      <c r="E287" s="21"/>
      <c r="F287" s="21"/>
      <c r="G287" s="21"/>
      <c r="H287" s="21"/>
      <c r="I287" s="21"/>
      <c r="J287" s="21"/>
      <c r="K287" s="21"/>
      <c r="L287" s="25"/>
      <c r="M287" s="21"/>
      <c r="N287" s="21"/>
      <c r="O287" s="21"/>
      <c r="P287" s="21"/>
    </row>
    <row r="288" spans="1:16" hidden="1" x14ac:dyDescent="0.3">
      <c r="A288" s="20" t="str">
        <f t="shared" si="4"/>
        <v/>
      </c>
      <c r="B288" s="21"/>
      <c r="C288" s="21"/>
      <c r="D288" s="22" t="str">
        <f>IF($C288="","",IFERROR(VLOOKUP($C288,Map_Register!$A$2:$C$5,3,FALSE()),""))</f>
        <v/>
      </c>
      <c r="E288" s="21"/>
      <c r="F288" s="21"/>
      <c r="G288" s="21"/>
      <c r="H288" s="21"/>
      <c r="I288" s="21"/>
      <c r="J288" s="21"/>
      <c r="K288" s="21"/>
      <c r="L288" s="25"/>
      <c r="M288" s="21"/>
      <c r="N288" s="21"/>
      <c r="O288" s="21"/>
      <c r="P288" s="21"/>
    </row>
    <row r="289" spans="1:16" hidden="1" x14ac:dyDescent="0.3">
      <c r="A289" s="20" t="str">
        <f t="shared" si="4"/>
        <v/>
      </c>
      <c r="B289" s="21"/>
      <c r="C289" s="21"/>
      <c r="D289" s="22" t="str">
        <f>IF($C289="","",IFERROR(VLOOKUP($C289,Map_Register!$A$2:$C$5,3,FALSE()),""))</f>
        <v/>
      </c>
      <c r="E289" s="21"/>
      <c r="F289" s="21"/>
      <c r="G289" s="21"/>
      <c r="H289" s="21"/>
      <c r="I289" s="21"/>
      <c r="J289" s="21"/>
      <c r="K289" s="21"/>
      <c r="L289" s="25"/>
      <c r="M289" s="21"/>
      <c r="N289" s="21"/>
      <c r="O289" s="21"/>
      <c r="P289" s="21"/>
    </row>
    <row r="290" spans="1:16" hidden="1" x14ac:dyDescent="0.3">
      <c r="A290" s="20" t="str">
        <f t="shared" si="4"/>
        <v/>
      </c>
      <c r="B290" s="21"/>
      <c r="C290" s="21"/>
      <c r="D290" s="22" t="str">
        <f>IF($C290="","",IFERROR(VLOOKUP($C290,Map_Register!$A$2:$C$5,3,FALSE()),""))</f>
        <v/>
      </c>
      <c r="E290" s="21"/>
      <c r="F290" s="21"/>
      <c r="G290" s="21"/>
      <c r="H290" s="21"/>
      <c r="I290" s="21"/>
      <c r="J290" s="21"/>
      <c r="K290" s="21"/>
      <c r="L290" s="25"/>
      <c r="M290" s="21"/>
      <c r="N290" s="21"/>
      <c r="O290" s="21"/>
      <c r="P290" s="21"/>
    </row>
    <row r="291" spans="1:16" hidden="1" x14ac:dyDescent="0.3">
      <c r="A291" s="20" t="str">
        <f t="shared" si="4"/>
        <v/>
      </c>
      <c r="B291" s="21"/>
      <c r="C291" s="21"/>
      <c r="D291" s="22" t="str">
        <f>IF($C291="","",IFERROR(VLOOKUP($C291,Map_Register!$A$2:$C$5,3,FALSE()),""))</f>
        <v/>
      </c>
      <c r="E291" s="21"/>
      <c r="F291" s="21"/>
      <c r="G291" s="21"/>
      <c r="H291" s="21"/>
      <c r="I291" s="21"/>
      <c r="J291" s="21"/>
      <c r="K291" s="21"/>
      <c r="L291" s="25"/>
      <c r="M291" s="21"/>
      <c r="N291" s="21"/>
      <c r="O291" s="21"/>
      <c r="P291" s="21"/>
    </row>
    <row r="292" spans="1:16" hidden="1" x14ac:dyDescent="0.3">
      <c r="A292" s="20" t="str">
        <f t="shared" si="4"/>
        <v/>
      </c>
      <c r="B292" s="21"/>
      <c r="C292" s="21"/>
      <c r="D292" s="22" t="str">
        <f>IF($C292="","",IFERROR(VLOOKUP($C292,Map_Register!$A$2:$C$5,3,FALSE()),""))</f>
        <v/>
      </c>
      <c r="E292" s="21"/>
      <c r="F292" s="21"/>
      <c r="G292" s="21"/>
      <c r="H292" s="21"/>
      <c r="I292" s="21"/>
      <c r="J292" s="21"/>
      <c r="K292" s="21"/>
      <c r="L292" s="25"/>
      <c r="M292" s="21"/>
      <c r="N292" s="21"/>
      <c r="O292" s="21"/>
      <c r="P292" s="21"/>
    </row>
    <row r="293" spans="1:16" hidden="1" x14ac:dyDescent="0.3">
      <c r="A293" s="20" t="str">
        <f t="shared" si="4"/>
        <v/>
      </c>
      <c r="B293" s="21"/>
      <c r="C293" s="21"/>
      <c r="D293" s="22" t="str">
        <f>IF($C293="","",IFERROR(VLOOKUP($C293,Map_Register!$A$2:$C$5,3,FALSE()),""))</f>
        <v/>
      </c>
      <c r="E293" s="21"/>
      <c r="F293" s="21"/>
      <c r="G293" s="21"/>
      <c r="H293" s="21"/>
      <c r="I293" s="21"/>
      <c r="J293" s="21"/>
      <c r="K293" s="21"/>
      <c r="L293" s="25"/>
      <c r="M293" s="21"/>
      <c r="N293" s="21"/>
      <c r="O293" s="21"/>
      <c r="P293" s="21"/>
    </row>
    <row r="294" spans="1:16" hidden="1" x14ac:dyDescent="0.3">
      <c r="A294" s="20" t="str">
        <f t="shared" si="4"/>
        <v/>
      </c>
      <c r="B294" s="21"/>
      <c r="C294" s="21"/>
      <c r="D294" s="22" t="str">
        <f>IF($C294="","",IFERROR(VLOOKUP($C294,Map_Register!$A$2:$C$5,3,FALSE()),""))</f>
        <v/>
      </c>
      <c r="E294" s="21"/>
      <c r="F294" s="21"/>
      <c r="G294" s="21"/>
      <c r="H294" s="21"/>
      <c r="I294" s="21"/>
      <c r="J294" s="21"/>
      <c r="K294" s="21"/>
      <c r="L294" s="25"/>
      <c r="M294" s="21"/>
      <c r="N294" s="21"/>
      <c r="O294" s="21"/>
      <c r="P294" s="21"/>
    </row>
    <row r="295" spans="1:16" hidden="1" x14ac:dyDescent="0.3">
      <c r="A295" s="20" t="str">
        <f t="shared" si="4"/>
        <v/>
      </c>
      <c r="B295" s="21"/>
      <c r="C295" s="21"/>
      <c r="D295" s="22" t="str">
        <f>IF($C295="","",IFERROR(VLOOKUP($C295,Map_Register!$A$2:$C$5,3,FALSE()),""))</f>
        <v/>
      </c>
      <c r="E295" s="21"/>
      <c r="F295" s="21"/>
      <c r="G295" s="21"/>
      <c r="H295" s="21"/>
      <c r="I295" s="21"/>
      <c r="J295" s="21"/>
      <c r="K295" s="21"/>
      <c r="L295" s="25"/>
      <c r="M295" s="21"/>
      <c r="N295" s="21"/>
      <c r="O295" s="21"/>
      <c r="P295" s="21"/>
    </row>
    <row r="296" spans="1:16" hidden="1" x14ac:dyDescent="0.3">
      <c r="A296" s="20" t="str">
        <f t="shared" si="4"/>
        <v/>
      </c>
      <c r="B296" s="21"/>
      <c r="C296" s="21"/>
      <c r="D296" s="22" t="str">
        <f>IF($C296="","",IFERROR(VLOOKUP($C296,Map_Register!$A$2:$C$5,3,FALSE()),""))</f>
        <v/>
      </c>
      <c r="E296" s="21"/>
      <c r="F296" s="21"/>
      <c r="G296" s="21"/>
      <c r="H296" s="21"/>
      <c r="I296" s="21"/>
      <c r="J296" s="21"/>
      <c r="K296" s="21"/>
      <c r="L296" s="25"/>
      <c r="M296" s="21"/>
      <c r="N296" s="21"/>
      <c r="O296" s="21"/>
      <c r="P296" s="21"/>
    </row>
    <row r="297" spans="1:16" hidden="1" x14ac:dyDescent="0.3">
      <c r="A297" s="20" t="str">
        <f t="shared" si="4"/>
        <v/>
      </c>
      <c r="B297" s="21"/>
      <c r="C297" s="21"/>
      <c r="D297" s="22" t="str">
        <f>IF($C297="","",IFERROR(VLOOKUP($C297,Map_Register!$A$2:$C$5,3,FALSE()),""))</f>
        <v/>
      </c>
      <c r="E297" s="21"/>
      <c r="F297" s="21"/>
      <c r="G297" s="21"/>
      <c r="H297" s="21"/>
      <c r="I297" s="21"/>
      <c r="J297" s="21"/>
      <c r="K297" s="21"/>
      <c r="L297" s="25"/>
      <c r="M297" s="21"/>
      <c r="N297" s="21"/>
      <c r="O297" s="21"/>
      <c r="P297" s="21"/>
    </row>
    <row r="298" spans="1:16" hidden="1" x14ac:dyDescent="0.3">
      <c r="A298" s="20" t="str">
        <f t="shared" si="4"/>
        <v/>
      </c>
      <c r="B298" s="21"/>
      <c r="C298" s="21"/>
      <c r="D298" s="22" t="str">
        <f>IF($C298="","",IFERROR(VLOOKUP($C298,Map_Register!$A$2:$C$5,3,FALSE()),""))</f>
        <v/>
      </c>
      <c r="E298" s="21"/>
      <c r="F298" s="21"/>
      <c r="G298" s="21"/>
      <c r="H298" s="21"/>
      <c r="I298" s="21"/>
      <c r="J298" s="21"/>
      <c r="K298" s="21"/>
      <c r="L298" s="25"/>
      <c r="M298" s="21"/>
      <c r="N298" s="21"/>
      <c r="O298" s="21"/>
      <c r="P298" s="21"/>
    </row>
    <row r="299" spans="1:16" hidden="1" x14ac:dyDescent="0.3">
      <c r="A299" s="20" t="str">
        <f t="shared" si="4"/>
        <v/>
      </c>
      <c r="B299" s="21"/>
      <c r="C299" s="21"/>
      <c r="D299" s="22" t="str">
        <f>IF($C299="","",IFERROR(VLOOKUP($C299,Map_Register!$A$2:$C$5,3,FALSE()),""))</f>
        <v/>
      </c>
      <c r="E299" s="21"/>
      <c r="F299" s="21"/>
      <c r="G299" s="21"/>
      <c r="H299" s="21"/>
      <c r="I299" s="21"/>
      <c r="J299" s="21"/>
      <c r="K299" s="21"/>
      <c r="L299" s="25"/>
      <c r="M299" s="21"/>
      <c r="N299" s="21"/>
      <c r="O299" s="21"/>
      <c r="P299" s="21"/>
    </row>
    <row r="300" spans="1:16" hidden="1" x14ac:dyDescent="0.3">
      <c r="A300" s="20" t="str">
        <f t="shared" si="4"/>
        <v/>
      </c>
      <c r="B300" s="21"/>
      <c r="C300" s="21"/>
      <c r="D300" s="22" t="str">
        <f>IF($C300="","",IFERROR(VLOOKUP($C300,Map_Register!$A$2:$C$5,3,FALSE()),""))</f>
        <v/>
      </c>
      <c r="E300" s="21"/>
      <c r="F300" s="21"/>
      <c r="G300" s="21"/>
      <c r="H300" s="21"/>
      <c r="I300" s="21"/>
      <c r="J300" s="21"/>
      <c r="K300" s="21"/>
      <c r="L300" s="25"/>
      <c r="M300" s="21"/>
      <c r="N300" s="21"/>
      <c r="O300" s="21"/>
      <c r="P300" s="21"/>
    </row>
    <row r="301" spans="1:16" hidden="1" x14ac:dyDescent="0.3">
      <c r="A301" s="20" t="str">
        <f t="shared" si="4"/>
        <v/>
      </c>
      <c r="B301" s="21"/>
      <c r="C301" s="21"/>
      <c r="D301" s="22" t="str">
        <f>IF($C301="","",IFERROR(VLOOKUP($C301,Map_Register!$A$2:$C$5,3,FALSE()),""))</f>
        <v/>
      </c>
      <c r="E301" s="21"/>
      <c r="F301" s="21"/>
      <c r="G301" s="21"/>
      <c r="H301" s="21"/>
      <c r="I301" s="21"/>
      <c r="J301" s="21"/>
      <c r="K301" s="21"/>
      <c r="L301" s="25"/>
      <c r="M301" s="21"/>
      <c r="N301" s="21"/>
      <c r="O301" s="21"/>
      <c r="P301" s="21"/>
    </row>
    <row r="302" spans="1:16" hidden="1" x14ac:dyDescent="0.3">
      <c r="A302" s="20" t="str">
        <f t="shared" si="4"/>
        <v/>
      </c>
      <c r="B302" s="21"/>
      <c r="C302" s="21"/>
      <c r="D302" s="22" t="str">
        <f>IF($C302="","",IFERROR(VLOOKUP($C302,Map_Register!$A$2:$C$5,3,FALSE()),""))</f>
        <v/>
      </c>
      <c r="E302" s="21"/>
      <c r="F302" s="21"/>
      <c r="G302" s="21"/>
      <c r="H302" s="21"/>
      <c r="I302" s="21"/>
      <c r="J302" s="21"/>
      <c r="K302" s="21"/>
      <c r="L302" s="25"/>
      <c r="M302" s="21"/>
      <c r="N302" s="21"/>
      <c r="O302" s="21"/>
      <c r="P302" s="21"/>
    </row>
    <row r="303" spans="1:16" hidden="1" x14ac:dyDescent="0.3">
      <c r="A303" s="20" t="str">
        <f t="shared" si="4"/>
        <v/>
      </c>
      <c r="B303" s="21"/>
      <c r="C303" s="21"/>
      <c r="D303" s="22" t="str">
        <f>IF($C303="","",IFERROR(VLOOKUP($C303,Map_Register!$A$2:$C$5,3,FALSE()),""))</f>
        <v/>
      </c>
      <c r="E303" s="21"/>
      <c r="F303" s="21"/>
      <c r="G303" s="21"/>
      <c r="H303" s="21"/>
      <c r="I303" s="21"/>
      <c r="J303" s="21"/>
      <c r="K303" s="21"/>
      <c r="L303" s="25"/>
      <c r="M303" s="21"/>
      <c r="N303" s="21"/>
      <c r="O303" s="21"/>
      <c r="P303" s="21"/>
    </row>
    <row r="304" spans="1:16" hidden="1" x14ac:dyDescent="0.3">
      <c r="A304" s="20" t="str">
        <f t="shared" si="4"/>
        <v/>
      </c>
      <c r="B304" s="21"/>
      <c r="C304" s="21"/>
      <c r="D304" s="22" t="str">
        <f>IF($C304="","",IFERROR(VLOOKUP($C304,Map_Register!$A$2:$C$5,3,FALSE()),""))</f>
        <v/>
      </c>
      <c r="E304" s="21"/>
      <c r="F304" s="21"/>
      <c r="G304" s="21"/>
      <c r="H304" s="21"/>
      <c r="I304" s="21"/>
      <c r="J304" s="21"/>
      <c r="K304" s="21"/>
      <c r="L304" s="25"/>
      <c r="M304" s="21"/>
      <c r="N304" s="21"/>
      <c r="O304" s="21"/>
      <c r="P304" s="21"/>
    </row>
    <row r="305" spans="1:16" hidden="1" x14ac:dyDescent="0.3">
      <c r="A305" s="20" t="str">
        <f t="shared" si="4"/>
        <v/>
      </c>
      <c r="B305" s="21"/>
      <c r="C305" s="21"/>
      <c r="D305" s="22" t="str">
        <f>IF($C305="","",IFERROR(VLOOKUP($C305,Map_Register!$A$2:$C$5,3,FALSE()),""))</f>
        <v/>
      </c>
      <c r="E305" s="21"/>
      <c r="F305" s="21"/>
      <c r="G305" s="21"/>
      <c r="H305" s="21"/>
      <c r="I305" s="21"/>
      <c r="J305" s="21"/>
      <c r="K305" s="21"/>
      <c r="L305" s="25"/>
      <c r="M305" s="21"/>
      <c r="N305" s="21"/>
      <c r="O305" s="21"/>
      <c r="P305" s="21"/>
    </row>
    <row r="306" spans="1:16" hidden="1" x14ac:dyDescent="0.3">
      <c r="A306" s="20" t="str">
        <f t="shared" si="4"/>
        <v/>
      </c>
      <c r="B306" s="21"/>
      <c r="C306" s="21"/>
      <c r="D306" s="22" t="str">
        <f>IF($C306="","",IFERROR(VLOOKUP($C306,Map_Register!$A$2:$C$5,3,FALSE()),""))</f>
        <v/>
      </c>
      <c r="E306" s="21"/>
      <c r="F306" s="21"/>
      <c r="G306" s="21"/>
      <c r="H306" s="21"/>
      <c r="I306" s="21"/>
      <c r="J306" s="21"/>
      <c r="K306" s="21"/>
      <c r="L306" s="25"/>
      <c r="M306" s="21"/>
      <c r="N306" s="21"/>
      <c r="O306" s="21"/>
      <c r="P306" s="21"/>
    </row>
    <row r="307" spans="1:16" hidden="1" x14ac:dyDescent="0.3">
      <c r="A307" s="20" t="str">
        <f t="shared" si="4"/>
        <v/>
      </c>
      <c r="B307" s="21"/>
      <c r="C307" s="21"/>
      <c r="D307" s="22" t="str">
        <f>IF($C307="","",IFERROR(VLOOKUP($C307,Map_Register!$A$2:$C$5,3,FALSE()),""))</f>
        <v/>
      </c>
      <c r="E307" s="21"/>
      <c r="F307" s="21"/>
      <c r="G307" s="21"/>
      <c r="H307" s="21"/>
      <c r="I307" s="21"/>
      <c r="J307" s="21"/>
      <c r="K307" s="21"/>
      <c r="L307" s="25"/>
      <c r="M307" s="21"/>
      <c r="N307" s="21"/>
      <c r="O307" s="21"/>
      <c r="P307" s="21"/>
    </row>
    <row r="308" spans="1:16" hidden="1" x14ac:dyDescent="0.3">
      <c r="A308" s="20" t="str">
        <f t="shared" si="4"/>
        <v/>
      </c>
      <c r="B308" s="21"/>
      <c r="C308" s="21"/>
      <c r="D308" s="22" t="str">
        <f>IF($C308="","",IFERROR(VLOOKUP($C308,Map_Register!$A$2:$C$5,3,FALSE()),""))</f>
        <v/>
      </c>
      <c r="E308" s="21"/>
      <c r="F308" s="21"/>
      <c r="G308" s="21"/>
      <c r="H308" s="21"/>
      <c r="I308" s="21"/>
      <c r="J308" s="21"/>
      <c r="K308" s="21"/>
      <c r="L308" s="25"/>
      <c r="M308" s="21"/>
      <c r="N308" s="21"/>
      <c r="O308" s="21"/>
      <c r="P308" s="21"/>
    </row>
    <row r="309" spans="1:16" hidden="1" x14ac:dyDescent="0.3">
      <c r="A309" s="20" t="str">
        <f t="shared" si="4"/>
        <v/>
      </c>
      <c r="B309" s="21"/>
      <c r="C309" s="21"/>
      <c r="D309" s="22" t="str">
        <f>IF($C309="","",IFERROR(VLOOKUP($C309,Map_Register!$A$2:$C$5,3,FALSE()),""))</f>
        <v/>
      </c>
      <c r="E309" s="21"/>
      <c r="F309" s="21"/>
      <c r="G309" s="21"/>
      <c r="H309" s="21"/>
      <c r="I309" s="21"/>
      <c r="J309" s="21"/>
      <c r="K309" s="21"/>
      <c r="L309" s="25"/>
      <c r="M309" s="21"/>
      <c r="N309" s="21"/>
      <c r="O309" s="21"/>
      <c r="P309" s="21"/>
    </row>
    <row r="310" spans="1:16" hidden="1" x14ac:dyDescent="0.3">
      <c r="A310" s="20" t="str">
        <f t="shared" si="4"/>
        <v/>
      </c>
      <c r="B310" s="21"/>
      <c r="C310" s="21"/>
      <c r="D310" s="22" t="str">
        <f>IF($C310="","",IFERROR(VLOOKUP($C310,Map_Register!$A$2:$C$5,3,FALSE()),""))</f>
        <v/>
      </c>
      <c r="E310" s="21"/>
      <c r="F310" s="21"/>
      <c r="G310" s="21"/>
      <c r="H310" s="21"/>
      <c r="I310" s="21"/>
      <c r="J310" s="21"/>
      <c r="K310" s="21"/>
      <c r="L310" s="25"/>
      <c r="M310" s="21"/>
      <c r="N310" s="21"/>
      <c r="O310" s="21"/>
      <c r="P310" s="21"/>
    </row>
    <row r="311" spans="1:16" hidden="1" x14ac:dyDescent="0.3">
      <c r="A311" s="20" t="str">
        <f t="shared" si="4"/>
        <v/>
      </c>
      <c r="B311" s="21"/>
      <c r="C311" s="21"/>
      <c r="D311" s="22" t="str">
        <f>IF($C311="","",IFERROR(VLOOKUP($C311,Map_Register!$A$2:$C$5,3,FALSE()),""))</f>
        <v/>
      </c>
      <c r="E311" s="21"/>
      <c r="F311" s="21"/>
      <c r="G311" s="21"/>
      <c r="H311" s="21"/>
      <c r="I311" s="21"/>
      <c r="J311" s="21"/>
      <c r="K311" s="21"/>
      <c r="L311" s="25"/>
      <c r="M311" s="21"/>
      <c r="N311" s="21"/>
      <c r="O311" s="21"/>
      <c r="P311" s="21"/>
    </row>
    <row r="312" spans="1:16" hidden="1" x14ac:dyDescent="0.3">
      <c r="A312" s="20" t="str">
        <f t="shared" si="4"/>
        <v/>
      </c>
      <c r="B312" s="21"/>
      <c r="C312" s="21"/>
      <c r="D312" s="22" t="str">
        <f>IF($C312="","",IFERROR(VLOOKUP($C312,Map_Register!$A$2:$C$5,3,FALSE()),""))</f>
        <v/>
      </c>
      <c r="E312" s="21"/>
      <c r="F312" s="21"/>
      <c r="G312" s="21"/>
      <c r="H312" s="21"/>
      <c r="I312" s="21"/>
      <c r="J312" s="21"/>
      <c r="K312" s="21"/>
      <c r="L312" s="25"/>
      <c r="M312" s="21"/>
      <c r="N312" s="21"/>
      <c r="O312" s="21"/>
      <c r="P312" s="21"/>
    </row>
    <row r="313" spans="1:16" hidden="1" x14ac:dyDescent="0.3">
      <c r="A313" s="20" t="str">
        <f t="shared" si="4"/>
        <v/>
      </c>
      <c r="B313" s="21"/>
      <c r="C313" s="21"/>
      <c r="D313" s="22" t="str">
        <f>IF($C313="","",IFERROR(VLOOKUP($C313,Map_Register!$A$2:$C$5,3,FALSE()),""))</f>
        <v/>
      </c>
      <c r="E313" s="21"/>
      <c r="F313" s="21"/>
      <c r="G313" s="21"/>
      <c r="H313" s="21"/>
      <c r="I313" s="21"/>
      <c r="J313" s="21"/>
      <c r="K313" s="21"/>
      <c r="L313" s="25"/>
      <c r="M313" s="21"/>
      <c r="N313" s="21"/>
      <c r="O313" s="21"/>
      <c r="P313" s="21"/>
    </row>
    <row r="314" spans="1:16" hidden="1" x14ac:dyDescent="0.3">
      <c r="A314" s="20" t="str">
        <f t="shared" si="4"/>
        <v/>
      </c>
      <c r="B314" s="21"/>
      <c r="C314" s="21"/>
      <c r="D314" s="22" t="str">
        <f>IF($C314="","",IFERROR(VLOOKUP($C314,Map_Register!$A$2:$C$5,3,FALSE()),""))</f>
        <v/>
      </c>
      <c r="E314" s="21"/>
      <c r="F314" s="21"/>
      <c r="G314" s="21"/>
      <c r="H314" s="21"/>
      <c r="I314" s="21"/>
      <c r="J314" s="21"/>
      <c r="K314" s="21"/>
      <c r="L314" s="25"/>
      <c r="M314" s="21"/>
      <c r="N314" s="21"/>
      <c r="O314" s="21"/>
      <c r="P314" s="21"/>
    </row>
    <row r="315" spans="1:16" hidden="1" x14ac:dyDescent="0.3">
      <c r="A315" s="20" t="str">
        <f t="shared" si="4"/>
        <v/>
      </c>
      <c r="B315" s="21"/>
      <c r="C315" s="21"/>
      <c r="D315" s="22" t="str">
        <f>IF($C315="","",IFERROR(VLOOKUP($C315,Map_Register!$A$2:$C$5,3,FALSE()),""))</f>
        <v/>
      </c>
      <c r="E315" s="21"/>
      <c r="F315" s="21"/>
      <c r="G315" s="21"/>
      <c r="H315" s="21"/>
      <c r="I315" s="21"/>
      <c r="J315" s="21"/>
      <c r="K315" s="21"/>
      <c r="L315" s="25"/>
      <c r="M315" s="21"/>
      <c r="N315" s="21"/>
      <c r="O315" s="21"/>
      <c r="P315" s="21"/>
    </row>
    <row r="316" spans="1:16" hidden="1" x14ac:dyDescent="0.3">
      <c r="A316" s="20" t="str">
        <f t="shared" si="4"/>
        <v/>
      </c>
      <c r="B316" s="21"/>
      <c r="C316" s="21"/>
      <c r="D316" s="22" t="str">
        <f>IF($C316="","",IFERROR(VLOOKUP($C316,Map_Register!$A$2:$C$5,3,FALSE()),""))</f>
        <v/>
      </c>
      <c r="E316" s="21"/>
      <c r="F316" s="21"/>
      <c r="G316" s="21"/>
      <c r="H316" s="21"/>
      <c r="I316" s="21"/>
      <c r="J316" s="21"/>
      <c r="K316" s="21"/>
      <c r="L316" s="25"/>
      <c r="M316" s="21"/>
      <c r="N316" s="21"/>
      <c r="O316" s="21"/>
      <c r="P316" s="21"/>
    </row>
    <row r="317" spans="1:16" hidden="1" x14ac:dyDescent="0.3">
      <c r="A317" s="20" t="str">
        <f t="shared" si="4"/>
        <v/>
      </c>
      <c r="B317" s="21"/>
      <c r="C317" s="21"/>
      <c r="D317" s="22" t="str">
        <f>IF($C317="","",IFERROR(VLOOKUP($C317,Map_Register!$A$2:$C$5,3,FALSE()),""))</f>
        <v/>
      </c>
      <c r="E317" s="21"/>
      <c r="F317" s="21"/>
      <c r="G317" s="21"/>
      <c r="H317" s="21"/>
      <c r="I317" s="21"/>
      <c r="J317" s="21"/>
      <c r="K317" s="21"/>
      <c r="L317" s="25"/>
      <c r="M317" s="21"/>
      <c r="N317" s="21"/>
      <c r="O317" s="21"/>
      <c r="P317" s="21"/>
    </row>
    <row r="318" spans="1:16" hidden="1" x14ac:dyDescent="0.3">
      <c r="A318" s="20" t="str">
        <f t="shared" si="4"/>
        <v/>
      </c>
      <c r="B318" s="21"/>
      <c r="C318" s="21"/>
      <c r="D318" s="22" t="str">
        <f>IF($C318="","",IFERROR(VLOOKUP($C318,Map_Register!$A$2:$C$5,3,FALSE()),""))</f>
        <v/>
      </c>
      <c r="E318" s="21"/>
      <c r="F318" s="21"/>
      <c r="G318" s="21"/>
      <c r="H318" s="21"/>
      <c r="I318" s="21"/>
      <c r="J318" s="21"/>
      <c r="K318" s="21"/>
      <c r="L318" s="25"/>
      <c r="M318" s="21"/>
      <c r="N318" s="21"/>
      <c r="O318" s="21"/>
      <c r="P318" s="21"/>
    </row>
    <row r="319" spans="1:16" hidden="1" x14ac:dyDescent="0.3">
      <c r="A319" s="20" t="str">
        <f t="shared" si="4"/>
        <v/>
      </c>
      <c r="B319" s="21"/>
      <c r="C319" s="21"/>
      <c r="D319" s="22" t="str">
        <f>IF($C319="","",IFERROR(VLOOKUP($C319,Map_Register!$A$2:$C$5,3,FALSE()),""))</f>
        <v/>
      </c>
      <c r="E319" s="21"/>
      <c r="F319" s="21"/>
      <c r="G319" s="21"/>
      <c r="H319" s="21"/>
      <c r="I319" s="21"/>
      <c r="J319" s="21"/>
      <c r="K319" s="21"/>
      <c r="L319" s="25"/>
      <c r="M319" s="21"/>
      <c r="N319" s="21"/>
      <c r="O319" s="21"/>
      <c r="P319" s="21"/>
    </row>
    <row r="320" spans="1:16" hidden="1" x14ac:dyDescent="0.3">
      <c r="A320" s="20" t="str">
        <f t="shared" si="4"/>
        <v/>
      </c>
      <c r="B320" s="21"/>
      <c r="C320" s="21"/>
      <c r="D320" s="22" t="str">
        <f>IF($C320="","",IFERROR(VLOOKUP($C320,Map_Register!$A$2:$C$5,3,FALSE()),""))</f>
        <v/>
      </c>
      <c r="E320" s="21"/>
      <c r="F320" s="21"/>
      <c r="G320" s="21"/>
      <c r="H320" s="21"/>
      <c r="I320" s="21"/>
      <c r="J320" s="21"/>
      <c r="K320" s="21"/>
      <c r="L320" s="25"/>
      <c r="M320" s="21"/>
      <c r="N320" s="21"/>
      <c r="O320" s="21"/>
      <c r="P320" s="21"/>
    </row>
    <row r="321" spans="1:16" hidden="1" x14ac:dyDescent="0.3">
      <c r="A321" s="20" t="str">
        <f t="shared" si="4"/>
        <v/>
      </c>
      <c r="B321" s="21"/>
      <c r="C321" s="21"/>
      <c r="D321" s="22" t="str">
        <f>IF($C321="","",IFERROR(VLOOKUP($C321,Map_Register!$A$2:$C$5,3,FALSE()),""))</f>
        <v/>
      </c>
      <c r="E321" s="21"/>
      <c r="F321" s="21"/>
      <c r="G321" s="21"/>
      <c r="H321" s="21"/>
      <c r="I321" s="21"/>
      <c r="J321" s="21"/>
      <c r="K321" s="21"/>
      <c r="L321" s="25"/>
      <c r="M321" s="21"/>
      <c r="N321" s="21"/>
      <c r="O321" s="21"/>
      <c r="P321" s="21"/>
    </row>
    <row r="322" spans="1:16" hidden="1" x14ac:dyDescent="0.3">
      <c r="A322" s="20" t="str">
        <f t="shared" ref="A322:A385" si="5">IF($B322="","",ROW()-1)</f>
        <v/>
      </c>
      <c r="B322" s="21"/>
      <c r="C322" s="21"/>
      <c r="D322" s="22" t="str">
        <f>IF($C322="","",IFERROR(VLOOKUP($C322,Map_Register!$A$2:$C$5,3,FALSE()),""))</f>
        <v/>
      </c>
      <c r="E322" s="21"/>
      <c r="F322" s="21"/>
      <c r="G322" s="21"/>
      <c r="H322" s="21"/>
      <c r="I322" s="21"/>
      <c r="J322" s="21"/>
      <c r="K322" s="21"/>
      <c r="L322" s="25"/>
      <c r="M322" s="21"/>
      <c r="N322" s="21"/>
      <c r="O322" s="21"/>
      <c r="P322" s="21"/>
    </row>
    <row r="323" spans="1:16" hidden="1" x14ac:dyDescent="0.3">
      <c r="A323" s="20" t="str">
        <f t="shared" si="5"/>
        <v/>
      </c>
      <c r="B323" s="21"/>
      <c r="C323" s="21"/>
      <c r="D323" s="22" t="str">
        <f>IF($C323="","",IFERROR(VLOOKUP($C323,Map_Register!$A$2:$C$5,3,FALSE()),""))</f>
        <v/>
      </c>
      <c r="E323" s="21"/>
      <c r="F323" s="21"/>
      <c r="G323" s="21"/>
      <c r="H323" s="21"/>
      <c r="I323" s="21"/>
      <c r="J323" s="21"/>
      <c r="K323" s="21"/>
      <c r="L323" s="25"/>
      <c r="M323" s="21"/>
      <c r="N323" s="21"/>
      <c r="O323" s="21"/>
      <c r="P323" s="21"/>
    </row>
    <row r="324" spans="1:16" hidden="1" x14ac:dyDescent="0.3">
      <c r="A324" s="20" t="str">
        <f t="shared" si="5"/>
        <v/>
      </c>
      <c r="B324" s="21"/>
      <c r="C324" s="21"/>
      <c r="D324" s="22" t="str">
        <f>IF($C324="","",IFERROR(VLOOKUP($C324,Map_Register!$A$2:$C$5,3,FALSE()),""))</f>
        <v/>
      </c>
      <c r="E324" s="21"/>
      <c r="F324" s="21"/>
      <c r="G324" s="21"/>
      <c r="H324" s="21"/>
      <c r="I324" s="21"/>
      <c r="J324" s="21"/>
      <c r="K324" s="21"/>
      <c r="L324" s="25"/>
      <c r="M324" s="21"/>
      <c r="N324" s="21"/>
      <c r="O324" s="21"/>
      <c r="P324" s="21"/>
    </row>
    <row r="325" spans="1:16" hidden="1" x14ac:dyDescent="0.3">
      <c r="A325" s="20" t="str">
        <f t="shared" si="5"/>
        <v/>
      </c>
      <c r="B325" s="21"/>
      <c r="C325" s="21"/>
      <c r="D325" s="22" t="str">
        <f>IF($C325="","",IFERROR(VLOOKUP($C325,Map_Register!$A$2:$C$5,3,FALSE()),""))</f>
        <v/>
      </c>
      <c r="E325" s="21"/>
      <c r="F325" s="21"/>
      <c r="G325" s="21"/>
      <c r="H325" s="21"/>
      <c r="I325" s="21"/>
      <c r="J325" s="21"/>
      <c r="K325" s="21"/>
      <c r="L325" s="25"/>
      <c r="M325" s="21"/>
      <c r="N325" s="21"/>
      <c r="O325" s="21"/>
      <c r="P325" s="21"/>
    </row>
    <row r="326" spans="1:16" hidden="1" x14ac:dyDescent="0.3">
      <c r="A326" s="20" t="str">
        <f t="shared" si="5"/>
        <v/>
      </c>
      <c r="B326" s="21"/>
      <c r="C326" s="21"/>
      <c r="D326" s="22" t="str">
        <f>IF($C326="","",IFERROR(VLOOKUP($C326,Map_Register!$A$2:$C$5,3,FALSE()),""))</f>
        <v/>
      </c>
      <c r="E326" s="21"/>
      <c r="F326" s="21"/>
      <c r="G326" s="21"/>
      <c r="H326" s="21"/>
      <c r="I326" s="21"/>
      <c r="J326" s="21"/>
      <c r="K326" s="21"/>
      <c r="L326" s="25"/>
      <c r="M326" s="21"/>
      <c r="N326" s="21"/>
      <c r="O326" s="21"/>
      <c r="P326" s="21"/>
    </row>
    <row r="327" spans="1:16" hidden="1" x14ac:dyDescent="0.3">
      <c r="A327" s="20" t="str">
        <f t="shared" si="5"/>
        <v/>
      </c>
      <c r="B327" s="21"/>
      <c r="C327" s="21"/>
      <c r="D327" s="22" t="str">
        <f>IF($C327="","",IFERROR(VLOOKUP($C327,Map_Register!$A$2:$C$5,3,FALSE()),""))</f>
        <v/>
      </c>
      <c r="E327" s="21"/>
      <c r="F327" s="21"/>
      <c r="G327" s="21"/>
      <c r="H327" s="21"/>
      <c r="I327" s="21"/>
      <c r="J327" s="21"/>
      <c r="K327" s="21"/>
      <c r="L327" s="25"/>
      <c r="M327" s="21"/>
      <c r="N327" s="21"/>
      <c r="O327" s="21"/>
      <c r="P327" s="21"/>
    </row>
    <row r="328" spans="1:16" hidden="1" x14ac:dyDescent="0.3">
      <c r="A328" s="20" t="str">
        <f t="shared" si="5"/>
        <v/>
      </c>
      <c r="B328" s="21"/>
      <c r="C328" s="21"/>
      <c r="D328" s="22" t="str">
        <f>IF($C328="","",IFERROR(VLOOKUP($C328,Map_Register!$A$2:$C$5,3,FALSE()),""))</f>
        <v/>
      </c>
      <c r="E328" s="21"/>
      <c r="F328" s="21"/>
      <c r="G328" s="21"/>
      <c r="H328" s="21"/>
      <c r="I328" s="21"/>
      <c r="J328" s="21"/>
      <c r="K328" s="21"/>
      <c r="L328" s="25"/>
      <c r="M328" s="21"/>
      <c r="N328" s="21"/>
      <c r="O328" s="21"/>
      <c r="P328" s="21"/>
    </row>
    <row r="329" spans="1:16" hidden="1" x14ac:dyDescent="0.3">
      <c r="A329" s="20" t="str">
        <f t="shared" si="5"/>
        <v/>
      </c>
      <c r="B329" s="21"/>
      <c r="C329" s="21"/>
      <c r="D329" s="22" t="str">
        <f>IF($C329="","",IFERROR(VLOOKUP($C329,Map_Register!$A$2:$C$5,3,FALSE()),""))</f>
        <v/>
      </c>
      <c r="E329" s="21"/>
      <c r="F329" s="21"/>
      <c r="G329" s="21"/>
      <c r="H329" s="21"/>
      <c r="I329" s="21"/>
      <c r="J329" s="21"/>
      <c r="K329" s="21"/>
      <c r="L329" s="25"/>
      <c r="M329" s="21"/>
      <c r="N329" s="21"/>
      <c r="O329" s="21"/>
      <c r="P329" s="21"/>
    </row>
    <row r="330" spans="1:16" hidden="1" x14ac:dyDescent="0.3">
      <c r="A330" s="20" t="str">
        <f t="shared" si="5"/>
        <v/>
      </c>
      <c r="B330" s="21"/>
      <c r="C330" s="21"/>
      <c r="D330" s="22" t="str">
        <f>IF($C330="","",IFERROR(VLOOKUP($C330,Map_Register!$A$2:$C$5,3,FALSE()),""))</f>
        <v/>
      </c>
      <c r="E330" s="21"/>
      <c r="F330" s="21"/>
      <c r="G330" s="21"/>
      <c r="H330" s="21"/>
      <c r="I330" s="21"/>
      <c r="J330" s="21"/>
      <c r="K330" s="21"/>
      <c r="L330" s="25"/>
      <c r="M330" s="21"/>
      <c r="N330" s="21"/>
      <c r="O330" s="21"/>
      <c r="P330" s="21"/>
    </row>
    <row r="331" spans="1:16" hidden="1" x14ac:dyDescent="0.3">
      <c r="A331" s="20" t="str">
        <f t="shared" si="5"/>
        <v/>
      </c>
      <c r="B331" s="21"/>
      <c r="C331" s="21"/>
      <c r="D331" s="22" t="str">
        <f>IF($C331="","",IFERROR(VLOOKUP($C331,Map_Register!$A$2:$C$5,3,FALSE()),""))</f>
        <v/>
      </c>
      <c r="E331" s="21"/>
      <c r="F331" s="21"/>
      <c r="G331" s="21"/>
      <c r="H331" s="21"/>
      <c r="I331" s="21"/>
      <c r="J331" s="21"/>
      <c r="K331" s="21"/>
      <c r="L331" s="25"/>
      <c r="M331" s="21"/>
      <c r="N331" s="21"/>
      <c r="O331" s="21"/>
      <c r="P331" s="21"/>
    </row>
    <row r="332" spans="1:16" hidden="1" x14ac:dyDescent="0.3">
      <c r="A332" s="20" t="str">
        <f t="shared" si="5"/>
        <v/>
      </c>
      <c r="B332" s="21"/>
      <c r="C332" s="21"/>
      <c r="D332" s="22" t="str">
        <f>IF($C332="","",IFERROR(VLOOKUP($C332,Map_Register!$A$2:$C$5,3,FALSE()),""))</f>
        <v/>
      </c>
      <c r="E332" s="21"/>
      <c r="F332" s="21"/>
      <c r="G332" s="21"/>
      <c r="H332" s="21"/>
      <c r="I332" s="21"/>
      <c r="J332" s="21"/>
      <c r="K332" s="21"/>
      <c r="L332" s="25"/>
      <c r="M332" s="21"/>
      <c r="N332" s="21"/>
      <c r="O332" s="21"/>
      <c r="P332" s="21"/>
    </row>
    <row r="333" spans="1:16" hidden="1" x14ac:dyDescent="0.3">
      <c r="A333" s="20" t="str">
        <f t="shared" si="5"/>
        <v/>
      </c>
      <c r="B333" s="21"/>
      <c r="C333" s="21"/>
      <c r="D333" s="22" t="str">
        <f>IF($C333="","",IFERROR(VLOOKUP($C333,Map_Register!$A$2:$C$5,3,FALSE()),""))</f>
        <v/>
      </c>
      <c r="E333" s="21"/>
      <c r="F333" s="21"/>
      <c r="G333" s="21"/>
      <c r="H333" s="21"/>
      <c r="I333" s="21"/>
      <c r="J333" s="21"/>
      <c r="K333" s="21"/>
      <c r="L333" s="25"/>
      <c r="M333" s="21"/>
      <c r="N333" s="21"/>
      <c r="O333" s="21"/>
      <c r="P333" s="21"/>
    </row>
    <row r="334" spans="1:16" hidden="1" x14ac:dyDescent="0.3">
      <c r="A334" s="20" t="str">
        <f t="shared" si="5"/>
        <v/>
      </c>
      <c r="B334" s="21"/>
      <c r="C334" s="21"/>
      <c r="D334" s="22" t="str">
        <f>IF($C334="","",IFERROR(VLOOKUP($C334,Map_Register!$A$2:$C$5,3,FALSE()),""))</f>
        <v/>
      </c>
      <c r="E334" s="21"/>
      <c r="F334" s="21"/>
      <c r="G334" s="21"/>
      <c r="H334" s="21"/>
      <c r="I334" s="21"/>
      <c r="J334" s="21"/>
      <c r="K334" s="21"/>
      <c r="L334" s="25"/>
      <c r="M334" s="21"/>
      <c r="N334" s="21"/>
      <c r="O334" s="21"/>
      <c r="P334" s="21"/>
    </row>
    <row r="335" spans="1:16" hidden="1" x14ac:dyDescent="0.3">
      <c r="A335" s="20" t="str">
        <f t="shared" si="5"/>
        <v/>
      </c>
      <c r="B335" s="21"/>
      <c r="C335" s="21"/>
      <c r="D335" s="22" t="str">
        <f>IF($C335="","",IFERROR(VLOOKUP($C335,Map_Register!$A$2:$C$5,3,FALSE()),""))</f>
        <v/>
      </c>
      <c r="E335" s="21"/>
      <c r="F335" s="21"/>
      <c r="G335" s="21"/>
      <c r="H335" s="21"/>
      <c r="I335" s="21"/>
      <c r="J335" s="21"/>
      <c r="K335" s="21"/>
      <c r="L335" s="25"/>
      <c r="M335" s="21"/>
      <c r="N335" s="21"/>
      <c r="O335" s="21"/>
      <c r="P335" s="21"/>
    </row>
    <row r="336" spans="1:16" hidden="1" x14ac:dyDescent="0.3">
      <c r="A336" s="20" t="str">
        <f t="shared" si="5"/>
        <v/>
      </c>
      <c r="B336" s="21"/>
      <c r="C336" s="21"/>
      <c r="D336" s="22" t="str">
        <f>IF($C336="","",IFERROR(VLOOKUP($C336,Map_Register!$A$2:$C$5,3,FALSE()),""))</f>
        <v/>
      </c>
      <c r="E336" s="21"/>
      <c r="F336" s="21"/>
      <c r="G336" s="21"/>
      <c r="H336" s="21"/>
      <c r="I336" s="21"/>
      <c r="J336" s="21"/>
      <c r="K336" s="21"/>
      <c r="L336" s="25"/>
      <c r="M336" s="21"/>
      <c r="N336" s="21"/>
      <c r="O336" s="21"/>
      <c r="P336" s="21"/>
    </row>
    <row r="337" spans="1:16" hidden="1" x14ac:dyDescent="0.3">
      <c r="A337" s="20" t="str">
        <f t="shared" si="5"/>
        <v/>
      </c>
      <c r="B337" s="21"/>
      <c r="C337" s="21"/>
      <c r="D337" s="22" t="str">
        <f>IF($C337="","",IFERROR(VLOOKUP($C337,Map_Register!$A$2:$C$5,3,FALSE()),""))</f>
        <v/>
      </c>
      <c r="E337" s="21"/>
      <c r="F337" s="21"/>
      <c r="G337" s="21"/>
      <c r="H337" s="21"/>
      <c r="I337" s="21"/>
      <c r="J337" s="21"/>
      <c r="K337" s="21"/>
      <c r="L337" s="25"/>
      <c r="M337" s="21"/>
      <c r="N337" s="21"/>
      <c r="O337" s="21"/>
      <c r="P337" s="21"/>
    </row>
    <row r="338" spans="1:16" hidden="1" x14ac:dyDescent="0.3">
      <c r="A338" s="20" t="str">
        <f t="shared" si="5"/>
        <v/>
      </c>
      <c r="B338" s="21"/>
      <c r="C338" s="21"/>
      <c r="D338" s="22" t="str">
        <f>IF($C338="","",IFERROR(VLOOKUP($C338,Map_Register!$A$2:$C$5,3,FALSE()),""))</f>
        <v/>
      </c>
      <c r="E338" s="21"/>
      <c r="F338" s="21"/>
      <c r="G338" s="21"/>
      <c r="H338" s="21"/>
      <c r="I338" s="21"/>
      <c r="J338" s="21"/>
      <c r="K338" s="21"/>
      <c r="L338" s="25"/>
      <c r="M338" s="21"/>
      <c r="N338" s="21"/>
      <c r="O338" s="21"/>
      <c r="P338" s="21"/>
    </row>
    <row r="339" spans="1:16" hidden="1" x14ac:dyDescent="0.3">
      <c r="A339" s="20" t="str">
        <f t="shared" si="5"/>
        <v/>
      </c>
      <c r="B339" s="21"/>
      <c r="C339" s="21"/>
      <c r="D339" s="22" t="str">
        <f>IF($C339="","",IFERROR(VLOOKUP($C339,Map_Register!$A$2:$C$5,3,FALSE()),""))</f>
        <v/>
      </c>
      <c r="E339" s="21"/>
      <c r="F339" s="21"/>
      <c r="G339" s="21"/>
      <c r="H339" s="21"/>
      <c r="I339" s="21"/>
      <c r="J339" s="21"/>
      <c r="K339" s="21"/>
      <c r="L339" s="25"/>
      <c r="M339" s="21"/>
      <c r="N339" s="21"/>
      <c r="O339" s="21"/>
      <c r="P339" s="21"/>
    </row>
    <row r="340" spans="1:16" hidden="1" x14ac:dyDescent="0.3">
      <c r="A340" s="20" t="str">
        <f t="shared" si="5"/>
        <v/>
      </c>
      <c r="B340" s="21"/>
      <c r="C340" s="21"/>
      <c r="D340" s="22" t="str">
        <f>IF($C340="","",IFERROR(VLOOKUP($C340,Map_Register!$A$2:$C$5,3,FALSE()),""))</f>
        <v/>
      </c>
      <c r="E340" s="21"/>
      <c r="F340" s="21"/>
      <c r="G340" s="21"/>
      <c r="H340" s="21"/>
      <c r="I340" s="21"/>
      <c r="J340" s="21"/>
      <c r="K340" s="21"/>
      <c r="L340" s="25"/>
      <c r="M340" s="21"/>
      <c r="N340" s="21"/>
      <c r="O340" s="21"/>
      <c r="P340" s="21"/>
    </row>
    <row r="341" spans="1:16" hidden="1" x14ac:dyDescent="0.3">
      <c r="A341" s="20" t="str">
        <f t="shared" si="5"/>
        <v/>
      </c>
      <c r="B341" s="21"/>
      <c r="C341" s="21"/>
      <c r="D341" s="22" t="str">
        <f>IF($C341="","",IFERROR(VLOOKUP($C341,Map_Register!$A$2:$C$5,3,FALSE()),""))</f>
        <v/>
      </c>
      <c r="E341" s="21"/>
      <c r="F341" s="21"/>
      <c r="G341" s="21"/>
      <c r="H341" s="21"/>
      <c r="I341" s="21"/>
      <c r="J341" s="21"/>
      <c r="K341" s="21"/>
      <c r="L341" s="25"/>
      <c r="M341" s="21"/>
      <c r="N341" s="21"/>
      <c r="O341" s="21"/>
      <c r="P341" s="21"/>
    </row>
    <row r="342" spans="1:16" hidden="1" x14ac:dyDescent="0.3">
      <c r="A342" s="20" t="str">
        <f t="shared" si="5"/>
        <v/>
      </c>
      <c r="B342" s="21"/>
      <c r="C342" s="21"/>
      <c r="D342" s="22" t="str">
        <f>IF($C342="","",IFERROR(VLOOKUP($C342,Map_Register!$A$2:$C$5,3,FALSE()),""))</f>
        <v/>
      </c>
      <c r="E342" s="21"/>
      <c r="F342" s="21"/>
      <c r="G342" s="21"/>
      <c r="H342" s="21"/>
      <c r="I342" s="21"/>
      <c r="J342" s="21"/>
      <c r="K342" s="21"/>
      <c r="L342" s="25"/>
      <c r="M342" s="21"/>
      <c r="N342" s="21"/>
      <c r="O342" s="21"/>
      <c r="P342" s="21"/>
    </row>
    <row r="343" spans="1:16" hidden="1" x14ac:dyDescent="0.3">
      <c r="A343" s="20" t="str">
        <f t="shared" si="5"/>
        <v/>
      </c>
      <c r="B343" s="21"/>
      <c r="C343" s="21"/>
      <c r="D343" s="22" t="str">
        <f>IF($C343="","",IFERROR(VLOOKUP($C343,Map_Register!$A$2:$C$5,3,FALSE()),""))</f>
        <v/>
      </c>
      <c r="E343" s="21"/>
      <c r="F343" s="21"/>
      <c r="G343" s="21"/>
      <c r="H343" s="21"/>
      <c r="I343" s="21"/>
      <c r="J343" s="21"/>
      <c r="K343" s="21"/>
      <c r="L343" s="25"/>
      <c r="M343" s="21"/>
      <c r="N343" s="21"/>
      <c r="O343" s="21"/>
      <c r="P343" s="21"/>
    </row>
    <row r="344" spans="1:16" hidden="1" x14ac:dyDescent="0.3">
      <c r="A344" s="20" t="str">
        <f t="shared" si="5"/>
        <v/>
      </c>
      <c r="B344" s="21"/>
      <c r="C344" s="21"/>
      <c r="D344" s="22" t="str">
        <f>IF($C344="","",IFERROR(VLOOKUP($C344,Map_Register!$A$2:$C$5,3,FALSE()),""))</f>
        <v/>
      </c>
      <c r="E344" s="21"/>
      <c r="F344" s="21"/>
      <c r="G344" s="21"/>
      <c r="H344" s="21"/>
      <c r="I344" s="21"/>
      <c r="J344" s="21"/>
      <c r="K344" s="21"/>
      <c r="L344" s="25"/>
      <c r="M344" s="21"/>
      <c r="N344" s="21"/>
      <c r="O344" s="21"/>
      <c r="P344" s="21"/>
    </row>
    <row r="345" spans="1:16" hidden="1" x14ac:dyDescent="0.3">
      <c r="A345" s="20" t="str">
        <f t="shared" si="5"/>
        <v/>
      </c>
      <c r="B345" s="21"/>
      <c r="C345" s="21"/>
      <c r="D345" s="22" t="str">
        <f>IF($C345="","",IFERROR(VLOOKUP($C345,Map_Register!$A$2:$C$5,3,FALSE()),""))</f>
        <v/>
      </c>
      <c r="E345" s="21"/>
      <c r="F345" s="21"/>
      <c r="G345" s="21"/>
      <c r="H345" s="21"/>
      <c r="I345" s="21"/>
      <c r="J345" s="21"/>
      <c r="K345" s="21"/>
      <c r="L345" s="25"/>
      <c r="M345" s="21"/>
      <c r="N345" s="21"/>
      <c r="O345" s="21"/>
      <c r="P345" s="21"/>
    </row>
    <row r="346" spans="1:16" hidden="1" x14ac:dyDescent="0.3">
      <c r="A346" s="20" t="str">
        <f t="shared" si="5"/>
        <v/>
      </c>
      <c r="B346" s="21"/>
      <c r="C346" s="21"/>
      <c r="D346" s="22" t="str">
        <f>IF($C346="","",IFERROR(VLOOKUP($C346,Map_Register!$A$2:$C$5,3,FALSE()),""))</f>
        <v/>
      </c>
      <c r="E346" s="21"/>
      <c r="F346" s="21"/>
      <c r="G346" s="21"/>
      <c r="H346" s="21"/>
      <c r="I346" s="21"/>
      <c r="J346" s="21"/>
      <c r="K346" s="21"/>
      <c r="L346" s="25"/>
      <c r="M346" s="21"/>
      <c r="N346" s="21"/>
      <c r="O346" s="21"/>
      <c r="P346" s="21"/>
    </row>
    <row r="347" spans="1:16" hidden="1" x14ac:dyDescent="0.3">
      <c r="A347" s="20" t="str">
        <f t="shared" si="5"/>
        <v/>
      </c>
      <c r="B347" s="21"/>
      <c r="C347" s="21"/>
      <c r="D347" s="22" t="str">
        <f>IF($C347="","",IFERROR(VLOOKUP($C347,Map_Register!$A$2:$C$5,3,FALSE()),""))</f>
        <v/>
      </c>
      <c r="E347" s="21"/>
      <c r="F347" s="21"/>
      <c r="G347" s="21"/>
      <c r="H347" s="21"/>
      <c r="I347" s="21"/>
      <c r="J347" s="21"/>
      <c r="K347" s="21"/>
      <c r="L347" s="25"/>
      <c r="M347" s="21"/>
      <c r="N347" s="21"/>
      <c r="O347" s="21"/>
      <c r="P347" s="21"/>
    </row>
    <row r="348" spans="1:16" hidden="1" x14ac:dyDescent="0.3">
      <c r="A348" s="20" t="str">
        <f t="shared" si="5"/>
        <v/>
      </c>
      <c r="B348" s="21"/>
      <c r="C348" s="21"/>
      <c r="D348" s="22" t="str">
        <f>IF($C348="","",IFERROR(VLOOKUP($C348,Map_Register!$A$2:$C$5,3,FALSE()),""))</f>
        <v/>
      </c>
      <c r="E348" s="21"/>
      <c r="F348" s="21"/>
      <c r="G348" s="21"/>
      <c r="H348" s="21"/>
      <c r="I348" s="21"/>
      <c r="J348" s="21"/>
      <c r="K348" s="21"/>
      <c r="L348" s="25"/>
      <c r="M348" s="21"/>
      <c r="N348" s="21"/>
      <c r="O348" s="21"/>
      <c r="P348" s="21"/>
    </row>
    <row r="349" spans="1:16" hidden="1" x14ac:dyDescent="0.3">
      <c r="A349" s="20" t="str">
        <f t="shared" si="5"/>
        <v/>
      </c>
      <c r="B349" s="21"/>
      <c r="C349" s="21"/>
      <c r="D349" s="22" t="str">
        <f>IF($C349="","",IFERROR(VLOOKUP($C349,Map_Register!$A$2:$C$5,3,FALSE()),""))</f>
        <v/>
      </c>
      <c r="E349" s="21"/>
      <c r="F349" s="21"/>
      <c r="G349" s="21"/>
      <c r="H349" s="21"/>
      <c r="I349" s="21"/>
      <c r="J349" s="21"/>
      <c r="K349" s="21"/>
      <c r="L349" s="25"/>
      <c r="M349" s="21"/>
      <c r="N349" s="21"/>
      <c r="O349" s="21"/>
      <c r="P349" s="21"/>
    </row>
    <row r="350" spans="1:16" hidden="1" x14ac:dyDescent="0.3">
      <c r="A350" s="20" t="str">
        <f t="shared" si="5"/>
        <v/>
      </c>
      <c r="B350" s="21"/>
      <c r="C350" s="21"/>
      <c r="D350" s="22" t="str">
        <f>IF($C350="","",IFERROR(VLOOKUP($C350,Map_Register!$A$2:$C$5,3,FALSE()),""))</f>
        <v/>
      </c>
      <c r="E350" s="21"/>
      <c r="F350" s="21"/>
      <c r="G350" s="21"/>
      <c r="H350" s="21"/>
      <c r="I350" s="21"/>
      <c r="J350" s="21"/>
      <c r="K350" s="21"/>
      <c r="L350" s="25"/>
      <c r="M350" s="21"/>
      <c r="N350" s="21"/>
      <c r="O350" s="21"/>
      <c r="P350" s="21"/>
    </row>
    <row r="351" spans="1:16" hidden="1" x14ac:dyDescent="0.3">
      <c r="A351" s="20" t="str">
        <f t="shared" si="5"/>
        <v/>
      </c>
      <c r="B351" s="21"/>
      <c r="C351" s="21"/>
      <c r="D351" s="22" t="str">
        <f>IF($C351="","",IFERROR(VLOOKUP($C351,Map_Register!$A$2:$C$5,3,FALSE()),""))</f>
        <v/>
      </c>
      <c r="E351" s="21"/>
      <c r="F351" s="21"/>
      <c r="G351" s="21"/>
      <c r="H351" s="21"/>
      <c r="I351" s="21"/>
      <c r="J351" s="21"/>
      <c r="K351" s="21"/>
      <c r="L351" s="25"/>
      <c r="M351" s="21"/>
      <c r="N351" s="21"/>
      <c r="O351" s="21"/>
      <c r="P351" s="21"/>
    </row>
    <row r="352" spans="1:16" hidden="1" x14ac:dyDescent="0.3">
      <c r="A352" s="20" t="str">
        <f t="shared" si="5"/>
        <v/>
      </c>
      <c r="B352" s="21"/>
      <c r="C352" s="21"/>
      <c r="D352" s="22" t="str">
        <f>IF($C352="","",IFERROR(VLOOKUP($C352,Map_Register!$A$2:$C$5,3,FALSE()),""))</f>
        <v/>
      </c>
      <c r="E352" s="21"/>
      <c r="F352" s="21"/>
      <c r="G352" s="21"/>
      <c r="H352" s="21"/>
      <c r="I352" s="21"/>
      <c r="J352" s="21"/>
      <c r="K352" s="21"/>
      <c r="L352" s="25"/>
      <c r="M352" s="21"/>
      <c r="N352" s="21"/>
      <c r="O352" s="21"/>
      <c r="P352" s="21"/>
    </row>
    <row r="353" spans="1:16" hidden="1" x14ac:dyDescent="0.3">
      <c r="A353" s="20" t="str">
        <f t="shared" si="5"/>
        <v/>
      </c>
      <c r="B353" s="21"/>
      <c r="C353" s="21"/>
      <c r="D353" s="22" t="str">
        <f>IF($C353="","",IFERROR(VLOOKUP($C353,Map_Register!$A$2:$C$5,3,FALSE()),""))</f>
        <v/>
      </c>
      <c r="E353" s="21"/>
      <c r="F353" s="21"/>
      <c r="G353" s="21"/>
      <c r="H353" s="21"/>
      <c r="I353" s="21"/>
      <c r="J353" s="21"/>
      <c r="K353" s="21"/>
      <c r="L353" s="25"/>
      <c r="M353" s="21"/>
      <c r="N353" s="21"/>
      <c r="O353" s="21"/>
      <c r="P353" s="21"/>
    </row>
    <row r="354" spans="1:16" hidden="1" x14ac:dyDescent="0.3">
      <c r="A354" s="20" t="str">
        <f t="shared" si="5"/>
        <v/>
      </c>
      <c r="B354" s="21"/>
      <c r="C354" s="21"/>
      <c r="D354" s="22" t="str">
        <f>IF($C354="","",IFERROR(VLOOKUP($C354,Map_Register!$A$2:$C$5,3,FALSE()),""))</f>
        <v/>
      </c>
      <c r="E354" s="21"/>
      <c r="F354" s="21"/>
      <c r="G354" s="21"/>
      <c r="H354" s="21"/>
      <c r="I354" s="21"/>
      <c r="J354" s="21"/>
      <c r="K354" s="21"/>
      <c r="L354" s="25"/>
      <c r="M354" s="21"/>
      <c r="N354" s="21"/>
      <c r="O354" s="21"/>
      <c r="P354" s="21"/>
    </row>
    <row r="355" spans="1:16" hidden="1" x14ac:dyDescent="0.3">
      <c r="A355" s="20" t="str">
        <f t="shared" si="5"/>
        <v/>
      </c>
      <c r="B355" s="21"/>
      <c r="C355" s="21"/>
      <c r="D355" s="22" t="str">
        <f>IF($C355="","",IFERROR(VLOOKUP($C355,Map_Register!$A$2:$C$5,3,FALSE()),""))</f>
        <v/>
      </c>
      <c r="E355" s="21"/>
      <c r="F355" s="21"/>
      <c r="G355" s="21"/>
      <c r="H355" s="21"/>
      <c r="I355" s="21"/>
      <c r="J355" s="21"/>
      <c r="K355" s="21"/>
      <c r="L355" s="25"/>
      <c r="M355" s="21"/>
      <c r="N355" s="21"/>
      <c r="O355" s="21"/>
      <c r="P355" s="21"/>
    </row>
    <row r="356" spans="1:16" hidden="1" x14ac:dyDescent="0.3">
      <c r="A356" s="20" t="str">
        <f t="shared" si="5"/>
        <v/>
      </c>
      <c r="B356" s="21"/>
      <c r="C356" s="21"/>
      <c r="D356" s="22" t="str">
        <f>IF($C356="","",IFERROR(VLOOKUP($C356,Map_Register!$A$2:$C$5,3,FALSE()),""))</f>
        <v/>
      </c>
      <c r="E356" s="21"/>
      <c r="F356" s="21"/>
      <c r="G356" s="21"/>
      <c r="H356" s="21"/>
      <c r="I356" s="21"/>
      <c r="J356" s="21"/>
      <c r="K356" s="21"/>
      <c r="L356" s="25"/>
      <c r="M356" s="21"/>
      <c r="N356" s="21"/>
      <c r="O356" s="21"/>
      <c r="P356" s="21"/>
    </row>
    <row r="357" spans="1:16" hidden="1" x14ac:dyDescent="0.3">
      <c r="A357" s="20" t="str">
        <f t="shared" si="5"/>
        <v/>
      </c>
      <c r="B357" s="21"/>
      <c r="C357" s="21"/>
      <c r="D357" s="22" t="str">
        <f>IF($C357="","",IFERROR(VLOOKUP($C357,Map_Register!$A$2:$C$5,3,FALSE()),""))</f>
        <v/>
      </c>
      <c r="E357" s="21"/>
      <c r="F357" s="21"/>
      <c r="G357" s="21"/>
      <c r="H357" s="21"/>
      <c r="I357" s="21"/>
      <c r="J357" s="21"/>
      <c r="K357" s="21"/>
      <c r="L357" s="25"/>
      <c r="M357" s="21"/>
      <c r="N357" s="21"/>
      <c r="O357" s="21"/>
      <c r="P357" s="21"/>
    </row>
    <row r="358" spans="1:16" hidden="1" x14ac:dyDescent="0.3">
      <c r="A358" s="20" t="str">
        <f t="shared" si="5"/>
        <v/>
      </c>
      <c r="B358" s="21"/>
      <c r="C358" s="21"/>
      <c r="D358" s="22" t="str">
        <f>IF($C358="","",IFERROR(VLOOKUP($C358,Map_Register!$A$2:$C$5,3,FALSE()),""))</f>
        <v/>
      </c>
      <c r="E358" s="21"/>
      <c r="F358" s="21"/>
      <c r="G358" s="21"/>
      <c r="H358" s="21"/>
      <c r="I358" s="21"/>
      <c r="J358" s="21"/>
      <c r="K358" s="21"/>
      <c r="L358" s="25"/>
      <c r="M358" s="21"/>
      <c r="N358" s="21"/>
      <c r="O358" s="21"/>
      <c r="P358" s="21"/>
    </row>
    <row r="359" spans="1:16" hidden="1" x14ac:dyDescent="0.3">
      <c r="A359" s="20" t="str">
        <f t="shared" si="5"/>
        <v/>
      </c>
      <c r="B359" s="21"/>
      <c r="C359" s="21"/>
      <c r="D359" s="22" t="str">
        <f>IF($C359="","",IFERROR(VLOOKUP($C359,Map_Register!$A$2:$C$5,3,FALSE()),""))</f>
        <v/>
      </c>
      <c r="E359" s="21"/>
      <c r="F359" s="21"/>
      <c r="G359" s="21"/>
      <c r="H359" s="21"/>
      <c r="I359" s="21"/>
      <c r="J359" s="21"/>
      <c r="K359" s="21"/>
      <c r="L359" s="25"/>
      <c r="M359" s="21"/>
      <c r="N359" s="21"/>
      <c r="O359" s="21"/>
      <c r="P359" s="21"/>
    </row>
    <row r="360" spans="1:16" hidden="1" x14ac:dyDescent="0.3">
      <c r="A360" s="20" t="str">
        <f t="shared" si="5"/>
        <v/>
      </c>
      <c r="B360" s="21"/>
      <c r="C360" s="21"/>
      <c r="D360" s="22" t="str">
        <f>IF($C360="","",IFERROR(VLOOKUP($C360,Map_Register!$A$2:$C$5,3,FALSE()),""))</f>
        <v/>
      </c>
      <c r="E360" s="21"/>
      <c r="F360" s="21"/>
      <c r="G360" s="21"/>
      <c r="H360" s="21"/>
      <c r="I360" s="21"/>
      <c r="J360" s="21"/>
      <c r="K360" s="21"/>
      <c r="L360" s="25"/>
      <c r="M360" s="21"/>
      <c r="N360" s="21"/>
      <c r="O360" s="21"/>
      <c r="P360" s="21"/>
    </row>
    <row r="361" spans="1:16" hidden="1" x14ac:dyDescent="0.3">
      <c r="A361" s="20" t="str">
        <f t="shared" si="5"/>
        <v/>
      </c>
      <c r="B361" s="21"/>
      <c r="C361" s="21"/>
      <c r="D361" s="22" t="str">
        <f>IF($C361="","",IFERROR(VLOOKUP($C361,Map_Register!$A$2:$C$5,3,FALSE()),""))</f>
        <v/>
      </c>
      <c r="E361" s="21"/>
      <c r="F361" s="21"/>
      <c r="G361" s="21"/>
      <c r="H361" s="21"/>
      <c r="I361" s="21"/>
      <c r="J361" s="21"/>
      <c r="K361" s="21"/>
      <c r="L361" s="25"/>
      <c r="M361" s="21"/>
      <c r="N361" s="21"/>
      <c r="O361" s="21"/>
      <c r="P361" s="21"/>
    </row>
    <row r="362" spans="1:16" hidden="1" x14ac:dyDescent="0.3">
      <c r="A362" s="20" t="str">
        <f t="shared" si="5"/>
        <v/>
      </c>
      <c r="B362" s="21"/>
      <c r="C362" s="21"/>
      <c r="D362" s="22" t="str">
        <f>IF($C362="","",IFERROR(VLOOKUP($C362,Map_Register!$A$2:$C$5,3,FALSE()),""))</f>
        <v/>
      </c>
      <c r="E362" s="21"/>
      <c r="F362" s="21"/>
      <c r="G362" s="21"/>
      <c r="H362" s="21"/>
      <c r="I362" s="21"/>
      <c r="J362" s="21"/>
      <c r="K362" s="21"/>
      <c r="L362" s="25"/>
      <c r="M362" s="21"/>
      <c r="N362" s="21"/>
      <c r="O362" s="21"/>
      <c r="P362" s="21"/>
    </row>
    <row r="363" spans="1:16" hidden="1" x14ac:dyDescent="0.3">
      <c r="A363" s="20" t="str">
        <f t="shared" si="5"/>
        <v/>
      </c>
      <c r="B363" s="21"/>
      <c r="C363" s="21"/>
      <c r="D363" s="22" t="str">
        <f>IF($C363="","",IFERROR(VLOOKUP($C363,Map_Register!$A$2:$C$5,3,FALSE()),""))</f>
        <v/>
      </c>
      <c r="E363" s="21"/>
      <c r="F363" s="21"/>
      <c r="G363" s="21"/>
      <c r="H363" s="21"/>
      <c r="I363" s="21"/>
      <c r="J363" s="21"/>
      <c r="K363" s="21"/>
      <c r="L363" s="25"/>
      <c r="M363" s="21"/>
      <c r="N363" s="21"/>
      <c r="O363" s="21"/>
      <c r="P363" s="21"/>
    </row>
    <row r="364" spans="1:16" hidden="1" x14ac:dyDescent="0.3">
      <c r="A364" s="20" t="str">
        <f t="shared" si="5"/>
        <v/>
      </c>
      <c r="B364" s="21"/>
      <c r="C364" s="21"/>
      <c r="D364" s="22" t="str">
        <f>IF($C364="","",IFERROR(VLOOKUP($C364,Map_Register!$A$2:$C$5,3,FALSE()),""))</f>
        <v/>
      </c>
      <c r="E364" s="21"/>
      <c r="F364" s="21"/>
      <c r="G364" s="21"/>
      <c r="H364" s="21"/>
      <c r="I364" s="21"/>
      <c r="J364" s="21"/>
      <c r="K364" s="21"/>
      <c r="L364" s="25"/>
      <c r="M364" s="21"/>
      <c r="N364" s="21"/>
      <c r="O364" s="21"/>
      <c r="P364" s="21"/>
    </row>
    <row r="365" spans="1:16" hidden="1" x14ac:dyDescent="0.3">
      <c r="A365" s="20" t="str">
        <f t="shared" si="5"/>
        <v/>
      </c>
      <c r="B365" s="21"/>
      <c r="C365" s="21"/>
      <c r="D365" s="22" t="str">
        <f>IF($C365="","",IFERROR(VLOOKUP($C365,Map_Register!$A$2:$C$5,3,FALSE()),""))</f>
        <v/>
      </c>
      <c r="E365" s="21"/>
      <c r="F365" s="21"/>
      <c r="G365" s="21"/>
      <c r="H365" s="21"/>
      <c r="I365" s="21"/>
      <c r="J365" s="21"/>
      <c r="K365" s="21"/>
      <c r="L365" s="25"/>
      <c r="M365" s="21"/>
      <c r="N365" s="21"/>
      <c r="O365" s="21"/>
      <c r="P365" s="21"/>
    </row>
    <row r="366" spans="1:16" hidden="1" x14ac:dyDescent="0.3">
      <c r="A366" s="20" t="str">
        <f t="shared" si="5"/>
        <v/>
      </c>
      <c r="B366" s="21"/>
      <c r="C366" s="21"/>
      <c r="D366" s="22" t="str">
        <f>IF($C366="","",IFERROR(VLOOKUP($C366,Map_Register!$A$2:$C$5,3,FALSE()),""))</f>
        <v/>
      </c>
      <c r="E366" s="21"/>
      <c r="F366" s="21"/>
      <c r="G366" s="21"/>
      <c r="H366" s="21"/>
      <c r="I366" s="21"/>
      <c r="J366" s="21"/>
      <c r="K366" s="21"/>
      <c r="L366" s="25"/>
      <c r="M366" s="21"/>
      <c r="N366" s="21"/>
      <c r="O366" s="21"/>
      <c r="P366" s="21"/>
    </row>
    <row r="367" spans="1:16" hidden="1" x14ac:dyDescent="0.3">
      <c r="A367" s="20" t="str">
        <f t="shared" si="5"/>
        <v/>
      </c>
      <c r="B367" s="21"/>
      <c r="C367" s="21"/>
      <c r="D367" s="22" t="str">
        <f>IF($C367="","",IFERROR(VLOOKUP($C367,Map_Register!$A$2:$C$5,3,FALSE()),""))</f>
        <v/>
      </c>
      <c r="E367" s="21"/>
      <c r="F367" s="21"/>
      <c r="G367" s="21"/>
      <c r="H367" s="21"/>
      <c r="I367" s="21"/>
      <c r="J367" s="21"/>
      <c r="K367" s="21"/>
      <c r="L367" s="25"/>
      <c r="M367" s="21"/>
      <c r="N367" s="21"/>
      <c r="O367" s="21"/>
      <c r="P367" s="21"/>
    </row>
    <row r="368" spans="1:16" hidden="1" x14ac:dyDescent="0.3">
      <c r="A368" s="20" t="str">
        <f t="shared" si="5"/>
        <v/>
      </c>
      <c r="B368" s="21"/>
      <c r="C368" s="21"/>
      <c r="D368" s="22" t="str">
        <f>IF($C368="","",IFERROR(VLOOKUP($C368,Map_Register!$A$2:$C$5,3,FALSE()),""))</f>
        <v/>
      </c>
      <c r="E368" s="21"/>
      <c r="F368" s="21"/>
      <c r="G368" s="21"/>
      <c r="H368" s="21"/>
      <c r="I368" s="21"/>
      <c r="J368" s="21"/>
      <c r="K368" s="21"/>
      <c r="L368" s="25"/>
      <c r="M368" s="21"/>
      <c r="N368" s="21"/>
      <c r="O368" s="21"/>
      <c r="P368" s="21"/>
    </row>
    <row r="369" spans="1:16" hidden="1" x14ac:dyDescent="0.3">
      <c r="A369" s="20" t="str">
        <f t="shared" si="5"/>
        <v/>
      </c>
      <c r="B369" s="21"/>
      <c r="C369" s="21"/>
      <c r="D369" s="22" t="str">
        <f>IF($C369="","",IFERROR(VLOOKUP($C369,Map_Register!$A$2:$C$5,3,FALSE()),""))</f>
        <v/>
      </c>
      <c r="E369" s="21"/>
      <c r="F369" s="21"/>
      <c r="G369" s="21"/>
      <c r="H369" s="21"/>
      <c r="I369" s="21"/>
      <c r="J369" s="21"/>
      <c r="K369" s="21"/>
      <c r="L369" s="25"/>
      <c r="M369" s="21"/>
      <c r="N369" s="21"/>
      <c r="O369" s="21"/>
      <c r="P369" s="21"/>
    </row>
    <row r="370" spans="1:16" hidden="1" x14ac:dyDescent="0.3">
      <c r="A370" s="20" t="str">
        <f t="shared" si="5"/>
        <v/>
      </c>
      <c r="B370" s="21"/>
      <c r="C370" s="21"/>
      <c r="D370" s="22" t="str">
        <f>IF($C370="","",IFERROR(VLOOKUP($C370,Map_Register!$A$2:$C$5,3,FALSE()),""))</f>
        <v/>
      </c>
      <c r="E370" s="21"/>
      <c r="F370" s="21"/>
      <c r="G370" s="21"/>
      <c r="H370" s="21"/>
      <c r="I370" s="21"/>
      <c r="J370" s="21"/>
      <c r="K370" s="21"/>
      <c r="L370" s="25"/>
      <c r="M370" s="21"/>
      <c r="N370" s="21"/>
      <c r="O370" s="21"/>
      <c r="P370" s="21"/>
    </row>
    <row r="371" spans="1:16" hidden="1" x14ac:dyDescent="0.3">
      <c r="A371" s="20" t="str">
        <f t="shared" si="5"/>
        <v/>
      </c>
      <c r="B371" s="21"/>
      <c r="C371" s="21"/>
      <c r="D371" s="22" t="str">
        <f>IF($C371="","",IFERROR(VLOOKUP($C371,Map_Register!$A$2:$C$5,3,FALSE()),""))</f>
        <v/>
      </c>
      <c r="E371" s="21"/>
      <c r="F371" s="21"/>
      <c r="G371" s="21"/>
      <c r="H371" s="21"/>
      <c r="I371" s="21"/>
      <c r="J371" s="21"/>
      <c r="K371" s="21"/>
      <c r="L371" s="25"/>
      <c r="M371" s="21"/>
      <c r="N371" s="21"/>
      <c r="O371" s="21"/>
      <c r="P371" s="21"/>
    </row>
    <row r="372" spans="1:16" hidden="1" x14ac:dyDescent="0.3">
      <c r="A372" s="20" t="str">
        <f t="shared" si="5"/>
        <v/>
      </c>
      <c r="B372" s="21"/>
      <c r="C372" s="21"/>
      <c r="D372" s="22" t="str">
        <f>IF($C372="","",IFERROR(VLOOKUP($C372,Map_Register!$A$2:$C$5,3,FALSE()),""))</f>
        <v/>
      </c>
      <c r="E372" s="21"/>
      <c r="F372" s="21"/>
      <c r="G372" s="21"/>
      <c r="H372" s="21"/>
      <c r="I372" s="21"/>
      <c r="J372" s="21"/>
      <c r="K372" s="21"/>
      <c r="L372" s="25"/>
      <c r="M372" s="21"/>
      <c r="N372" s="21"/>
      <c r="O372" s="21"/>
      <c r="P372" s="21"/>
    </row>
    <row r="373" spans="1:16" hidden="1" x14ac:dyDescent="0.3">
      <c r="A373" s="20" t="str">
        <f t="shared" si="5"/>
        <v/>
      </c>
      <c r="B373" s="21"/>
      <c r="C373" s="21"/>
      <c r="D373" s="22" t="str">
        <f>IF($C373="","",IFERROR(VLOOKUP($C373,Map_Register!$A$2:$C$5,3,FALSE()),""))</f>
        <v/>
      </c>
      <c r="E373" s="21"/>
      <c r="F373" s="21"/>
      <c r="G373" s="21"/>
      <c r="H373" s="21"/>
      <c r="I373" s="21"/>
      <c r="J373" s="21"/>
      <c r="K373" s="21"/>
      <c r="L373" s="25"/>
      <c r="M373" s="21"/>
      <c r="N373" s="21"/>
      <c r="O373" s="21"/>
      <c r="P373" s="21"/>
    </row>
    <row r="374" spans="1:16" hidden="1" x14ac:dyDescent="0.3">
      <c r="A374" s="20" t="str">
        <f t="shared" si="5"/>
        <v/>
      </c>
      <c r="B374" s="21"/>
      <c r="C374" s="21"/>
      <c r="D374" s="22" t="str">
        <f>IF($C374="","",IFERROR(VLOOKUP($C374,Map_Register!$A$2:$C$5,3,FALSE()),""))</f>
        <v/>
      </c>
      <c r="E374" s="21"/>
      <c r="F374" s="21"/>
      <c r="G374" s="21"/>
      <c r="H374" s="21"/>
      <c r="I374" s="21"/>
      <c r="J374" s="21"/>
      <c r="K374" s="21"/>
      <c r="L374" s="25"/>
      <c r="M374" s="21"/>
      <c r="N374" s="21"/>
      <c r="O374" s="21"/>
      <c r="P374" s="21"/>
    </row>
    <row r="375" spans="1:16" hidden="1" x14ac:dyDescent="0.3">
      <c r="A375" s="20" t="str">
        <f t="shared" si="5"/>
        <v/>
      </c>
      <c r="B375" s="21"/>
      <c r="C375" s="21"/>
      <c r="D375" s="22" t="str">
        <f>IF($C375="","",IFERROR(VLOOKUP($C375,Map_Register!$A$2:$C$5,3,FALSE()),""))</f>
        <v/>
      </c>
      <c r="E375" s="21"/>
      <c r="F375" s="21"/>
      <c r="G375" s="21"/>
      <c r="H375" s="21"/>
      <c r="I375" s="21"/>
      <c r="J375" s="21"/>
      <c r="K375" s="21"/>
      <c r="L375" s="25"/>
      <c r="M375" s="21"/>
      <c r="N375" s="21"/>
      <c r="O375" s="21"/>
      <c r="P375" s="21"/>
    </row>
    <row r="376" spans="1:16" hidden="1" x14ac:dyDescent="0.3">
      <c r="A376" s="20" t="str">
        <f t="shared" si="5"/>
        <v/>
      </c>
      <c r="B376" s="21"/>
      <c r="C376" s="21"/>
      <c r="D376" s="22" t="str">
        <f>IF($C376="","",IFERROR(VLOOKUP($C376,Map_Register!$A$2:$C$5,3,FALSE()),""))</f>
        <v/>
      </c>
      <c r="E376" s="21"/>
      <c r="F376" s="21"/>
      <c r="G376" s="21"/>
      <c r="H376" s="21"/>
      <c r="I376" s="21"/>
      <c r="J376" s="21"/>
      <c r="K376" s="21"/>
      <c r="L376" s="25"/>
      <c r="M376" s="21"/>
      <c r="N376" s="21"/>
      <c r="O376" s="21"/>
      <c r="P376" s="21"/>
    </row>
    <row r="377" spans="1:16" hidden="1" x14ac:dyDescent="0.3">
      <c r="A377" s="20" t="str">
        <f t="shared" si="5"/>
        <v/>
      </c>
      <c r="B377" s="21"/>
      <c r="C377" s="21"/>
      <c r="D377" s="22" t="str">
        <f>IF($C377="","",IFERROR(VLOOKUP($C377,Map_Register!$A$2:$C$5,3,FALSE()),""))</f>
        <v/>
      </c>
      <c r="E377" s="21"/>
      <c r="F377" s="21"/>
      <c r="G377" s="21"/>
      <c r="H377" s="21"/>
      <c r="I377" s="21"/>
      <c r="J377" s="21"/>
      <c r="K377" s="21"/>
      <c r="L377" s="25"/>
      <c r="M377" s="21"/>
      <c r="N377" s="21"/>
      <c r="O377" s="21"/>
      <c r="P377" s="21"/>
    </row>
    <row r="378" spans="1:16" hidden="1" x14ac:dyDescent="0.3">
      <c r="A378" s="20" t="str">
        <f t="shared" si="5"/>
        <v/>
      </c>
      <c r="B378" s="21"/>
      <c r="C378" s="21"/>
      <c r="D378" s="22" t="str">
        <f>IF($C378="","",IFERROR(VLOOKUP($C378,Map_Register!$A$2:$C$5,3,FALSE()),""))</f>
        <v/>
      </c>
      <c r="E378" s="21"/>
      <c r="F378" s="21"/>
      <c r="G378" s="21"/>
      <c r="H378" s="21"/>
      <c r="I378" s="21"/>
      <c r="J378" s="21"/>
      <c r="K378" s="21"/>
      <c r="L378" s="25"/>
      <c r="M378" s="21"/>
      <c r="N378" s="21"/>
      <c r="O378" s="21"/>
      <c r="P378" s="21"/>
    </row>
    <row r="379" spans="1:16" hidden="1" x14ac:dyDescent="0.3">
      <c r="A379" s="20" t="str">
        <f t="shared" si="5"/>
        <v/>
      </c>
      <c r="B379" s="21"/>
      <c r="C379" s="21"/>
      <c r="D379" s="22" t="str">
        <f>IF($C379="","",IFERROR(VLOOKUP($C379,Map_Register!$A$2:$C$5,3,FALSE()),""))</f>
        <v/>
      </c>
      <c r="E379" s="21"/>
      <c r="F379" s="21"/>
      <c r="G379" s="21"/>
      <c r="H379" s="21"/>
      <c r="I379" s="21"/>
      <c r="J379" s="21"/>
      <c r="K379" s="21"/>
      <c r="L379" s="25"/>
      <c r="M379" s="21"/>
      <c r="N379" s="21"/>
      <c r="O379" s="21"/>
      <c r="P379" s="21"/>
    </row>
    <row r="380" spans="1:16" hidden="1" x14ac:dyDescent="0.3">
      <c r="A380" s="20" t="str">
        <f t="shared" si="5"/>
        <v/>
      </c>
      <c r="B380" s="21"/>
      <c r="C380" s="21"/>
      <c r="D380" s="22" t="str">
        <f>IF($C380="","",IFERROR(VLOOKUP($C380,Map_Register!$A$2:$C$5,3,FALSE()),""))</f>
        <v/>
      </c>
      <c r="E380" s="21"/>
      <c r="F380" s="21"/>
      <c r="G380" s="21"/>
      <c r="H380" s="21"/>
      <c r="I380" s="21"/>
      <c r="J380" s="21"/>
      <c r="K380" s="21"/>
      <c r="L380" s="25"/>
      <c r="M380" s="21"/>
      <c r="N380" s="21"/>
      <c r="O380" s="21"/>
      <c r="P380" s="21"/>
    </row>
    <row r="381" spans="1:16" hidden="1" x14ac:dyDescent="0.3">
      <c r="A381" s="20" t="str">
        <f t="shared" si="5"/>
        <v/>
      </c>
      <c r="B381" s="21"/>
      <c r="C381" s="21"/>
      <c r="D381" s="22" t="str">
        <f>IF($C381="","",IFERROR(VLOOKUP($C381,Map_Register!$A$2:$C$5,3,FALSE()),""))</f>
        <v/>
      </c>
      <c r="E381" s="21"/>
      <c r="F381" s="21"/>
      <c r="G381" s="21"/>
      <c r="H381" s="21"/>
      <c r="I381" s="21"/>
      <c r="J381" s="21"/>
      <c r="K381" s="21"/>
      <c r="L381" s="25"/>
      <c r="M381" s="21"/>
      <c r="N381" s="21"/>
      <c r="O381" s="21"/>
      <c r="P381" s="21"/>
    </row>
    <row r="382" spans="1:16" hidden="1" x14ac:dyDescent="0.3">
      <c r="A382" s="20" t="str">
        <f t="shared" si="5"/>
        <v/>
      </c>
      <c r="B382" s="21"/>
      <c r="C382" s="21"/>
      <c r="D382" s="22" t="str">
        <f>IF($C382="","",IFERROR(VLOOKUP($C382,Map_Register!$A$2:$C$5,3,FALSE()),""))</f>
        <v/>
      </c>
      <c r="E382" s="21"/>
      <c r="F382" s="21"/>
      <c r="G382" s="21"/>
      <c r="H382" s="21"/>
      <c r="I382" s="21"/>
      <c r="J382" s="21"/>
      <c r="K382" s="21"/>
      <c r="L382" s="25"/>
      <c r="M382" s="21"/>
      <c r="N382" s="21"/>
      <c r="O382" s="21"/>
      <c r="P382" s="21"/>
    </row>
    <row r="383" spans="1:16" hidden="1" x14ac:dyDescent="0.3">
      <c r="A383" s="20" t="str">
        <f t="shared" si="5"/>
        <v/>
      </c>
      <c r="B383" s="21"/>
      <c r="C383" s="21"/>
      <c r="D383" s="22" t="str">
        <f>IF($C383="","",IFERROR(VLOOKUP($C383,Map_Register!$A$2:$C$5,3,FALSE()),""))</f>
        <v/>
      </c>
      <c r="E383" s="21"/>
      <c r="F383" s="21"/>
      <c r="G383" s="21"/>
      <c r="H383" s="21"/>
      <c r="I383" s="21"/>
      <c r="J383" s="21"/>
      <c r="K383" s="21"/>
      <c r="L383" s="25"/>
      <c r="M383" s="21"/>
      <c r="N383" s="21"/>
      <c r="O383" s="21"/>
      <c r="P383" s="21"/>
    </row>
    <row r="384" spans="1:16" hidden="1" x14ac:dyDescent="0.3">
      <c r="A384" s="20" t="str">
        <f t="shared" si="5"/>
        <v/>
      </c>
      <c r="B384" s="21"/>
      <c r="C384" s="21"/>
      <c r="D384" s="22" t="str">
        <f>IF($C384="","",IFERROR(VLOOKUP($C384,Map_Register!$A$2:$C$5,3,FALSE()),""))</f>
        <v/>
      </c>
      <c r="E384" s="21"/>
      <c r="F384" s="21"/>
      <c r="G384" s="21"/>
      <c r="H384" s="21"/>
      <c r="I384" s="21"/>
      <c r="J384" s="21"/>
      <c r="K384" s="21"/>
      <c r="L384" s="25"/>
      <c r="M384" s="21"/>
      <c r="N384" s="21"/>
      <c r="O384" s="21"/>
      <c r="P384" s="21"/>
    </row>
    <row r="385" spans="1:16" hidden="1" x14ac:dyDescent="0.3">
      <c r="A385" s="20" t="str">
        <f t="shared" si="5"/>
        <v/>
      </c>
      <c r="B385" s="21"/>
      <c r="C385" s="21"/>
      <c r="D385" s="22" t="str">
        <f>IF($C385="","",IFERROR(VLOOKUP($C385,Map_Register!$A$2:$C$5,3,FALSE()),""))</f>
        <v/>
      </c>
      <c r="E385" s="21"/>
      <c r="F385" s="21"/>
      <c r="G385" s="21"/>
      <c r="H385" s="21"/>
      <c r="I385" s="21"/>
      <c r="J385" s="21"/>
      <c r="K385" s="21"/>
      <c r="L385" s="25"/>
      <c r="M385" s="21"/>
      <c r="N385" s="21"/>
      <c r="O385" s="21"/>
      <c r="P385" s="21"/>
    </row>
    <row r="386" spans="1:16" hidden="1" x14ac:dyDescent="0.3">
      <c r="A386" s="20" t="str">
        <f t="shared" ref="A386:A449" si="6">IF($B386="","",ROW()-1)</f>
        <v/>
      </c>
      <c r="B386" s="21"/>
      <c r="C386" s="21"/>
      <c r="D386" s="22" t="str">
        <f>IF($C386="","",IFERROR(VLOOKUP($C386,Map_Register!$A$2:$C$5,3,FALSE()),""))</f>
        <v/>
      </c>
      <c r="E386" s="21"/>
      <c r="F386" s="21"/>
      <c r="G386" s="21"/>
      <c r="H386" s="21"/>
      <c r="I386" s="21"/>
      <c r="J386" s="21"/>
      <c r="K386" s="21"/>
      <c r="L386" s="25"/>
      <c r="M386" s="21"/>
      <c r="N386" s="21"/>
      <c r="O386" s="21"/>
      <c r="P386" s="21"/>
    </row>
    <row r="387" spans="1:16" hidden="1" x14ac:dyDescent="0.3">
      <c r="A387" s="20" t="str">
        <f t="shared" si="6"/>
        <v/>
      </c>
      <c r="B387" s="21"/>
      <c r="C387" s="21"/>
      <c r="D387" s="22" t="str">
        <f>IF($C387="","",IFERROR(VLOOKUP($C387,Map_Register!$A$2:$C$5,3,FALSE()),""))</f>
        <v/>
      </c>
      <c r="E387" s="21"/>
      <c r="F387" s="21"/>
      <c r="G387" s="21"/>
      <c r="H387" s="21"/>
      <c r="I387" s="21"/>
      <c r="J387" s="21"/>
      <c r="K387" s="21"/>
      <c r="L387" s="25"/>
      <c r="M387" s="21"/>
      <c r="N387" s="21"/>
      <c r="O387" s="21"/>
      <c r="P387" s="21"/>
    </row>
    <row r="388" spans="1:16" hidden="1" x14ac:dyDescent="0.3">
      <c r="A388" s="20" t="str">
        <f t="shared" si="6"/>
        <v/>
      </c>
      <c r="B388" s="21"/>
      <c r="C388" s="21"/>
      <c r="D388" s="22" t="str">
        <f>IF($C388="","",IFERROR(VLOOKUP($C388,Map_Register!$A$2:$C$5,3,FALSE()),""))</f>
        <v/>
      </c>
      <c r="E388" s="21"/>
      <c r="F388" s="21"/>
      <c r="G388" s="21"/>
      <c r="H388" s="21"/>
      <c r="I388" s="21"/>
      <c r="J388" s="21"/>
      <c r="K388" s="21"/>
      <c r="L388" s="25"/>
      <c r="M388" s="21"/>
      <c r="N388" s="21"/>
      <c r="O388" s="21"/>
      <c r="P388" s="21"/>
    </row>
    <row r="389" spans="1:16" hidden="1" x14ac:dyDescent="0.3">
      <c r="A389" s="20" t="str">
        <f t="shared" si="6"/>
        <v/>
      </c>
      <c r="B389" s="21"/>
      <c r="C389" s="21"/>
      <c r="D389" s="22" t="str">
        <f>IF($C389="","",IFERROR(VLOOKUP($C389,Map_Register!$A$2:$C$5,3,FALSE()),""))</f>
        <v/>
      </c>
      <c r="E389" s="21"/>
      <c r="F389" s="21"/>
      <c r="G389" s="21"/>
      <c r="H389" s="21"/>
      <c r="I389" s="21"/>
      <c r="J389" s="21"/>
      <c r="K389" s="21"/>
      <c r="L389" s="25"/>
      <c r="M389" s="21"/>
      <c r="N389" s="21"/>
      <c r="O389" s="21"/>
      <c r="P389" s="21"/>
    </row>
    <row r="390" spans="1:16" hidden="1" x14ac:dyDescent="0.3">
      <c r="A390" s="20" t="str">
        <f t="shared" si="6"/>
        <v/>
      </c>
      <c r="B390" s="21"/>
      <c r="C390" s="21"/>
      <c r="D390" s="22" t="str">
        <f>IF($C390="","",IFERROR(VLOOKUP($C390,Map_Register!$A$2:$C$5,3,FALSE()),""))</f>
        <v/>
      </c>
      <c r="E390" s="21"/>
      <c r="F390" s="21"/>
      <c r="G390" s="21"/>
      <c r="H390" s="21"/>
      <c r="I390" s="21"/>
      <c r="J390" s="21"/>
      <c r="K390" s="21"/>
      <c r="L390" s="25"/>
      <c r="M390" s="21"/>
      <c r="N390" s="21"/>
      <c r="O390" s="21"/>
      <c r="P390" s="21"/>
    </row>
    <row r="391" spans="1:16" hidden="1" x14ac:dyDescent="0.3">
      <c r="A391" s="20" t="str">
        <f t="shared" si="6"/>
        <v/>
      </c>
      <c r="B391" s="21"/>
      <c r="C391" s="21"/>
      <c r="D391" s="22" t="str">
        <f>IF($C391="","",IFERROR(VLOOKUP($C391,Map_Register!$A$2:$C$5,3,FALSE()),""))</f>
        <v/>
      </c>
      <c r="E391" s="21"/>
      <c r="F391" s="21"/>
      <c r="G391" s="21"/>
      <c r="H391" s="21"/>
      <c r="I391" s="21"/>
      <c r="J391" s="21"/>
      <c r="K391" s="21"/>
      <c r="L391" s="25"/>
      <c r="M391" s="21"/>
      <c r="N391" s="21"/>
      <c r="O391" s="21"/>
      <c r="P391" s="21"/>
    </row>
    <row r="392" spans="1:16" hidden="1" x14ac:dyDescent="0.3">
      <c r="A392" s="20" t="str">
        <f t="shared" si="6"/>
        <v/>
      </c>
      <c r="B392" s="21"/>
      <c r="C392" s="21"/>
      <c r="D392" s="22" t="str">
        <f>IF($C392="","",IFERROR(VLOOKUP($C392,Map_Register!$A$2:$C$5,3,FALSE()),""))</f>
        <v/>
      </c>
      <c r="E392" s="21"/>
      <c r="F392" s="21"/>
      <c r="G392" s="21"/>
      <c r="H392" s="21"/>
      <c r="I392" s="21"/>
      <c r="J392" s="21"/>
      <c r="K392" s="21"/>
      <c r="L392" s="25"/>
      <c r="M392" s="21"/>
      <c r="N392" s="21"/>
      <c r="O392" s="21"/>
      <c r="P392" s="21"/>
    </row>
    <row r="393" spans="1:16" hidden="1" x14ac:dyDescent="0.3">
      <c r="A393" s="20" t="str">
        <f t="shared" si="6"/>
        <v/>
      </c>
      <c r="B393" s="21"/>
      <c r="C393" s="21"/>
      <c r="D393" s="22" t="str">
        <f>IF($C393="","",IFERROR(VLOOKUP($C393,Map_Register!$A$2:$C$5,3,FALSE()),""))</f>
        <v/>
      </c>
      <c r="E393" s="21"/>
      <c r="F393" s="21"/>
      <c r="G393" s="21"/>
      <c r="H393" s="21"/>
      <c r="I393" s="21"/>
      <c r="J393" s="21"/>
      <c r="K393" s="21"/>
      <c r="L393" s="25"/>
      <c r="M393" s="21"/>
      <c r="N393" s="21"/>
      <c r="O393" s="21"/>
      <c r="P393" s="21"/>
    </row>
    <row r="394" spans="1:16" hidden="1" x14ac:dyDescent="0.3">
      <c r="A394" s="20" t="str">
        <f t="shared" si="6"/>
        <v/>
      </c>
      <c r="B394" s="21"/>
      <c r="C394" s="21"/>
      <c r="D394" s="22" t="str">
        <f>IF($C394="","",IFERROR(VLOOKUP($C394,Map_Register!$A$2:$C$5,3,FALSE()),""))</f>
        <v/>
      </c>
      <c r="E394" s="21"/>
      <c r="F394" s="21"/>
      <c r="G394" s="21"/>
      <c r="H394" s="21"/>
      <c r="I394" s="21"/>
      <c r="J394" s="21"/>
      <c r="K394" s="21"/>
      <c r="L394" s="25"/>
      <c r="M394" s="21"/>
      <c r="N394" s="21"/>
      <c r="O394" s="21"/>
      <c r="P394" s="21"/>
    </row>
    <row r="395" spans="1:16" hidden="1" x14ac:dyDescent="0.3">
      <c r="A395" s="20" t="str">
        <f t="shared" si="6"/>
        <v/>
      </c>
      <c r="B395" s="21"/>
      <c r="C395" s="21"/>
      <c r="D395" s="22" t="str">
        <f>IF($C395="","",IFERROR(VLOOKUP($C395,Map_Register!$A$2:$C$5,3,FALSE()),""))</f>
        <v/>
      </c>
      <c r="E395" s="21"/>
      <c r="F395" s="21"/>
      <c r="G395" s="21"/>
      <c r="H395" s="21"/>
      <c r="I395" s="21"/>
      <c r="J395" s="21"/>
      <c r="K395" s="21"/>
      <c r="L395" s="25"/>
      <c r="M395" s="21"/>
      <c r="N395" s="21"/>
      <c r="O395" s="21"/>
      <c r="P395" s="21"/>
    </row>
    <row r="396" spans="1:16" hidden="1" x14ac:dyDescent="0.3">
      <c r="A396" s="20" t="str">
        <f t="shared" si="6"/>
        <v/>
      </c>
      <c r="B396" s="21"/>
      <c r="C396" s="21"/>
      <c r="D396" s="22" t="str">
        <f>IF($C396="","",IFERROR(VLOOKUP($C396,Map_Register!$A$2:$C$5,3,FALSE()),""))</f>
        <v/>
      </c>
      <c r="E396" s="21"/>
      <c r="F396" s="21"/>
      <c r="G396" s="21"/>
      <c r="H396" s="21"/>
      <c r="I396" s="21"/>
      <c r="J396" s="21"/>
      <c r="K396" s="21"/>
      <c r="L396" s="25"/>
      <c r="M396" s="21"/>
      <c r="N396" s="21"/>
      <c r="O396" s="21"/>
      <c r="P396" s="21"/>
    </row>
    <row r="397" spans="1:16" hidden="1" x14ac:dyDescent="0.3">
      <c r="A397" s="20" t="str">
        <f t="shared" si="6"/>
        <v/>
      </c>
      <c r="B397" s="21"/>
      <c r="C397" s="21"/>
      <c r="D397" s="22" t="str">
        <f>IF($C397="","",IFERROR(VLOOKUP($C397,Map_Register!$A$2:$C$5,3,FALSE()),""))</f>
        <v/>
      </c>
      <c r="E397" s="21"/>
      <c r="F397" s="21"/>
      <c r="G397" s="21"/>
      <c r="H397" s="21"/>
      <c r="I397" s="21"/>
      <c r="J397" s="21"/>
      <c r="K397" s="21"/>
      <c r="L397" s="25"/>
      <c r="M397" s="21"/>
      <c r="N397" s="21"/>
      <c r="O397" s="21"/>
      <c r="P397" s="21"/>
    </row>
    <row r="398" spans="1:16" hidden="1" x14ac:dyDescent="0.3">
      <c r="A398" s="20" t="str">
        <f t="shared" si="6"/>
        <v/>
      </c>
      <c r="B398" s="21"/>
      <c r="C398" s="21"/>
      <c r="D398" s="22" t="str">
        <f>IF($C398="","",IFERROR(VLOOKUP($C398,Map_Register!$A$2:$C$5,3,FALSE()),""))</f>
        <v/>
      </c>
      <c r="E398" s="21"/>
      <c r="F398" s="21"/>
      <c r="G398" s="21"/>
      <c r="H398" s="21"/>
      <c r="I398" s="21"/>
      <c r="J398" s="21"/>
      <c r="K398" s="21"/>
      <c r="L398" s="25"/>
      <c r="M398" s="21"/>
      <c r="N398" s="21"/>
      <c r="O398" s="21"/>
      <c r="P398" s="21"/>
    </row>
    <row r="399" spans="1:16" hidden="1" x14ac:dyDescent="0.3">
      <c r="A399" s="20" t="str">
        <f t="shared" si="6"/>
        <v/>
      </c>
      <c r="B399" s="21"/>
      <c r="C399" s="21"/>
      <c r="D399" s="22" t="str">
        <f>IF($C399="","",IFERROR(VLOOKUP($C399,Map_Register!$A$2:$C$5,3,FALSE()),""))</f>
        <v/>
      </c>
      <c r="E399" s="21"/>
      <c r="F399" s="21"/>
      <c r="G399" s="21"/>
      <c r="H399" s="21"/>
      <c r="I399" s="21"/>
      <c r="J399" s="21"/>
      <c r="K399" s="21"/>
      <c r="L399" s="25"/>
      <c r="M399" s="21"/>
      <c r="N399" s="21"/>
      <c r="O399" s="21"/>
      <c r="P399" s="21"/>
    </row>
    <row r="400" spans="1:16" hidden="1" x14ac:dyDescent="0.3">
      <c r="A400" s="20" t="str">
        <f t="shared" si="6"/>
        <v/>
      </c>
      <c r="B400" s="21"/>
      <c r="C400" s="21"/>
      <c r="D400" s="22" t="str">
        <f>IF($C400="","",IFERROR(VLOOKUP($C400,Map_Register!$A$2:$C$5,3,FALSE()),""))</f>
        <v/>
      </c>
      <c r="E400" s="21"/>
      <c r="F400" s="21"/>
      <c r="G400" s="21"/>
      <c r="H400" s="21"/>
      <c r="I400" s="21"/>
      <c r="J400" s="21"/>
      <c r="K400" s="21"/>
      <c r="L400" s="25"/>
      <c r="M400" s="21"/>
      <c r="N400" s="21"/>
      <c r="O400" s="21"/>
      <c r="P400" s="21"/>
    </row>
    <row r="401" spans="1:16" hidden="1" x14ac:dyDescent="0.3">
      <c r="A401" s="20" t="str">
        <f t="shared" si="6"/>
        <v/>
      </c>
      <c r="B401" s="21"/>
      <c r="C401" s="21"/>
      <c r="D401" s="22" t="str">
        <f>IF($C401="","",IFERROR(VLOOKUP($C401,Map_Register!$A$2:$C$5,3,FALSE()),""))</f>
        <v/>
      </c>
      <c r="E401" s="21"/>
      <c r="F401" s="21"/>
      <c r="G401" s="21"/>
      <c r="H401" s="21"/>
      <c r="I401" s="21"/>
      <c r="J401" s="21"/>
      <c r="K401" s="21"/>
      <c r="L401" s="25"/>
      <c r="M401" s="21"/>
      <c r="N401" s="21"/>
      <c r="O401" s="21"/>
      <c r="P401" s="21"/>
    </row>
    <row r="402" spans="1:16" hidden="1" x14ac:dyDescent="0.3">
      <c r="A402" s="20" t="str">
        <f t="shared" si="6"/>
        <v/>
      </c>
      <c r="B402" s="21"/>
      <c r="C402" s="21"/>
      <c r="D402" s="22" t="str">
        <f>IF($C402="","",IFERROR(VLOOKUP($C402,Map_Register!$A$2:$C$5,3,FALSE()),""))</f>
        <v/>
      </c>
      <c r="E402" s="21"/>
      <c r="F402" s="21"/>
      <c r="G402" s="21"/>
      <c r="H402" s="21"/>
      <c r="I402" s="21"/>
      <c r="J402" s="21"/>
      <c r="K402" s="21"/>
      <c r="L402" s="25"/>
      <c r="M402" s="21"/>
      <c r="N402" s="21"/>
      <c r="O402" s="21"/>
      <c r="P402" s="21"/>
    </row>
    <row r="403" spans="1:16" hidden="1" x14ac:dyDescent="0.3">
      <c r="A403" s="20" t="str">
        <f t="shared" si="6"/>
        <v/>
      </c>
      <c r="B403" s="21"/>
      <c r="C403" s="21"/>
      <c r="D403" s="22" t="str">
        <f>IF($C403="","",IFERROR(VLOOKUP($C403,Map_Register!$A$2:$C$5,3,FALSE()),""))</f>
        <v/>
      </c>
      <c r="E403" s="21"/>
      <c r="F403" s="21"/>
      <c r="G403" s="21"/>
      <c r="H403" s="21"/>
      <c r="I403" s="21"/>
      <c r="J403" s="21"/>
      <c r="K403" s="21"/>
      <c r="L403" s="25"/>
      <c r="M403" s="21"/>
      <c r="N403" s="21"/>
      <c r="O403" s="21"/>
      <c r="P403" s="21"/>
    </row>
    <row r="404" spans="1:16" hidden="1" x14ac:dyDescent="0.3">
      <c r="A404" s="20" t="str">
        <f t="shared" si="6"/>
        <v/>
      </c>
      <c r="B404" s="21"/>
      <c r="C404" s="21"/>
      <c r="D404" s="22" t="str">
        <f>IF($C404="","",IFERROR(VLOOKUP($C404,Map_Register!$A$2:$C$5,3,FALSE()),""))</f>
        <v/>
      </c>
      <c r="E404" s="21"/>
      <c r="F404" s="21"/>
      <c r="G404" s="21"/>
      <c r="H404" s="21"/>
      <c r="I404" s="21"/>
      <c r="J404" s="21"/>
      <c r="K404" s="21"/>
      <c r="L404" s="25"/>
      <c r="M404" s="21"/>
      <c r="N404" s="21"/>
      <c r="O404" s="21"/>
      <c r="P404" s="21"/>
    </row>
    <row r="405" spans="1:16" hidden="1" x14ac:dyDescent="0.3">
      <c r="A405" s="20" t="str">
        <f t="shared" si="6"/>
        <v/>
      </c>
      <c r="B405" s="21"/>
      <c r="C405" s="21"/>
      <c r="D405" s="22" t="str">
        <f>IF($C405="","",IFERROR(VLOOKUP($C405,Map_Register!$A$2:$C$5,3,FALSE()),""))</f>
        <v/>
      </c>
      <c r="E405" s="21"/>
      <c r="F405" s="21"/>
      <c r="G405" s="21"/>
      <c r="H405" s="21"/>
      <c r="I405" s="21"/>
      <c r="J405" s="21"/>
      <c r="K405" s="21"/>
      <c r="L405" s="25"/>
      <c r="M405" s="21"/>
      <c r="N405" s="21"/>
      <c r="O405" s="21"/>
      <c r="P405" s="21"/>
    </row>
    <row r="406" spans="1:16" hidden="1" x14ac:dyDescent="0.3">
      <c r="A406" s="20" t="str">
        <f t="shared" si="6"/>
        <v/>
      </c>
      <c r="B406" s="21"/>
      <c r="C406" s="21"/>
      <c r="D406" s="22" t="str">
        <f>IF($C406="","",IFERROR(VLOOKUP($C406,Map_Register!$A$2:$C$5,3,FALSE()),""))</f>
        <v/>
      </c>
      <c r="E406" s="21"/>
      <c r="F406" s="21"/>
      <c r="G406" s="21"/>
      <c r="H406" s="21"/>
      <c r="I406" s="21"/>
      <c r="J406" s="21"/>
      <c r="K406" s="21"/>
      <c r="L406" s="25"/>
      <c r="M406" s="21"/>
      <c r="N406" s="21"/>
      <c r="O406" s="21"/>
      <c r="P406" s="21"/>
    </row>
    <row r="407" spans="1:16" hidden="1" x14ac:dyDescent="0.3">
      <c r="A407" s="20" t="str">
        <f t="shared" si="6"/>
        <v/>
      </c>
      <c r="B407" s="21"/>
      <c r="C407" s="21"/>
      <c r="D407" s="22" t="str">
        <f>IF($C407="","",IFERROR(VLOOKUP($C407,Map_Register!$A$2:$C$5,3,FALSE()),""))</f>
        <v/>
      </c>
      <c r="E407" s="21"/>
      <c r="F407" s="21"/>
      <c r="G407" s="21"/>
      <c r="H407" s="21"/>
      <c r="I407" s="21"/>
      <c r="J407" s="21"/>
      <c r="K407" s="21"/>
      <c r="L407" s="25"/>
      <c r="M407" s="21"/>
      <c r="N407" s="21"/>
      <c r="O407" s="21"/>
      <c r="P407" s="21"/>
    </row>
    <row r="408" spans="1:16" hidden="1" x14ac:dyDescent="0.3">
      <c r="A408" s="20" t="str">
        <f t="shared" si="6"/>
        <v/>
      </c>
      <c r="B408" s="21"/>
      <c r="C408" s="21"/>
      <c r="D408" s="22" t="str">
        <f>IF($C408="","",IFERROR(VLOOKUP($C408,Map_Register!$A$2:$C$5,3,FALSE()),""))</f>
        <v/>
      </c>
      <c r="E408" s="21"/>
      <c r="F408" s="21"/>
      <c r="G408" s="21"/>
      <c r="H408" s="21"/>
      <c r="I408" s="21"/>
      <c r="J408" s="21"/>
      <c r="K408" s="21"/>
      <c r="L408" s="25"/>
      <c r="M408" s="21"/>
      <c r="N408" s="21"/>
      <c r="O408" s="21"/>
      <c r="P408" s="21"/>
    </row>
    <row r="409" spans="1:16" hidden="1" x14ac:dyDescent="0.3">
      <c r="A409" s="20" t="str">
        <f t="shared" si="6"/>
        <v/>
      </c>
      <c r="B409" s="21"/>
      <c r="C409" s="21"/>
      <c r="D409" s="22" t="str">
        <f>IF($C409="","",IFERROR(VLOOKUP($C409,Map_Register!$A$2:$C$5,3,FALSE()),""))</f>
        <v/>
      </c>
      <c r="E409" s="21"/>
      <c r="F409" s="21"/>
      <c r="G409" s="21"/>
      <c r="H409" s="21"/>
      <c r="I409" s="21"/>
      <c r="J409" s="21"/>
      <c r="K409" s="21"/>
      <c r="L409" s="25"/>
      <c r="M409" s="21"/>
      <c r="N409" s="21"/>
      <c r="O409" s="21"/>
      <c r="P409" s="21"/>
    </row>
    <row r="410" spans="1:16" hidden="1" x14ac:dyDescent="0.3">
      <c r="A410" s="20" t="str">
        <f t="shared" si="6"/>
        <v/>
      </c>
      <c r="B410" s="21"/>
      <c r="C410" s="21"/>
      <c r="D410" s="22" t="str">
        <f>IF($C410="","",IFERROR(VLOOKUP($C410,Map_Register!$A$2:$C$5,3,FALSE()),""))</f>
        <v/>
      </c>
      <c r="E410" s="21"/>
      <c r="F410" s="21"/>
      <c r="G410" s="21"/>
      <c r="H410" s="21"/>
      <c r="I410" s="21"/>
      <c r="J410" s="21"/>
      <c r="K410" s="21"/>
      <c r="L410" s="25"/>
      <c r="M410" s="21"/>
      <c r="N410" s="21"/>
      <c r="O410" s="21"/>
      <c r="P410" s="21"/>
    </row>
    <row r="411" spans="1:16" hidden="1" x14ac:dyDescent="0.3">
      <c r="A411" s="20" t="str">
        <f t="shared" si="6"/>
        <v/>
      </c>
      <c r="B411" s="21"/>
      <c r="C411" s="21"/>
      <c r="D411" s="22" t="str">
        <f>IF($C411="","",IFERROR(VLOOKUP($C411,Map_Register!$A$2:$C$5,3,FALSE()),""))</f>
        <v/>
      </c>
      <c r="E411" s="21"/>
      <c r="F411" s="21"/>
      <c r="G411" s="21"/>
      <c r="H411" s="21"/>
      <c r="I411" s="21"/>
      <c r="J411" s="21"/>
      <c r="K411" s="21"/>
      <c r="L411" s="25"/>
      <c r="M411" s="21"/>
      <c r="N411" s="21"/>
      <c r="O411" s="21"/>
      <c r="P411" s="21"/>
    </row>
    <row r="412" spans="1:16" hidden="1" x14ac:dyDescent="0.3">
      <c r="A412" s="20" t="str">
        <f t="shared" si="6"/>
        <v/>
      </c>
      <c r="B412" s="21"/>
      <c r="C412" s="21"/>
      <c r="D412" s="22" t="str">
        <f>IF($C412="","",IFERROR(VLOOKUP($C412,Map_Register!$A$2:$C$5,3,FALSE()),""))</f>
        <v/>
      </c>
      <c r="E412" s="21"/>
      <c r="F412" s="21"/>
      <c r="G412" s="21"/>
      <c r="H412" s="21"/>
      <c r="I412" s="21"/>
      <c r="J412" s="21"/>
      <c r="K412" s="21"/>
      <c r="L412" s="25"/>
      <c r="M412" s="21"/>
      <c r="N412" s="21"/>
      <c r="O412" s="21"/>
      <c r="P412" s="21"/>
    </row>
    <row r="413" spans="1:16" hidden="1" x14ac:dyDescent="0.3">
      <c r="A413" s="20" t="str">
        <f t="shared" si="6"/>
        <v/>
      </c>
      <c r="B413" s="21"/>
      <c r="C413" s="21"/>
      <c r="D413" s="22" t="str">
        <f>IF($C413="","",IFERROR(VLOOKUP($C413,Map_Register!$A$2:$C$5,3,FALSE()),""))</f>
        <v/>
      </c>
      <c r="E413" s="21"/>
      <c r="F413" s="21"/>
      <c r="G413" s="21"/>
      <c r="H413" s="21"/>
      <c r="I413" s="21"/>
      <c r="J413" s="21"/>
      <c r="K413" s="21"/>
      <c r="L413" s="25"/>
      <c r="M413" s="21"/>
      <c r="N413" s="21"/>
      <c r="O413" s="21"/>
      <c r="P413" s="21"/>
    </row>
    <row r="414" spans="1:16" hidden="1" x14ac:dyDescent="0.3">
      <c r="A414" s="20" t="str">
        <f t="shared" si="6"/>
        <v/>
      </c>
      <c r="B414" s="21"/>
      <c r="C414" s="21"/>
      <c r="D414" s="22" t="str">
        <f>IF($C414="","",IFERROR(VLOOKUP($C414,Map_Register!$A$2:$C$5,3,FALSE()),""))</f>
        <v/>
      </c>
      <c r="E414" s="21"/>
      <c r="F414" s="21"/>
      <c r="G414" s="21"/>
      <c r="H414" s="21"/>
      <c r="I414" s="21"/>
      <c r="J414" s="21"/>
      <c r="K414" s="21"/>
      <c r="L414" s="25"/>
      <c r="M414" s="21"/>
      <c r="N414" s="21"/>
      <c r="O414" s="21"/>
      <c r="P414" s="21"/>
    </row>
    <row r="415" spans="1:16" hidden="1" x14ac:dyDescent="0.3">
      <c r="A415" s="20" t="str">
        <f t="shared" si="6"/>
        <v/>
      </c>
      <c r="B415" s="21"/>
      <c r="C415" s="21"/>
      <c r="D415" s="22" t="str">
        <f>IF($C415="","",IFERROR(VLOOKUP($C415,Map_Register!$A$2:$C$5,3,FALSE()),""))</f>
        <v/>
      </c>
      <c r="E415" s="21"/>
      <c r="F415" s="21"/>
      <c r="G415" s="21"/>
      <c r="H415" s="21"/>
      <c r="I415" s="21"/>
      <c r="J415" s="21"/>
      <c r="K415" s="21"/>
      <c r="L415" s="25"/>
      <c r="M415" s="21"/>
      <c r="N415" s="21"/>
      <c r="O415" s="21"/>
      <c r="P415" s="21"/>
    </row>
    <row r="416" spans="1:16" hidden="1" x14ac:dyDescent="0.3">
      <c r="A416" s="20" t="str">
        <f t="shared" si="6"/>
        <v/>
      </c>
      <c r="B416" s="21"/>
      <c r="C416" s="21"/>
      <c r="D416" s="22" t="str">
        <f>IF($C416="","",IFERROR(VLOOKUP($C416,Map_Register!$A$2:$C$5,3,FALSE()),""))</f>
        <v/>
      </c>
      <c r="E416" s="21"/>
      <c r="F416" s="21"/>
      <c r="G416" s="21"/>
      <c r="H416" s="21"/>
      <c r="I416" s="21"/>
      <c r="J416" s="21"/>
      <c r="K416" s="21"/>
      <c r="L416" s="25"/>
      <c r="M416" s="21"/>
      <c r="N416" s="21"/>
      <c r="O416" s="21"/>
      <c r="P416" s="21"/>
    </row>
    <row r="417" spans="1:16" hidden="1" x14ac:dyDescent="0.3">
      <c r="A417" s="20" t="str">
        <f t="shared" si="6"/>
        <v/>
      </c>
      <c r="B417" s="21"/>
      <c r="C417" s="21"/>
      <c r="D417" s="22" t="str">
        <f>IF($C417="","",IFERROR(VLOOKUP($C417,Map_Register!$A$2:$C$5,3,FALSE()),""))</f>
        <v/>
      </c>
      <c r="E417" s="21"/>
      <c r="F417" s="21"/>
      <c r="G417" s="21"/>
      <c r="H417" s="21"/>
      <c r="I417" s="21"/>
      <c r="J417" s="21"/>
      <c r="K417" s="21"/>
      <c r="L417" s="25"/>
      <c r="M417" s="21"/>
      <c r="N417" s="21"/>
      <c r="O417" s="21"/>
      <c r="P417" s="21"/>
    </row>
    <row r="418" spans="1:16" hidden="1" x14ac:dyDescent="0.3">
      <c r="A418" s="20" t="str">
        <f t="shared" si="6"/>
        <v/>
      </c>
      <c r="B418" s="21"/>
      <c r="C418" s="21"/>
      <c r="D418" s="22" t="str">
        <f>IF($C418="","",IFERROR(VLOOKUP($C418,Map_Register!$A$2:$C$5,3,FALSE()),""))</f>
        <v/>
      </c>
      <c r="E418" s="21"/>
      <c r="F418" s="21"/>
      <c r="G418" s="21"/>
      <c r="H418" s="21"/>
      <c r="I418" s="21"/>
      <c r="J418" s="21"/>
      <c r="K418" s="21"/>
      <c r="L418" s="25"/>
      <c r="M418" s="21"/>
      <c r="N418" s="21"/>
      <c r="O418" s="21"/>
      <c r="P418" s="21"/>
    </row>
    <row r="419" spans="1:16" hidden="1" x14ac:dyDescent="0.3">
      <c r="A419" s="20" t="str">
        <f t="shared" si="6"/>
        <v/>
      </c>
      <c r="B419" s="21"/>
      <c r="C419" s="21"/>
      <c r="D419" s="22" t="str">
        <f>IF($C419="","",IFERROR(VLOOKUP($C419,Map_Register!$A$2:$C$5,3,FALSE()),""))</f>
        <v/>
      </c>
      <c r="E419" s="21"/>
      <c r="F419" s="21"/>
      <c r="G419" s="21"/>
      <c r="H419" s="21"/>
      <c r="I419" s="21"/>
      <c r="J419" s="21"/>
      <c r="K419" s="21"/>
      <c r="L419" s="25"/>
      <c r="M419" s="21"/>
      <c r="N419" s="21"/>
      <c r="O419" s="21"/>
      <c r="P419" s="21"/>
    </row>
    <row r="420" spans="1:16" hidden="1" x14ac:dyDescent="0.3">
      <c r="A420" s="20" t="str">
        <f t="shared" si="6"/>
        <v/>
      </c>
      <c r="B420" s="21"/>
      <c r="C420" s="21"/>
      <c r="D420" s="22" t="str">
        <f>IF($C420="","",IFERROR(VLOOKUP($C420,Map_Register!$A$2:$C$5,3,FALSE()),""))</f>
        <v/>
      </c>
      <c r="E420" s="21"/>
      <c r="F420" s="21"/>
      <c r="G420" s="21"/>
      <c r="H420" s="21"/>
      <c r="I420" s="21"/>
      <c r="J420" s="21"/>
      <c r="K420" s="21"/>
      <c r="L420" s="25"/>
      <c r="M420" s="21"/>
      <c r="N420" s="21"/>
      <c r="O420" s="21"/>
      <c r="P420" s="21"/>
    </row>
    <row r="421" spans="1:16" hidden="1" x14ac:dyDescent="0.3">
      <c r="A421" s="20" t="str">
        <f t="shared" si="6"/>
        <v/>
      </c>
      <c r="B421" s="21"/>
      <c r="C421" s="21"/>
      <c r="D421" s="22" t="str">
        <f>IF($C421="","",IFERROR(VLOOKUP($C421,Map_Register!$A$2:$C$5,3,FALSE()),""))</f>
        <v/>
      </c>
      <c r="E421" s="21"/>
      <c r="F421" s="21"/>
      <c r="G421" s="21"/>
      <c r="H421" s="21"/>
      <c r="I421" s="21"/>
      <c r="J421" s="21"/>
      <c r="K421" s="21"/>
      <c r="L421" s="25"/>
      <c r="M421" s="21"/>
      <c r="N421" s="21"/>
      <c r="O421" s="21"/>
      <c r="P421" s="21"/>
    </row>
    <row r="422" spans="1:16" hidden="1" x14ac:dyDescent="0.3">
      <c r="A422" s="20" t="str">
        <f t="shared" si="6"/>
        <v/>
      </c>
      <c r="B422" s="21"/>
      <c r="C422" s="21"/>
      <c r="D422" s="22" t="str">
        <f>IF($C422="","",IFERROR(VLOOKUP($C422,Map_Register!$A$2:$C$5,3,FALSE()),""))</f>
        <v/>
      </c>
      <c r="E422" s="21"/>
      <c r="F422" s="21"/>
      <c r="G422" s="21"/>
      <c r="H422" s="21"/>
      <c r="I422" s="21"/>
      <c r="J422" s="21"/>
      <c r="K422" s="21"/>
      <c r="L422" s="25"/>
      <c r="M422" s="21"/>
      <c r="N422" s="21"/>
      <c r="O422" s="21"/>
      <c r="P422" s="21"/>
    </row>
    <row r="423" spans="1:16" hidden="1" x14ac:dyDescent="0.3">
      <c r="A423" s="20" t="str">
        <f t="shared" si="6"/>
        <v/>
      </c>
      <c r="B423" s="21"/>
      <c r="C423" s="21"/>
      <c r="D423" s="22" t="str">
        <f>IF($C423="","",IFERROR(VLOOKUP($C423,Map_Register!$A$2:$C$5,3,FALSE()),""))</f>
        <v/>
      </c>
      <c r="E423" s="21"/>
      <c r="F423" s="21"/>
      <c r="G423" s="21"/>
      <c r="H423" s="21"/>
      <c r="I423" s="21"/>
      <c r="J423" s="21"/>
      <c r="K423" s="21"/>
      <c r="L423" s="25"/>
      <c r="M423" s="21"/>
      <c r="N423" s="21"/>
      <c r="O423" s="21"/>
      <c r="P423" s="21"/>
    </row>
    <row r="424" spans="1:16" hidden="1" x14ac:dyDescent="0.3">
      <c r="A424" s="20" t="str">
        <f t="shared" si="6"/>
        <v/>
      </c>
      <c r="B424" s="21"/>
      <c r="C424" s="21"/>
      <c r="D424" s="22" t="str">
        <f>IF($C424="","",IFERROR(VLOOKUP($C424,Map_Register!$A$2:$C$5,3,FALSE()),""))</f>
        <v/>
      </c>
      <c r="E424" s="21"/>
      <c r="F424" s="21"/>
      <c r="G424" s="21"/>
      <c r="H424" s="21"/>
      <c r="I424" s="21"/>
      <c r="J424" s="21"/>
      <c r="K424" s="21"/>
      <c r="L424" s="25"/>
      <c r="M424" s="21"/>
      <c r="N424" s="21"/>
      <c r="O424" s="21"/>
      <c r="P424" s="21"/>
    </row>
    <row r="425" spans="1:16" hidden="1" x14ac:dyDescent="0.3">
      <c r="A425" s="20" t="str">
        <f t="shared" si="6"/>
        <v/>
      </c>
      <c r="B425" s="21"/>
      <c r="C425" s="21"/>
      <c r="D425" s="22" t="str">
        <f>IF($C425="","",IFERROR(VLOOKUP($C425,Map_Register!$A$2:$C$5,3,FALSE()),""))</f>
        <v/>
      </c>
      <c r="E425" s="21"/>
      <c r="F425" s="21"/>
      <c r="G425" s="21"/>
      <c r="H425" s="21"/>
      <c r="I425" s="21"/>
      <c r="J425" s="21"/>
      <c r="K425" s="21"/>
      <c r="L425" s="25"/>
      <c r="M425" s="21"/>
      <c r="N425" s="21"/>
      <c r="O425" s="21"/>
      <c r="P425" s="21"/>
    </row>
    <row r="426" spans="1:16" hidden="1" x14ac:dyDescent="0.3">
      <c r="A426" s="20" t="str">
        <f t="shared" si="6"/>
        <v/>
      </c>
      <c r="B426" s="21"/>
      <c r="C426" s="21"/>
      <c r="D426" s="22" t="str">
        <f>IF($C426="","",IFERROR(VLOOKUP($C426,Map_Register!$A$2:$C$5,3,FALSE()),""))</f>
        <v/>
      </c>
      <c r="E426" s="21"/>
      <c r="F426" s="21"/>
      <c r="G426" s="21"/>
      <c r="H426" s="21"/>
      <c r="I426" s="21"/>
      <c r="J426" s="21"/>
      <c r="K426" s="21"/>
      <c r="L426" s="25"/>
      <c r="M426" s="21"/>
      <c r="N426" s="21"/>
      <c r="O426" s="21"/>
      <c r="P426" s="21"/>
    </row>
    <row r="427" spans="1:16" hidden="1" x14ac:dyDescent="0.3">
      <c r="A427" s="20" t="str">
        <f t="shared" si="6"/>
        <v/>
      </c>
      <c r="B427" s="21"/>
      <c r="C427" s="21"/>
      <c r="D427" s="22" t="str">
        <f>IF($C427="","",IFERROR(VLOOKUP($C427,Map_Register!$A$2:$C$5,3,FALSE()),""))</f>
        <v/>
      </c>
      <c r="E427" s="21"/>
      <c r="F427" s="21"/>
      <c r="G427" s="21"/>
      <c r="H427" s="21"/>
      <c r="I427" s="21"/>
      <c r="J427" s="21"/>
      <c r="K427" s="21"/>
      <c r="L427" s="25"/>
      <c r="M427" s="21"/>
      <c r="N427" s="21"/>
      <c r="O427" s="21"/>
      <c r="P427" s="21"/>
    </row>
    <row r="428" spans="1:16" hidden="1" x14ac:dyDescent="0.3">
      <c r="A428" s="20" t="str">
        <f t="shared" si="6"/>
        <v/>
      </c>
      <c r="B428" s="21"/>
      <c r="C428" s="21"/>
      <c r="D428" s="22" t="str">
        <f>IF($C428="","",IFERROR(VLOOKUP($C428,Map_Register!$A$2:$C$5,3,FALSE()),""))</f>
        <v/>
      </c>
      <c r="E428" s="21"/>
      <c r="F428" s="21"/>
      <c r="G428" s="21"/>
      <c r="H428" s="21"/>
      <c r="I428" s="21"/>
      <c r="J428" s="21"/>
      <c r="K428" s="21"/>
      <c r="L428" s="25"/>
      <c r="M428" s="21"/>
      <c r="N428" s="21"/>
      <c r="O428" s="21"/>
      <c r="P428" s="21"/>
    </row>
    <row r="429" spans="1:16" hidden="1" x14ac:dyDescent="0.3">
      <c r="A429" s="20" t="str">
        <f t="shared" si="6"/>
        <v/>
      </c>
      <c r="B429" s="21"/>
      <c r="C429" s="21"/>
      <c r="D429" s="22" t="str">
        <f>IF($C429="","",IFERROR(VLOOKUP($C429,Map_Register!$A$2:$C$5,3,FALSE()),""))</f>
        <v/>
      </c>
      <c r="E429" s="21"/>
      <c r="F429" s="21"/>
      <c r="G429" s="21"/>
      <c r="H429" s="21"/>
      <c r="I429" s="21"/>
      <c r="J429" s="21"/>
      <c r="K429" s="21"/>
      <c r="L429" s="25"/>
      <c r="M429" s="21"/>
      <c r="N429" s="21"/>
      <c r="O429" s="21"/>
      <c r="P429" s="21"/>
    </row>
    <row r="430" spans="1:16" hidden="1" x14ac:dyDescent="0.3">
      <c r="A430" s="20" t="str">
        <f t="shared" si="6"/>
        <v/>
      </c>
      <c r="B430" s="21"/>
      <c r="C430" s="21"/>
      <c r="D430" s="22" t="str">
        <f>IF($C430="","",IFERROR(VLOOKUP($C430,Map_Register!$A$2:$C$5,3,FALSE()),""))</f>
        <v/>
      </c>
      <c r="E430" s="21"/>
      <c r="F430" s="21"/>
      <c r="G430" s="21"/>
      <c r="H430" s="21"/>
      <c r="I430" s="21"/>
      <c r="J430" s="21"/>
      <c r="K430" s="21"/>
      <c r="L430" s="25"/>
      <c r="M430" s="21"/>
      <c r="N430" s="21"/>
      <c r="O430" s="21"/>
      <c r="P430" s="21"/>
    </row>
    <row r="431" spans="1:16" hidden="1" x14ac:dyDescent="0.3">
      <c r="A431" s="20" t="str">
        <f t="shared" si="6"/>
        <v/>
      </c>
      <c r="B431" s="21"/>
      <c r="C431" s="21"/>
      <c r="D431" s="22" t="str">
        <f>IF($C431="","",IFERROR(VLOOKUP($C431,Map_Register!$A$2:$C$5,3,FALSE()),""))</f>
        <v/>
      </c>
      <c r="E431" s="21"/>
      <c r="F431" s="21"/>
      <c r="G431" s="21"/>
      <c r="H431" s="21"/>
      <c r="I431" s="21"/>
      <c r="J431" s="21"/>
      <c r="K431" s="21"/>
      <c r="L431" s="25"/>
      <c r="M431" s="21"/>
      <c r="N431" s="21"/>
      <c r="O431" s="21"/>
      <c r="P431" s="21"/>
    </row>
    <row r="432" spans="1:16" hidden="1" x14ac:dyDescent="0.3">
      <c r="A432" s="20" t="str">
        <f t="shared" si="6"/>
        <v/>
      </c>
      <c r="B432" s="21"/>
      <c r="C432" s="21"/>
      <c r="D432" s="22" t="str">
        <f>IF($C432="","",IFERROR(VLOOKUP($C432,Map_Register!$A$2:$C$5,3,FALSE()),""))</f>
        <v/>
      </c>
      <c r="E432" s="21"/>
      <c r="F432" s="21"/>
      <c r="G432" s="21"/>
      <c r="H432" s="21"/>
      <c r="I432" s="21"/>
      <c r="J432" s="21"/>
      <c r="K432" s="21"/>
      <c r="L432" s="25"/>
      <c r="M432" s="21"/>
      <c r="N432" s="21"/>
      <c r="O432" s="21"/>
      <c r="P432" s="21"/>
    </row>
    <row r="433" spans="1:16" hidden="1" x14ac:dyDescent="0.3">
      <c r="A433" s="20" t="str">
        <f t="shared" si="6"/>
        <v/>
      </c>
      <c r="B433" s="21"/>
      <c r="C433" s="21"/>
      <c r="D433" s="22" t="str">
        <f>IF($C433="","",IFERROR(VLOOKUP($C433,Map_Register!$A$2:$C$5,3,FALSE()),""))</f>
        <v/>
      </c>
      <c r="E433" s="21"/>
      <c r="F433" s="21"/>
      <c r="G433" s="21"/>
      <c r="H433" s="21"/>
      <c r="I433" s="21"/>
      <c r="J433" s="21"/>
      <c r="K433" s="21"/>
      <c r="L433" s="25"/>
      <c r="M433" s="21"/>
      <c r="N433" s="21"/>
      <c r="O433" s="21"/>
      <c r="P433" s="21"/>
    </row>
    <row r="434" spans="1:16" hidden="1" x14ac:dyDescent="0.3">
      <c r="A434" s="20" t="str">
        <f t="shared" si="6"/>
        <v/>
      </c>
      <c r="B434" s="21"/>
      <c r="C434" s="21"/>
      <c r="D434" s="22" t="str">
        <f>IF($C434="","",IFERROR(VLOOKUP($C434,Map_Register!$A$2:$C$5,3,FALSE()),""))</f>
        <v/>
      </c>
      <c r="E434" s="21"/>
      <c r="F434" s="21"/>
      <c r="G434" s="21"/>
      <c r="H434" s="21"/>
      <c r="I434" s="21"/>
      <c r="J434" s="21"/>
      <c r="K434" s="21"/>
      <c r="L434" s="25"/>
      <c r="M434" s="21"/>
      <c r="N434" s="21"/>
      <c r="O434" s="21"/>
      <c r="P434" s="21"/>
    </row>
    <row r="435" spans="1:16" hidden="1" x14ac:dyDescent="0.3">
      <c r="A435" s="20" t="str">
        <f t="shared" si="6"/>
        <v/>
      </c>
      <c r="B435" s="21"/>
      <c r="C435" s="21"/>
      <c r="D435" s="22" t="str">
        <f>IF($C435="","",IFERROR(VLOOKUP($C435,Map_Register!$A$2:$C$5,3,FALSE()),""))</f>
        <v/>
      </c>
      <c r="E435" s="21"/>
      <c r="F435" s="21"/>
      <c r="G435" s="21"/>
      <c r="H435" s="21"/>
      <c r="I435" s="21"/>
      <c r="J435" s="21"/>
      <c r="K435" s="21"/>
      <c r="L435" s="25"/>
      <c r="M435" s="21"/>
      <c r="N435" s="21"/>
      <c r="O435" s="21"/>
      <c r="P435" s="21"/>
    </row>
    <row r="436" spans="1:16" hidden="1" x14ac:dyDescent="0.3">
      <c r="A436" s="20" t="str">
        <f t="shared" si="6"/>
        <v/>
      </c>
      <c r="B436" s="21"/>
      <c r="C436" s="21"/>
      <c r="D436" s="22" t="str">
        <f>IF($C436="","",IFERROR(VLOOKUP($C436,Map_Register!$A$2:$C$5,3,FALSE()),""))</f>
        <v/>
      </c>
      <c r="E436" s="21"/>
      <c r="F436" s="21"/>
      <c r="G436" s="21"/>
      <c r="H436" s="21"/>
      <c r="I436" s="21"/>
      <c r="J436" s="21"/>
      <c r="K436" s="21"/>
      <c r="L436" s="25"/>
      <c r="M436" s="21"/>
      <c r="N436" s="21"/>
      <c r="O436" s="21"/>
      <c r="P436" s="21"/>
    </row>
    <row r="437" spans="1:16" hidden="1" x14ac:dyDescent="0.3">
      <c r="A437" s="20" t="str">
        <f t="shared" si="6"/>
        <v/>
      </c>
      <c r="B437" s="21"/>
      <c r="C437" s="21"/>
      <c r="D437" s="22" t="str">
        <f>IF($C437="","",IFERROR(VLOOKUP($C437,Map_Register!$A$2:$C$5,3,FALSE()),""))</f>
        <v/>
      </c>
      <c r="E437" s="21"/>
      <c r="F437" s="21"/>
      <c r="G437" s="21"/>
      <c r="H437" s="21"/>
      <c r="I437" s="21"/>
      <c r="J437" s="21"/>
      <c r="K437" s="21"/>
      <c r="L437" s="25"/>
      <c r="M437" s="21"/>
      <c r="N437" s="21"/>
      <c r="O437" s="21"/>
      <c r="P437" s="21"/>
    </row>
    <row r="438" spans="1:16" hidden="1" x14ac:dyDescent="0.3">
      <c r="A438" s="20" t="str">
        <f t="shared" si="6"/>
        <v/>
      </c>
      <c r="B438" s="21"/>
      <c r="C438" s="21"/>
      <c r="D438" s="22" t="str">
        <f>IF($C438="","",IFERROR(VLOOKUP($C438,Map_Register!$A$2:$C$5,3,FALSE()),""))</f>
        <v/>
      </c>
      <c r="E438" s="21"/>
      <c r="F438" s="21"/>
      <c r="G438" s="21"/>
      <c r="H438" s="21"/>
      <c r="I438" s="21"/>
      <c r="J438" s="21"/>
      <c r="K438" s="21"/>
      <c r="L438" s="25"/>
      <c r="M438" s="21"/>
      <c r="N438" s="21"/>
      <c r="O438" s="21"/>
      <c r="P438" s="21"/>
    </row>
    <row r="439" spans="1:16" hidden="1" x14ac:dyDescent="0.3">
      <c r="A439" s="20" t="str">
        <f t="shared" si="6"/>
        <v/>
      </c>
      <c r="B439" s="21"/>
      <c r="C439" s="21"/>
      <c r="D439" s="22" t="str">
        <f>IF($C439="","",IFERROR(VLOOKUP($C439,Map_Register!$A$2:$C$5,3,FALSE()),""))</f>
        <v/>
      </c>
      <c r="E439" s="21"/>
      <c r="F439" s="21"/>
      <c r="G439" s="21"/>
      <c r="H439" s="21"/>
      <c r="I439" s="21"/>
      <c r="J439" s="21"/>
      <c r="K439" s="21"/>
      <c r="L439" s="25"/>
      <c r="M439" s="21"/>
      <c r="N439" s="21"/>
      <c r="O439" s="21"/>
      <c r="P439" s="21"/>
    </row>
    <row r="440" spans="1:16" hidden="1" x14ac:dyDescent="0.3">
      <c r="A440" s="20" t="str">
        <f t="shared" si="6"/>
        <v/>
      </c>
      <c r="B440" s="21"/>
      <c r="C440" s="21"/>
      <c r="D440" s="22" t="str">
        <f>IF($C440="","",IFERROR(VLOOKUP($C440,Map_Register!$A$2:$C$5,3,FALSE()),""))</f>
        <v/>
      </c>
      <c r="E440" s="21"/>
      <c r="F440" s="21"/>
      <c r="G440" s="21"/>
      <c r="H440" s="21"/>
      <c r="I440" s="21"/>
      <c r="J440" s="21"/>
      <c r="K440" s="21"/>
      <c r="L440" s="25"/>
      <c r="M440" s="21"/>
      <c r="N440" s="21"/>
      <c r="O440" s="21"/>
      <c r="P440" s="21"/>
    </row>
    <row r="441" spans="1:16" hidden="1" x14ac:dyDescent="0.3">
      <c r="A441" s="20" t="str">
        <f t="shared" si="6"/>
        <v/>
      </c>
      <c r="B441" s="21"/>
      <c r="C441" s="21"/>
      <c r="D441" s="22" t="str">
        <f>IF($C441="","",IFERROR(VLOOKUP($C441,Map_Register!$A$2:$C$5,3,FALSE()),""))</f>
        <v/>
      </c>
      <c r="E441" s="21"/>
      <c r="F441" s="21"/>
      <c r="G441" s="21"/>
      <c r="H441" s="21"/>
      <c r="I441" s="21"/>
      <c r="J441" s="21"/>
      <c r="K441" s="21"/>
      <c r="L441" s="25"/>
      <c r="M441" s="21"/>
      <c r="N441" s="21"/>
      <c r="O441" s="21"/>
      <c r="P441" s="21"/>
    </row>
    <row r="442" spans="1:16" hidden="1" x14ac:dyDescent="0.3">
      <c r="A442" s="20" t="str">
        <f t="shared" si="6"/>
        <v/>
      </c>
      <c r="B442" s="21"/>
      <c r="C442" s="21"/>
      <c r="D442" s="22" t="str">
        <f>IF($C442="","",IFERROR(VLOOKUP($C442,Map_Register!$A$2:$C$5,3,FALSE()),""))</f>
        <v/>
      </c>
      <c r="E442" s="21"/>
      <c r="F442" s="21"/>
      <c r="G442" s="21"/>
      <c r="H442" s="21"/>
      <c r="I442" s="21"/>
      <c r="J442" s="21"/>
      <c r="K442" s="21"/>
      <c r="L442" s="25"/>
      <c r="M442" s="21"/>
      <c r="N442" s="21"/>
      <c r="O442" s="21"/>
      <c r="P442" s="21"/>
    </row>
    <row r="443" spans="1:16" hidden="1" x14ac:dyDescent="0.3">
      <c r="A443" s="20" t="str">
        <f t="shared" si="6"/>
        <v/>
      </c>
      <c r="B443" s="21"/>
      <c r="C443" s="21"/>
      <c r="D443" s="22" t="str">
        <f>IF($C443="","",IFERROR(VLOOKUP($C443,Map_Register!$A$2:$C$5,3,FALSE()),""))</f>
        <v/>
      </c>
      <c r="E443" s="21"/>
      <c r="F443" s="21"/>
      <c r="G443" s="21"/>
      <c r="H443" s="21"/>
      <c r="I443" s="21"/>
      <c r="J443" s="21"/>
      <c r="K443" s="21"/>
      <c r="L443" s="25"/>
      <c r="M443" s="21"/>
      <c r="N443" s="21"/>
      <c r="O443" s="21"/>
      <c r="P443" s="21"/>
    </row>
    <row r="444" spans="1:16" hidden="1" x14ac:dyDescent="0.3">
      <c r="A444" s="20" t="str">
        <f t="shared" si="6"/>
        <v/>
      </c>
      <c r="B444" s="21"/>
      <c r="C444" s="21"/>
      <c r="D444" s="22" t="str">
        <f>IF($C444="","",IFERROR(VLOOKUP($C444,Map_Register!$A$2:$C$5,3,FALSE()),""))</f>
        <v/>
      </c>
      <c r="E444" s="21"/>
      <c r="F444" s="21"/>
      <c r="G444" s="21"/>
      <c r="H444" s="21"/>
      <c r="I444" s="21"/>
      <c r="J444" s="21"/>
      <c r="K444" s="21"/>
      <c r="L444" s="25"/>
      <c r="M444" s="21"/>
      <c r="N444" s="21"/>
      <c r="O444" s="21"/>
      <c r="P444" s="21"/>
    </row>
    <row r="445" spans="1:16" hidden="1" x14ac:dyDescent="0.3">
      <c r="A445" s="20" t="str">
        <f t="shared" si="6"/>
        <v/>
      </c>
      <c r="B445" s="21"/>
      <c r="C445" s="21"/>
      <c r="D445" s="22" t="str">
        <f>IF($C445="","",IFERROR(VLOOKUP($C445,Map_Register!$A$2:$C$5,3,FALSE()),""))</f>
        <v/>
      </c>
      <c r="E445" s="21"/>
      <c r="F445" s="21"/>
      <c r="G445" s="21"/>
      <c r="H445" s="21"/>
      <c r="I445" s="21"/>
      <c r="J445" s="21"/>
      <c r="K445" s="21"/>
      <c r="L445" s="25"/>
      <c r="M445" s="21"/>
      <c r="N445" s="21"/>
      <c r="O445" s="21"/>
      <c r="P445" s="21"/>
    </row>
    <row r="446" spans="1:16" hidden="1" x14ac:dyDescent="0.3">
      <c r="A446" s="20" t="str">
        <f t="shared" si="6"/>
        <v/>
      </c>
      <c r="B446" s="21"/>
      <c r="C446" s="21"/>
      <c r="D446" s="22" t="str">
        <f>IF($C446="","",IFERROR(VLOOKUP($C446,Map_Register!$A$2:$C$5,3,FALSE()),""))</f>
        <v/>
      </c>
      <c r="E446" s="21"/>
      <c r="F446" s="21"/>
      <c r="G446" s="21"/>
      <c r="H446" s="21"/>
      <c r="I446" s="21"/>
      <c r="J446" s="21"/>
      <c r="K446" s="21"/>
      <c r="L446" s="25"/>
      <c r="M446" s="21"/>
      <c r="N446" s="21"/>
      <c r="O446" s="21"/>
      <c r="P446" s="21"/>
    </row>
    <row r="447" spans="1:16" hidden="1" x14ac:dyDescent="0.3">
      <c r="A447" s="20" t="str">
        <f t="shared" si="6"/>
        <v/>
      </c>
      <c r="B447" s="21"/>
      <c r="C447" s="21"/>
      <c r="D447" s="22" t="str">
        <f>IF($C447="","",IFERROR(VLOOKUP($C447,Map_Register!$A$2:$C$5,3,FALSE()),""))</f>
        <v/>
      </c>
      <c r="E447" s="21"/>
      <c r="F447" s="21"/>
      <c r="G447" s="21"/>
      <c r="H447" s="21"/>
      <c r="I447" s="21"/>
      <c r="J447" s="21"/>
      <c r="K447" s="21"/>
      <c r="L447" s="25"/>
      <c r="M447" s="21"/>
      <c r="N447" s="21"/>
      <c r="O447" s="21"/>
      <c r="P447" s="21"/>
    </row>
    <row r="448" spans="1:16" hidden="1" x14ac:dyDescent="0.3">
      <c r="A448" s="20" t="str">
        <f t="shared" si="6"/>
        <v/>
      </c>
      <c r="B448" s="21"/>
      <c r="C448" s="21"/>
      <c r="D448" s="22" t="str">
        <f>IF($C448="","",IFERROR(VLOOKUP($C448,Map_Register!$A$2:$C$5,3,FALSE()),""))</f>
        <v/>
      </c>
      <c r="E448" s="21"/>
      <c r="F448" s="21"/>
      <c r="G448" s="21"/>
      <c r="H448" s="21"/>
      <c r="I448" s="21"/>
      <c r="J448" s="21"/>
      <c r="K448" s="21"/>
      <c r="L448" s="25"/>
      <c r="M448" s="21"/>
      <c r="N448" s="21"/>
      <c r="O448" s="21"/>
      <c r="P448" s="21"/>
    </row>
    <row r="449" spans="1:16" hidden="1" x14ac:dyDescent="0.3">
      <c r="A449" s="20" t="str">
        <f t="shared" si="6"/>
        <v/>
      </c>
      <c r="B449" s="21"/>
      <c r="C449" s="21"/>
      <c r="D449" s="22" t="str">
        <f>IF($C449="","",IFERROR(VLOOKUP($C449,Map_Register!$A$2:$C$5,3,FALSE()),""))</f>
        <v/>
      </c>
      <c r="E449" s="21"/>
      <c r="F449" s="21"/>
      <c r="G449" s="21"/>
      <c r="H449" s="21"/>
      <c r="I449" s="21"/>
      <c r="J449" s="21"/>
      <c r="K449" s="21"/>
      <c r="L449" s="25"/>
      <c r="M449" s="21"/>
      <c r="N449" s="21"/>
      <c r="O449" s="21"/>
      <c r="P449" s="21"/>
    </row>
    <row r="450" spans="1:16" hidden="1" x14ac:dyDescent="0.3">
      <c r="A450" s="20" t="str">
        <f t="shared" ref="A450:A503" si="7">IF($B450="","",ROW()-1)</f>
        <v/>
      </c>
      <c r="B450" s="21"/>
      <c r="C450" s="21"/>
      <c r="D450" s="22" t="str">
        <f>IF($C450="","",IFERROR(VLOOKUP($C450,Map_Register!$A$2:$C$5,3,FALSE()),""))</f>
        <v/>
      </c>
      <c r="E450" s="21"/>
      <c r="F450" s="21"/>
      <c r="G450" s="21"/>
      <c r="H450" s="21"/>
      <c r="I450" s="21"/>
      <c r="J450" s="21"/>
      <c r="K450" s="21"/>
      <c r="L450" s="25"/>
      <c r="M450" s="21"/>
      <c r="N450" s="21"/>
      <c r="O450" s="21"/>
      <c r="P450" s="21"/>
    </row>
    <row r="451" spans="1:16" hidden="1" x14ac:dyDescent="0.3">
      <c r="A451" s="20" t="str">
        <f t="shared" si="7"/>
        <v/>
      </c>
      <c r="B451" s="21"/>
      <c r="C451" s="21"/>
      <c r="D451" s="22" t="str">
        <f>IF($C451="","",IFERROR(VLOOKUP($C451,Map_Register!$A$2:$C$5,3,FALSE()),""))</f>
        <v/>
      </c>
      <c r="E451" s="21"/>
      <c r="F451" s="21"/>
      <c r="G451" s="21"/>
      <c r="H451" s="21"/>
      <c r="I451" s="21"/>
      <c r="J451" s="21"/>
      <c r="K451" s="21"/>
      <c r="L451" s="25"/>
      <c r="M451" s="21"/>
      <c r="N451" s="21"/>
      <c r="O451" s="21"/>
      <c r="P451" s="21"/>
    </row>
    <row r="452" spans="1:16" hidden="1" x14ac:dyDescent="0.3">
      <c r="A452" s="20" t="str">
        <f t="shared" si="7"/>
        <v/>
      </c>
      <c r="B452" s="21"/>
      <c r="C452" s="21"/>
      <c r="D452" s="22" t="str">
        <f>IF($C452="","",IFERROR(VLOOKUP($C452,Map_Register!$A$2:$C$5,3,FALSE()),""))</f>
        <v/>
      </c>
      <c r="E452" s="21"/>
      <c r="F452" s="21"/>
      <c r="G452" s="21"/>
      <c r="H452" s="21"/>
      <c r="I452" s="21"/>
      <c r="J452" s="21"/>
      <c r="K452" s="21"/>
      <c r="L452" s="25"/>
      <c r="M452" s="21"/>
      <c r="N452" s="21"/>
      <c r="O452" s="21"/>
      <c r="P452" s="21"/>
    </row>
    <row r="453" spans="1:16" hidden="1" x14ac:dyDescent="0.3">
      <c r="A453" s="20" t="str">
        <f t="shared" si="7"/>
        <v/>
      </c>
      <c r="B453" s="21"/>
      <c r="C453" s="21"/>
      <c r="D453" s="22" t="str">
        <f>IF($C453="","",IFERROR(VLOOKUP($C453,Map_Register!$A$2:$C$5,3,FALSE()),""))</f>
        <v/>
      </c>
      <c r="E453" s="21"/>
      <c r="F453" s="21"/>
      <c r="G453" s="21"/>
      <c r="H453" s="21"/>
      <c r="I453" s="21"/>
      <c r="J453" s="21"/>
      <c r="K453" s="21"/>
      <c r="L453" s="25"/>
      <c r="M453" s="21"/>
      <c r="N453" s="21"/>
      <c r="O453" s="21"/>
      <c r="P453" s="21"/>
    </row>
    <row r="454" spans="1:16" hidden="1" x14ac:dyDescent="0.3">
      <c r="A454" s="20" t="str">
        <f t="shared" si="7"/>
        <v/>
      </c>
      <c r="B454" s="21"/>
      <c r="C454" s="21"/>
      <c r="D454" s="22" t="str">
        <f>IF($C454="","",IFERROR(VLOOKUP($C454,Map_Register!$A$2:$C$5,3,FALSE()),""))</f>
        <v/>
      </c>
      <c r="E454" s="21"/>
      <c r="F454" s="21"/>
      <c r="G454" s="21"/>
      <c r="H454" s="21"/>
      <c r="I454" s="21"/>
      <c r="J454" s="21"/>
      <c r="K454" s="21"/>
      <c r="L454" s="25"/>
      <c r="M454" s="21"/>
      <c r="N454" s="21"/>
      <c r="O454" s="21"/>
      <c r="P454" s="21"/>
    </row>
    <row r="455" spans="1:16" hidden="1" x14ac:dyDescent="0.3">
      <c r="A455" s="20" t="str">
        <f t="shared" si="7"/>
        <v/>
      </c>
      <c r="B455" s="21"/>
      <c r="C455" s="21"/>
      <c r="D455" s="22" t="str">
        <f>IF($C455="","",IFERROR(VLOOKUP($C455,Map_Register!$A$2:$C$5,3,FALSE()),""))</f>
        <v/>
      </c>
      <c r="E455" s="21"/>
      <c r="F455" s="21"/>
      <c r="G455" s="21"/>
      <c r="H455" s="21"/>
      <c r="I455" s="21"/>
      <c r="J455" s="21"/>
      <c r="K455" s="21"/>
      <c r="L455" s="25"/>
      <c r="M455" s="21"/>
      <c r="N455" s="21"/>
      <c r="O455" s="21"/>
      <c r="P455" s="21"/>
    </row>
    <row r="456" spans="1:16" hidden="1" x14ac:dyDescent="0.3">
      <c r="A456" s="20" t="str">
        <f t="shared" si="7"/>
        <v/>
      </c>
      <c r="B456" s="21"/>
      <c r="C456" s="21"/>
      <c r="D456" s="22" t="str">
        <f>IF($C456="","",IFERROR(VLOOKUP($C456,Map_Register!$A$2:$C$5,3,FALSE()),""))</f>
        <v/>
      </c>
      <c r="E456" s="21"/>
      <c r="F456" s="21"/>
      <c r="G456" s="21"/>
      <c r="H456" s="21"/>
      <c r="I456" s="21"/>
      <c r="J456" s="21"/>
      <c r="K456" s="21"/>
      <c r="L456" s="25"/>
      <c r="M456" s="21"/>
      <c r="N456" s="21"/>
      <c r="O456" s="21"/>
      <c r="P456" s="21"/>
    </row>
    <row r="457" spans="1:16" hidden="1" x14ac:dyDescent="0.3">
      <c r="A457" s="20" t="str">
        <f t="shared" si="7"/>
        <v/>
      </c>
      <c r="B457" s="21"/>
      <c r="C457" s="21"/>
      <c r="D457" s="22" t="str">
        <f>IF($C457="","",IFERROR(VLOOKUP($C457,Map_Register!$A$2:$C$5,3,FALSE()),""))</f>
        <v/>
      </c>
      <c r="E457" s="21"/>
      <c r="F457" s="21"/>
      <c r="G457" s="21"/>
      <c r="H457" s="21"/>
      <c r="I457" s="21"/>
      <c r="J457" s="21"/>
      <c r="K457" s="21"/>
      <c r="L457" s="25"/>
      <c r="M457" s="21"/>
      <c r="N457" s="21"/>
      <c r="O457" s="21"/>
      <c r="P457" s="21"/>
    </row>
    <row r="458" spans="1:16" hidden="1" x14ac:dyDescent="0.3">
      <c r="A458" s="20" t="str">
        <f t="shared" si="7"/>
        <v/>
      </c>
      <c r="B458" s="21"/>
      <c r="C458" s="21"/>
      <c r="D458" s="22" t="str">
        <f>IF($C458="","",IFERROR(VLOOKUP($C458,Map_Register!$A$2:$C$5,3,FALSE()),""))</f>
        <v/>
      </c>
      <c r="E458" s="21"/>
      <c r="F458" s="21"/>
      <c r="G458" s="21"/>
      <c r="H458" s="21"/>
      <c r="I458" s="21"/>
      <c r="J458" s="21"/>
      <c r="K458" s="21"/>
      <c r="L458" s="25"/>
      <c r="M458" s="21"/>
      <c r="N458" s="21"/>
      <c r="O458" s="21"/>
      <c r="P458" s="21"/>
    </row>
    <row r="459" spans="1:16" hidden="1" x14ac:dyDescent="0.3">
      <c r="A459" s="20" t="str">
        <f t="shared" si="7"/>
        <v/>
      </c>
      <c r="B459" s="21"/>
      <c r="C459" s="21"/>
      <c r="D459" s="22" t="str">
        <f>IF($C459="","",IFERROR(VLOOKUP($C459,Map_Register!$A$2:$C$5,3,FALSE()),""))</f>
        <v/>
      </c>
      <c r="E459" s="21"/>
      <c r="F459" s="21"/>
      <c r="G459" s="21"/>
      <c r="H459" s="21"/>
      <c r="I459" s="21"/>
      <c r="J459" s="21"/>
      <c r="K459" s="21"/>
      <c r="L459" s="25"/>
      <c r="M459" s="21"/>
      <c r="N459" s="21"/>
      <c r="O459" s="21"/>
      <c r="P459" s="21"/>
    </row>
    <row r="460" spans="1:16" hidden="1" x14ac:dyDescent="0.3">
      <c r="A460" s="20" t="str">
        <f t="shared" si="7"/>
        <v/>
      </c>
      <c r="B460" s="21"/>
      <c r="C460" s="21"/>
      <c r="D460" s="22" t="str">
        <f>IF($C460="","",IFERROR(VLOOKUP($C460,Map_Register!$A$2:$C$5,3,FALSE()),""))</f>
        <v/>
      </c>
      <c r="E460" s="21"/>
      <c r="F460" s="21"/>
      <c r="G460" s="21"/>
      <c r="H460" s="21"/>
      <c r="I460" s="21"/>
      <c r="J460" s="21"/>
      <c r="K460" s="21"/>
      <c r="L460" s="25"/>
      <c r="M460" s="21"/>
      <c r="N460" s="21"/>
      <c r="O460" s="21"/>
      <c r="P460" s="21"/>
    </row>
    <row r="461" spans="1:16" hidden="1" x14ac:dyDescent="0.3">
      <c r="A461" s="20" t="str">
        <f t="shared" si="7"/>
        <v/>
      </c>
      <c r="B461" s="21"/>
      <c r="C461" s="21"/>
      <c r="D461" s="22" t="str">
        <f>IF($C461="","",IFERROR(VLOOKUP($C461,Map_Register!$A$2:$C$5,3,FALSE()),""))</f>
        <v/>
      </c>
      <c r="E461" s="21"/>
      <c r="F461" s="21"/>
      <c r="G461" s="21"/>
      <c r="H461" s="21"/>
      <c r="I461" s="21"/>
      <c r="J461" s="21"/>
      <c r="K461" s="21"/>
      <c r="L461" s="25"/>
      <c r="M461" s="21"/>
      <c r="N461" s="21"/>
      <c r="O461" s="21"/>
      <c r="P461" s="21"/>
    </row>
    <row r="462" spans="1:16" hidden="1" x14ac:dyDescent="0.3">
      <c r="A462" s="20" t="str">
        <f t="shared" si="7"/>
        <v/>
      </c>
      <c r="B462" s="21"/>
      <c r="C462" s="21"/>
      <c r="D462" s="22" t="str">
        <f>IF($C462="","",IFERROR(VLOOKUP($C462,Map_Register!$A$2:$C$5,3,FALSE()),""))</f>
        <v/>
      </c>
      <c r="E462" s="21"/>
      <c r="F462" s="21"/>
      <c r="G462" s="21"/>
      <c r="H462" s="21"/>
      <c r="I462" s="21"/>
      <c r="J462" s="21"/>
      <c r="K462" s="21"/>
      <c r="L462" s="25"/>
      <c r="M462" s="21"/>
      <c r="N462" s="21"/>
      <c r="O462" s="21"/>
      <c r="P462" s="21"/>
    </row>
    <row r="463" spans="1:16" hidden="1" x14ac:dyDescent="0.3">
      <c r="A463" s="20" t="str">
        <f t="shared" si="7"/>
        <v/>
      </c>
      <c r="B463" s="21"/>
      <c r="C463" s="21"/>
      <c r="D463" s="22" t="str">
        <f>IF($C463="","",IFERROR(VLOOKUP($C463,Map_Register!$A$2:$C$5,3,FALSE()),""))</f>
        <v/>
      </c>
      <c r="E463" s="21"/>
      <c r="F463" s="21"/>
      <c r="G463" s="21"/>
      <c r="H463" s="21"/>
      <c r="I463" s="21"/>
      <c r="J463" s="21"/>
      <c r="K463" s="21"/>
      <c r="L463" s="25"/>
      <c r="M463" s="21"/>
      <c r="N463" s="21"/>
      <c r="O463" s="21"/>
      <c r="P463" s="21"/>
    </row>
    <row r="464" spans="1:16" hidden="1" x14ac:dyDescent="0.3">
      <c r="A464" s="20" t="str">
        <f t="shared" si="7"/>
        <v/>
      </c>
      <c r="B464" s="21"/>
      <c r="C464" s="21"/>
      <c r="D464" s="22" t="str">
        <f>IF($C464="","",IFERROR(VLOOKUP($C464,Map_Register!$A$2:$C$5,3,FALSE()),""))</f>
        <v/>
      </c>
      <c r="E464" s="21"/>
      <c r="F464" s="21"/>
      <c r="G464" s="21"/>
      <c r="H464" s="21"/>
      <c r="I464" s="21"/>
      <c r="J464" s="21"/>
      <c r="K464" s="21"/>
      <c r="L464" s="25"/>
      <c r="M464" s="21"/>
      <c r="N464" s="21"/>
      <c r="O464" s="21"/>
      <c r="P464" s="21"/>
    </row>
    <row r="465" spans="1:16" hidden="1" x14ac:dyDescent="0.3">
      <c r="A465" s="20" t="str">
        <f t="shared" si="7"/>
        <v/>
      </c>
      <c r="B465" s="21"/>
      <c r="C465" s="21"/>
      <c r="D465" s="22" t="str">
        <f>IF($C465="","",IFERROR(VLOOKUP($C465,Map_Register!$A$2:$C$5,3,FALSE()),""))</f>
        <v/>
      </c>
      <c r="E465" s="21"/>
      <c r="F465" s="21"/>
      <c r="G465" s="21"/>
      <c r="H465" s="21"/>
      <c r="I465" s="21"/>
      <c r="J465" s="21"/>
      <c r="K465" s="21"/>
      <c r="L465" s="25"/>
      <c r="M465" s="21"/>
      <c r="N465" s="21"/>
      <c r="O465" s="21"/>
      <c r="P465" s="21"/>
    </row>
    <row r="466" spans="1:16" hidden="1" x14ac:dyDescent="0.3">
      <c r="A466" s="20" t="str">
        <f t="shared" si="7"/>
        <v/>
      </c>
      <c r="B466" s="21"/>
      <c r="C466" s="21"/>
      <c r="D466" s="22" t="str">
        <f>IF($C466="","",IFERROR(VLOOKUP($C466,Map_Register!$A$2:$C$5,3,FALSE()),""))</f>
        <v/>
      </c>
      <c r="E466" s="21"/>
      <c r="F466" s="21"/>
      <c r="G466" s="21"/>
      <c r="H466" s="21"/>
      <c r="I466" s="21"/>
      <c r="J466" s="21"/>
      <c r="K466" s="21"/>
      <c r="L466" s="25"/>
      <c r="M466" s="21"/>
      <c r="N466" s="21"/>
      <c r="O466" s="21"/>
      <c r="P466" s="21"/>
    </row>
    <row r="467" spans="1:16" hidden="1" x14ac:dyDescent="0.3">
      <c r="A467" s="20" t="str">
        <f t="shared" si="7"/>
        <v/>
      </c>
      <c r="B467" s="21"/>
      <c r="C467" s="21"/>
      <c r="D467" s="22" t="str">
        <f>IF($C467="","",IFERROR(VLOOKUP($C467,Map_Register!$A$2:$C$5,3,FALSE()),""))</f>
        <v/>
      </c>
      <c r="E467" s="21"/>
      <c r="F467" s="21"/>
      <c r="G467" s="21"/>
      <c r="H467" s="21"/>
      <c r="I467" s="21"/>
      <c r="J467" s="21"/>
      <c r="K467" s="21"/>
      <c r="L467" s="25"/>
      <c r="M467" s="21"/>
      <c r="N467" s="21"/>
      <c r="O467" s="21"/>
      <c r="P467" s="21"/>
    </row>
    <row r="468" spans="1:16" hidden="1" x14ac:dyDescent="0.3">
      <c r="A468" s="20" t="str">
        <f t="shared" si="7"/>
        <v/>
      </c>
      <c r="B468" s="21"/>
      <c r="C468" s="21"/>
      <c r="D468" s="22" t="str">
        <f>IF($C468="","",IFERROR(VLOOKUP($C468,Map_Register!$A$2:$C$5,3,FALSE()),""))</f>
        <v/>
      </c>
      <c r="E468" s="21"/>
      <c r="F468" s="21"/>
      <c r="G468" s="21"/>
      <c r="H468" s="21"/>
      <c r="I468" s="21"/>
      <c r="J468" s="21"/>
      <c r="K468" s="21"/>
      <c r="L468" s="25"/>
      <c r="M468" s="21"/>
      <c r="N468" s="21"/>
      <c r="O468" s="21"/>
      <c r="P468" s="21"/>
    </row>
    <row r="469" spans="1:16" hidden="1" x14ac:dyDescent="0.3">
      <c r="A469" s="20" t="str">
        <f t="shared" si="7"/>
        <v/>
      </c>
      <c r="B469" s="21"/>
      <c r="C469" s="21"/>
      <c r="D469" s="22" t="str">
        <f>IF($C469="","",IFERROR(VLOOKUP($C469,Map_Register!$A$2:$C$5,3,FALSE()),""))</f>
        <v/>
      </c>
      <c r="E469" s="21"/>
      <c r="F469" s="21"/>
      <c r="G469" s="21"/>
      <c r="H469" s="21"/>
      <c r="I469" s="21"/>
      <c r="J469" s="21"/>
      <c r="K469" s="21"/>
      <c r="L469" s="25"/>
      <c r="M469" s="21"/>
      <c r="N469" s="21"/>
      <c r="O469" s="21"/>
      <c r="P469" s="21"/>
    </row>
    <row r="470" spans="1:16" hidden="1" x14ac:dyDescent="0.3">
      <c r="A470" s="20" t="str">
        <f t="shared" si="7"/>
        <v/>
      </c>
      <c r="B470" s="21"/>
      <c r="C470" s="21"/>
      <c r="D470" s="22" t="str">
        <f>IF($C470="","",IFERROR(VLOOKUP($C470,Map_Register!$A$2:$C$5,3,FALSE()),""))</f>
        <v/>
      </c>
      <c r="E470" s="21"/>
      <c r="F470" s="21"/>
      <c r="G470" s="21"/>
      <c r="H470" s="21"/>
      <c r="I470" s="21"/>
      <c r="J470" s="21"/>
      <c r="K470" s="21"/>
      <c r="L470" s="25"/>
      <c r="M470" s="21"/>
      <c r="N470" s="21"/>
      <c r="O470" s="21"/>
      <c r="P470" s="21"/>
    </row>
    <row r="471" spans="1:16" hidden="1" x14ac:dyDescent="0.3">
      <c r="A471" s="20" t="str">
        <f t="shared" si="7"/>
        <v/>
      </c>
      <c r="B471" s="21"/>
      <c r="C471" s="21"/>
      <c r="D471" s="22" t="str">
        <f>IF($C471="","",IFERROR(VLOOKUP($C471,Map_Register!$A$2:$C$5,3,FALSE()),""))</f>
        <v/>
      </c>
      <c r="E471" s="21"/>
      <c r="F471" s="21"/>
      <c r="G471" s="21"/>
      <c r="H471" s="21"/>
      <c r="I471" s="21"/>
      <c r="J471" s="21"/>
      <c r="K471" s="21"/>
      <c r="L471" s="25"/>
      <c r="M471" s="21"/>
      <c r="N471" s="21"/>
      <c r="O471" s="21"/>
      <c r="P471" s="21"/>
    </row>
    <row r="472" spans="1:16" hidden="1" x14ac:dyDescent="0.3">
      <c r="A472" s="20" t="str">
        <f t="shared" si="7"/>
        <v/>
      </c>
      <c r="B472" s="21"/>
      <c r="C472" s="21"/>
      <c r="D472" s="22" t="str">
        <f>IF($C472="","",IFERROR(VLOOKUP($C472,Map_Register!$A$2:$C$5,3,FALSE()),""))</f>
        <v/>
      </c>
      <c r="E472" s="21"/>
      <c r="F472" s="21"/>
      <c r="G472" s="21"/>
      <c r="H472" s="21"/>
      <c r="I472" s="21"/>
      <c r="J472" s="21"/>
      <c r="K472" s="21"/>
      <c r="L472" s="25"/>
      <c r="M472" s="21"/>
      <c r="N472" s="21"/>
      <c r="O472" s="21"/>
      <c r="P472" s="21"/>
    </row>
    <row r="473" spans="1:16" hidden="1" x14ac:dyDescent="0.3">
      <c r="A473" s="20" t="str">
        <f t="shared" si="7"/>
        <v/>
      </c>
      <c r="B473" s="21"/>
      <c r="C473" s="21"/>
      <c r="D473" s="22" t="str">
        <f>IF($C473="","",IFERROR(VLOOKUP($C473,Map_Register!$A$2:$C$5,3,FALSE()),""))</f>
        <v/>
      </c>
      <c r="E473" s="21"/>
      <c r="F473" s="21"/>
      <c r="G473" s="21"/>
      <c r="H473" s="21"/>
      <c r="I473" s="21"/>
      <c r="J473" s="21"/>
      <c r="K473" s="21"/>
      <c r="L473" s="25"/>
      <c r="M473" s="21"/>
      <c r="N473" s="21"/>
      <c r="O473" s="21"/>
      <c r="P473" s="21"/>
    </row>
    <row r="474" spans="1:16" hidden="1" x14ac:dyDescent="0.3">
      <c r="A474" s="20" t="str">
        <f t="shared" si="7"/>
        <v/>
      </c>
      <c r="B474" s="21"/>
      <c r="C474" s="21"/>
      <c r="D474" s="22" t="str">
        <f>IF($C474="","",IFERROR(VLOOKUP($C474,Map_Register!$A$2:$C$5,3,FALSE()),""))</f>
        <v/>
      </c>
      <c r="E474" s="21"/>
      <c r="F474" s="21"/>
      <c r="G474" s="21"/>
      <c r="H474" s="21"/>
      <c r="I474" s="21"/>
      <c r="J474" s="21"/>
      <c r="K474" s="21"/>
      <c r="L474" s="25"/>
      <c r="M474" s="21"/>
      <c r="N474" s="21"/>
      <c r="O474" s="21"/>
      <c r="P474" s="21"/>
    </row>
    <row r="475" spans="1:16" hidden="1" x14ac:dyDescent="0.3">
      <c r="A475" s="20" t="str">
        <f t="shared" si="7"/>
        <v/>
      </c>
      <c r="B475" s="21"/>
      <c r="C475" s="21"/>
      <c r="D475" s="22" t="str">
        <f>IF($C475="","",IFERROR(VLOOKUP($C475,Map_Register!$A$2:$C$5,3,FALSE()),""))</f>
        <v/>
      </c>
      <c r="E475" s="21"/>
      <c r="F475" s="21"/>
      <c r="G475" s="21"/>
      <c r="H475" s="21"/>
      <c r="I475" s="21"/>
      <c r="J475" s="21"/>
      <c r="K475" s="21"/>
      <c r="L475" s="25"/>
      <c r="M475" s="21"/>
      <c r="N475" s="21"/>
      <c r="O475" s="21"/>
      <c r="P475" s="21"/>
    </row>
    <row r="476" spans="1:16" hidden="1" x14ac:dyDescent="0.3">
      <c r="A476" s="20" t="str">
        <f t="shared" si="7"/>
        <v/>
      </c>
      <c r="B476" s="21"/>
      <c r="C476" s="21"/>
      <c r="D476" s="22" t="str">
        <f>IF($C476="","",IFERROR(VLOOKUP($C476,Map_Register!$A$2:$C$5,3,FALSE()),""))</f>
        <v/>
      </c>
      <c r="E476" s="21"/>
      <c r="F476" s="21"/>
      <c r="G476" s="21"/>
      <c r="H476" s="21"/>
      <c r="I476" s="21"/>
      <c r="J476" s="21"/>
      <c r="K476" s="21"/>
      <c r="L476" s="25"/>
      <c r="M476" s="21"/>
      <c r="N476" s="21"/>
      <c r="O476" s="21"/>
      <c r="P476" s="21"/>
    </row>
    <row r="477" spans="1:16" hidden="1" x14ac:dyDescent="0.3">
      <c r="A477" s="20" t="str">
        <f t="shared" si="7"/>
        <v/>
      </c>
      <c r="B477" s="21"/>
      <c r="C477" s="21"/>
      <c r="D477" s="22" t="str">
        <f>IF($C477="","",IFERROR(VLOOKUP($C477,Map_Register!$A$2:$C$5,3,FALSE()),""))</f>
        <v/>
      </c>
      <c r="E477" s="21"/>
      <c r="F477" s="21"/>
      <c r="G477" s="21"/>
      <c r="H477" s="21"/>
      <c r="I477" s="21"/>
      <c r="J477" s="21"/>
      <c r="K477" s="21"/>
      <c r="L477" s="25"/>
      <c r="M477" s="21"/>
      <c r="N477" s="21"/>
      <c r="O477" s="21"/>
      <c r="P477" s="21"/>
    </row>
    <row r="478" spans="1:16" hidden="1" x14ac:dyDescent="0.3">
      <c r="A478" s="20" t="str">
        <f t="shared" si="7"/>
        <v/>
      </c>
      <c r="B478" s="21"/>
      <c r="C478" s="21"/>
      <c r="D478" s="22" t="str">
        <f>IF($C478="","",IFERROR(VLOOKUP($C478,Map_Register!$A$2:$C$5,3,FALSE()),""))</f>
        <v/>
      </c>
      <c r="E478" s="21"/>
      <c r="F478" s="21"/>
      <c r="G478" s="21"/>
      <c r="H478" s="21"/>
      <c r="I478" s="21"/>
      <c r="J478" s="21"/>
      <c r="K478" s="21"/>
      <c r="L478" s="25"/>
      <c r="M478" s="21"/>
      <c r="N478" s="21"/>
      <c r="O478" s="21"/>
      <c r="P478" s="21"/>
    </row>
    <row r="479" spans="1:16" hidden="1" x14ac:dyDescent="0.3">
      <c r="A479" s="20" t="str">
        <f t="shared" si="7"/>
        <v/>
      </c>
      <c r="B479" s="21"/>
      <c r="C479" s="21"/>
      <c r="D479" s="22" t="str">
        <f>IF($C479="","",IFERROR(VLOOKUP($C479,Map_Register!$A$2:$C$5,3,FALSE()),""))</f>
        <v/>
      </c>
      <c r="E479" s="21"/>
      <c r="F479" s="21"/>
      <c r="G479" s="21"/>
      <c r="H479" s="21"/>
      <c r="I479" s="21"/>
      <c r="J479" s="21"/>
      <c r="K479" s="21"/>
      <c r="L479" s="25"/>
      <c r="M479" s="21"/>
      <c r="N479" s="21"/>
      <c r="O479" s="21"/>
      <c r="P479" s="21"/>
    </row>
    <row r="480" spans="1:16" hidden="1" x14ac:dyDescent="0.3">
      <c r="A480" s="20" t="str">
        <f t="shared" si="7"/>
        <v/>
      </c>
      <c r="B480" s="21"/>
      <c r="C480" s="21"/>
      <c r="D480" s="22" t="str">
        <f>IF($C480="","",IFERROR(VLOOKUP($C480,Map_Register!$A$2:$C$5,3,FALSE()),""))</f>
        <v/>
      </c>
      <c r="E480" s="21"/>
      <c r="F480" s="21"/>
      <c r="G480" s="21"/>
      <c r="H480" s="21"/>
      <c r="I480" s="21"/>
      <c r="J480" s="21"/>
      <c r="K480" s="21"/>
      <c r="L480" s="25"/>
      <c r="M480" s="21"/>
      <c r="N480" s="21"/>
      <c r="O480" s="21"/>
      <c r="P480" s="21"/>
    </row>
    <row r="481" spans="1:16" hidden="1" x14ac:dyDescent="0.3">
      <c r="A481" s="20" t="str">
        <f t="shared" si="7"/>
        <v/>
      </c>
      <c r="B481" s="21"/>
      <c r="C481" s="21"/>
      <c r="D481" s="22" t="str">
        <f>IF($C481="","",IFERROR(VLOOKUP($C481,Map_Register!$A$2:$C$5,3,FALSE()),""))</f>
        <v/>
      </c>
      <c r="E481" s="21"/>
      <c r="F481" s="21"/>
      <c r="G481" s="21"/>
      <c r="H481" s="21"/>
      <c r="I481" s="21"/>
      <c r="J481" s="21"/>
      <c r="K481" s="21"/>
      <c r="L481" s="25"/>
      <c r="M481" s="21"/>
      <c r="N481" s="21"/>
      <c r="O481" s="21"/>
      <c r="P481" s="21"/>
    </row>
    <row r="482" spans="1:16" hidden="1" x14ac:dyDescent="0.3">
      <c r="A482" s="20" t="str">
        <f t="shared" si="7"/>
        <v/>
      </c>
      <c r="B482" s="21"/>
      <c r="C482" s="21"/>
      <c r="D482" s="22" t="str">
        <f>IF($C482="","",IFERROR(VLOOKUP($C482,Map_Register!$A$2:$C$5,3,FALSE()),""))</f>
        <v/>
      </c>
      <c r="E482" s="21"/>
      <c r="F482" s="21"/>
      <c r="G482" s="21"/>
      <c r="H482" s="21"/>
      <c r="I482" s="21"/>
      <c r="J482" s="21"/>
      <c r="K482" s="21"/>
      <c r="L482" s="25"/>
      <c r="M482" s="21"/>
      <c r="N482" s="21"/>
      <c r="O482" s="21"/>
      <c r="P482" s="21"/>
    </row>
    <row r="483" spans="1:16" hidden="1" x14ac:dyDescent="0.3">
      <c r="A483" s="20" t="str">
        <f t="shared" si="7"/>
        <v/>
      </c>
      <c r="B483" s="21"/>
      <c r="C483" s="21"/>
      <c r="D483" s="22" t="str">
        <f>IF($C483="","",IFERROR(VLOOKUP($C483,Map_Register!$A$2:$C$5,3,FALSE()),""))</f>
        <v/>
      </c>
      <c r="E483" s="21"/>
      <c r="F483" s="21"/>
      <c r="G483" s="21"/>
      <c r="H483" s="21"/>
      <c r="I483" s="21"/>
      <c r="J483" s="21"/>
      <c r="K483" s="21"/>
      <c r="L483" s="25"/>
      <c r="M483" s="21"/>
      <c r="N483" s="21"/>
      <c r="O483" s="21"/>
      <c r="P483" s="21"/>
    </row>
    <row r="484" spans="1:16" hidden="1" x14ac:dyDescent="0.3">
      <c r="A484" s="20" t="str">
        <f t="shared" si="7"/>
        <v/>
      </c>
      <c r="B484" s="21"/>
      <c r="C484" s="21"/>
      <c r="D484" s="22" t="str">
        <f>IF($C484="","",IFERROR(VLOOKUP($C484,Map_Register!$A$2:$C$5,3,FALSE()),""))</f>
        <v/>
      </c>
      <c r="E484" s="21"/>
      <c r="F484" s="21"/>
      <c r="G484" s="21"/>
      <c r="H484" s="21"/>
      <c r="I484" s="21"/>
      <c r="J484" s="21"/>
      <c r="K484" s="21"/>
      <c r="L484" s="25"/>
      <c r="M484" s="21"/>
      <c r="N484" s="21"/>
      <c r="O484" s="21"/>
      <c r="P484" s="21"/>
    </row>
    <row r="485" spans="1:16" hidden="1" x14ac:dyDescent="0.3">
      <c r="A485" s="20" t="str">
        <f t="shared" si="7"/>
        <v/>
      </c>
      <c r="B485" s="21"/>
      <c r="C485" s="21"/>
      <c r="D485" s="22" t="str">
        <f>IF($C485="","",IFERROR(VLOOKUP($C485,Map_Register!$A$2:$C$5,3,FALSE()),""))</f>
        <v/>
      </c>
      <c r="E485" s="21"/>
      <c r="F485" s="21"/>
      <c r="G485" s="21"/>
      <c r="H485" s="21"/>
      <c r="I485" s="21"/>
      <c r="J485" s="21"/>
      <c r="K485" s="21"/>
      <c r="L485" s="25"/>
      <c r="M485" s="21"/>
      <c r="N485" s="21"/>
      <c r="O485" s="21"/>
      <c r="P485" s="21"/>
    </row>
    <row r="486" spans="1:16" hidden="1" x14ac:dyDescent="0.3">
      <c r="A486" s="20" t="str">
        <f t="shared" si="7"/>
        <v/>
      </c>
      <c r="B486" s="21"/>
      <c r="C486" s="21"/>
      <c r="D486" s="22" t="str">
        <f>IF($C486="","",IFERROR(VLOOKUP($C486,Map_Register!$A$2:$C$5,3,FALSE()),""))</f>
        <v/>
      </c>
      <c r="E486" s="21"/>
      <c r="F486" s="21"/>
      <c r="G486" s="21"/>
      <c r="H486" s="21"/>
      <c r="I486" s="21"/>
      <c r="J486" s="21"/>
      <c r="K486" s="21"/>
      <c r="L486" s="25"/>
      <c r="M486" s="21"/>
      <c r="N486" s="21"/>
      <c r="O486" s="21"/>
      <c r="P486" s="21"/>
    </row>
    <row r="487" spans="1:16" hidden="1" x14ac:dyDescent="0.3">
      <c r="A487" s="20" t="str">
        <f t="shared" si="7"/>
        <v/>
      </c>
      <c r="B487" s="21"/>
      <c r="C487" s="21"/>
      <c r="D487" s="22" t="str">
        <f>IF($C487="","",IFERROR(VLOOKUP($C487,Map_Register!$A$2:$C$5,3,FALSE()),""))</f>
        <v/>
      </c>
      <c r="E487" s="21"/>
      <c r="F487" s="21"/>
      <c r="G487" s="21"/>
      <c r="H487" s="21"/>
      <c r="I487" s="21"/>
      <c r="J487" s="21"/>
      <c r="K487" s="21"/>
      <c r="L487" s="25"/>
      <c r="M487" s="21"/>
      <c r="N487" s="21"/>
      <c r="O487" s="21"/>
      <c r="P487" s="21"/>
    </row>
    <row r="488" spans="1:16" hidden="1" x14ac:dyDescent="0.3">
      <c r="A488" s="20" t="str">
        <f t="shared" si="7"/>
        <v/>
      </c>
      <c r="B488" s="21"/>
      <c r="C488" s="21"/>
      <c r="D488" s="22" t="str">
        <f>IF($C488="","",IFERROR(VLOOKUP($C488,Map_Register!$A$2:$C$5,3,FALSE()),""))</f>
        <v/>
      </c>
      <c r="E488" s="21"/>
      <c r="F488" s="21"/>
      <c r="G488" s="21"/>
      <c r="H488" s="21"/>
      <c r="I488" s="21"/>
      <c r="J488" s="21"/>
      <c r="K488" s="21"/>
      <c r="L488" s="25"/>
      <c r="M488" s="21"/>
      <c r="N488" s="21"/>
      <c r="O488" s="21"/>
      <c r="P488" s="21"/>
    </row>
    <row r="489" spans="1:16" hidden="1" x14ac:dyDescent="0.3">
      <c r="A489" s="20" t="str">
        <f t="shared" si="7"/>
        <v/>
      </c>
      <c r="B489" s="21"/>
      <c r="C489" s="21"/>
      <c r="D489" s="22" t="str">
        <f>IF($C489="","",IFERROR(VLOOKUP($C489,Map_Register!$A$2:$C$5,3,FALSE()),""))</f>
        <v/>
      </c>
      <c r="E489" s="21"/>
      <c r="F489" s="21"/>
      <c r="G489" s="21"/>
      <c r="H489" s="21"/>
      <c r="I489" s="21"/>
      <c r="J489" s="21"/>
      <c r="K489" s="21"/>
      <c r="L489" s="25"/>
      <c r="M489" s="21"/>
      <c r="N489" s="21"/>
      <c r="O489" s="21"/>
      <c r="P489" s="21"/>
    </row>
    <row r="490" spans="1:16" hidden="1" x14ac:dyDescent="0.3">
      <c r="A490" s="20" t="str">
        <f t="shared" si="7"/>
        <v/>
      </c>
      <c r="B490" s="21"/>
      <c r="C490" s="21"/>
      <c r="D490" s="22" t="str">
        <f>IF($C490="","",IFERROR(VLOOKUP($C490,Map_Register!$A$2:$C$5,3,FALSE()),""))</f>
        <v/>
      </c>
      <c r="E490" s="21"/>
      <c r="F490" s="21"/>
      <c r="G490" s="21"/>
      <c r="H490" s="21"/>
      <c r="I490" s="21"/>
      <c r="J490" s="21"/>
      <c r="K490" s="21"/>
      <c r="L490" s="25"/>
      <c r="M490" s="21"/>
      <c r="N490" s="21"/>
      <c r="O490" s="21"/>
      <c r="P490" s="21"/>
    </row>
    <row r="491" spans="1:16" hidden="1" x14ac:dyDescent="0.3">
      <c r="A491" s="20" t="str">
        <f t="shared" si="7"/>
        <v/>
      </c>
      <c r="B491" s="21"/>
      <c r="C491" s="21"/>
      <c r="D491" s="22" t="str">
        <f>IF($C491="","",IFERROR(VLOOKUP($C491,Map_Register!$A$2:$C$5,3,FALSE()),""))</f>
        <v/>
      </c>
      <c r="E491" s="21"/>
      <c r="F491" s="21"/>
      <c r="G491" s="21"/>
      <c r="H491" s="21"/>
      <c r="I491" s="21"/>
      <c r="J491" s="21"/>
      <c r="K491" s="21"/>
      <c r="L491" s="25"/>
      <c r="M491" s="21"/>
      <c r="N491" s="21"/>
      <c r="O491" s="21"/>
      <c r="P491" s="21"/>
    </row>
    <row r="492" spans="1:16" hidden="1" x14ac:dyDescent="0.3">
      <c r="A492" s="20" t="str">
        <f t="shared" si="7"/>
        <v/>
      </c>
      <c r="B492" s="21"/>
      <c r="C492" s="21"/>
      <c r="D492" s="22" t="str">
        <f>IF($C492="","",IFERROR(VLOOKUP($C492,Map_Register!$A$2:$C$5,3,FALSE()),""))</f>
        <v/>
      </c>
      <c r="E492" s="21"/>
      <c r="F492" s="21"/>
      <c r="G492" s="21"/>
      <c r="H492" s="21"/>
      <c r="I492" s="21"/>
      <c r="J492" s="21"/>
      <c r="K492" s="21"/>
      <c r="L492" s="25"/>
      <c r="M492" s="21"/>
      <c r="N492" s="21"/>
      <c r="O492" s="21"/>
      <c r="P492" s="21"/>
    </row>
    <row r="493" spans="1:16" hidden="1" x14ac:dyDescent="0.3">
      <c r="A493" s="20" t="str">
        <f t="shared" si="7"/>
        <v/>
      </c>
      <c r="B493" s="21"/>
      <c r="C493" s="21"/>
      <c r="D493" s="22" t="str">
        <f>IF($C493="","",IFERROR(VLOOKUP($C493,Map_Register!$A$2:$C$5,3,FALSE()),""))</f>
        <v/>
      </c>
      <c r="E493" s="21"/>
      <c r="F493" s="21"/>
      <c r="G493" s="21"/>
      <c r="H493" s="21"/>
      <c r="I493" s="21"/>
      <c r="J493" s="21"/>
      <c r="K493" s="21"/>
      <c r="L493" s="25"/>
      <c r="M493" s="21"/>
      <c r="N493" s="21"/>
      <c r="O493" s="21"/>
      <c r="P493" s="21"/>
    </row>
    <row r="494" spans="1:16" hidden="1" x14ac:dyDescent="0.3">
      <c r="A494" s="20" t="str">
        <f t="shared" si="7"/>
        <v/>
      </c>
      <c r="B494" s="21"/>
      <c r="C494" s="21"/>
      <c r="D494" s="22" t="str">
        <f>IF($C494="","",IFERROR(VLOOKUP($C494,Map_Register!$A$2:$C$5,3,FALSE()),""))</f>
        <v/>
      </c>
      <c r="E494" s="21"/>
      <c r="F494" s="21"/>
      <c r="G494" s="21"/>
      <c r="H494" s="21"/>
      <c r="I494" s="21"/>
      <c r="J494" s="21"/>
      <c r="K494" s="21"/>
      <c r="L494" s="25"/>
      <c r="M494" s="21"/>
      <c r="N494" s="21"/>
      <c r="O494" s="21"/>
      <c r="P494" s="21"/>
    </row>
    <row r="495" spans="1:16" hidden="1" x14ac:dyDescent="0.3">
      <c r="A495" s="20" t="str">
        <f t="shared" si="7"/>
        <v/>
      </c>
      <c r="B495" s="21"/>
      <c r="C495" s="21"/>
      <c r="D495" s="22" t="str">
        <f>IF($C495="","",IFERROR(VLOOKUP($C495,Map_Register!$A$2:$C$5,3,FALSE()),""))</f>
        <v/>
      </c>
      <c r="E495" s="21"/>
      <c r="F495" s="21"/>
      <c r="G495" s="21"/>
      <c r="H495" s="21"/>
      <c r="I495" s="21"/>
      <c r="J495" s="21"/>
      <c r="K495" s="21"/>
      <c r="L495" s="25"/>
      <c r="M495" s="21"/>
      <c r="N495" s="21"/>
      <c r="O495" s="21"/>
      <c r="P495" s="21"/>
    </row>
    <row r="496" spans="1:16" hidden="1" x14ac:dyDescent="0.3">
      <c r="A496" s="20" t="str">
        <f t="shared" si="7"/>
        <v/>
      </c>
      <c r="B496" s="21"/>
      <c r="C496" s="21"/>
      <c r="D496" s="22" t="str">
        <f>IF($C496="","",IFERROR(VLOOKUP($C496,Map_Register!$A$2:$C$5,3,FALSE()),""))</f>
        <v/>
      </c>
      <c r="E496" s="21"/>
      <c r="F496" s="21"/>
      <c r="G496" s="21"/>
      <c r="H496" s="21"/>
      <c r="I496" s="21"/>
      <c r="J496" s="21"/>
      <c r="K496" s="21"/>
      <c r="L496" s="25"/>
      <c r="M496" s="21"/>
      <c r="N496" s="21"/>
      <c r="O496" s="21"/>
      <c r="P496" s="21"/>
    </row>
    <row r="497" spans="1:16" hidden="1" x14ac:dyDescent="0.3">
      <c r="A497" s="20" t="str">
        <f t="shared" si="7"/>
        <v/>
      </c>
      <c r="B497" s="21"/>
      <c r="C497" s="21"/>
      <c r="D497" s="22" t="str">
        <f>IF($C497="","",IFERROR(VLOOKUP($C497,Map_Register!$A$2:$C$5,3,FALSE()),""))</f>
        <v/>
      </c>
      <c r="E497" s="21"/>
      <c r="F497" s="21"/>
      <c r="G497" s="21"/>
      <c r="H497" s="21"/>
      <c r="I497" s="21"/>
      <c r="J497" s="21"/>
      <c r="K497" s="21"/>
      <c r="L497" s="25"/>
      <c r="M497" s="21"/>
      <c r="N497" s="21"/>
      <c r="O497" s="21"/>
      <c r="P497" s="21"/>
    </row>
    <row r="498" spans="1:16" hidden="1" x14ac:dyDescent="0.3">
      <c r="A498" s="20" t="str">
        <f t="shared" si="7"/>
        <v/>
      </c>
      <c r="B498" s="21"/>
      <c r="C498" s="21"/>
      <c r="D498" s="22" t="str">
        <f>IF($C498="","",IFERROR(VLOOKUP($C498,Map_Register!$A$2:$C$5,3,FALSE()),""))</f>
        <v/>
      </c>
      <c r="E498" s="21"/>
      <c r="F498" s="21"/>
      <c r="G498" s="21"/>
      <c r="H498" s="21"/>
      <c r="I498" s="21"/>
      <c r="J498" s="21"/>
      <c r="K498" s="21"/>
      <c r="L498" s="25"/>
      <c r="M498" s="21"/>
      <c r="N498" s="21"/>
      <c r="O498" s="21"/>
      <c r="P498" s="21"/>
    </row>
    <row r="499" spans="1:16" hidden="1" x14ac:dyDescent="0.3">
      <c r="A499" s="20">
        <f t="shared" si="7"/>
        <v>498</v>
      </c>
      <c r="B499" s="21" t="s">
        <v>87</v>
      </c>
      <c r="C499" s="21" t="s">
        <v>91</v>
      </c>
      <c r="D499" s="22" t="s">
        <v>92</v>
      </c>
      <c r="E499" s="21" t="s">
        <v>104</v>
      </c>
      <c r="G499" s="21" t="s">
        <v>432</v>
      </c>
      <c r="H499" s="21" t="s">
        <v>580</v>
      </c>
      <c r="I499" s="20" t="s">
        <v>220</v>
      </c>
      <c r="L499" s="20" t="s">
        <v>493</v>
      </c>
      <c r="O499" s="21" t="s">
        <v>222</v>
      </c>
      <c r="P499" t="s">
        <v>581</v>
      </c>
    </row>
    <row r="500" spans="1:16" hidden="1" x14ac:dyDescent="0.3">
      <c r="A500" s="20">
        <f t="shared" si="7"/>
        <v>499</v>
      </c>
      <c r="B500" s="21" t="s">
        <v>87</v>
      </c>
      <c r="C500" s="21" t="s">
        <v>91</v>
      </c>
      <c r="D500" s="22" t="s">
        <v>92</v>
      </c>
      <c r="E500" s="21" t="s">
        <v>104</v>
      </c>
      <c r="G500" s="21" t="s">
        <v>432</v>
      </c>
      <c r="H500" s="21" t="s">
        <v>582</v>
      </c>
      <c r="I500" s="20" t="s">
        <v>220</v>
      </c>
      <c r="L500" s="20" t="s">
        <v>493</v>
      </c>
      <c r="O500" s="21" t="s">
        <v>222</v>
      </c>
      <c r="P500" t="s">
        <v>581</v>
      </c>
    </row>
    <row r="501" spans="1:16" hidden="1" x14ac:dyDescent="0.3">
      <c r="A501" s="20">
        <f t="shared" si="7"/>
        <v>500</v>
      </c>
      <c r="B501" s="21" t="s">
        <v>87</v>
      </c>
      <c r="C501" s="21" t="s">
        <v>91</v>
      </c>
      <c r="D501" s="22" t="s">
        <v>92</v>
      </c>
      <c r="E501" s="21" t="s">
        <v>104</v>
      </c>
      <c r="G501" s="21" t="s">
        <v>432</v>
      </c>
      <c r="H501" s="21" t="s">
        <v>583</v>
      </c>
      <c r="I501" s="20" t="s">
        <v>220</v>
      </c>
      <c r="L501" s="20" t="s">
        <v>493</v>
      </c>
      <c r="O501" s="21" t="s">
        <v>222</v>
      </c>
      <c r="P501" t="s">
        <v>581</v>
      </c>
    </row>
    <row r="502" spans="1:16" hidden="1" x14ac:dyDescent="0.3">
      <c r="A502" s="20">
        <f t="shared" si="7"/>
        <v>501</v>
      </c>
      <c r="B502" s="21" t="s">
        <v>87</v>
      </c>
      <c r="C502" s="21" t="s">
        <v>91</v>
      </c>
      <c r="D502" s="22" t="s">
        <v>92</v>
      </c>
      <c r="E502" s="21" t="s">
        <v>104</v>
      </c>
      <c r="G502" s="21" t="s">
        <v>432</v>
      </c>
      <c r="H502" s="21" t="s">
        <v>584</v>
      </c>
      <c r="I502" s="20" t="s">
        <v>220</v>
      </c>
      <c r="L502" s="20" t="s">
        <v>493</v>
      </c>
      <c r="O502" s="21" t="s">
        <v>222</v>
      </c>
      <c r="P502" t="s">
        <v>581</v>
      </c>
    </row>
    <row r="503" spans="1:16" hidden="1" x14ac:dyDescent="0.3">
      <c r="A503" s="20">
        <f t="shared" si="7"/>
        <v>502</v>
      </c>
      <c r="B503" s="21" t="s">
        <v>87</v>
      </c>
      <c r="C503" s="21" t="s">
        <v>94</v>
      </c>
      <c r="D503" s="22" t="str">
        <f>IF($C503="","",IFERROR(VLOOKUP($C503,Map_Register!$A$2:$C$5,3,FALSE()),""))</f>
        <v>Military Zone</v>
      </c>
      <c r="E503" s="21" t="s">
        <v>104</v>
      </c>
      <c r="F503" s="21"/>
      <c r="G503" s="21" t="s">
        <v>427</v>
      </c>
      <c r="H503" s="21" t="s">
        <v>585</v>
      </c>
      <c r="I503" s="20" t="s">
        <v>220</v>
      </c>
      <c r="J503" s="21"/>
      <c r="K503" s="21"/>
      <c r="L503" s="20" t="s">
        <v>586</v>
      </c>
      <c r="M503" s="21"/>
      <c r="N503" s="21"/>
      <c r="O503" s="21" t="s">
        <v>222</v>
      </c>
      <c r="P503" s="21" t="s">
        <v>581</v>
      </c>
    </row>
  </sheetData>
  <autoFilter ref="A1:P503" xr:uid="{00000000-0009-0000-0000-000003000000}">
    <filterColumn colId="9">
      <filters>
        <filter val="No"/>
      </filters>
    </filterColumn>
  </autoFilter>
  <conditionalFormatting sqref="I2:I503">
    <cfRule type="expression" dxfId="7" priority="6">
      <formula>$I2="Absent"</formula>
    </cfRule>
    <cfRule type="expression" dxfId="6" priority="7">
      <formula>$I2="Present (Emphasized)"</formula>
    </cfRule>
    <cfRule type="expression" dxfId="5" priority="8">
      <formula>$I2="Present (De-emphasized)"</formula>
    </cfRule>
    <cfRule type="expression" dxfId="4" priority="9">
      <formula>$I2="Present (Differentiated)"</formula>
    </cfRule>
  </conditionalFormatting>
  <conditionalFormatting sqref="L151:L153">
    <cfRule type="expression" dxfId="3" priority="2">
      <formula>$I151="Absent"</formula>
    </cfRule>
    <cfRule type="expression" dxfId="2" priority="3">
      <formula>$I151="Present (Emphasized)"</formula>
    </cfRule>
    <cfRule type="expression" dxfId="1" priority="4">
      <formula>$I151="Present (De-emphasized)"</formula>
    </cfRule>
    <cfRule type="expression" dxfId="0" priority="5">
      <formula>$I151="Present (Differentiated)"</formula>
    </cfRule>
  </conditionalFormatting>
  <hyperlinks>
    <hyperlink ref="P2" r:id="rId1" xr:uid="{00000000-0004-0000-0300-000000000000}"/>
    <hyperlink ref="P3" r:id="rId2" xr:uid="{00000000-0004-0000-0300-000001000000}"/>
    <hyperlink ref="P4" r:id="rId3" xr:uid="{00000000-0004-0000-0300-000002000000}"/>
    <hyperlink ref="P5" r:id="rId4" xr:uid="{00000000-0004-0000-0300-000003000000}"/>
    <hyperlink ref="P6" r:id="rId5" xr:uid="{00000000-0004-0000-0300-000004000000}"/>
    <hyperlink ref="P7" r:id="rId6" xr:uid="{00000000-0004-0000-0300-000005000000}"/>
    <hyperlink ref="P8" r:id="rId7" xr:uid="{00000000-0004-0000-0300-000006000000}"/>
    <hyperlink ref="P9" r:id="rId8" xr:uid="{00000000-0004-0000-0300-000007000000}"/>
    <hyperlink ref="P10" r:id="rId9" xr:uid="{00000000-0004-0000-0300-000008000000}"/>
    <hyperlink ref="P11" r:id="rId10" xr:uid="{00000000-0004-0000-0300-000009000000}"/>
    <hyperlink ref="P12" r:id="rId11" xr:uid="{00000000-0004-0000-0300-00000A000000}"/>
    <hyperlink ref="P13" r:id="rId12" xr:uid="{00000000-0004-0000-0300-00000B000000}"/>
    <hyperlink ref="P14" r:id="rId13" xr:uid="{00000000-0004-0000-0300-00000C000000}"/>
    <hyperlink ref="P15" r:id="rId14" xr:uid="{00000000-0004-0000-0300-00000D000000}"/>
    <hyperlink ref="P16" r:id="rId15" xr:uid="{00000000-0004-0000-0300-00000E000000}"/>
    <hyperlink ref="P17" r:id="rId16" xr:uid="{00000000-0004-0000-0300-00000F000000}"/>
    <hyperlink ref="P18" r:id="rId17" xr:uid="{00000000-0004-0000-0300-000010000000}"/>
    <hyperlink ref="P19" r:id="rId18" xr:uid="{00000000-0004-0000-0300-000011000000}"/>
    <hyperlink ref="P20" r:id="rId19" xr:uid="{00000000-0004-0000-0300-000012000000}"/>
    <hyperlink ref="P21" r:id="rId20" xr:uid="{00000000-0004-0000-0300-000013000000}"/>
    <hyperlink ref="P22" r:id="rId21" xr:uid="{00000000-0004-0000-0300-000014000000}"/>
    <hyperlink ref="P23" r:id="rId22" xr:uid="{00000000-0004-0000-0300-000015000000}"/>
    <hyperlink ref="P24" r:id="rId23" xr:uid="{00000000-0004-0000-0300-000016000000}"/>
    <hyperlink ref="P25" r:id="rId24" xr:uid="{00000000-0004-0000-0300-000017000000}"/>
    <hyperlink ref="P26" r:id="rId25" xr:uid="{00000000-0004-0000-0300-000018000000}"/>
    <hyperlink ref="P27" r:id="rId26" xr:uid="{00000000-0004-0000-0300-000019000000}"/>
    <hyperlink ref="P28" r:id="rId27" xr:uid="{00000000-0004-0000-0300-00001A000000}"/>
    <hyperlink ref="P29" r:id="rId28" xr:uid="{00000000-0004-0000-0300-00001B000000}"/>
    <hyperlink ref="P30" r:id="rId29" xr:uid="{00000000-0004-0000-0300-00001C000000}"/>
    <hyperlink ref="P31" r:id="rId30" xr:uid="{00000000-0004-0000-0300-00001D000000}"/>
    <hyperlink ref="P32" r:id="rId31" xr:uid="{00000000-0004-0000-0300-00001E000000}"/>
    <hyperlink ref="P33" r:id="rId32" xr:uid="{00000000-0004-0000-0300-00001F000000}"/>
    <hyperlink ref="P34" r:id="rId33" xr:uid="{00000000-0004-0000-0300-000020000000}"/>
    <hyperlink ref="P35" r:id="rId34" xr:uid="{00000000-0004-0000-0300-000021000000}"/>
    <hyperlink ref="P36" r:id="rId35" xr:uid="{00000000-0004-0000-0300-000022000000}"/>
    <hyperlink ref="P37" r:id="rId36" xr:uid="{00000000-0004-0000-0300-000023000000}"/>
    <hyperlink ref="P38" r:id="rId37" xr:uid="{00000000-0004-0000-0300-000024000000}"/>
    <hyperlink ref="P39" r:id="rId38" xr:uid="{00000000-0004-0000-0300-000025000000}"/>
    <hyperlink ref="P40" r:id="rId39" xr:uid="{00000000-0004-0000-0300-000026000000}"/>
    <hyperlink ref="P41" r:id="rId40" xr:uid="{00000000-0004-0000-0300-000027000000}"/>
    <hyperlink ref="P42" r:id="rId41" xr:uid="{00000000-0004-0000-0300-000028000000}"/>
    <hyperlink ref="P43" r:id="rId42" xr:uid="{00000000-0004-0000-0300-000029000000}"/>
    <hyperlink ref="P44" r:id="rId43" xr:uid="{00000000-0004-0000-0300-00002A000000}"/>
    <hyperlink ref="P45" r:id="rId44" xr:uid="{00000000-0004-0000-0300-00002B000000}"/>
    <hyperlink ref="P46" r:id="rId45" xr:uid="{00000000-0004-0000-0300-00002C000000}"/>
    <hyperlink ref="P47" r:id="rId46" xr:uid="{00000000-0004-0000-0300-00002D000000}"/>
    <hyperlink ref="P48" r:id="rId47" xr:uid="{00000000-0004-0000-0300-00002E000000}"/>
    <hyperlink ref="P49" r:id="rId48" xr:uid="{00000000-0004-0000-0300-00002F000000}"/>
    <hyperlink ref="P50" r:id="rId49" xr:uid="{00000000-0004-0000-0300-000030000000}"/>
    <hyperlink ref="P51" r:id="rId50" xr:uid="{00000000-0004-0000-0300-000031000000}"/>
    <hyperlink ref="P52" r:id="rId51" xr:uid="{00000000-0004-0000-0300-000032000000}"/>
    <hyperlink ref="P53" r:id="rId52" xr:uid="{00000000-0004-0000-0300-000033000000}"/>
    <hyperlink ref="P54" r:id="rId53" xr:uid="{00000000-0004-0000-0300-000034000000}"/>
    <hyperlink ref="P55" r:id="rId54" xr:uid="{00000000-0004-0000-0300-000035000000}"/>
    <hyperlink ref="P56" r:id="rId55" xr:uid="{00000000-0004-0000-0300-000036000000}"/>
    <hyperlink ref="P57" r:id="rId56" xr:uid="{00000000-0004-0000-0300-000037000000}"/>
    <hyperlink ref="P58" r:id="rId57" xr:uid="{00000000-0004-0000-0300-000038000000}"/>
    <hyperlink ref="P59" r:id="rId58" xr:uid="{00000000-0004-0000-0300-000039000000}"/>
    <hyperlink ref="P60" r:id="rId59" xr:uid="{00000000-0004-0000-0300-00003A000000}"/>
    <hyperlink ref="P61" r:id="rId60" xr:uid="{00000000-0004-0000-0300-00003B000000}"/>
    <hyperlink ref="P62" r:id="rId61" xr:uid="{00000000-0004-0000-0300-00003C000000}"/>
    <hyperlink ref="P63" r:id="rId62" xr:uid="{00000000-0004-0000-0300-00003D000000}"/>
    <hyperlink ref="P64" r:id="rId63" xr:uid="{00000000-0004-0000-0300-00003E000000}"/>
    <hyperlink ref="P65" r:id="rId64" xr:uid="{00000000-0004-0000-0300-00003F000000}"/>
    <hyperlink ref="P66" r:id="rId65" xr:uid="{00000000-0004-0000-0300-000040000000}"/>
    <hyperlink ref="P67" r:id="rId66" xr:uid="{00000000-0004-0000-0300-000041000000}"/>
    <hyperlink ref="P68" r:id="rId67" xr:uid="{00000000-0004-0000-0300-000042000000}"/>
    <hyperlink ref="P69" r:id="rId68" xr:uid="{00000000-0004-0000-0300-000043000000}"/>
    <hyperlink ref="P70" r:id="rId69" xr:uid="{00000000-0004-0000-0300-000044000000}"/>
    <hyperlink ref="P71" r:id="rId70" xr:uid="{00000000-0004-0000-0300-000045000000}"/>
    <hyperlink ref="P72" r:id="rId71" xr:uid="{00000000-0004-0000-0300-000046000000}"/>
    <hyperlink ref="P73" r:id="rId72" xr:uid="{00000000-0004-0000-0300-000047000000}"/>
    <hyperlink ref="P74" r:id="rId73" xr:uid="{00000000-0004-0000-0300-000048000000}"/>
    <hyperlink ref="P75" r:id="rId74" xr:uid="{00000000-0004-0000-0300-000049000000}"/>
    <hyperlink ref="P76" r:id="rId75" xr:uid="{00000000-0004-0000-0300-00004A000000}"/>
    <hyperlink ref="P77" r:id="rId76" xr:uid="{00000000-0004-0000-0300-00004B000000}"/>
    <hyperlink ref="P78" r:id="rId77" xr:uid="{00000000-0004-0000-0300-00004C000000}"/>
    <hyperlink ref="P79" r:id="rId78" xr:uid="{00000000-0004-0000-0300-00004D000000}"/>
    <hyperlink ref="P80" r:id="rId79" xr:uid="{00000000-0004-0000-0300-00004E000000}"/>
    <hyperlink ref="P81" r:id="rId80" xr:uid="{00000000-0004-0000-0300-00004F000000}"/>
    <hyperlink ref="P82" r:id="rId81" xr:uid="{00000000-0004-0000-0300-000050000000}"/>
    <hyperlink ref="P83" r:id="rId82" xr:uid="{00000000-0004-0000-0300-000051000000}"/>
    <hyperlink ref="P84" r:id="rId83" xr:uid="{00000000-0004-0000-0300-000052000000}"/>
    <hyperlink ref="P85" r:id="rId84" xr:uid="{00000000-0004-0000-0300-000053000000}"/>
    <hyperlink ref="P86" r:id="rId85" xr:uid="{00000000-0004-0000-0300-000054000000}"/>
    <hyperlink ref="P87" r:id="rId86" xr:uid="{00000000-0004-0000-0300-000055000000}"/>
    <hyperlink ref="P88" r:id="rId87" xr:uid="{00000000-0004-0000-0300-000056000000}"/>
    <hyperlink ref="P89" r:id="rId88" xr:uid="{00000000-0004-0000-0300-000057000000}"/>
    <hyperlink ref="P90" r:id="rId89" xr:uid="{00000000-0004-0000-0300-000058000000}"/>
    <hyperlink ref="P91" r:id="rId90" xr:uid="{00000000-0004-0000-0300-000059000000}"/>
    <hyperlink ref="P92" r:id="rId91" xr:uid="{00000000-0004-0000-0300-00005A000000}"/>
    <hyperlink ref="P93" r:id="rId92" xr:uid="{00000000-0004-0000-0300-00005B000000}"/>
    <hyperlink ref="P94" r:id="rId93" xr:uid="{00000000-0004-0000-0300-00005C000000}"/>
    <hyperlink ref="P95" r:id="rId94" xr:uid="{00000000-0004-0000-0300-00005D000000}"/>
    <hyperlink ref="P96" r:id="rId95" xr:uid="{00000000-0004-0000-0300-00005E000000}"/>
    <hyperlink ref="P97" r:id="rId96" xr:uid="{00000000-0004-0000-0300-00005F000000}"/>
    <hyperlink ref="P98" r:id="rId97" xr:uid="{00000000-0004-0000-0300-000060000000}"/>
    <hyperlink ref="P99" r:id="rId98" xr:uid="{00000000-0004-0000-0300-000061000000}"/>
    <hyperlink ref="P100" r:id="rId99" xr:uid="{00000000-0004-0000-0300-000062000000}"/>
    <hyperlink ref="P101" r:id="rId100" xr:uid="{00000000-0004-0000-0300-000063000000}"/>
    <hyperlink ref="P102" r:id="rId101" xr:uid="{00000000-0004-0000-0300-000064000000}"/>
    <hyperlink ref="P103" r:id="rId102" xr:uid="{00000000-0004-0000-0300-000065000000}"/>
    <hyperlink ref="P104" r:id="rId103" xr:uid="{00000000-0004-0000-0300-000066000000}"/>
    <hyperlink ref="P105" r:id="rId104" xr:uid="{00000000-0004-0000-0300-000067000000}"/>
    <hyperlink ref="P106" r:id="rId105" xr:uid="{00000000-0004-0000-0300-000068000000}"/>
    <hyperlink ref="P107" r:id="rId106" xr:uid="{00000000-0004-0000-0300-000069000000}"/>
    <hyperlink ref="P108" r:id="rId107" xr:uid="{00000000-0004-0000-0300-00006A000000}"/>
    <hyperlink ref="P109" r:id="rId108" xr:uid="{00000000-0004-0000-0300-00006B000000}"/>
    <hyperlink ref="P110" r:id="rId109" xr:uid="{00000000-0004-0000-0300-00006C000000}"/>
    <hyperlink ref="P111" r:id="rId110" xr:uid="{00000000-0004-0000-0300-00006D000000}"/>
    <hyperlink ref="P112" r:id="rId111" xr:uid="{00000000-0004-0000-0300-00006E000000}"/>
    <hyperlink ref="P113" r:id="rId112" xr:uid="{00000000-0004-0000-0300-00006F000000}"/>
    <hyperlink ref="P114" r:id="rId113" xr:uid="{00000000-0004-0000-0300-000070000000}"/>
    <hyperlink ref="P115" r:id="rId114" xr:uid="{00000000-0004-0000-0300-000071000000}"/>
    <hyperlink ref="P116" r:id="rId115" xr:uid="{00000000-0004-0000-0300-000072000000}"/>
    <hyperlink ref="P117" r:id="rId116" xr:uid="{00000000-0004-0000-0300-000073000000}"/>
    <hyperlink ref="P118" r:id="rId117" xr:uid="{00000000-0004-0000-0300-000074000000}"/>
    <hyperlink ref="P119" r:id="rId118" xr:uid="{00000000-0004-0000-0300-000075000000}"/>
    <hyperlink ref="P120" r:id="rId119" xr:uid="{00000000-0004-0000-0300-000076000000}"/>
    <hyperlink ref="P121" r:id="rId120" xr:uid="{00000000-0004-0000-0300-000077000000}"/>
    <hyperlink ref="P122" r:id="rId121" xr:uid="{00000000-0004-0000-0300-000078000000}"/>
    <hyperlink ref="P123" r:id="rId122" xr:uid="{00000000-0004-0000-0300-000079000000}"/>
    <hyperlink ref="P124" r:id="rId123" xr:uid="{00000000-0004-0000-0300-00007A000000}"/>
    <hyperlink ref="P125" r:id="rId124" xr:uid="{00000000-0004-0000-0300-00007B000000}"/>
    <hyperlink ref="P126" r:id="rId125" xr:uid="{00000000-0004-0000-0300-00007C000000}"/>
    <hyperlink ref="P127" r:id="rId126" xr:uid="{00000000-0004-0000-0300-00007D000000}"/>
    <hyperlink ref="P128" r:id="rId127" xr:uid="{00000000-0004-0000-0300-00007E000000}"/>
    <hyperlink ref="P129" r:id="rId128" xr:uid="{00000000-0004-0000-0300-00007F000000}"/>
    <hyperlink ref="P130" r:id="rId129" xr:uid="{00000000-0004-0000-0300-000080000000}"/>
    <hyperlink ref="P131" r:id="rId130" xr:uid="{00000000-0004-0000-0300-000081000000}"/>
    <hyperlink ref="P132" r:id="rId131" xr:uid="{00000000-0004-0000-0300-000082000000}"/>
    <hyperlink ref="P133" r:id="rId132" xr:uid="{00000000-0004-0000-0300-000083000000}"/>
    <hyperlink ref="P134" r:id="rId133" xr:uid="{00000000-0004-0000-0300-000084000000}"/>
    <hyperlink ref="P135" r:id="rId134" xr:uid="{00000000-0004-0000-0300-000085000000}"/>
    <hyperlink ref="P136" r:id="rId135" xr:uid="{00000000-0004-0000-0300-000086000000}"/>
    <hyperlink ref="P137" r:id="rId136" xr:uid="{00000000-0004-0000-0300-000087000000}"/>
    <hyperlink ref="P138" r:id="rId137" xr:uid="{00000000-0004-0000-0300-000088000000}"/>
    <hyperlink ref="P141" r:id="rId138" xr:uid="{00000000-0004-0000-0300-00008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6640625" defaultRowHeight="14.4" x14ac:dyDescent="0.3"/>
  <cols>
    <col min="1" max="1" width="22" customWidth="1"/>
    <col min="2" max="2" width="16" customWidth="1"/>
    <col min="3" max="3" width="12" customWidth="1"/>
    <col min="4" max="4" width="20" customWidth="1"/>
    <col min="5" max="5" width="12" customWidth="1"/>
    <col min="6" max="6" width="14" customWidth="1"/>
    <col min="7" max="8" width="12" customWidth="1"/>
    <col min="9" max="10" width="22" customWidth="1"/>
  </cols>
  <sheetData>
    <row r="1" spans="1:8" ht="25.5" customHeight="1" x14ac:dyDescent="0.3">
      <c r="A1" s="28" t="s">
        <v>0</v>
      </c>
      <c r="B1" s="28"/>
      <c r="C1" s="28"/>
      <c r="D1" s="28"/>
      <c r="E1" s="28"/>
      <c r="F1" s="28"/>
      <c r="G1" s="28"/>
      <c r="H1" s="28"/>
    </row>
    <row r="2" spans="1:8" x14ac:dyDescent="0.3">
      <c r="A2" s="29" t="s">
        <v>1</v>
      </c>
      <c r="B2" s="29"/>
      <c r="C2" s="29"/>
      <c r="D2" s="29"/>
      <c r="E2" s="29"/>
      <c r="F2" s="29"/>
      <c r="G2" s="29"/>
      <c r="H2" s="29"/>
    </row>
    <row r="3" spans="1:8" x14ac:dyDescent="0.3">
      <c r="A3" s="29" t="s">
        <v>2</v>
      </c>
      <c r="B3" s="29"/>
      <c r="C3" s="29"/>
      <c r="D3" s="29"/>
      <c r="E3" s="29"/>
      <c r="F3" s="29"/>
      <c r="G3" s="29"/>
      <c r="H3" s="29"/>
    </row>
    <row r="5" spans="1:8" ht="15.6" x14ac:dyDescent="0.3">
      <c r="A5" s="30" t="s">
        <v>3</v>
      </c>
      <c r="B5" s="30"/>
      <c r="C5" s="30"/>
      <c r="D5" s="30"/>
      <c r="E5" s="30"/>
      <c r="F5" s="30"/>
      <c r="G5" s="30"/>
      <c r="H5" s="30"/>
    </row>
    <row r="6" spans="1:8" ht="26.4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</row>
    <row r="7" spans="1:8" x14ac:dyDescent="0.3">
      <c r="A7" s="3" t="s">
        <v>12</v>
      </c>
      <c r="B7" s="4">
        <f>COUNTA(Spain_Culture!I2:I503)</f>
        <v>249</v>
      </c>
      <c r="C7" s="4">
        <f>COUNTIF(Spain_Culture!I2:I503,"Present*")-COUNTIF(Spain_Culture!I2:I503,"*Emphasi*")</f>
        <v>89</v>
      </c>
      <c r="D7" s="4">
        <f>COUNTIF(Spain_Culture!I2:I503,"*Emphasi*")</f>
        <v>12</v>
      </c>
      <c r="E7" s="4">
        <f>COUNTIF(Spain_Culture!I2:I503,"Absent*")</f>
        <v>145</v>
      </c>
      <c r="F7" s="4">
        <f>B7-C7-D7-E7</f>
        <v>3</v>
      </c>
      <c r="G7" s="5">
        <f>IF(B7=0,0,(C7+D7)/B7)</f>
        <v>0.40562248995983935</v>
      </c>
      <c r="H7" s="5">
        <f>IF(B7=0,0,E7/B7)</f>
        <v>0.58232931726907633</v>
      </c>
    </row>
    <row r="8" spans="1:8" x14ac:dyDescent="0.3">
      <c r="A8" s="3" t="s">
        <v>13</v>
      </c>
      <c r="B8" s="4">
        <f>COUNTA(Spain_Border!H2:H61)</f>
        <v>60</v>
      </c>
      <c r="C8" s="4">
        <f>COUNTIF(Spain_Border!H2:H61,"Present*")-COUNTIF(Spain_Border!H2:H61,"*Emphasi*")</f>
        <v>52</v>
      </c>
      <c r="D8" s="4">
        <f>COUNTIF(Spain_Border!H2:H61,"*Emphasi*")</f>
        <v>1</v>
      </c>
      <c r="E8" s="4">
        <f>COUNTIF(Spain_Border!H2:H61,"Absent*")</f>
        <v>7</v>
      </c>
      <c r="F8" s="4">
        <f>B8-C8-D8-E8</f>
        <v>0</v>
      </c>
      <c r="G8" s="5">
        <f>IF(B8=0,0,(C8+D8)/B8)</f>
        <v>0.8833333333333333</v>
      </c>
      <c r="H8" s="5">
        <f>IF(B8=0,0,E8/B8)</f>
        <v>0.11666666666666667</v>
      </c>
    </row>
    <row r="9" spans="1:8" x14ac:dyDescent="0.3">
      <c r="A9" s="3" t="s">
        <v>14</v>
      </c>
      <c r="B9" s="4">
        <f>COUNTA(Spain_Military!H2:H9)</f>
        <v>8</v>
      </c>
      <c r="C9" s="4">
        <f>COUNTIF(Spain_Military!H2:H9,"Present*")-COUNTIF(Spain_Military!H2:H9,"*Emphasi*")</f>
        <v>5</v>
      </c>
      <c r="D9" s="4">
        <f>COUNTIF(Spain_Military!H2:H9,"*Emphasi*")</f>
        <v>0</v>
      </c>
      <c r="E9" s="4">
        <f>COUNTIF(Spain_Military!H2:H9,"Absent*")</f>
        <v>3</v>
      </c>
      <c r="F9" s="4">
        <f>B9-C9-D9-E9</f>
        <v>0</v>
      </c>
      <c r="G9" s="5">
        <f>IF(B9=0,0,(C9+D9)/B9)</f>
        <v>0.625</v>
      </c>
      <c r="H9" s="5">
        <f>IF(B9=0,0,E9/B9)</f>
        <v>0.375</v>
      </c>
    </row>
    <row r="10" spans="1:8" x14ac:dyDescent="0.3">
      <c r="A10" s="3" t="s">
        <v>15</v>
      </c>
      <c r="B10" s="4">
        <f>COUNTA(Spain_Toponym!J2:J1833)</f>
        <v>1832</v>
      </c>
      <c r="C10" s="4">
        <f>COUNTIF(Spain_Toponym!J2:J1833,"Present*")-COUNTIF(Spain_Toponym!J2:J1833,"*Emphasi*")</f>
        <v>1075</v>
      </c>
      <c r="D10" s="4">
        <f>COUNTIF(Spain_Toponym!J2:J1833,"*Emphasi*")</f>
        <v>64</v>
      </c>
      <c r="E10" s="4">
        <f>COUNTIF(Spain_Toponym!J2:J1833,"Absent*")</f>
        <v>693</v>
      </c>
      <c r="F10" s="4">
        <f>B10-C10-D10-E10</f>
        <v>0</v>
      </c>
      <c r="G10" s="5">
        <f>IF(B10=0,0,(C10+D10)/B10)</f>
        <v>0.62172489082969429</v>
      </c>
      <c r="H10" s="5">
        <f>IF(B10=0,0,E10/B10)</f>
        <v>0.37827510917030566</v>
      </c>
    </row>
    <row r="11" spans="1:8" x14ac:dyDescent="0.3">
      <c r="A11" s="1" t="s">
        <v>16</v>
      </c>
      <c r="B11" s="6">
        <f>SUM(B7:B10)</f>
        <v>2149</v>
      </c>
      <c r="C11" s="6">
        <f>SUM(C7:C10)</f>
        <v>1221</v>
      </c>
      <c r="D11" s="6">
        <f>SUM(D7:D10)</f>
        <v>77</v>
      </c>
      <c r="E11" s="6">
        <f>SUM(E7:E10)</f>
        <v>848</v>
      </c>
      <c r="F11" s="6"/>
      <c r="G11" s="7">
        <f>IF(B11=0,0,(C11+D11)/B11)</f>
        <v>0.60400186133085154</v>
      </c>
      <c r="H11" s="7">
        <f>IF(B11=0,0,E11/B11)</f>
        <v>0.39460214053047932</v>
      </c>
    </row>
    <row r="13" spans="1:8" ht="15.6" x14ac:dyDescent="0.3">
      <c r="A13" s="30" t="s">
        <v>17</v>
      </c>
      <c r="B13" s="30"/>
      <c r="C13" s="30"/>
      <c r="D13" s="30"/>
      <c r="E13" s="30"/>
      <c r="F13" s="30"/>
      <c r="G13" s="30"/>
      <c r="H13" s="30"/>
    </row>
    <row r="14" spans="1:8" ht="39.6" x14ac:dyDescent="0.3">
      <c r="A14" s="2" t="s">
        <v>4</v>
      </c>
      <c r="B14" s="2" t="s">
        <v>18</v>
      </c>
      <c r="C14" s="2" t="s">
        <v>7</v>
      </c>
      <c r="D14" s="2" t="s">
        <v>19</v>
      </c>
    </row>
    <row r="15" spans="1:8" x14ac:dyDescent="0.3">
      <c r="A15" s="3" t="s">
        <v>12</v>
      </c>
      <c r="B15" s="4">
        <f>C7+D7</f>
        <v>101</v>
      </c>
      <c r="C15" s="4">
        <f>D7</f>
        <v>12</v>
      </c>
      <c r="D15" s="5">
        <f>IF(B15=0,0,C15/B15)</f>
        <v>0.11881188118811881</v>
      </c>
    </row>
    <row r="16" spans="1:8" x14ac:dyDescent="0.3">
      <c r="A16" s="3" t="s">
        <v>13</v>
      </c>
      <c r="B16" s="4">
        <f>C8+D8</f>
        <v>53</v>
      </c>
      <c r="C16" s="4">
        <f>D8</f>
        <v>1</v>
      </c>
      <c r="D16" s="5">
        <f>IF(B16=0,0,C16/B16)</f>
        <v>1.8867924528301886E-2</v>
      </c>
    </row>
    <row r="17" spans="1:8" x14ac:dyDescent="0.3">
      <c r="A17" s="3" t="s">
        <v>14</v>
      </c>
      <c r="B17" s="4">
        <f>C9+D9</f>
        <v>5</v>
      </c>
      <c r="C17" s="4">
        <f>D9</f>
        <v>0</v>
      </c>
      <c r="D17" s="5">
        <f>IF(B17=0,0,C17/B17)</f>
        <v>0</v>
      </c>
    </row>
    <row r="18" spans="1:8" x14ac:dyDescent="0.3">
      <c r="A18" s="3" t="s">
        <v>15</v>
      </c>
      <c r="B18" s="4">
        <f>C10+D10</f>
        <v>1139</v>
      </c>
      <c r="C18" s="4">
        <f>D10</f>
        <v>64</v>
      </c>
      <c r="D18" s="5">
        <f>IF(B18=0,0,C18/B18)</f>
        <v>5.6189640035118525E-2</v>
      </c>
    </row>
    <row r="19" spans="1:8" x14ac:dyDescent="0.3">
      <c r="A19" s="1" t="s">
        <v>16</v>
      </c>
      <c r="B19" s="6">
        <f>SUM(B15:B18)</f>
        <v>1298</v>
      </c>
      <c r="C19" s="6">
        <f>SUM(C15:C18)</f>
        <v>77</v>
      </c>
      <c r="D19" s="7">
        <f>IF(B19=0,0,C19/B19)</f>
        <v>5.9322033898305086E-2</v>
      </c>
    </row>
    <row r="21" spans="1:8" ht="15.6" x14ac:dyDescent="0.3">
      <c r="A21" s="30" t="s">
        <v>20</v>
      </c>
      <c r="B21" s="30"/>
      <c r="C21" s="30"/>
      <c r="D21" s="30"/>
      <c r="E21" s="30"/>
      <c r="F21" s="30"/>
      <c r="G21" s="30"/>
      <c r="H21" s="30"/>
    </row>
    <row r="22" spans="1:8" ht="52.8" x14ac:dyDescent="0.3">
      <c r="A22" s="2" t="s">
        <v>4</v>
      </c>
      <c r="B22" s="2" t="s">
        <v>21</v>
      </c>
      <c r="C22" s="2" t="s">
        <v>22</v>
      </c>
      <c r="D22" s="2" t="s">
        <v>23</v>
      </c>
      <c r="E22" s="2" t="s">
        <v>24</v>
      </c>
    </row>
    <row r="23" spans="1:8" x14ac:dyDescent="0.3">
      <c r="A23" s="3" t="s">
        <v>12</v>
      </c>
      <c r="B23" s="4">
        <f>E7</f>
        <v>145</v>
      </c>
      <c r="C23" s="4">
        <f>COUNTIF(Spain_Culture!J2:J503,"*Yes*")</f>
        <v>144</v>
      </c>
      <c r="D23" s="4">
        <f>COUNTIF(Spain_Culture!M2:M503,"*Yes*")</f>
        <v>0</v>
      </c>
      <c r="E23" s="4">
        <f>COUNTIF(Spain_Culture!K2:K503,"*Yes*")</f>
        <v>139</v>
      </c>
    </row>
    <row r="24" spans="1:8" x14ac:dyDescent="0.3">
      <c r="A24" s="3" t="s">
        <v>13</v>
      </c>
      <c r="B24" s="4">
        <f>E8</f>
        <v>7</v>
      </c>
      <c r="C24" s="4">
        <f>COUNTIF(Spain_Border!I2:I61,"*Yes*")</f>
        <v>5</v>
      </c>
      <c r="D24" s="4">
        <f>COUNTIF(Spain_Border!L2:L61,"*Yes*")</f>
        <v>1</v>
      </c>
      <c r="E24" s="4">
        <f>COUNTIF(Spain_Border!J2:J61,"*Yes*")</f>
        <v>6</v>
      </c>
    </row>
    <row r="25" spans="1:8" x14ac:dyDescent="0.3">
      <c r="A25" s="3" t="s">
        <v>14</v>
      </c>
      <c r="B25" s="4">
        <f>E9</f>
        <v>3</v>
      </c>
      <c r="C25" s="4">
        <f>COUNTIF(Spain_Military!I2:I9,"*Yes*")</f>
        <v>0</v>
      </c>
      <c r="D25" s="4">
        <f>COUNTIF(Spain_Military!L2:L9,"*Yes*")</f>
        <v>3</v>
      </c>
      <c r="E25" s="4">
        <f>COUNTIF(Spain_Military!J2:J9,"*Yes*")</f>
        <v>0</v>
      </c>
    </row>
    <row r="26" spans="1:8" x14ac:dyDescent="0.3">
      <c r="A26" s="3" t="s">
        <v>15</v>
      </c>
      <c r="B26" s="4">
        <f>E10</f>
        <v>693</v>
      </c>
      <c r="C26" s="4">
        <f>COUNTIF(Spain_Toponym!K2:K1833,"*Yes*")</f>
        <v>691</v>
      </c>
      <c r="D26" s="4">
        <f>COUNTIF(Spain_Toponym!N2:N1833,"*Yes*")</f>
        <v>0</v>
      </c>
      <c r="E26" s="4">
        <f>COUNTIF(Spain_Toponym!L2:L1833,"*Yes*")</f>
        <v>311</v>
      </c>
    </row>
    <row r="27" spans="1:8" x14ac:dyDescent="0.3">
      <c r="A27" s="1" t="s">
        <v>16</v>
      </c>
      <c r="B27" s="6">
        <f>SUM(B23:B26)</f>
        <v>848</v>
      </c>
      <c r="C27" s="6">
        <f>SUM(C23:C26)</f>
        <v>840</v>
      </c>
      <c r="D27" s="6">
        <f>SUM(D23:D26)</f>
        <v>4</v>
      </c>
      <c r="E27" s="6">
        <f>SUM(E23:E26)</f>
        <v>456</v>
      </c>
    </row>
    <row r="29" spans="1:8" x14ac:dyDescent="0.3">
      <c r="A29" s="29" t="s">
        <v>25</v>
      </c>
      <c r="B29" s="29"/>
      <c r="C29" s="29"/>
      <c r="D29" s="29"/>
      <c r="E29" s="29"/>
      <c r="F29" s="29"/>
      <c r="G29" s="29"/>
      <c r="H29" s="29"/>
    </row>
    <row r="31" spans="1:8" ht="15.6" x14ac:dyDescent="0.3">
      <c r="A31" s="30" t="s">
        <v>26</v>
      </c>
      <c r="B31" s="30"/>
      <c r="C31" s="30"/>
      <c r="D31" s="30"/>
      <c r="E31" s="30"/>
      <c r="F31" s="30"/>
      <c r="G31" s="30"/>
      <c r="H31" s="30"/>
    </row>
    <row r="32" spans="1:8" x14ac:dyDescent="0.3">
      <c r="A32" s="2" t="s">
        <v>27</v>
      </c>
      <c r="B32" s="2" t="s">
        <v>28</v>
      </c>
      <c r="C32" s="2" t="s">
        <v>29</v>
      </c>
      <c r="D32" s="2" t="s">
        <v>5</v>
      </c>
      <c r="E32" s="2" t="s">
        <v>6</v>
      </c>
      <c r="F32" s="2" t="s">
        <v>8</v>
      </c>
      <c r="G32" s="2" t="s">
        <v>11</v>
      </c>
    </row>
    <row r="33" spans="1:8" x14ac:dyDescent="0.3">
      <c r="A33" s="3" t="str">
        <f>Map_Register!A2</f>
        <v>IGN-01</v>
      </c>
      <c r="B33" s="3" t="str">
        <f>Map_Register!D2</f>
        <v>Campo de Gibraltar (contested international boundary)</v>
      </c>
      <c r="C33" s="3" t="str">
        <f>Map_Register!C2</f>
        <v>Border Region</v>
      </c>
      <c r="D33" s="4">
        <f>COUNTIF(Spain_Culture!$C$2:$C$503,$A33)+COUNTIF(Spain_Border!$C$2:$C$61,$A33)+COUNTIF(Spain_Military!$C$2:$C$9,$A33)+COUNTIF(Spain_Toponym!$C$2:$C$1833,$A33)</f>
        <v>93</v>
      </c>
      <c r="E33" s="4">
        <f>COUNTIFS(Spain_Culture!$C$2:$C$503,$A33,Spain_Culture!$I$2:$I$503,"Present*")+COUNTIFS(Spain_Border!$C$2:$C$61,$A33,Spain_Border!$H$2:$H$61,"Present*")+COUNTIFS(Spain_Military!$C$2:$C$9,$A33,Spain_Military!$H$2:$H$9,"Present*")+COUNTIFS(Spain_Toponym!$C$2:$C$1833,$A33,Spain_Toponym!$J$2:$J$1833,"Present*")</f>
        <v>65</v>
      </c>
      <c r="F33" s="4">
        <f>COUNTIFS(Spain_Culture!$C$2:$C$503,$A33,Spain_Culture!$I$2:$I$503,"Absent*")+COUNTIFS(Spain_Border!$C$2:$C$61,$A33,Spain_Border!$H$2:$H$61,"Absent*")+COUNTIFS(Spain_Military!$C$2:$C$9,$A33,Spain_Military!$H$2:$H$9,"Absent*")+COUNTIFS(Spain_Toponym!$C$2:$C$1833,$A33,Spain_Toponym!$J$2:$J$1833,"Absent*")</f>
        <v>28</v>
      </c>
      <c r="G33" s="5">
        <f>IF(D33=0,0,F33/D33)</f>
        <v>0.30107526881720431</v>
      </c>
    </row>
    <row r="34" spans="1:8" x14ac:dyDescent="0.3">
      <c r="A34" s="3" t="str">
        <f>Map_Register!A3</f>
        <v>IGN-02</v>
      </c>
      <c r="B34" s="3" t="str">
        <f>Map_Register!D3</f>
        <v>Sevilla region (Cathedral, Alcázar, Archivo de Indias UNESCO WHS)</v>
      </c>
      <c r="C34" s="3" t="str">
        <f>Map_Register!C3</f>
        <v>Cultural Heritage Area</v>
      </c>
      <c r="D34" s="4">
        <f>COUNTIF(Spain_Culture!$C$2:$C$503,$A34)+COUNTIF(Spain_Border!$C$2:$C$61,$A34)+COUNTIF(Spain_Military!$C$2:$C$9,$A34)+COUNTIF(Spain_Toponym!$C$2:$C$1833,$A34)</f>
        <v>761</v>
      </c>
      <c r="E34" s="4">
        <f>COUNTIFS(Spain_Culture!$C$2:$C$503,$A34,Spain_Culture!$I$2:$I$503,"Present*")+COUNTIFS(Spain_Border!$C$2:$C$61,$A34,Spain_Border!$H$2:$H$61,"Present*")+COUNTIFS(Spain_Military!$C$2:$C$9,$A34,Spain_Military!$H$2:$H$9,"Present*")+COUNTIFS(Spain_Toponym!$C$2:$C$1833,$A34,Spain_Toponym!$J$2:$J$1833,"Present*")</f>
        <v>410</v>
      </c>
      <c r="F34" s="4">
        <f>COUNTIFS(Spain_Culture!$C$2:$C$503,$A34,Spain_Culture!$I$2:$I$503,"Absent*")+COUNTIFS(Spain_Border!$C$2:$C$61,$A34,Spain_Border!$H$2:$H$61,"Absent*")+COUNTIFS(Spain_Military!$C$2:$C$9,$A34,Spain_Military!$H$2:$H$9,"Absent*")+COUNTIFS(Spain_Toponym!$C$2:$C$1833,$A34,Spain_Toponym!$J$2:$J$1833,"Absent*")</f>
        <v>351</v>
      </c>
      <c r="G34" s="5">
        <f>IF(D34=0,0,F34/D34)</f>
        <v>0.4612352168199737</v>
      </c>
    </row>
    <row r="35" spans="1:8" x14ac:dyDescent="0.3">
      <c r="A35" s="3" t="str">
        <f>Map_Register!A4</f>
        <v>IGN-03</v>
      </c>
      <c r="B35" s="3" t="str">
        <f>Map_Register!D4</f>
        <v>Cádiz, Andalusia</v>
      </c>
      <c r="C35" s="3" t="str">
        <f>Map_Register!C4</f>
        <v>Military Zone</v>
      </c>
      <c r="D35" s="4">
        <f>COUNTIF(Spain_Culture!$C$2:$C$503,$A35)+COUNTIF(Spain_Border!$C$2:$C$61,$A35)+COUNTIF(Spain_Military!$C$2:$C$9,$A35)+COUNTIF(Spain_Toponym!$C$2:$C$1833,$A35)</f>
        <v>245</v>
      </c>
      <c r="E35" s="4">
        <f>COUNTIFS(Spain_Culture!$C$2:$C$503,$A35,Spain_Culture!$I$2:$I$503,"Present*")+COUNTIFS(Spain_Border!$C$2:$C$61,$A35,Spain_Border!$H$2:$H$61,"Present*")+COUNTIFS(Spain_Military!$C$2:$C$9,$A35,Spain_Military!$H$2:$H$9,"Present*")+COUNTIFS(Spain_Toponym!$C$2:$C$1833,$A35,Spain_Toponym!$J$2:$J$1833,"Present*")</f>
        <v>159</v>
      </c>
      <c r="F35" s="4">
        <f>COUNTIFS(Spain_Culture!$C$2:$C$503,$A35,Spain_Culture!$I$2:$I$503,"Absent*")+COUNTIFS(Spain_Border!$C$2:$C$61,$A35,Spain_Border!$H$2:$H$61,"Absent*")+COUNTIFS(Spain_Military!$C$2:$C$9,$A35,Spain_Military!$H$2:$H$9,"Absent*")+COUNTIFS(Spain_Toponym!$C$2:$C$1833,$A35,Spain_Toponym!$J$2:$J$1833,"Absent*")</f>
        <v>83</v>
      </c>
      <c r="G35" s="5">
        <f>IF(D35=0,0,F35/D35)</f>
        <v>0.33877551020408164</v>
      </c>
    </row>
    <row r="36" spans="1:8" x14ac:dyDescent="0.3">
      <c r="A36" s="3" t="str">
        <f>Map_Register!A5</f>
        <v>IGN-04</v>
      </c>
      <c r="B36" s="3" t="str">
        <f>Map_Register!D5</f>
        <v>Navarra / Gipuzkoa Region</v>
      </c>
      <c r="C36" s="3" t="str">
        <f>Map_Register!C5</f>
        <v>Toponym Labels</v>
      </c>
      <c r="D36" s="4">
        <f>COUNTIF(Spain_Culture!$C$2:$C$503,$A36)+COUNTIF(Spain_Border!$C$2:$C$61,$A36)+COUNTIF(Spain_Military!$C$2:$C$9,$A36)+COUNTIF(Spain_Toponym!$C$2:$C$1833,$A36)</f>
        <v>1050</v>
      </c>
      <c r="E36" s="4">
        <f>COUNTIFS(Spain_Culture!$C$2:$C$503,$A36,Spain_Culture!$I$2:$I$503,"Present*")+COUNTIFS(Spain_Border!$C$2:$C$61,$A36,Spain_Border!$H$2:$H$61,"Present*")+COUNTIFS(Spain_Military!$C$2:$C$9,$A36,Spain_Military!$H$2:$H$9,"Present*")+COUNTIFS(Spain_Toponym!$C$2:$C$1833,$A36,Spain_Toponym!$J$2:$J$1833,"Present*")</f>
        <v>664</v>
      </c>
      <c r="F36" s="4">
        <f>COUNTIFS(Spain_Culture!$C$2:$C$503,$A36,Spain_Culture!$I$2:$I$503,"Absent*")+COUNTIFS(Spain_Border!$C$2:$C$61,$A36,Spain_Border!$H$2:$H$61,"Absent*")+COUNTIFS(Spain_Military!$C$2:$C$9,$A36,Spain_Military!$H$2:$H$9,"Absent*")+COUNTIFS(Spain_Toponym!$C$2:$C$1833,$A36,Spain_Toponym!$J$2:$J$1833,"Absent*")</f>
        <v>386</v>
      </c>
      <c r="G36" s="5">
        <f>IF(D36=0,0,F36/D36)</f>
        <v>0.36761904761904762</v>
      </c>
    </row>
    <row r="37" spans="1:8" x14ac:dyDescent="0.3">
      <c r="A37" s="32" t="s">
        <v>16</v>
      </c>
      <c r="B37" s="32"/>
      <c r="C37" s="32"/>
      <c r="D37" s="6">
        <f>SUM(D33:D36)</f>
        <v>2149</v>
      </c>
      <c r="E37" s="6">
        <f>SUM(E33:E36)</f>
        <v>1298</v>
      </c>
      <c r="F37" s="6">
        <f>SUM(F33:F36)</f>
        <v>848</v>
      </c>
      <c r="G37" s="7">
        <f>IF(D37=0,0,F37/D37)</f>
        <v>0.39460214053047932</v>
      </c>
    </row>
    <row r="39" spans="1:8" ht="15.6" x14ac:dyDescent="0.3">
      <c r="A39" s="30" t="s">
        <v>30</v>
      </c>
      <c r="B39" s="30"/>
      <c r="C39" s="30"/>
      <c r="D39" s="30"/>
      <c r="E39" s="30"/>
      <c r="F39" s="30"/>
      <c r="G39" s="30"/>
      <c r="H39" s="30"/>
    </row>
    <row r="40" spans="1:8" x14ac:dyDescent="0.3">
      <c r="A40" s="31" t="s">
        <v>31</v>
      </c>
      <c r="B40" s="31"/>
      <c r="C40" s="31"/>
      <c r="D40" s="31"/>
      <c r="E40" s="31"/>
      <c r="F40" s="8">
        <f>B11</f>
        <v>2149</v>
      </c>
    </row>
    <row r="41" spans="1:8" x14ac:dyDescent="0.3">
      <c r="A41" s="31" t="s">
        <v>32</v>
      </c>
      <c r="B41" s="31"/>
      <c r="C41" s="31"/>
      <c r="D41" s="31"/>
      <c r="E41" s="31"/>
      <c r="F41" s="9">
        <f>G11</f>
        <v>0.60400186133085154</v>
      </c>
    </row>
    <row r="42" spans="1:8" x14ac:dyDescent="0.3">
      <c r="A42" s="31" t="s">
        <v>33</v>
      </c>
      <c r="B42" s="31"/>
      <c r="C42" s="31"/>
      <c r="D42" s="31"/>
      <c r="E42" s="31"/>
      <c r="F42" s="9">
        <f>H11</f>
        <v>0.39460214053047932</v>
      </c>
    </row>
    <row r="43" spans="1:8" x14ac:dyDescent="0.3">
      <c r="A43" s="31" t="s">
        <v>34</v>
      </c>
      <c r="B43" s="31"/>
      <c r="C43" s="31"/>
      <c r="D43" s="31"/>
      <c r="E43" s="31"/>
      <c r="F43" s="9">
        <f>IF((C11+D11)=0,0,D11/(C11+D11))</f>
        <v>5.9322033898305086E-2</v>
      </c>
    </row>
  </sheetData>
  <mergeCells count="14">
    <mergeCell ref="A40:E40"/>
    <mergeCell ref="A41:E41"/>
    <mergeCell ref="A42:E42"/>
    <mergeCell ref="A43:E43"/>
    <mergeCell ref="A21:H21"/>
    <mergeCell ref="A29:H29"/>
    <mergeCell ref="A31:H31"/>
    <mergeCell ref="A37:C37"/>
    <mergeCell ref="A39:H39"/>
    <mergeCell ref="A1:H1"/>
    <mergeCell ref="A2:H2"/>
    <mergeCell ref="A3:H3"/>
    <mergeCell ref="A5:H5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zoomScaleNormal="100" workbookViewId="0"/>
  </sheetViews>
  <sheetFormatPr defaultColWidth="8.6640625" defaultRowHeight="14.4" x14ac:dyDescent="0.3"/>
  <cols>
    <col min="1" max="7" width="24" customWidth="1"/>
  </cols>
  <sheetData>
    <row r="1" spans="1:7" x14ac:dyDescent="0.3">
      <c r="A1" s="11" t="s">
        <v>48</v>
      </c>
      <c r="B1" s="11" t="s">
        <v>4</v>
      </c>
      <c r="C1" s="11" t="s">
        <v>59</v>
      </c>
      <c r="D1" s="11" t="s">
        <v>62</v>
      </c>
      <c r="E1" s="11" t="s">
        <v>2562</v>
      </c>
      <c r="F1" s="11" t="s">
        <v>103</v>
      </c>
      <c r="G1" s="11" t="s">
        <v>82</v>
      </c>
    </row>
    <row r="2" spans="1:7" x14ac:dyDescent="0.3">
      <c r="A2" s="20" t="s">
        <v>2563</v>
      </c>
      <c r="B2" s="20" t="s">
        <v>14</v>
      </c>
      <c r="C2" s="20" t="s">
        <v>8</v>
      </c>
      <c r="D2" s="20" t="s">
        <v>2564</v>
      </c>
      <c r="E2" s="20" t="s">
        <v>2564</v>
      </c>
      <c r="F2" s="20" t="s">
        <v>2565</v>
      </c>
      <c r="G2" s="20" t="s">
        <v>88</v>
      </c>
    </row>
    <row r="3" spans="1:7" x14ac:dyDescent="0.3">
      <c r="A3" s="20" t="s">
        <v>2566</v>
      </c>
      <c r="B3" s="20" t="s">
        <v>13</v>
      </c>
      <c r="C3" s="20" t="s">
        <v>6</v>
      </c>
      <c r="D3" s="20" t="s">
        <v>2567</v>
      </c>
      <c r="E3" s="20" t="s">
        <v>2568</v>
      </c>
      <c r="F3" s="20" t="s">
        <v>2569</v>
      </c>
      <c r="G3" s="20" t="s">
        <v>92</v>
      </c>
    </row>
    <row r="4" spans="1:7" x14ac:dyDescent="0.3">
      <c r="A4" s="20" t="s">
        <v>87</v>
      </c>
      <c r="B4" s="20" t="s">
        <v>104</v>
      </c>
      <c r="C4" s="20" t="s">
        <v>220</v>
      </c>
      <c r="F4" s="20" t="s">
        <v>2570</v>
      </c>
      <c r="G4" s="20" t="s">
        <v>95</v>
      </c>
    </row>
    <row r="5" spans="1:7" x14ac:dyDescent="0.3">
      <c r="B5" s="20" t="s">
        <v>15</v>
      </c>
      <c r="C5" s="20" t="s">
        <v>2571</v>
      </c>
      <c r="F5" s="20" t="s">
        <v>2572</v>
      </c>
      <c r="G5" s="20" t="s">
        <v>98</v>
      </c>
    </row>
    <row r="6" spans="1:7" x14ac:dyDescent="0.3">
      <c r="C6" s="20" t="s">
        <v>2573</v>
      </c>
      <c r="F6" s="20" t="s">
        <v>2574</v>
      </c>
      <c r="G6" s="20" t="s">
        <v>2575</v>
      </c>
    </row>
    <row r="7" spans="1:7" x14ac:dyDescent="0.3">
      <c r="F7" s="20" t="s">
        <v>2576</v>
      </c>
    </row>
    <row r="8" spans="1:7" x14ac:dyDescent="0.3">
      <c r="F8" s="20" t="s">
        <v>2567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Map_Register</vt:lpstr>
      <vt:lpstr>Spain_Border</vt:lpstr>
      <vt:lpstr>Spain_Military</vt:lpstr>
      <vt:lpstr>Spain_Toponym</vt:lpstr>
      <vt:lpstr>Spain_Culture</vt:lpstr>
      <vt:lpstr>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afigueroa@mail.sib.org.bz</dc:creator>
  <dc:description/>
  <cp:lastModifiedBy>Amilcar Figueroa</cp:lastModifiedBy>
  <cp:revision>0</cp:revision>
  <dcterms:created xsi:type="dcterms:W3CDTF">2026-06-12T23:10:22Z</dcterms:created>
  <dcterms:modified xsi:type="dcterms:W3CDTF">2026-09-07T19:19:05Z</dcterms:modified>
  <dc:language>en-US</dc:language>
</cp:coreProperties>
</file>