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lcar\Desktop\files\"/>
    </mc:Choice>
  </mc:AlternateContent>
  <xr:revisionPtr revIDLastSave="0" documentId="13_ncr:1_{EE4178E6-C5AB-4403-8F5A-AAB1286203A1}" xr6:coauthVersionLast="47" xr6:coauthVersionMax="47" xr10:uidLastSave="{00000000-0000-0000-0000-000000000000}"/>
  <bookViews>
    <workbookView xWindow="-108" yWindow="-108" windowWidth="23256" windowHeight="12576" tabRatio="500" activeTab="4" xr2:uid="{00000000-000D-0000-FFFF-FFFF00000000}"/>
  </bookViews>
  <sheets>
    <sheet name="README" sheetId="2" r:id="rId1"/>
    <sheet name="Map_Register" sheetId="3" r:id="rId2"/>
    <sheet name="Finland_Culture" sheetId="4" r:id="rId3"/>
    <sheet name="Finland_Military" sheetId="6" r:id="rId4"/>
    <sheet name="Finland_Toponym" sheetId="7" r:id="rId5"/>
    <sheet name="Finland_Border" sheetId="5" r:id="rId6"/>
    <sheet name="Summary" sheetId="1" r:id="rId7"/>
    <sheet name="Lists" sheetId="8" state="hidden" r:id="rId8"/>
  </sheets>
  <definedNames>
    <definedName name="_xlnm._FilterDatabase" localSheetId="5" hidden="1">Finland_Border!$A$1:$O$28</definedName>
    <definedName name="_xlnm._FilterDatabase" localSheetId="2" hidden="1">Finland_Culture!$A$1:$P$829</definedName>
    <definedName name="_xlnm._FilterDatabase" localSheetId="4" hidden="1">Finland_Toponym!$A$1:$R$1581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81" i="7" l="1"/>
  <c r="A1581" i="7"/>
  <c r="D1580" i="7"/>
  <c r="A1580" i="7"/>
  <c r="D1579" i="7"/>
  <c r="A1579" i="7"/>
  <c r="D1578" i="7"/>
  <c r="A1578" i="7"/>
  <c r="D1577" i="7"/>
  <c r="A1577" i="7"/>
  <c r="D1576" i="7"/>
  <c r="A1576" i="7"/>
  <c r="D1575" i="7"/>
  <c r="A1575" i="7"/>
  <c r="D1574" i="7"/>
  <c r="A1574" i="7"/>
  <c r="D1573" i="7"/>
  <c r="A1573" i="7"/>
  <c r="D1572" i="7"/>
  <c r="A1572" i="7"/>
  <c r="D1571" i="7"/>
  <c r="A1571" i="7"/>
  <c r="D1570" i="7"/>
  <c r="A1570" i="7"/>
  <c r="D1569" i="7"/>
  <c r="A1569" i="7"/>
  <c r="D1568" i="7"/>
  <c r="A1568" i="7"/>
  <c r="D1567" i="7"/>
  <c r="A1567" i="7"/>
  <c r="D1566" i="7"/>
  <c r="A1566" i="7"/>
  <c r="D1565" i="7"/>
  <c r="A1565" i="7"/>
  <c r="D1564" i="7"/>
  <c r="A1564" i="7"/>
  <c r="D1563" i="7"/>
  <c r="A1563" i="7"/>
  <c r="D1562" i="7"/>
  <c r="A1562" i="7"/>
  <c r="D1561" i="7"/>
  <c r="A1561" i="7"/>
  <c r="D1560" i="7"/>
  <c r="A1560" i="7"/>
  <c r="D1559" i="7"/>
  <c r="A1559" i="7"/>
  <c r="D1558" i="7"/>
  <c r="A1558" i="7"/>
  <c r="D1557" i="7"/>
  <c r="A1557" i="7"/>
  <c r="D1556" i="7"/>
  <c r="A1556" i="7"/>
  <c r="D1555" i="7"/>
  <c r="A1555" i="7"/>
  <c r="D1554" i="7"/>
  <c r="A1554" i="7"/>
  <c r="D1553" i="7"/>
  <c r="A1553" i="7"/>
  <c r="D1552" i="7"/>
  <c r="A1552" i="7"/>
  <c r="D1551" i="7"/>
  <c r="A1551" i="7"/>
  <c r="D1550" i="7"/>
  <c r="A1550" i="7"/>
  <c r="D1549" i="7"/>
  <c r="A1549" i="7"/>
  <c r="D1548" i="7"/>
  <c r="A1548" i="7"/>
  <c r="D1547" i="7"/>
  <c r="A1547" i="7"/>
  <c r="D1546" i="7"/>
  <c r="A1546" i="7"/>
  <c r="D1545" i="7"/>
  <c r="A1545" i="7"/>
  <c r="D1544" i="7"/>
  <c r="A1544" i="7"/>
  <c r="D1543" i="7"/>
  <c r="A1543" i="7"/>
  <c r="D1542" i="7"/>
  <c r="A1542" i="7"/>
  <c r="D1541" i="7"/>
  <c r="A1541" i="7"/>
  <c r="D1540" i="7"/>
  <c r="A1540" i="7"/>
  <c r="D1539" i="7"/>
  <c r="A1539" i="7"/>
  <c r="D1538" i="7"/>
  <c r="A1538" i="7"/>
  <c r="D1537" i="7"/>
  <c r="A1537" i="7"/>
  <c r="D1536" i="7"/>
  <c r="A1536" i="7"/>
  <c r="D1535" i="7"/>
  <c r="A1535" i="7"/>
  <c r="D1534" i="7"/>
  <c r="A1534" i="7"/>
  <c r="D1533" i="7"/>
  <c r="A1533" i="7"/>
  <c r="D1532" i="7"/>
  <c r="A1532" i="7"/>
  <c r="D1531" i="7"/>
  <c r="A1531" i="7"/>
  <c r="D1530" i="7"/>
  <c r="A1530" i="7"/>
  <c r="D1529" i="7"/>
  <c r="A1529" i="7"/>
  <c r="D1528" i="7"/>
  <c r="A1528" i="7"/>
  <c r="D1527" i="7"/>
  <c r="A1527" i="7"/>
  <c r="D1526" i="7"/>
  <c r="A1526" i="7"/>
  <c r="D1525" i="7"/>
  <c r="A1525" i="7"/>
  <c r="D1524" i="7"/>
  <c r="A1524" i="7"/>
  <c r="D1523" i="7"/>
  <c r="A1523" i="7"/>
  <c r="D1522" i="7"/>
  <c r="A1522" i="7"/>
  <c r="D1521" i="7"/>
  <c r="A1521" i="7"/>
  <c r="D1520" i="7"/>
  <c r="A1520" i="7"/>
  <c r="D1519" i="7"/>
  <c r="A1519" i="7"/>
  <c r="D1518" i="7"/>
  <c r="A1518" i="7"/>
  <c r="D1517" i="7"/>
  <c r="A1517" i="7"/>
  <c r="D1516" i="7"/>
  <c r="A1516" i="7"/>
  <c r="D1515" i="7"/>
  <c r="A1515" i="7"/>
  <c r="D1514" i="7"/>
  <c r="A1514" i="7"/>
  <c r="D1513" i="7"/>
  <c r="A1513" i="7"/>
  <c r="D1512" i="7"/>
  <c r="A1512" i="7"/>
  <c r="D1511" i="7"/>
  <c r="A1511" i="7"/>
  <c r="D1510" i="7"/>
  <c r="A1510" i="7"/>
  <c r="D1509" i="7"/>
  <c r="A1509" i="7"/>
  <c r="D1508" i="7"/>
  <c r="A1508" i="7"/>
  <c r="D1507" i="7"/>
  <c r="A1507" i="7"/>
  <c r="D1506" i="7"/>
  <c r="A1506" i="7"/>
  <c r="D1505" i="7"/>
  <c r="A1505" i="7"/>
  <c r="D1504" i="7"/>
  <c r="A1504" i="7"/>
  <c r="D1503" i="7"/>
  <c r="A1503" i="7"/>
  <c r="D1502" i="7"/>
  <c r="A1502" i="7"/>
  <c r="D1501" i="7"/>
  <c r="A1501" i="7"/>
  <c r="D1500" i="7"/>
  <c r="A1500" i="7"/>
  <c r="D1499" i="7"/>
  <c r="A1499" i="7"/>
  <c r="D1498" i="7"/>
  <c r="A1498" i="7"/>
  <c r="D1497" i="7"/>
  <c r="A1497" i="7"/>
  <c r="D1496" i="7"/>
  <c r="A1496" i="7"/>
  <c r="D1495" i="7"/>
  <c r="A1495" i="7"/>
  <c r="D1494" i="7"/>
  <c r="A1494" i="7"/>
  <c r="D1493" i="7"/>
  <c r="A1493" i="7"/>
  <c r="D1492" i="7"/>
  <c r="A1492" i="7"/>
  <c r="D1491" i="7"/>
  <c r="A1491" i="7"/>
  <c r="D1490" i="7"/>
  <c r="A1490" i="7"/>
  <c r="D1489" i="7"/>
  <c r="A1489" i="7"/>
  <c r="D1488" i="7"/>
  <c r="A1488" i="7"/>
  <c r="D1487" i="7"/>
  <c r="A1487" i="7"/>
  <c r="D1486" i="7"/>
  <c r="A1486" i="7"/>
  <c r="D1485" i="7"/>
  <c r="A1485" i="7"/>
  <c r="D1484" i="7"/>
  <c r="A1484" i="7"/>
  <c r="D1483" i="7"/>
  <c r="A1483" i="7"/>
  <c r="D1482" i="7"/>
  <c r="A1482" i="7"/>
  <c r="D1481" i="7"/>
  <c r="A1481" i="7"/>
  <c r="D1480" i="7"/>
  <c r="A1480" i="7"/>
  <c r="D1479" i="7"/>
  <c r="A1479" i="7"/>
  <c r="D1478" i="7"/>
  <c r="A1478" i="7"/>
  <c r="D1477" i="7"/>
  <c r="A1477" i="7"/>
  <c r="D1476" i="7"/>
  <c r="A1476" i="7"/>
  <c r="D1475" i="7"/>
  <c r="A1475" i="7"/>
  <c r="D1474" i="7"/>
  <c r="A1474" i="7"/>
  <c r="D1473" i="7"/>
  <c r="A1473" i="7"/>
  <c r="D1472" i="7"/>
  <c r="A1472" i="7"/>
  <c r="D1471" i="7"/>
  <c r="A1471" i="7"/>
  <c r="D1470" i="7"/>
  <c r="A1470" i="7"/>
  <c r="D1469" i="7"/>
  <c r="A1469" i="7"/>
  <c r="D1468" i="7"/>
  <c r="A1468" i="7"/>
  <c r="D1467" i="7"/>
  <c r="A1467" i="7"/>
  <c r="D1466" i="7"/>
  <c r="A1466" i="7"/>
  <c r="D1465" i="7"/>
  <c r="A1465" i="7"/>
  <c r="D1464" i="7"/>
  <c r="A1464" i="7"/>
  <c r="D1463" i="7"/>
  <c r="A1463" i="7"/>
  <c r="D1462" i="7"/>
  <c r="A1462" i="7"/>
  <c r="D1461" i="7"/>
  <c r="A1461" i="7"/>
  <c r="D1460" i="7"/>
  <c r="A1460" i="7"/>
  <c r="D1459" i="7"/>
  <c r="A1459" i="7"/>
  <c r="D1458" i="7"/>
  <c r="A1458" i="7"/>
  <c r="D1457" i="7"/>
  <c r="A1457" i="7"/>
  <c r="D1456" i="7"/>
  <c r="A1456" i="7"/>
  <c r="D1455" i="7"/>
  <c r="A1455" i="7"/>
  <c r="D1454" i="7"/>
  <c r="A1454" i="7"/>
  <c r="D1453" i="7"/>
  <c r="A1453" i="7"/>
  <c r="D1452" i="7"/>
  <c r="A1452" i="7"/>
  <c r="D1451" i="7"/>
  <c r="A1451" i="7"/>
  <c r="D1450" i="7"/>
  <c r="A1450" i="7"/>
  <c r="D1449" i="7"/>
  <c r="A1449" i="7"/>
  <c r="D1448" i="7"/>
  <c r="A1448" i="7"/>
  <c r="D1447" i="7"/>
  <c r="A1447" i="7"/>
  <c r="D1446" i="7"/>
  <c r="A1446" i="7"/>
  <c r="D1445" i="7"/>
  <c r="A1445" i="7"/>
  <c r="D1444" i="7"/>
  <c r="A1444" i="7"/>
  <c r="D1443" i="7"/>
  <c r="A1443" i="7"/>
  <c r="D1442" i="7"/>
  <c r="A1442" i="7"/>
  <c r="D1441" i="7"/>
  <c r="A1441" i="7"/>
  <c r="D1440" i="7"/>
  <c r="A1440" i="7"/>
  <c r="D1439" i="7"/>
  <c r="A1439" i="7"/>
  <c r="D1438" i="7"/>
  <c r="A1438" i="7"/>
  <c r="D1437" i="7"/>
  <c r="A1437" i="7"/>
  <c r="D1436" i="7"/>
  <c r="A1436" i="7"/>
  <c r="D1435" i="7"/>
  <c r="A1435" i="7"/>
  <c r="D1434" i="7"/>
  <c r="A1434" i="7"/>
  <c r="D1433" i="7"/>
  <c r="A1433" i="7"/>
  <c r="D1432" i="7"/>
  <c r="A1432" i="7"/>
  <c r="D1431" i="7"/>
  <c r="A1431" i="7"/>
  <c r="D1430" i="7"/>
  <c r="A1430" i="7"/>
  <c r="D1429" i="7"/>
  <c r="A1429" i="7"/>
  <c r="D1428" i="7"/>
  <c r="A1428" i="7"/>
  <c r="D1427" i="7"/>
  <c r="A1427" i="7"/>
  <c r="D1426" i="7"/>
  <c r="A1426" i="7"/>
  <c r="D1425" i="7"/>
  <c r="A1425" i="7"/>
  <c r="D1424" i="7"/>
  <c r="A1424" i="7"/>
  <c r="D1423" i="7"/>
  <c r="A1423" i="7"/>
  <c r="D1422" i="7"/>
  <c r="A1422" i="7"/>
  <c r="D1421" i="7"/>
  <c r="A1421" i="7"/>
  <c r="D1420" i="7"/>
  <c r="A1420" i="7"/>
  <c r="D1419" i="7"/>
  <c r="A1419" i="7"/>
  <c r="D1418" i="7"/>
  <c r="A1418" i="7"/>
  <c r="D1417" i="7"/>
  <c r="A1417" i="7"/>
  <c r="D1416" i="7"/>
  <c r="A1416" i="7"/>
  <c r="D1415" i="7"/>
  <c r="A1415" i="7"/>
  <c r="D1414" i="7"/>
  <c r="A1414" i="7"/>
  <c r="D1413" i="7"/>
  <c r="A1413" i="7"/>
  <c r="D1412" i="7"/>
  <c r="A1412" i="7"/>
  <c r="D1411" i="7"/>
  <c r="A1411" i="7"/>
  <c r="D1410" i="7"/>
  <c r="A1410" i="7"/>
  <c r="D1409" i="7"/>
  <c r="A1409" i="7"/>
  <c r="D1408" i="7"/>
  <c r="A1408" i="7"/>
  <c r="D1407" i="7"/>
  <c r="A1407" i="7"/>
  <c r="D1406" i="7"/>
  <c r="A1406" i="7"/>
  <c r="D1405" i="7"/>
  <c r="A1405" i="7"/>
  <c r="D1404" i="7"/>
  <c r="A1404" i="7"/>
  <c r="D1403" i="7"/>
  <c r="A1403" i="7"/>
  <c r="D1402" i="7"/>
  <c r="A1402" i="7"/>
  <c r="D1401" i="7"/>
  <c r="A1401" i="7"/>
  <c r="D1400" i="7"/>
  <c r="A1400" i="7"/>
  <c r="D1399" i="7"/>
  <c r="A1399" i="7"/>
  <c r="D1398" i="7"/>
  <c r="A1398" i="7"/>
  <c r="D1397" i="7"/>
  <c r="A1397" i="7"/>
  <c r="D1396" i="7"/>
  <c r="A1396" i="7"/>
  <c r="D1395" i="7"/>
  <c r="A1395" i="7"/>
  <c r="D1394" i="7"/>
  <c r="A1394" i="7"/>
  <c r="D1393" i="7"/>
  <c r="A1393" i="7"/>
  <c r="D1392" i="7"/>
  <c r="A1392" i="7"/>
  <c r="D1391" i="7"/>
  <c r="A1391" i="7"/>
  <c r="D1390" i="7"/>
  <c r="A1390" i="7"/>
  <c r="D1389" i="7"/>
  <c r="A1389" i="7"/>
  <c r="D1388" i="7"/>
  <c r="A1388" i="7"/>
  <c r="D1387" i="7"/>
  <c r="A1387" i="7"/>
  <c r="D1386" i="7"/>
  <c r="A1386" i="7"/>
  <c r="D1385" i="7"/>
  <c r="A1385" i="7"/>
  <c r="D1384" i="7"/>
  <c r="A1384" i="7"/>
  <c r="D1383" i="7"/>
  <c r="A1383" i="7"/>
  <c r="D1382" i="7"/>
  <c r="A1382" i="7"/>
  <c r="D1381" i="7"/>
  <c r="A1381" i="7"/>
  <c r="D1380" i="7"/>
  <c r="A1380" i="7"/>
  <c r="D1379" i="7"/>
  <c r="A1379" i="7"/>
  <c r="D1378" i="7"/>
  <c r="A1378" i="7"/>
  <c r="D1377" i="7"/>
  <c r="A1377" i="7"/>
  <c r="D1376" i="7"/>
  <c r="A1376" i="7"/>
  <c r="D1375" i="7"/>
  <c r="A1375" i="7"/>
  <c r="D1374" i="7"/>
  <c r="A1374" i="7"/>
  <c r="D1373" i="7"/>
  <c r="A1373" i="7"/>
  <c r="D1372" i="7"/>
  <c r="A1372" i="7"/>
  <c r="D1371" i="7"/>
  <c r="A1371" i="7"/>
  <c r="D1370" i="7"/>
  <c r="A1370" i="7"/>
  <c r="D1369" i="7"/>
  <c r="A1369" i="7"/>
  <c r="D1368" i="7"/>
  <c r="A1368" i="7"/>
  <c r="D1367" i="7"/>
  <c r="A1367" i="7"/>
  <c r="D1366" i="7"/>
  <c r="A1366" i="7"/>
  <c r="D1365" i="7"/>
  <c r="A1365" i="7"/>
  <c r="D1364" i="7"/>
  <c r="A1364" i="7"/>
  <c r="D1363" i="7"/>
  <c r="A1363" i="7"/>
  <c r="D1362" i="7"/>
  <c r="A1362" i="7"/>
  <c r="D1361" i="7"/>
  <c r="A1361" i="7"/>
  <c r="D1360" i="7"/>
  <c r="A1360" i="7"/>
  <c r="D1359" i="7"/>
  <c r="A1359" i="7"/>
  <c r="D1358" i="7"/>
  <c r="A1358" i="7"/>
  <c r="D1357" i="7"/>
  <c r="A1357" i="7"/>
  <c r="D1356" i="7"/>
  <c r="A1356" i="7"/>
  <c r="D1355" i="7"/>
  <c r="A1355" i="7"/>
  <c r="D1354" i="7"/>
  <c r="A1354" i="7"/>
  <c r="D1353" i="7"/>
  <c r="A1353" i="7"/>
  <c r="D1352" i="7"/>
  <c r="A1352" i="7"/>
  <c r="D1351" i="7"/>
  <c r="A1351" i="7"/>
  <c r="D1350" i="7"/>
  <c r="A1350" i="7"/>
  <c r="D1349" i="7"/>
  <c r="A1349" i="7"/>
  <c r="D1348" i="7"/>
  <c r="A1348" i="7"/>
  <c r="D1347" i="7"/>
  <c r="A1347" i="7"/>
  <c r="D1346" i="7"/>
  <c r="A1346" i="7"/>
  <c r="D1345" i="7"/>
  <c r="A1345" i="7"/>
  <c r="D1344" i="7"/>
  <c r="A1344" i="7"/>
  <c r="D1343" i="7"/>
  <c r="A1343" i="7"/>
  <c r="D1342" i="7"/>
  <c r="A1342" i="7"/>
  <c r="D1341" i="7"/>
  <c r="A1341" i="7"/>
  <c r="D1340" i="7"/>
  <c r="A1340" i="7"/>
  <c r="D1339" i="7"/>
  <c r="A1339" i="7"/>
  <c r="D1338" i="7"/>
  <c r="A1338" i="7"/>
  <c r="D1337" i="7"/>
  <c r="A1337" i="7"/>
  <c r="D1336" i="7"/>
  <c r="A1336" i="7"/>
  <c r="D1335" i="7"/>
  <c r="A1335" i="7"/>
  <c r="D1334" i="7"/>
  <c r="A1334" i="7"/>
  <c r="D1333" i="7"/>
  <c r="A1333" i="7"/>
  <c r="D1332" i="7"/>
  <c r="A1332" i="7"/>
  <c r="D1331" i="7"/>
  <c r="A1331" i="7"/>
  <c r="D1330" i="7"/>
  <c r="A1330" i="7"/>
  <c r="D1329" i="7"/>
  <c r="A1329" i="7"/>
  <c r="D1328" i="7"/>
  <c r="A1328" i="7"/>
  <c r="D1327" i="7"/>
  <c r="A1327" i="7"/>
  <c r="D1326" i="7"/>
  <c r="A1326" i="7"/>
  <c r="D1325" i="7"/>
  <c r="A1325" i="7"/>
  <c r="D1324" i="7"/>
  <c r="A1324" i="7"/>
  <c r="D1323" i="7"/>
  <c r="A1323" i="7"/>
  <c r="D1322" i="7"/>
  <c r="A1322" i="7"/>
  <c r="D1321" i="7"/>
  <c r="A1321" i="7"/>
  <c r="D1320" i="7"/>
  <c r="A1320" i="7"/>
  <c r="D1319" i="7"/>
  <c r="A1319" i="7"/>
  <c r="D1318" i="7"/>
  <c r="A1318" i="7"/>
  <c r="D1317" i="7"/>
  <c r="A1317" i="7"/>
  <c r="D1316" i="7"/>
  <c r="A1316" i="7"/>
  <c r="D1315" i="7"/>
  <c r="A1315" i="7"/>
  <c r="D1314" i="7"/>
  <c r="A1314" i="7"/>
  <c r="D1313" i="7"/>
  <c r="A1313" i="7"/>
  <c r="D1312" i="7"/>
  <c r="A1312" i="7"/>
  <c r="D1311" i="7"/>
  <c r="A1311" i="7"/>
  <c r="D1310" i="7"/>
  <c r="A1310" i="7"/>
  <c r="D1309" i="7"/>
  <c r="A1309" i="7"/>
  <c r="D1308" i="7"/>
  <c r="A1308" i="7"/>
  <c r="D1307" i="7"/>
  <c r="A1307" i="7"/>
  <c r="D1306" i="7"/>
  <c r="A1306" i="7"/>
  <c r="D1305" i="7"/>
  <c r="A1305" i="7"/>
  <c r="D1304" i="7"/>
  <c r="A1304" i="7"/>
  <c r="D1303" i="7"/>
  <c r="A1303" i="7"/>
  <c r="D1302" i="7"/>
  <c r="A1302" i="7"/>
  <c r="D1301" i="7"/>
  <c r="A1301" i="7"/>
  <c r="D1300" i="7"/>
  <c r="A1300" i="7"/>
  <c r="D1299" i="7"/>
  <c r="A1299" i="7"/>
  <c r="D1298" i="7"/>
  <c r="A1298" i="7"/>
  <c r="D1297" i="7"/>
  <c r="A1297" i="7"/>
  <c r="D1296" i="7"/>
  <c r="A1296" i="7"/>
  <c r="D1295" i="7"/>
  <c r="A1295" i="7"/>
  <c r="D1294" i="7"/>
  <c r="A1294" i="7"/>
  <c r="D1293" i="7"/>
  <c r="A1293" i="7"/>
  <c r="D1292" i="7"/>
  <c r="A1292" i="7"/>
  <c r="D1291" i="7"/>
  <c r="A1291" i="7"/>
  <c r="D1290" i="7"/>
  <c r="A1290" i="7"/>
  <c r="D1289" i="7"/>
  <c r="A1289" i="7"/>
  <c r="D1288" i="7"/>
  <c r="A1288" i="7"/>
  <c r="D1287" i="7"/>
  <c r="A1287" i="7"/>
  <c r="D1286" i="7"/>
  <c r="A1286" i="7"/>
  <c r="D1285" i="7"/>
  <c r="A1285" i="7"/>
  <c r="D1284" i="7"/>
  <c r="A1284" i="7"/>
  <c r="D1283" i="7"/>
  <c r="A1283" i="7"/>
  <c r="D1282" i="7"/>
  <c r="A1282" i="7"/>
  <c r="D1281" i="7"/>
  <c r="A1281" i="7"/>
  <c r="D1280" i="7"/>
  <c r="A1280" i="7"/>
  <c r="D1279" i="7"/>
  <c r="A1279" i="7"/>
  <c r="D1278" i="7"/>
  <c r="A1278" i="7"/>
  <c r="D1277" i="7"/>
  <c r="A1277" i="7"/>
  <c r="D1276" i="7"/>
  <c r="A1276" i="7"/>
  <c r="D1275" i="7"/>
  <c r="A1275" i="7"/>
  <c r="D1274" i="7"/>
  <c r="A1274" i="7"/>
  <c r="D1273" i="7"/>
  <c r="A1273" i="7"/>
  <c r="D1272" i="7"/>
  <c r="A1272" i="7"/>
  <c r="D1271" i="7"/>
  <c r="A1271" i="7"/>
  <c r="D1270" i="7"/>
  <c r="A1270" i="7"/>
  <c r="D1269" i="7"/>
  <c r="A1269" i="7"/>
  <c r="D1268" i="7"/>
  <c r="A1268" i="7"/>
  <c r="D1267" i="7"/>
  <c r="A1267" i="7"/>
  <c r="D1266" i="7"/>
  <c r="A1266" i="7"/>
  <c r="D1265" i="7"/>
  <c r="A1265" i="7"/>
  <c r="D1264" i="7"/>
  <c r="A1264" i="7"/>
  <c r="D1263" i="7"/>
  <c r="A1263" i="7"/>
  <c r="D1262" i="7"/>
  <c r="A1262" i="7"/>
  <c r="D1261" i="7"/>
  <c r="A1261" i="7"/>
  <c r="D1260" i="7"/>
  <c r="A1260" i="7"/>
  <c r="D1259" i="7"/>
  <c r="A1259" i="7"/>
  <c r="D1258" i="7"/>
  <c r="A1258" i="7"/>
  <c r="D1257" i="7"/>
  <c r="A1257" i="7"/>
  <c r="D1256" i="7"/>
  <c r="A1256" i="7"/>
  <c r="D1255" i="7"/>
  <c r="A1255" i="7"/>
  <c r="D1254" i="7"/>
  <c r="A1254" i="7"/>
  <c r="D1253" i="7"/>
  <c r="A1253" i="7"/>
  <c r="D1252" i="7"/>
  <c r="A1252" i="7"/>
  <c r="D1251" i="7"/>
  <c r="A1251" i="7"/>
  <c r="D1250" i="7"/>
  <c r="A1250" i="7"/>
  <c r="D1249" i="7"/>
  <c r="A1249" i="7"/>
  <c r="D1248" i="7"/>
  <c r="A1248" i="7"/>
  <c r="D1247" i="7"/>
  <c r="A1247" i="7"/>
  <c r="D1246" i="7"/>
  <c r="A1246" i="7"/>
  <c r="D1245" i="7"/>
  <c r="A1245" i="7"/>
  <c r="D1244" i="7"/>
  <c r="A1244" i="7"/>
  <c r="D1243" i="7"/>
  <c r="A1243" i="7"/>
  <c r="D1242" i="7"/>
  <c r="A1242" i="7"/>
  <c r="D1241" i="7"/>
  <c r="A1241" i="7"/>
  <c r="D1240" i="7"/>
  <c r="A1240" i="7"/>
  <c r="D1239" i="7"/>
  <c r="A1239" i="7"/>
  <c r="D1238" i="7"/>
  <c r="A1238" i="7"/>
  <c r="D1237" i="7"/>
  <c r="A1237" i="7"/>
  <c r="D1236" i="7"/>
  <c r="A1236" i="7"/>
  <c r="D1235" i="7"/>
  <c r="A1235" i="7"/>
  <c r="D1234" i="7"/>
  <c r="A1234" i="7"/>
  <c r="D1233" i="7"/>
  <c r="A1233" i="7"/>
  <c r="D1232" i="7"/>
  <c r="A1232" i="7"/>
  <c r="D1231" i="7"/>
  <c r="A1231" i="7"/>
  <c r="D1230" i="7"/>
  <c r="A1230" i="7"/>
  <c r="D1229" i="7"/>
  <c r="A1229" i="7"/>
  <c r="D1228" i="7"/>
  <c r="A1228" i="7"/>
  <c r="D1227" i="7"/>
  <c r="A1227" i="7"/>
  <c r="D1226" i="7"/>
  <c r="A1226" i="7"/>
  <c r="D1225" i="7"/>
  <c r="A1225" i="7"/>
  <c r="D1224" i="7"/>
  <c r="A1224" i="7"/>
  <c r="D1223" i="7"/>
  <c r="A1223" i="7"/>
  <c r="D1222" i="7"/>
  <c r="A1222" i="7"/>
  <c r="D1221" i="7"/>
  <c r="A1221" i="7"/>
  <c r="D1220" i="7"/>
  <c r="A1220" i="7"/>
  <c r="D1219" i="7"/>
  <c r="A1219" i="7"/>
  <c r="D1218" i="7"/>
  <c r="A1218" i="7"/>
  <c r="D1217" i="7"/>
  <c r="A1217" i="7"/>
  <c r="D1216" i="7"/>
  <c r="A1216" i="7"/>
  <c r="D1215" i="7"/>
  <c r="A1215" i="7"/>
  <c r="D1214" i="7"/>
  <c r="A1214" i="7"/>
  <c r="D1213" i="7"/>
  <c r="A1213" i="7"/>
  <c r="D1212" i="7"/>
  <c r="A1212" i="7"/>
  <c r="D1211" i="7"/>
  <c r="A1211" i="7"/>
  <c r="D1210" i="7"/>
  <c r="A1210" i="7"/>
  <c r="D1209" i="7"/>
  <c r="A1209" i="7"/>
  <c r="D1208" i="7"/>
  <c r="A1208" i="7"/>
  <c r="D1207" i="7"/>
  <c r="A1207" i="7"/>
  <c r="D1206" i="7"/>
  <c r="A1206" i="7"/>
  <c r="D1205" i="7"/>
  <c r="A1205" i="7"/>
  <c r="D1204" i="7"/>
  <c r="A1204" i="7"/>
  <c r="D1203" i="7"/>
  <c r="A1203" i="7"/>
  <c r="D1202" i="7"/>
  <c r="A1202" i="7"/>
  <c r="D1201" i="7"/>
  <c r="A1201" i="7"/>
  <c r="D1200" i="7"/>
  <c r="A1200" i="7"/>
  <c r="D1199" i="7"/>
  <c r="A1199" i="7"/>
  <c r="D1198" i="7"/>
  <c r="A1198" i="7"/>
  <c r="D1197" i="7"/>
  <c r="A1197" i="7"/>
  <c r="D1196" i="7"/>
  <c r="A1196" i="7"/>
  <c r="D1195" i="7"/>
  <c r="A1195" i="7"/>
  <c r="D1194" i="7"/>
  <c r="A1194" i="7"/>
  <c r="D1193" i="7"/>
  <c r="A1193" i="7"/>
  <c r="D1192" i="7"/>
  <c r="A1192" i="7"/>
  <c r="D1191" i="7"/>
  <c r="A1191" i="7"/>
  <c r="D1190" i="7"/>
  <c r="A1190" i="7"/>
  <c r="D1189" i="7"/>
  <c r="A1189" i="7"/>
  <c r="D1188" i="7"/>
  <c r="A1188" i="7"/>
  <c r="D1187" i="7"/>
  <c r="A1187" i="7"/>
  <c r="D1186" i="7"/>
  <c r="A1186" i="7"/>
  <c r="D1185" i="7"/>
  <c r="A1185" i="7"/>
  <c r="D1184" i="7"/>
  <c r="A1184" i="7"/>
  <c r="D1183" i="7"/>
  <c r="A1183" i="7"/>
  <c r="D1182" i="7"/>
  <c r="A1182" i="7"/>
  <c r="D1181" i="7"/>
  <c r="A1181" i="7"/>
  <c r="D1180" i="7"/>
  <c r="A1180" i="7"/>
  <c r="D1179" i="7"/>
  <c r="A1179" i="7"/>
  <c r="D1178" i="7"/>
  <c r="A1178" i="7"/>
  <c r="D1177" i="7"/>
  <c r="A1177" i="7"/>
  <c r="D1176" i="7"/>
  <c r="A1176" i="7"/>
  <c r="D1175" i="7"/>
  <c r="A1175" i="7"/>
  <c r="D1174" i="7"/>
  <c r="A1174" i="7"/>
  <c r="D1173" i="7"/>
  <c r="A1173" i="7"/>
  <c r="D1172" i="7"/>
  <c r="A1172" i="7"/>
  <c r="D1171" i="7"/>
  <c r="A1171" i="7"/>
  <c r="D1170" i="7"/>
  <c r="A1170" i="7"/>
  <c r="D1169" i="7"/>
  <c r="A1169" i="7"/>
  <c r="D1168" i="7"/>
  <c r="A1168" i="7"/>
  <c r="D1167" i="7"/>
  <c r="A1167" i="7"/>
  <c r="D1166" i="7"/>
  <c r="A1166" i="7"/>
  <c r="D1165" i="7"/>
  <c r="A1165" i="7"/>
  <c r="D1164" i="7"/>
  <c r="A1164" i="7"/>
  <c r="D1163" i="7"/>
  <c r="A1163" i="7"/>
  <c r="D1162" i="7"/>
  <c r="A1162" i="7"/>
  <c r="D1161" i="7"/>
  <c r="A1161" i="7"/>
  <c r="D1160" i="7"/>
  <c r="A1160" i="7"/>
  <c r="D1159" i="7"/>
  <c r="A1159" i="7"/>
  <c r="D1158" i="7"/>
  <c r="A1158" i="7"/>
  <c r="D1157" i="7"/>
  <c r="A1157" i="7"/>
  <c r="D1156" i="7"/>
  <c r="A1156" i="7"/>
  <c r="D1155" i="7"/>
  <c r="A1155" i="7"/>
  <c r="D1154" i="7"/>
  <c r="A1154" i="7"/>
  <c r="D1153" i="7"/>
  <c r="A1153" i="7"/>
  <c r="D1152" i="7"/>
  <c r="A1152" i="7"/>
  <c r="D1151" i="7"/>
  <c r="A1151" i="7"/>
  <c r="D1150" i="7"/>
  <c r="A1150" i="7"/>
  <c r="D1149" i="7"/>
  <c r="A1149" i="7"/>
  <c r="D1148" i="7"/>
  <c r="A1148" i="7"/>
  <c r="D1147" i="7"/>
  <c r="A1147" i="7"/>
  <c r="D1146" i="7"/>
  <c r="A1146" i="7"/>
  <c r="D1145" i="7"/>
  <c r="A1145" i="7"/>
  <c r="D1144" i="7"/>
  <c r="A1144" i="7"/>
  <c r="D1143" i="7"/>
  <c r="A1143" i="7"/>
  <c r="D1142" i="7"/>
  <c r="A1142" i="7"/>
  <c r="D1141" i="7"/>
  <c r="A1141" i="7"/>
  <c r="D1140" i="7"/>
  <c r="A1140" i="7"/>
  <c r="D1139" i="7"/>
  <c r="A1139" i="7"/>
  <c r="D1138" i="7"/>
  <c r="A1138" i="7"/>
  <c r="D1137" i="7"/>
  <c r="A1137" i="7"/>
  <c r="D1136" i="7"/>
  <c r="A1136" i="7"/>
  <c r="D1135" i="7"/>
  <c r="A1135" i="7"/>
  <c r="D1134" i="7"/>
  <c r="A1134" i="7"/>
  <c r="D1133" i="7"/>
  <c r="A1133" i="7"/>
  <c r="D1132" i="7"/>
  <c r="A1132" i="7"/>
  <c r="D1131" i="7"/>
  <c r="A1131" i="7"/>
  <c r="D1130" i="7"/>
  <c r="A1130" i="7"/>
  <c r="D1129" i="7"/>
  <c r="A1129" i="7"/>
  <c r="D1128" i="7"/>
  <c r="A1128" i="7"/>
  <c r="D1127" i="7"/>
  <c r="A1127" i="7"/>
  <c r="D1126" i="7"/>
  <c r="A1126" i="7"/>
  <c r="D1125" i="7"/>
  <c r="A1125" i="7"/>
  <c r="D1124" i="7"/>
  <c r="A1124" i="7"/>
  <c r="D1123" i="7"/>
  <c r="A1123" i="7"/>
  <c r="D1122" i="7"/>
  <c r="A1122" i="7"/>
  <c r="D1121" i="7"/>
  <c r="A1121" i="7"/>
  <c r="D1120" i="7"/>
  <c r="A1120" i="7"/>
  <c r="D1119" i="7"/>
  <c r="A1119" i="7"/>
  <c r="D1118" i="7"/>
  <c r="A1118" i="7"/>
  <c r="D1117" i="7"/>
  <c r="A1117" i="7"/>
  <c r="D1116" i="7"/>
  <c r="A1116" i="7"/>
  <c r="D1115" i="7"/>
  <c r="A1115" i="7"/>
  <c r="D1114" i="7"/>
  <c r="A1114" i="7"/>
  <c r="D1113" i="7"/>
  <c r="A1113" i="7"/>
  <c r="D1112" i="7"/>
  <c r="A1112" i="7"/>
  <c r="D1111" i="7"/>
  <c r="A1111" i="7"/>
  <c r="D1110" i="7"/>
  <c r="A1110" i="7"/>
  <c r="D1109" i="7"/>
  <c r="A1109" i="7"/>
  <c r="D1108" i="7"/>
  <c r="A1108" i="7"/>
  <c r="D1107" i="7"/>
  <c r="A1107" i="7"/>
  <c r="D1106" i="7"/>
  <c r="A1106" i="7"/>
  <c r="D1105" i="7"/>
  <c r="A1105" i="7"/>
  <c r="D1104" i="7"/>
  <c r="A1104" i="7"/>
  <c r="D1103" i="7"/>
  <c r="A1103" i="7"/>
  <c r="D1102" i="7"/>
  <c r="A1102" i="7"/>
  <c r="D1101" i="7"/>
  <c r="A1101" i="7"/>
  <c r="D1100" i="7"/>
  <c r="A1100" i="7"/>
  <c r="D1099" i="7"/>
  <c r="A1099" i="7"/>
  <c r="D1098" i="7"/>
  <c r="A1098" i="7"/>
  <c r="D1097" i="7"/>
  <c r="A1097" i="7"/>
  <c r="D1096" i="7"/>
  <c r="A1096" i="7"/>
  <c r="D1095" i="7"/>
  <c r="A1095" i="7"/>
  <c r="D1094" i="7"/>
  <c r="A1094" i="7"/>
  <c r="D1093" i="7"/>
  <c r="A1093" i="7"/>
  <c r="D1092" i="7"/>
  <c r="A1092" i="7"/>
  <c r="D1091" i="7"/>
  <c r="A1091" i="7"/>
  <c r="D1090" i="7"/>
  <c r="A1090" i="7"/>
  <c r="D1089" i="7"/>
  <c r="A1089" i="7"/>
  <c r="D1088" i="7"/>
  <c r="A1088" i="7"/>
  <c r="D1087" i="7"/>
  <c r="A1087" i="7"/>
  <c r="D1086" i="7"/>
  <c r="A1086" i="7"/>
  <c r="D1085" i="7"/>
  <c r="A1085" i="7"/>
  <c r="D1084" i="7"/>
  <c r="A1084" i="7"/>
  <c r="D1083" i="7"/>
  <c r="A1083" i="7"/>
  <c r="D1082" i="7"/>
  <c r="A1082" i="7"/>
  <c r="D1081" i="7"/>
  <c r="A1081" i="7"/>
  <c r="D1080" i="7"/>
  <c r="A1080" i="7"/>
  <c r="D1079" i="7"/>
  <c r="A1079" i="7"/>
  <c r="D1078" i="7"/>
  <c r="A1078" i="7"/>
  <c r="D1077" i="7"/>
  <c r="A1077" i="7"/>
  <c r="D1076" i="7"/>
  <c r="A1076" i="7"/>
  <c r="D1075" i="7"/>
  <c r="A1075" i="7"/>
  <c r="D1074" i="7"/>
  <c r="A1074" i="7"/>
  <c r="D1073" i="7"/>
  <c r="A1073" i="7"/>
  <c r="D1072" i="7"/>
  <c r="A1072" i="7"/>
  <c r="D1071" i="7"/>
  <c r="A1071" i="7"/>
  <c r="D1070" i="7"/>
  <c r="A1070" i="7"/>
  <c r="D1069" i="7"/>
  <c r="A1069" i="7"/>
  <c r="D1068" i="7"/>
  <c r="A1068" i="7"/>
  <c r="D1067" i="7"/>
  <c r="A1067" i="7"/>
  <c r="D1066" i="7"/>
  <c r="A1066" i="7"/>
  <c r="D1065" i="7"/>
  <c r="A1065" i="7"/>
  <c r="D1064" i="7"/>
  <c r="A1064" i="7"/>
  <c r="D1063" i="7"/>
  <c r="A1063" i="7"/>
  <c r="D1062" i="7"/>
  <c r="A1062" i="7"/>
  <c r="D1061" i="7"/>
  <c r="A1061" i="7"/>
  <c r="D1060" i="7"/>
  <c r="A1060" i="7"/>
  <c r="D1059" i="7"/>
  <c r="A1059" i="7"/>
  <c r="D1058" i="7"/>
  <c r="A1058" i="7"/>
  <c r="D1057" i="7"/>
  <c r="A1057" i="7"/>
  <c r="D1056" i="7"/>
  <c r="A1056" i="7"/>
  <c r="D1055" i="7"/>
  <c r="A1055" i="7"/>
  <c r="D1054" i="7"/>
  <c r="A1054" i="7"/>
  <c r="D1053" i="7"/>
  <c r="A1053" i="7"/>
  <c r="D1052" i="7"/>
  <c r="A1052" i="7"/>
  <c r="D1051" i="7"/>
  <c r="A1051" i="7"/>
  <c r="D1050" i="7"/>
  <c r="A1050" i="7"/>
  <c r="D1049" i="7"/>
  <c r="A1049" i="7"/>
  <c r="D1048" i="7"/>
  <c r="A1048" i="7"/>
  <c r="D1047" i="7"/>
  <c r="A1047" i="7"/>
  <c r="D1046" i="7"/>
  <c r="A1046" i="7"/>
  <c r="D1045" i="7"/>
  <c r="A1045" i="7"/>
  <c r="D1044" i="7"/>
  <c r="A1044" i="7"/>
  <c r="D1043" i="7"/>
  <c r="A1043" i="7"/>
  <c r="D1042" i="7"/>
  <c r="A1042" i="7"/>
  <c r="D1041" i="7"/>
  <c r="A1041" i="7"/>
  <c r="D1040" i="7"/>
  <c r="A1040" i="7"/>
  <c r="D1039" i="7"/>
  <c r="A1039" i="7"/>
  <c r="D1038" i="7"/>
  <c r="A1038" i="7"/>
  <c r="D1037" i="7"/>
  <c r="A1037" i="7"/>
  <c r="D1036" i="7"/>
  <c r="A1036" i="7"/>
  <c r="D1035" i="7"/>
  <c r="A1035" i="7"/>
  <c r="D1034" i="7"/>
  <c r="A1034" i="7"/>
  <c r="D1033" i="7"/>
  <c r="A1033" i="7"/>
  <c r="D1032" i="7"/>
  <c r="A1032" i="7"/>
  <c r="D1031" i="7"/>
  <c r="A1031" i="7"/>
  <c r="D1030" i="7"/>
  <c r="A1030" i="7"/>
  <c r="D1029" i="7"/>
  <c r="A1029" i="7"/>
  <c r="D1028" i="7"/>
  <c r="A1028" i="7"/>
  <c r="D1027" i="7"/>
  <c r="A1027" i="7"/>
  <c r="D1026" i="7"/>
  <c r="A1026" i="7"/>
  <c r="D1025" i="7"/>
  <c r="A1025" i="7"/>
  <c r="D1024" i="7"/>
  <c r="A1024" i="7"/>
  <c r="D1023" i="7"/>
  <c r="A1023" i="7"/>
  <c r="D1022" i="7"/>
  <c r="A1022" i="7"/>
  <c r="D1021" i="7"/>
  <c r="A1021" i="7"/>
  <c r="D1020" i="7"/>
  <c r="A1020" i="7"/>
  <c r="D1019" i="7"/>
  <c r="A1019" i="7"/>
  <c r="D1018" i="7"/>
  <c r="A1018" i="7"/>
  <c r="D1017" i="7"/>
  <c r="A1017" i="7"/>
  <c r="D1016" i="7"/>
  <c r="A1016" i="7"/>
  <c r="D1015" i="7"/>
  <c r="A1015" i="7"/>
  <c r="D1014" i="7"/>
  <c r="A1014" i="7"/>
  <c r="D1013" i="7"/>
  <c r="A1013" i="7"/>
  <c r="D1012" i="7"/>
  <c r="A1012" i="7"/>
  <c r="D1011" i="7"/>
  <c r="A1011" i="7"/>
  <c r="D1010" i="7"/>
  <c r="A1010" i="7"/>
  <c r="D1009" i="7"/>
  <c r="A1009" i="7"/>
  <c r="D1008" i="7"/>
  <c r="A1008" i="7"/>
  <c r="D1007" i="7"/>
  <c r="A1007" i="7"/>
  <c r="D1006" i="7"/>
  <c r="A1006" i="7"/>
  <c r="D1005" i="7"/>
  <c r="A1005" i="7"/>
  <c r="D1004" i="7"/>
  <c r="A1004" i="7"/>
  <c r="D1003" i="7"/>
  <c r="A1003" i="7"/>
  <c r="D1002" i="7"/>
  <c r="A1002" i="7"/>
  <c r="D1001" i="7"/>
  <c r="A1001" i="7"/>
  <c r="D1000" i="7"/>
  <c r="A1000" i="7"/>
  <c r="D999" i="7"/>
  <c r="A999" i="7"/>
  <c r="D998" i="7"/>
  <c r="A998" i="7"/>
  <c r="D997" i="7"/>
  <c r="A997" i="7"/>
  <c r="D996" i="7"/>
  <c r="A996" i="7"/>
  <c r="D995" i="7"/>
  <c r="A995" i="7"/>
  <c r="D994" i="7"/>
  <c r="A994" i="7"/>
  <c r="D993" i="7"/>
  <c r="A993" i="7"/>
  <c r="D992" i="7"/>
  <c r="A992" i="7"/>
  <c r="D991" i="7"/>
  <c r="A991" i="7"/>
  <c r="D990" i="7"/>
  <c r="A990" i="7"/>
  <c r="D989" i="7"/>
  <c r="A989" i="7"/>
  <c r="D988" i="7"/>
  <c r="A988" i="7"/>
  <c r="D987" i="7"/>
  <c r="A987" i="7"/>
  <c r="D986" i="7"/>
  <c r="A986" i="7"/>
  <c r="D985" i="7"/>
  <c r="A985" i="7"/>
  <c r="D984" i="7"/>
  <c r="A984" i="7"/>
  <c r="D983" i="7"/>
  <c r="A983" i="7"/>
  <c r="D982" i="7"/>
  <c r="A982" i="7"/>
  <c r="D981" i="7"/>
  <c r="A981" i="7"/>
  <c r="D980" i="7"/>
  <c r="A980" i="7"/>
  <c r="D979" i="7"/>
  <c r="A979" i="7"/>
  <c r="D978" i="7"/>
  <c r="A978" i="7"/>
  <c r="D977" i="7"/>
  <c r="A977" i="7"/>
  <c r="D976" i="7"/>
  <c r="A976" i="7"/>
  <c r="D975" i="7"/>
  <c r="A975" i="7"/>
  <c r="D974" i="7"/>
  <c r="A974" i="7"/>
  <c r="D973" i="7"/>
  <c r="A973" i="7"/>
  <c r="D972" i="7"/>
  <c r="A972" i="7"/>
  <c r="D971" i="7"/>
  <c r="A971" i="7"/>
  <c r="D970" i="7"/>
  <c r="A970" i="7"/>
  <c r="D969" i="7"/>
  <c r="A969" i="7"/>
  <c r="D968" i="7"/>
  <c r="A968" i="7"/>
  <c r="D967" i="7"/>
  <c r="A967" i="7"/>
  <c r="D966" i="7"/>
  <c r="A966" i="7"/>
  <c r="D965" i="7"/>
  <c r="A965" i="7"/>
  <c r="D964" i="7"/>
  <c r="A964" i="7"/>
  <c r="D963" i="7"/>
  <c r="A963" i="7"/>
  <c r="D962" i="7"/>
  <c r="A962" i="7"/>
  <c r="D961" i="7"/>
  <c r="A961" i="7"/>
  <c r="D960" i="7"/>
  <c r="A960" i="7"/>
  <c r="D959" i="7"/>
  <c r="A959" i="7"/>
  <c r="D958" i="7"/>
  <c r="A958" i="7"/>
  <c r="D957" i="7"/>
  <c r="A957" i="7"/>
  <c r="D956" i="7"/>
  <c r="A956" i="7"/>
  <c r="D955" i="7"/>
  <c r="A955" i="7"/>
  <c r="D954" i="7"/>
  <c r="A954" i="7"/>
  <c r="D953" i="7"/>
  <c r="A953" i="7"/>
  <c r="D952" i="7"/>
  <c r="A952" i="7"/>
  <c r="D951" i="7"/>
  <c r="A951" i="7"/>
  <c r="D950" i="7"/>
  <c r="A950" i="7"/>
  <c r="D949" i="7"/>
  <c r="A949" i="7"/>
  <c r="D948" i="7"/>
  <c r="A948" i="7"/>
  <c r="D947" i="7"/>
  <c r="A947" i="7"/>
  <c r="D946" i="7"/>
  <c r="A946" i="7"/>
  <c r="D945" i="7"/>
  <c r="A945" i="7"/>
  <c r="D944" i="7"/>
  <c r="A944" i="7"/>
  <c r="D943" i="7"/>
  <c r="A943" i="7"/>
  <c r="D942" i="7"/>
  <c r="A942" i="7"/>
  <c r="D941" i="7"/>
  <c r="A941" i="7"/>
  <c r="D940" i="7"/>
  <c r="A940" i="7"/>
  <c r="D939" i="7"/>
  <c r="A939" i="7"/>
  <c r="D938" i="7"/>
  <c r="A938" i="7"/>
  <c r="D937" i="7"/>
  <c r="A937" i="7"/>
  <c r="D936" i="7"/>
  <c r="A936" i="7"/>
  <c r="D935" i="7"/>
  <c r="A935" i="7"/>
  <c r="D934" i="7"/>
  <c r="A934" i="7"/>
  <c r="D933" i="7"/>
  <c r="A933" i="7"/>
  <c r="D932" i="7"/>
  <c r="A932" i="7"/>
  <c r="D931" i="7"/>
  <c r="A931" i="7"/>
  <c r="D930" i="7"/>
  <c r="A930" i="7"/>
  <c r="D929" i="7"/>
  <c r="A929" i="7"/>
  <c r="D928" i="7"/>
  <c r="A928" i="7"/>
  <c r="D927" i="7"/>
  <c r="A927" i="7"/>
  <c r="D926" i="7"/>
  <c r="A926" i="7"/>
  <c r="D925" i="7"/>
  <c r="A925" i="7"/>
  <c r="D924" i="7"/>
  <c r="A924" i="7"/>
  <c r="D923" i="7"/>
  <c r="A923" i="7"/>
  <c r="D922" i="7"/>
  <c r="A922" i="7"/>
  <c r="D921" i="7"/>
  <c r="A921" i="7"/>
  <c r="D920" i="7"/>
  <c r="A920" i="7"/>
  <c r="D919" i="7"/>
  <c r="A919" i="7"/>
  <c r="D918" i="7"/>
  <c r="A918" i="7"/>
  <c r="D917" i="7"/>
  <c r="A917" i="7"/>
  <c r="D916" i="7"/>
  <c r="A916" i="7"/>
  <c r="D915" i="7"/>
  <c r="A915" i="7"/>
  <c r="D914" i="7"/>
  <c r="A914" i="7"/>
  <c r="D913" i="7"/>
  <c r="A913" i="7"/>
  <c r="D912" i="7"/>
  <c r="A912" i="7"/>
  <c r="D911" i="7"/>
  <c r="A911" i="7"/>
  <c r="D910" i="7"/>
  <c r="A910" i="7"/>
  <c r="D909" i="7"/>
  <c r="A909" i="7"/>
  <c r="D908" i="7"/>
  <c r="A908" i="7"/>
  <c r="D907" i="7"/>
  <c r="A907" i="7"/>
  <c r="D906" i="7"/>
  <c r="A906" i="7"/>
  <c r="D905" i="7"/>
  <c r="A905" i="7"/>
  <c r="D904" i="7"/>
  <c r="A904" i="7"/>
  <c r="D903" i="7"/>
  <c r="A903" i="7"/>
  <c r="D902" i="7"/>
  <c r="A902" i="7"/>
  <c r="D901" i="7"/>
  <c r="A901" i="7"/>
  <c r="D900" i="7"/>
  <c r="A900" i="7"/>
  <c r="D899" i="7"/>
  <c r="A899" i="7"/>
  <c r="D898" i="7"/>
  <c r="A898" i="7"/>
  <c r="D897" i="7"/>
  <c r="A897" i="7"/>
  <c r="D896" i="7"/>
  <c r="A896" i="7"/>
  <c r="D895" i="7"/>
  <c r="A895" i="7"/>
  <c r="D894" i="7"/>
  <c r="A894" i="7"/>
  <c r="D893" i="7"/>
  <c r="A893" i="7"/>
  <c r="D892" i="7"/>
  <c r="A892" i="7"/>
  <c r="D891" i="7"/>
  <c r="A891" i="7"/>
  <c r="D890" i="7"/>
  <c r="A890" i="7"/>
  <c r="D889" i="7"/>
  <c r="A889" i="7"/>
  <c r="D888" i="7"/>
  <c r="A888" i="7"/>
  <c r="D887" i="7"/>
  <c r="A887" i="7"/>
  <c r="D886" i="7"/>
  <c r="A886" i="7"/>
  <c r="D885" i="7"/>
  <c r="A885" i="7"/>
  <c r="D884" i="7"/>
  <c r="A884" i="7"/>
  <c r="D883" i="7"/>
  <c r="A883" i="7"/>
  <c r="D882" i="7"/>
  <c r="A882" i="7"/>
  <c r="D881" i="7"/>
  <c r="A881" i="7"/>
  <c r="D880" i="7"/>
  <c r="A880" i="7"/>
  <c r="D879" i="7"/>
  <c r="A879" i="7"/>
  <c r="D878" i="7"/>
  <c r="A878" i="7"/>
  <c r="D877" i="7"/>
  <c r="A877" i="7"/>
  <c r="D876" i="7"/>
  <c r="A876" i="7"/>
  <c r="D875" i="7"/>
  <c r="A875" i="7"/>
  <c r="D874" i="7"/>
  <c r="A874" i="7"/>
  <c r="D873" i="7"/>
  <c r="A873" i="7"/>
  <c r="D872" i="7"/>
  <c r="A872" i="7"/>
  <c r="D871" i="7"/>
  <c r="A871" i="7"/>
  <c r="D870" i="7"/>
  <c r="A870" i="7"/>
  <c r="D869" i="7"/>
  <c r="A869" i="7"/>
  <c r="D868" i="7"/>
  <c r="A868" i="7"/>
  <c r="D867" i="7"/>
  <c r="A867" i="7"/>
  <c r="D866" i="7"/>
  <c r="A866" i="7"/>
  <c r="D865" i="7"/>
  <c r="A865" i="7"/>
  <c r="D864" i="7"/>
  <c r="A864" i="7"/>
  <c r="D863" i="7"/>
  <c r="A863" i="7"/>
  <c r="D862" i="7"/>
  <c r="A862" i="7"/>
  <c r="D861" i="7"/>
  <c r="A861" i="7"/>
  <c r="D860" i="7"/>
  <c r="A860" i="7"/>
  <c r="D859" i="7"/>
  <c r="A859" i="7"/>
  <c r="D858" i="7"/>
  <c r="A858" i="7"/>
  <c r="D857" i="7"/>
  <c r="A857" i="7"/>
  <c r="D856" i="7"/>
  <c r="A856" i="7"/>
  <c r="D855" i="7"/>
  <c r="A855" i="7"/>
  <c r="D854" i="7"/>
  <c r="A854" i="7"/>
  <c r="D853" i="7"/>
  <c r="A853" i="7"/>
  <c r="D852" i="7"/>
  <c r="A852" i="7"/>
  <c r="D851" i="7"/>
  <c r="A851" i="7"/>
  <c r="D850" i="7"/>
  <c r="A850" i="7"/>
  <c r="D849" i="7"/>
  <c r="A849" i="7"/>
  <c r="D848" i="7"/>
  <c r="A848" i="7"/>
  <c r="D847" i="7"/>
  <c r="A847" i="7"/>
  <c r="D846" i="7"/>
  <c r="A846" i="7"/>
  <c r="D845" i="7"/>
  <c r="A845" i="7"/>
  <c r="D844" i="7"/>
  <c r="A844" i="7"/>
  <c r="D843" i="7"/>
  <c r="A843" i="7"/>
  <c r="D842" i="7"/>
  <c r="A842" i="7"/>
  <c r="D841" i="7"/>
  <c r="A841" i="7"/>
  <c r="D840" i="7"/>
  <c r="A840" i="7"/>
  <c r="D839" i="7"/>
  <c r="A839" i="7"/>
  <c r="D838" i="7"/>
  <c r="A838" i="7"/>
  <c r="D837" i="7"/>
  <c r="A837" i="7"/>
  <c r="D836" i="7"/>
  <c r="A836" i="7"/>
  <c r="D835" i="7"/>
  <c r="A835" i="7"/>
  <c r="D834" i="7"/>
  <c r="A834" i="7"/>
  <c r="D833" i="7"/>
  <c r="A833" i="7"/>
  <c r="D832" i="7"/>
  <c r="A832" i="7"/>
  <c r="D831" i="7"/>
  <c r="A831" i="7"/>
  <c r="D830" i="7"/>
  <c r="A830" i="7"/>
  <c r="D829" i="7"/>
  <c r="A829" i="7"/>
  <c r="D828" i="7"/>
  <c r="A828" i="7"/>
  <c r="D827" i="7"/>
  <c r="A827" i="7"/>
  <c r="D826" i="7"/>
  <c r="A826" i="7"/>
  <c r="D825" i="7"/>
  <c r="A825" i="7"/>
  <c r="D824" i="7"/>
  <c r="A824" i="7"/>
  <c r="D823" i="7"/>
  <c r="A823" i="7"/>
  <c r="D822" i="7"/>
  <c r="A822" i="7"/>
  <c r="D821" i="7"/>
  <c r="A821" i="7"/>
  <c r="D820" i="7"/>
  <c r="A820" i="7"/>
  <c r="D819" i="7"/>
  <c r="A819" i="7"/>
  <c r="D818" i="7"/>
  <c r="A818" i="7"/>
  <c r="D817" i="7"/>
  <c r="A817" i="7"/>
  <c r="D816" i="7"/>
  <c r="A816" i="7"/>
  <c r="D815" i="7"/>
  <c r="A815" i="7"/>
  <c r="D814" i="7"/>
  <c r="A814" i="7"/>
  <c r="D813" i="7"/>
  <c r="A813" i="7"/>
  <c r="D812" i="7"/>
  <c r="A812" i="7"/>
  <c r="D811" i="7"/>
  <c r="A811" i="7"/>
  <c r="D810" i="7"/>
  <c r="A810" i="7"/>
  <c r="D809" i="7"/>
  <c r="A809" i="7"/>
  <c r="D808" i="7"/>
  <c r="A808" i="7"/>
  <c r="D807" i="7"/>
  <c r="A807" i="7"/>
  <c r="D806" i="7"/>
  <c r="A806" i="7"/>
  <c r="D805" i="7"/>
  <c r="A805" i="7"/>
  <c r="D804" i="7"/>
  <c r="A804" i="7"/>
  <c r="D803" i="7"/>
  <c r="A803" i="7"/>
  <c r="D802" i="7"/>
  <c r="A802" i="7"/>
  <c r="D801" i="7"/>
  <c r="A801" i="7"/>
  <c r="D800" i="7"/>
  <c r="A800" i="7"/>
  <c r="D799" i="7"/>
  <c r="A799" i="7"/>
  <c r="D798" i="7"/>
  <c r="A798" i="7"/>
  <c r="D797" i="7"/>
  <c r="A797" i="7"/>
  <c r="D796" i="7"/>
  <c r="A796" i="7"/>
  <c r="D795" i="7"/>
  <c r="A795" i="7"/>
  <c r="D794" i="7"/>
  <c r="A794" i="7"/>
  <c r="D793" i="7"/>
  <c r="A793" i="7"/>
  <c r="D792" i="7"/>
  <c r="A792" i="7"/>
  <c r="D791" i="7"/>
  <c r="A791" i="7"/>
  <c r="D790" i="7"/>
  <c r="A790" i="7"/>
  <c r="D789" i="7"/>
  <c r="A789" i="7"/>
  <c r="D788" i="7"/>
  <c r="A788" i="7"/>
  <c r="D787" i="7"/>
  <c r="A787" i="7"/>
  <c r="D786" i="7"/>
  <c r="A786" i="7"/>
  <c r="D785" i="7"/>
  <c r="A785" i="7"/>
  <c r="D784" i="7"/>
  <c r="A784" i="7"/>
  <c r="D783" i="7"/>
  <c r="A783" i="7"/>
  <c r="D782" i="7"/>
  <c r="A782" i="7"/>
  <c r="D781" i="7"/>
  <c r="A781" i="7"/>
  <c r="D780" i="7"/>
  <c r="A780" i="7"/>
  <c r="D779" i="7"/>
  <c r="A779" i="7"/>
  <c r="D778" i="7"/>
  <c r="A778" i="7"/>
  <c r="D777" i="7"/>
  <c r="A777" i="7"/>
  <c r="D776" i="7"/>
  <c r="A776" i="7"/>
  <c r="D775" i="7"/>
  <c r="A775" i="7"/>
  <c r="D774" i="7"/>
  <c r="A774" i="7"/>
  <c r="D773" i="7"/>
  <c r="A773" i="7"/>
  <c r="D772" i="7"/>
  <c r="A772" i="7"/>
  <c r="D771" i="7"/>
  <c r="A771" i="7"/>
  <c r="D770" i="7"/>
  <c r="A770" i="7"/>
  <c r="D769" i="7"/>
  <c r="A769" i="7"/>
  <c r="D768" i="7"/>
  <c r="A768" i="7"/>
  <c r="D767" i="7"/>
  <c r="A767" i="7"/>
  <c r="D766" i="7"/>
  <c r="A766" i="7"/>
  <c r="D765" i="7"/>
  <c r="A765" i="7"/>
  <c r="D764" i="7"/>
  <c r="A764" i="7"/>
  <c r="D763" i="7"/>
  <c r="A763" i="7"/>
  <c r="D762" i="7"/>
  <c r="A762" i="7"/>
  <c r="D761" i="7"/>
  <c r="A761" i="7"/>
  <c r="D760" i="7"/>
  <c r="A760" i="7"/>
  <c r="D759" i="7"/>
  <c r="A759" i="7"/>
  <c r="D758" i="7"/>
  <c r="A758" i="7"/>
  <c r="D757" i="7"/>
  <c r="A757" i="7"/>
  <c r="D756" i="7"/>
  <c r="A756" i="7"/>
  <c r="D755" i="7"/>
  <c r="A755" i="7"/>
  <c r="D754" i="7"/>
  <c r="A754" i="7"/>
  <c r="D753" i="7"/>
  <c r="A753" i="7"/>
  <c r="D752" i="7"/>
  <c r="A752" i="7"/>
  <c r="D751" i="7"/>
  <c r="A751" i="7"/>
  <c r="D750" i="7"/>
  <c r="A750" i="7"/>
  <c r="D749" i="7"/>
  <c r="A749" i="7"/>
  <c r="D748" i="7"/>
  <c r="A748" i="7"/>
  <c r="D747" i="7"/>
  <c r="A747" i="7"/>
  <c r="D746" i="7"/>
  <c r="A746" i="7"/>
  <c r="D745" i="7"/>
  <c r="A745" i="7"/>
  <c r="D744" i="7"/>
  <c r="A744" i="7"/>
  <c r="D743" i="7"/>
  <c r="A743" i="7"/>
  <c r="D742" i="7"/>
  <c r="A742" i="7"/>
  <c r="D741" i="7"/>
  <c r="A741" i="7"/>
  <c r="D740" i="7"/>
  <c r="A740" i="7"/>
  <c r="D739" i="7"/>
  <c r="A739" i="7"/>
  <c r="D738" i="7"/>
  <c r="A738" i="7"/>
  <c r="D737" i="7"/>
  <c r="A737" i="7"/>
  <c r="D736" i="7"/>
  <c r="A736" i="7"/>
  <c r="D735" i="7"/>
  <c r="A735" i="7"/>
  <c r="D734" i="7"/>
  <c r="A734" i="7"/>
  <c r="D733" i="7"/>
  <c r="A733" i="7"/>
  <c r="D732" i="7"/>
  <c r="A732" i="7"/>
  <c r="D731" i="7"/>
  <c r="A731" i="7"/>
  <c r="D730" i="7"/>
  <c r="A730" i="7"/>
  <c r="D729" i="7"/>
  <c r="A729" i="7"/>
  <c r="D728" i="7"/>
  <c r="A728" i="7"/>
  <c r="D727" i="7"/>
  <c r="A727" i="7"/>
  <c r="D726" i="7"/>
  <c r="A726" i="7"/>
  <c r="D725" i="7"/>
  <c r="A725" i="7"/>
  <c r="D724" i="7"/>
  <c r="A724" i="7"/>
  <c r="D723" i="7"/>
  <c r="A723" i="7"/>
  <c r="D722" i="7"/>
  <c r="A722" i="7"/>
  <c r="D721" i="7"/>
  <c r="A721" i="7"/>
  <c r="D720" i="7"/>
  <c r="A720" i="7"/>
  <c r="D719" i="7"/>
  <c r="A719" i="7"/>
  <c r="D718" i="7"/>
  <c r="A718" i="7"/>
  <c r="D717" i="7"/>
  <c r="A717" i="7"/>
  <c r="D716" i="7"/>
  <c r="A716" i="7"/>
  <c r="D715" i="7"/>
  <c r="A715" i="7"/>
  <c r="D714" i="7"/>
  <c r="A714" i="7"/>
  <c r="D713" i="7"/>
  <c r="A713" i="7"/>
  <c r="D712" i="7"/>
  <c r="A712" i="7"/>
  <c r="D711" i="7"/>
  <c r="A711" i="7"/>
  <c r="D710" i="7"/>
  <c r="A710" i="7"/>
  <c r="D709" i="7"/>
  <c r="A709" i="7"/>
  <c r="D708" i="7"/>
  <c r="A708" i="7"/>
  <c r="D707" i="7"/>
  <c r="A707" i="7"/>
  <c r="D706" i="7"/>
  <c r="A706" i="7"/>
  <c r="D705" i="7"/>
  <c r="A705" i="7"/>
  <c r="D704" i="7"/>
  <c r="A704" i="7"/>
  <c r="D703" i="7"/>
  <c r="A703" i="7"/>
  <c r="D702" i="7"/>
  <c r="A702" i="7"/>
  <c r="D701" i="7"/>
  <c r="A701" i="7"/>
  <c r="D700" i="7"/>
  <c r="A700" i="7"/>
  <c r="D699" i="7"/>
  <c r="A699" i="7"/>
  <c r="D698" i="7"/>
  <c r="A698" i="7"/>
  <c r="D697" i="7"/>
  <c r="A697" i="7"/>
  <c r="D696" i="7"/>
  <c r="A696" i="7"/>
  <c r="D695" i="7"/>
  <c r="A695" i="7"/>
  <c r="D694" i="7"/>
  <c r="A694" i="7"/>
  <c r="D693" i="7"/>
  <c r="A693" i="7"/>
  <c r="D692" i="7"/>
  <c r="A692" i="7"/>
  <c r="D691" i="7"/>
  <c r="A691" i="7"/>
  <c r="D690" i="7"/>
  <c r="A690" i="7"/>
  <c r="D689" i="7"/>
  <c r="A689" i="7"/>
  <c r="D688" i="7"/>
  <c r="A688" i="7"/>
  <c r="D687" i="7"/>
  <c r="A687" i="7"/>
  <c r="D686" i="7"/>
  <c r="A686" i="7"/>
  <c r="D685" i="7"/>
  <c r="A685" i="7"/>
  <c r="D684" i="7"/>
  <c r="A684" i="7"/>
  <c r="D683" i="7"/>
  <c r="A683" i="7"/>
  <c r="D682" i="7"/>
  <c r="A682" i="7"/>
  <c r="D681" i="7"/>
  <c r="A681" i="7"/>
  <c r="D680" i="7"/>
  <c r="A680" i="7"/>
  <c r="D679" i="7"/>
  <c r="A679" i="7"/>
  <c r="D678" i="7"/>
  <c r="A678" i="7"/>
  <c r="D677" i="7"/>
  <c r="A677" i="7"/>
  <c r="D676" i="7"/>
  <c r="A676" i="7"/>
  <c r="D675" i="7"/>
  <c r="A675" i="7"/>
  <c r="D674" i="7"/>
  <c r="A674" i="7"/>
  <c r="D673" i="7"/>
  <c r="A673" i="7"/>
  <c r="D672" i="7"/>
  <c r="A672" i="7"/>
  <c r="D671" i="7"/>
  <c r="A671" i="7"/>
  <c r="D670" i="7"/>
  <c r="A670" i="7"/>
  <c r="D669" i="7"/>
  <c r="A669" i="7"/>
  <c r="D668" i="7"/>
  <c r="A668" i="7"/>
  <c r="D667" i="7"/>
  <c r="A667" i="7"/>
  <c r="D666" i="7"/>
  <c r="A666" i="7"/>
  <c r="D665" i="7"/>
  <c r="A665" i="7"/>
  <c r="D664" i="7"/>
  <c r="A664" i="7"/>
  <c r="D663" i="7"/>
  <c r="A663" i="7"/>
  <c r="D662" i="7"/>
  <c r="A662" i="7"/>
  <c r="D661" i="7"/>
  <c r="A661" i="7"/>
  <c r="D660" i="7"/>
  <c r="A660" i="7"/>
  <c r="D659" i="7"/>
  <c r="A659" i="7"/>
  <c r="D658" i="7"/>
  <c r="A658" i="7"/>
  <c r="D657" i="7"/>
  <c r="A657" i="7"/>
  <c r="D656" i="7"/>
  <c r="A656" i="7"/>
  <c r="D655" i="7"/>
  <c r="A655" i="7"/>
  <c r="D654" i="7"/>
  <c r="A654" i="7"/>
  <c r="D653" i="7"/>
  <c r="A653" i="7"/>
  <c r="D652" i="7"/>
  <c r="A652" i="7"/>
  <c r="D651" i="7"/>
  <c r="A651" i="7"/>
  <c r="D650" i="7"/>
  <c r="A650" i="7"/>
  <c r="D649" i="7"/>
  <c r="A649" i="7"/>
  <c r="D648" i="7"/>
  <c r="A648" i="7"/>
  <c r="D647" i="7"/>
  <c r="A647" i="7"/>
  <c r="D646" i="7"/>
  <c r="A646" i="7"/>
  <c r="D645" i="7"/>
  <c r="A645" i="7"/>
  <c r="D644" i="7"/>
  <c r="A644" i="7"/>
  <c r="D643" i="7"/>
  <c r="A643" i="7"/>
  <c r="D642" i="7"/>
  <c r="A642" i="7"/>
  <c r="D641" i="7"/>
  <c r="A641" i="7"/>
  <c r="D640" i="7"/>
  <c r="A640" i="7"/>
  <c r="D639" i="7"/>
  <c r="A639" i="7"/>
  <c r="D638" i="7"/>
  <c r="A638" i="7"/>
  <c r="D637" i="7"/>
  <c r="A637" i="7"/>
  <c r="D636" i="7"/>
  <c r="A636" i="7"/>
  <c r="D635" i="7"/>
  <c r="A635" i="7"/>
  <c r="D634" i="7"/>
  <c r="A634" i="7"/>
  <c r="D633" i="7"/>
  <c r="A633" i="7"/>
  <c r="D632" i="7"/>
  <c r="A632" i="7"/>
  <c r="D631" i="7"/>
  <c r="A631" i="7"/>
  <c r="D630" i="7"/>
  <c r="A630" i="7"/>
  <c r="D629" i="7"/>
  <c r="A629" i="7"/>
  <c r="D628" i="7"/>
  <c r="A628" i="7"/>
  <c r="D627" i="7"/>
  <c r="A627" i="7"/>
  <c r="D626" i="7"/>
  <c r="A626" i="7"/>
  <c r="D625" i="7"/>
  <c r="A625" i="7"/>
  <c r="D624" i="7"/>
  <c r="A624" i="7"/>
  <c r="D623" i="7"/>
  <c r="A623" i="7"/>
  <c r="D622" i="7"/>
  <c r="A622" i="7"/>
  <c r="D621" i="7"/>
  <c r="A621" i="7"/>
  <c r="D620" i="7"/>
  <c r="A620" i="7"/>
  <c r="D619" i="7"/>
  <c r="A619" i="7"/>
  <c r="D618" i="7"/>
  <c r="A618" i="7"/>
  <c r="D617" i="7"/>
  <c r="A617" i="7"/>
  <c r="D616" i="7"/>
  <c r="A616" i="7"/>
  <c r="D615" i="7"/>
  <c r="A615" i="7"/>
  <c r="D614" i="7"/>
  <c r="A614" i="7"/>
  <c r="D613" i="7"/>
  <c r="A613" i="7"/>
  <c r="D612" i="7"/>
  <c r="A612" i="7"/>
  <c r="D611" i="7"/>
  <c r="A611" i="7"/>
  <c r="D610" i="7"/>
  <c r="A610" i="7"/>
  <c r="D609" i="7"/>
  <c r="A609" i="7"/>
  <c r="D608" i="7"/>
  <c r="A608" i="7"/>
  <c r="D607" i="7"/>
  <c r="A607" i="7"/>
  <c r="D606" i="7"/>
  <c r="A606" i="7"/>
  <c r="D605" i="7"/>
  <c r="A605" i="7"/>
  <c r="D604" i="7"/>
  <c r="A604" i="7"/>
  <c r="D603" i="7"/>
  <c r="A603" i="7"/>
  <c r="D602" i="7"/>
  <c r="A602" i="7"/>
  <c r="D601" i="7"/>
  <c r="A601" i="7"/>
  <c r="D600" i="7"/>
  <c r="A600" i="7"/>
  <c r="D599" i="7"/>
  <c r="A599" i="7"/>
  <c r="D598" i="7"/>
  <c r="A598" i="7"/>
  <c r="D597" i="7"/>
  <c r="A597" i="7"/>
  <c r="D596" i="7"/>
  <c r="A596" i="7"/>
  <c r="D595" i="7"/>
  <c r="A595" i="7"/>
  <c r="D594" i="7"/>
  <c r="A594" i="7"/>
  <c r="D593" i="7"/>
  <c r="A593" i="7"/>
  <c r="D592" i="7"/>
  <c r="A592" i="7"/>
  <c r="D591" i="7"/>
  <c r="A591" i="7"/>
  <c r="D590" i="7"/>
  <c r="A590" i="7"/>
  <c r="D589" i="7"/>
  <c r="A589" i="7"/>
  <c r="D588" i="7"/>
  <c r="A588" i="7"/>
  <c r="D587" i="7"/>
  <c r="A587" i="7"/>
  <c r="D586" i="7"/>
  <c r="A586" i="7"/>
  <c r="D585" i="7"/>
  <c r="A585" i="7"/>
  <c r="D584" i="7"/>
  <c r="A584" i="7"/>
  <c r="D583" i="7"/>
  <c r="A583" i="7"/>
  <c r="D582" i="7"/>
  <c r="A582" i="7"/>
  <c r="D581" i="7"/>
  <c r="A581" i="7"/>
  <c r="D580" i="7"/>
  <c r="A580" i="7"/>
  <c r="D579" i="7"/>
  <c r="A579" i="7"/>
  <c r="D578" i="7"/>
  <c r="A578" i="7"/>
  <c r="D577" i="7"/>
  <c r="A577" i="7"/>
  <c r="D576" i="7"/>
  <c r="A576" i="7"/>
  <c r="D575" i="7"/>
  <c r="A575" i="7"/>
  <c r="D574" i="7"/>
  <c r="A574" i="7"/>
  <c r="D573" i="7"/>
  <c r="A573" i="7"/>
  <c r="D572" i="7"/>
  <c r="A572" i="7"/>
  <c r="D571" i="7"/>
  <c r="A571" i="7"/>
  <c r="D570" i="7"/>
  <c r="A570" i="7"/>
  <c r="D569" i="7"/>
  <c r="A569" i="7"/>
  <c r="D568" i="7"/>
  <c r="A568" i="7"/>
  <c r="D567" i="7"/>
  <c r="A567" i="7"/>
  <c r="D566" i="7"/>
  <c r="A566" i="7"/>
  <c r="D565" i="7"/>
  <c r="A565" i="7"/>
  <c r="D564" i="7"/>
  <c r="A564" i="7"/>
  <c r="D563" i="7"/>
  <c r="A563" i="7"/>
  <c r="D562" i="7"/>
  <c r="A562" i="7"/>
  <c r="D561" i="7"/>
  <c r="A561" i="7"/>
  <c r="D560" i="7"/>
  <c r="A560" i="7"/>
  <c r="D559" i="7"/>
  <c r="A559" i="7"/>
  <c r="D558" i="7"/>
  <c r="A558" i="7"/>
  <c r="D557" i="7"/>
  <c r="A557" i="7"/>
  <c r="D556" i="7"/>
  <c r="A556" i="7"/>
  <c r="D555" i="7"/>
  <c r="A555" i="7"/>
  <c r="D554" i="7"/>
  <c r="A554" i="7"/>
  <c r="D553" i="7"/>
  <c r="A553" i="7"/>
  <c r="D552" i="7"/>
  <c r="A552" i="7"/>
  <c r="D551" i="7"/>
  <c r="A551" i="7"/>
  <c r="D550" i="7"/>
  <c r="A550" i="7"/>
  <c r="D549" i="7"/>
  <c r="A549" i="7"/>
  <c r="D548" i="7"/>
  <c r="A548" i="7"/>
  <c r="D547" i="7"/>
  <c r="A547" i="7"/>
  <c r="D546" i="7"/>
  <c r="A546" i="7"/>
  <c r="D545" i="7"/>
  <c r="A545" i="7"/>
  <c r="D544" i="7"/>
  <c r="A544" i="7"/>
  <c r="D543" i="7"/>
  <c r="A543" i="7"/>
  <c r="D542" i="7"/>
  <c r="A542" i="7"/>
  <c r="D541" i="7"/>
  <c r="A541" i="7"/>
  <c r="D540" i="7"/>
  <c r="A540" i="7"/>
  <c r="D539" i="7"/>
  <c r="A539" i="7"/>
  <c r="D538" i="7"/>
  <c r="A538" i="7"/>
  <c r="D537" i="7"/>
  <c r="A537" i="7"/>
  <c r="D536" i="7"/>
  <c r="A536" i="7"/>
  <c r="D535" i="7"/>
  <c r="A535" i="7"/>
  <c r="D534" i="7"/>
  <c r="A534" i="7"/>
  <c r="D533" i="7"/>
  <c r="A533" i="7"/>
  <c r="D532" i="7"/>
  <c r="A532" i="7"/>
  <c r="D531" i="7"/>
  <c r="A531" i="7"/>
  <c r="D530" i="7"/>
  <c r="A530" i="7"/>
  <c r="D529" i="7"/>
  <c r="A529" i="7"/>
  <c r="D528" i="7"/>
  <c r="A528" i="7"/>
  <c r="D527" i="7"/>
  <c r="A527" i="7"/>
  <c r="D526" i="7"/>
  <c r="A526" i="7"/>
  <c r="D525" i="7"/>
  <c r="A525" i="7"/>
  <c r="D524" i="7"/>
  <c r="A524" i="7"/>
  <c r="D523" i="7"/>
  <c r="A523" i="7"/>
  <c r="D522" i="7"/>
  <c r="A522" i="7"/>
  <c r="D521" i="7"/>
  <c r="A521" i="7"/>
  <c r="D520" i="7"/>
  <c r="A520" i="7"/>
  <c r="D519" i="7"/>
  <c r="A519" i="7"/>
  <c r="D518" i="7"/>
  <c r="A518" i="7"/>
  <c r="D517" i="7"/>
  <c r="A517" i="7"/>
  <c r="D516" i="7"/>
  <c r="A516" i="7"/>
  <c r="D515" i="7"/>
  <c r="A515" i="7"/>
  <c r="D514" i="7"/>
  <c r="A514" i="7"/>
  <c r="D513" i="7"/>
  <c r="A513" i="7"/>
  <c r="D512" i="7"/>
  <c r="A512" i="7"/>
  <c r="D511" i="7"/>
  <c r="A511" i="7"/>
  <c r="D510" i="7"/>
  <c r="A510" i="7"/>
  <c r="D509" i="7"/>
  <c r="A509" i="7"/>
  <c r="D508" i="7"/>
  <c r="A508" i="7"/>
  <c r="D507" i="7"/>
  <c r="A507" i="7"/>
  <c r="D506" i="7"/>
  <c r="A506" i="7"/>
  <c r="D505" i="7"/>
  <c r="A505" i="7"/>
  <c r="D504" i="7"/>
  <c r="A504" i="7"/>
  <c r="D503" i="7"/>
  <c r="A503" i="7"/>
  <c r="D502" i="7"/>
  <c r="A502" i="7"/>
  <c r="D501" i="7"/>
  <c r="A501" i="7"/>
  <c r="D500" i="7"/>
  <c r="A500" i="7"/>
  <c r="D499" i="7"/>
  <c r="A499" i="7"/>
  <c r="D498" i="7"/>
  <c r="A498" i="7"/>
  <c r="D497" i="7"/>
  <c r="A497" i="7"/>
  <c r="D496" i="7"/>
  <c r="A496" i="7"/>
  <c r="D495" i="7"/>
  <c r="A495" i="7"/>
  <c r="D494" i="7"/>
  <c r="A494" i="7"/>
  <c r="D493" i="7"/>
  <c r="A493" i="7"/>
  <c r="D492" i="7"/>
  <c r="A492" i="7"/>
  <c r="D491" i="7"/>
  <c r="A491" i="7"/>
  <c r="D490" i="7"/>
  <c r="A490" i="7"/>
  <c r="D489" i="7"/>
  <c r="A489" i="7"/>
  <c r="D488" i="7"/>
  <c r="A488" i="7"/>
  <c r="D487" i="7"/>
  <c r="A487" i="7"/>
  <c r="D486" i="7"/>
  <c r="A486" i="7"/>
  <c r="D485" i="7"/>
  <c r="A485" i="7"/>
  <c r="D484" i="7"/>
  <c r="A484" i="7"/>
  <c r="D483" i="7"/>
  <c r="A483" i="7"/>
  <c r="D482" i="7"/>
  <c r="A482" i="7"/>
  <c r="D481" i="7"/>
  <c r="A481" i="7"/>
  <c r="D480" i="7"/>
  <c r="A480" i="7"/>
  <c r="D479" i="7"/>
  <c r="A479" i="7"/>
  <c r="D478" i="7"/>
  <c r="A478" i="7"/>
  <c r="D477" i="7"/>
  <c r="A477" i="7"/>
  <c r="D476" i="7"/>
  <c r="A476" i="7"/>
  <c r="D475" i="7"/>
  <c r="A475" i="7"/>
  <c r="D474" i="7"/>
  <c r="A474" i="7"/>
  <c r="D473" i="7"/>
  <c r="A473" i="7"/>
  <c r="D472" i="7"/>
  <c r="A472" i="7"/>
  <c r="D471" i="7"/>
  <c r="A471" i="7"/>
  <c r="D470" i="7"/>
  <c r="A470" i="7"/>
  <c r="D469" i="7"/>
  <c r="A469" i="7"/>
  <c r="D468" i="7"/>
  <c r="A468" i="7"/>
  <c r="D467" i="7"/>
  <c r="A467" i="7"/>
  <c r="D466" i="7"/>
  <c r="A466" i="7"/>
  <c r="D465" i="7"/>
  <c r="A465" i="7"/>
  <c r="D464" i="7"/>
  <c r="A464" i="7"/>
  <c r="D463" i="7"/>
  <c r="A463" i="7"/>
  <c r="D462" i="7"/>
  <c r="A462" i="7"/>
  <c r="D461" i="7"/>
  <c r="A461" i="7"/>
  <c r="D460" i="7"/>
  <c r="A460" i="7"/>
  <c r="D459" i="7"/>
  <c r="A459" i="7"/>
  <c r="D458" i="7"/>
  <c r="A458" i="7"/>
  <c r="D457" i="7"/>
  <c r="A457" i="7"/>
  <c r="D456" i="7"/>
  <c r="A456" i="7"/>
  <c r="D455" i="7"/>
  <c r="A455" i="7"/>
  <c r="D454" i="7"/>
  <c r="A454" i="7"/>
  <c r="D453" i="7"/>
  <c r="A453" i="7"/>
  <c r="D452" i="7"/>
  <c r="A452" i="7"/>
  <c r="D451" i="7"/>
  <c r="A451" i="7"/>
  <c r="D450" i="7"/>
  <c r="A450" i="7"/>
  <c r="D449" i="7"/>
  <c r="A449" i="7"/>
  <c r="D448" i="7"/>
  <c r="A448" i="7"/>
  <c r="D447" i="7"/>
  <c r="A447" i="7"/>
  <c r="D446" i="7"/>
  <c r="A446" i="7"/>
  <c r="D445" i="7"/>
  <c r="A445" i="7"/>
  <c r="D444" i="7"/>
  <c r="A444" i="7"/>
  <c r="D443" i="7"/>
  <c r="A443" i="7"/>
  <c r="D442" i="7"/>
  <c r="A442" i="7"/>
  <c r="D441" i="7"/>
  <c r="A441" i="7"/>
  <c r="D440" i="7"/>
  <c r="A440" i="7"/>
  <c r="D439" i="7"/>
  <c r="A439" i="7"/>
  <c r="D438" i="7"/>
  <c r="A438" i="7"/>
  <c r="D437" i="7"/>
  <c r="A437" i="7"/>
  <c r="D436" i="7"/>
  <c r="A436" i="7"/>
  <c r="D435" i="7"/>
  <c r="A435" i="7"/>
  <c r="D434" i="7"/>
  <c r="A434" i="7"/>
  <c r="D433" i="7"/>
  <c r="A433" i="7"/>
  <c r="D432" i="7"/>
  <c r="A432" i="7"/>
  <c r="D431" i="7"/>
  <c r="A431" i="7"/>
  <c r="D430" i="7"/>
  <c r="A430" i="7"/>
  <c r="D429" i="7"/>
  <c r="A429" i="7"/>
  <c r="D428" i="7"/>
  <c r="A428" i="7"/>
  <c r="D427" i="7"/>
  <c r="A427" i="7"/>
  <c r="D426" i="7"/>
  <c r="A426" i="7"/>
  <c r="D425" i="7"/>
  <c r="A425" i="7"/>
  <c r="D424" i="7"/>
  <c r="A424" i="7"/>
  <c r="D423" i="7"/>
  <c r="A423" i="7"/>
  <c r="D422" i="7"/>
  <c r="A422" i="7"/>
  <c r="D421" i="7"/>
  <c r="A421" i="7"/>
  <c r="D420" i="7"/>
  <c r="A420" i="7"/>
  <c r="D419" i="7"/>
  <c r="A419" i="7"/>
  <c r="D418" i="7"/>
  <c r="A418" i="7"/>
  <c r="D417" i="7"/>
  <c r="A417" i="7"/>
  <c r="D416" i="7"/>
  <c r="A416" i="7"/>
  <c r="D415" i="7"/>
  <c r="A415" i="7"/>
  <c r="D414" i="7"/>
  <c r="A414" i="7"/>
  <c r="D413" i="7"/>
  <c r="A413" i="7"/>
  <c r="D412" i="7"/>
  <c r="A412" i="7"/>
  <c r="D411" i="7"/>
  <c r="A411" i="7"/>
  <c r="D410" i="7"/>
  <c r="A410" i="7"/>
  <c r="D409" i="7"/>
  <c r="A409" i="7"/>
  <c r="D408" i="7"/>
  <c r="A408" i="7"/>
  <c r="D407" i="7"/>
  <c r="A407" i="7"/>
  <c r="D406" i="7"/>
  <c r="A406" i="7"/>
  <c r="D405" i="7"/>
  <c r="A405" i="7"/>
  <c r="D404" i="7"/>
  <c r="A404" i="7"/>
  <c r="D403" i="7"/>
  <c r="A403" i="7"/>
  <c r="D402" i="7"/>
  <c r="A402" i="7"/>
  <c r="D401" i="7"/>
  <c r="A401" i="7"/>
  <c r="D400" i="7"/>
  <c r="A400" i="7"/>
  <c r="D399" i="7"/>
  <c r="A399" i="7"/>
  <c r="D398" i="7"/>
  <c r="A398" i="7"/>
  <c r="D397" i="7"/>
  <c r="A397" i="7"/>
  <c r="D396" i="7"/>
  <c r="A396" i="7"/>
  <c r="D395" i="7"/>
  <c r="A395" i="7"/>
  <c r="D394" i="7"/>
  <c r="A394" i="7"/>
  <c r="D393" i="7"/>
  <c r="A393" i="7"/>
  <c r="D392" i="7"/>
  <c r="A392" i="7"/>
  <c r="D391" i="7"/>
  <c r="A391" i="7"/>
  <c r="D390" i="7"/>
  <c r="A390" i="7"/>
  <c r="D389" i="7"/>
  <c r="A389" i="7"/>
  <c r="D388" i="7"/>
  <c r="A388" i="7"/>
  <c r="D387" i="7"/>
  <c r="A387" i="7"/>
  <c r="D386" i="7"/>
  <c r="A386" i="7"/>
  <c r="D385" i="7"/>
  <c r="A385" i="7"/>
  <c r="D384" i="7"/>
  <c r="A384" i="7"/>
  <c r="D383" i="7"/>
  <c r="A383" i="7"/>
  <c r="D382" i="7"/>
  <c r="A382" i="7"/>
  <c r="D381" i="7"/>
  <c r="A381" i="7"/>
  <c r="D380" i="7"/>
  <c r="A380" i="7"/>
  <c r="D379" i="7"/>
  <c r="A379" i="7"/>
  <c r="D378" i="7"/>
  <c r="A378" i="7"/>
  <c r="D377" i="7"/>
  <c r="A377" i="7"/>
  <c r="D376" i="7"/>
  <c r="A376" i="7"/>
  <c r="D375" i="7"/>
  <c r="A375" i="7"/>
  <c r="D374" i="7"/>
  <c r="A374" i="7"/>
  <c r="D373" i="7"/>
  <c r="A373" i="7"/>
  <c r="D372" i="7"/>
  <c r="A372" i="7"/>
  <c r="D371" i="7"/>
  <c r="A371" i="7"/>
  <c r="D370" i="7"/>
  <c r="A370" i="7"/>
  <c r="D369" i="7"/>
  <c r="A369" i="7"/>
  <c r="D368" i="7"/>
  <c r="A368" i="7"/>
  <c r="D367" i="7"/>
  <c r="A367" i="7"/>
  <c r="D366" i="7"/>
  <c r="A366" i="7"/>
  <c r="D365" i="7"/>
  <c r="A365" i="7"/>
  <c r="D364" i="7"/>
  <c r="A364" i="7"/>
  <c r="D363" i="7"/>
  <c r="A363" i="7"/>
  <c r="D362" i="7"/>
  <c r="A362" i="7"/>
  <c r="D361" i="7"/>
  <c r="A361" i="7"/>
  <c r="D360" i="7"/>
  <c r="A360" i="7"/>
  <c r="D359" i="7"/>
  <c r="A359" i="7"/>
  <c r="D358" i="7"/>
  <c r="A358" i="7"/>
  <c r="D357" i="7"/>
  <c r="A357" i="7"/>
  <c r="D356" i="7"/>
  <c r="A356" i="7"/>
  <c r="D355" i="7"/>
  <c r="A355" i="7"/>
  <c r="D354" i="7"/>
  <c r="A354" i="7"/>
  <c r="D353" i="7"/>
  <c r="A353" i="7"/>
  <c r="D352" i="7"/>
  <c r="A352" i="7"/>
  <c r="D351" i="7"/>
  <c r="A351" i="7"/>
  <c r="D350" i="7"/>
  <c r="A350" i="7"/>
  <c r="D349" i="7"/>
  <c r="A349" i="7"/>
  <c r="D348" i="7"/>
  <c r="A348" i="7"/>
  <c r="D347" i="7"/>
  <c r="A347" i="7"/>
  <c r="D346" i="7"/>
  <c r="A346" i="7"/>
  <c r="D345" i="7"/>
  <c r="A345" i="7"/>
  <c r="D344" i="7"/>
  <c r="A344" i="7"/>
  <c r="D343" i="7"/>
  <c r="A343" i="7"/>
  <c r="D342" i="7"/>
  <c r="A342" i="7"/>
  <c r="D341" i="7"/>
  <c r="A341" i="7"/>
  <c r="D340" i="7"/>
  <c r="A340" i="7"/>
  <c r="D339" i="7"/>
  <c r="A339" i="7"/>
  <c r="D338" i="7"/>
  <c r="A338" i="7"/>
  <c r="D337" i="7"/>
  <c r="A337" i="7"/>
  <c r="D336" i="7"/>
  <c r="A336" i="7"/>
  <c r="D335" i="7"/>
  <c r="A335" i="7"/>
  <c r="D334" i="7"/>
  <c r="A334" i="7"/>
  <c r="D333" i="7"/>
  <c r="A333" i="7"/>
  <c r="D332" i="7"/>
  <c r="A332" i="7"/>
  <c r="D331" i="7"/>
  <c r="A331" i="7"/>
  <c r="D330" i="7"/>
  <c r="A330" i="7"/>
  <c r="D329" i="7"/>
  <c r="A329" i="7"/>
  <c r="D328" i="7"/>
  <c r="A328" i="7"/>
  <c r="D327" i="7"/>
  <c r="A327" i="7"/>
  <c r="D326" i="7"/>
  <c r="A326" i="7"/>
  <c r="D325" i="7"/>
  <c r="A325" i="7"/>
  <c r="D324" i="7"/>
  <c r="A324" i="7"/>
  <c r="D323" i="7"/>
  <c r="A323" i="7"/>
  <c r="D322" i="7"/>
  <c r="A322" i="7"/>
  <c r="D321" i="7"/>
  <c r="A321" i="7"/>
  <c r="D320" i="7"/>
  <c r="A320" i="7"/>
  <c r="D319" i="7"/>
  <c r="A319" i="7"/>
  <c r="D318" i="7"/>
  <c r="A318" i="7"/>
  <c r="D317" i="7"/>
  <c r="A317" i="7"/>
  <c r="D316" i="7"/>
  <c r="A316" i="7"/>
  <c r="D315" i="7"/>
  <c r="A315" i="7"/>
  <c r="D314" i="7"/>
  <c r="A314" i="7"/>
  <c r="D313" i="7"/>
  <c r="A313" i="7"/>
  <c r="D312" i="7"/>
  <c r="A312" i="7"/>
  <c r="D311" i="7"/>
  <c r="A311" i="7"/>
  <c r="D310" i="7"/>
  <c r="A310" i="7"/>
  <c r="D309" i="7"/>
  <c r="A309" i="7"/>
  <c r="D308" i="7"/>
  <c r="A308" i="7"/>
  <c r="D307" i="7"/>
  <c r="A307" i="7"/>
  <c r="D306" i="7"/>
  <c r="A306" i="7"/>
  <c r="D305" i="7"/>
  <c r="A305" i="7"/>
  <c r="D304" i="7"/>
  <c r="A304" i="7"/>
  <c r="D303" i="7"/>
  <c r="A303" i="7"/>
  <c r="D302" i="7"/>
  <c r="A302" i="7"/>
  <c r="D301" i="7"/>
  <c r="A301" i="7"/>
  <c r="D300" i="7"/>
  <c r="A300" i="7"/>
  <c r="D299" i="7"/>
  <c r="A299" i="7"/>
  <c r="D298" i="7"/>
  <c r="A298" i="7"/>
  <c r="D297" i="7"/>
  <c r="A297" i="7"/>
  <c r="D296" i="7"/>
  <c r="A296" i="7"/>
  <c r="D295" i="7"/>
  <c r="A295" i="7"/>
  <c r="D294" i="7"/>
  <c r="A294" i="7"/>
  <c r="D293" i="7"/>
  <c r="A293" i="7"/>
  <c r="D292" i="7"/>
  <c r="A292" i="7"/>
  <c r="D291" i="7"/>
  <c r="A291" i="7"/>
  <c r="D290" i="7"/>
  <c r="A290" i="7"/>
  <c r="D289" i="7"/>
  <c r="A289" i="7"/>
  <c r="D288" i="7"/>
  <c r="A288" i="7"/>
  <c r="D287" i="7"/>
  <c r="A287" i="7"/>
  <c r="D286" i="7"/>
  <c r="A286" i="7"/>
  <c r="D285" i="7"/>
  <c r="A285" i="7"/>
  <c r="D284" i="7"/>
  <c r="A284" i="7"/>
  <c r="D283" i="7"/>
  <c r="A283" i="7"/>
  <c r="D282" i="7"/>
  <c r="A282" i="7"/>
  <c r="D281" i="7"/>
  <c r="A281" i="7"/>
  <c r="D280" i="7"/>
  <c r="A280" i="7"/>
  <c r="D279" i="7"/>
  <c r="A279" i="7"/>
  <c r="D278" i="7"/>
  <c r="A278" i="7"/>
  <c r="D277" i="7"/>
  <c r="A277" i="7"/>
  <c r="D276" i="7"/>
  <c r="A276" i="7"/>
  <c r="D275" i="7"/>
  <c r="A275" i="7"/>
  <c r="D274" i="7"/>
  <c r="A274" i="7"/>
  <c r="D273" i="7"/>
  <c r="A273" i="7"/>
  <c r="D272" i="7"/>
  <c r="A272" i="7"/>
  <c r="D271" i="7"/>
  <c r="A271" i="7"/>
  <c r="D270" i="7"/>
  <c r="A270" i="7"/>
  <c r="D269" i="7"/>
  <c r="A269" i="7"/>
  <c r="D268" i="7"/>
  <c r="A268" i="7"/>
  <c r="D267" i="7"/>
  <c r="A267" i="7"/>
  <c r="D266" i="7"/>
  <c r="A266" i="7"/>
  <c r="D265" i="7"/>
  <c r="A265" i="7"/>
  <c r="D264" i="7"/>
  <c r="A264" i="7"/>
  <c r="D263" i="7"/>
  <c r="A263" i="7"/>
  <c r="D262" i="7"/>
  <c r="A262" i="7"/>
  <c r="D261" i="7"/>
  <c r="A261" i="7"/>
  <c r="D260" i="7"/>
  <c r="A260" i="7"/>
  <c r="D259" i="7"/>
  <c r="A259" i="7"/>
  <c r="D258" i="7"/>
  <c r="A258" i="7"/>
  <c r="D257" i="7"/>
  <c r="A257" i="7"/>
  <c r="D256" i="7"/>
  <c r="A256" i="7"/>
  <c r="D255" i="7"/>
  <c r="A255" i="7"/>
  <c r="D254" i="7"/>
  <c r="A254" i="7"/>
  <c r="D253" i="7"/>
  <c r="A253" i="7"/>
  <c r="D252" i="7"/>
  <c r="A252" i="7"/>
  <c r="D251" i="7"/>
  <c r="A251" i="7"/>
  <c r="D250" i="7"/>
  <c r="A250" i="7"/>
  <c r="D249" i="7"/>
  <c r="A249" i="7"/>
  <c r="D248" i="7"/>
  <c r="A248" i="7"/>
  <c r="D247" i="7"/>
  <c r="A247" i="7"/>
  <c r="D246" i="7"/>
  <c r="A246" i="7"/>
  <c r="D245" i="7"/>
  <c r="A245" i="7"/>
  <c r="D244" i="7"/>
  <c r="A244" i="7"/>
  <c r="D243" i="7"/>
  <c r="A243" i="7"/>
  <c r="D242" i="7"/>
  <c r="A242" i="7"/>
  <c r="D241" i="7"/>
  <c r="A241" i="7"/>
  <c r="D240" i="7"/>
  <c r="A240" i="7"/>
  <c r="D239" i="7"/>
  <c r="A239" i="7"/>
  <c r="D238" i="7"/>
  <c r="A238" i="7"/>
  <c r="D237" i="7"/>
  <c r="A237" i="7"/>
  <c r="D236" i="7"/>
  <c r="A236" i="7"/>
  <c r="D235" i="7"/>
  <c r="A235" i="7"/>
  <c r="D234" i="7"/>
  <c r="A234" i="7"/>
  <c r="D233" i="7"/>
  <c r="A233" i="7"/>
  <c r="D232" i="7"/>
  <c r="A232" i="7"/>
  <c r="D231" i="7"/>
  <c r="A231" i="7"/>
  <c r="D230" i="7"/>
  <c r="A230" i="7"/>
  <c r="D229" i="7"/>
  <c r="A229" i="7"/>
  <c r="D228" i="7"/>
  <c r="A228" i="7"/>
  <c r="D227" i="7"/>
  <c r="A227" i="7"/>
  <c r="D226" i="7"/>
  <c r="A226" i="7"/>
  <c r="D225" i="7"/>
  <c r="A225" i="7"/>
  <c r="D224" i="7"/>
  <c r="A224" i="7"/>
  <c r="D223" i="7"/>
  <c r="A223" i="7"/>
  <c r="D222" i="7"/>
  <c r="A222" i="7"/>
  <c r="D221" i="7"/>
  <c r="A221" i="7"/>
  <c r="D220" i="7"/>
  <c r="A220" i="7"/>
  <c r="D219" i="7"/>
  <c r="A219" i="7"/>
  <c r="D218" i="7"/>
  <c r="A218" i="7"/>
  <c r="D217" i="7"/>
  <c r="A217" i="7"/>
  <c r="D216" i="7"/>
  <c r="A216" i="7"/>
  <c r="D215" i="7"/>
  <c r="A215" i="7"/>
  <c r="D214" i="7"/>
  <c r="A214" i="7"/>
  <c r="D213" i="7"/>
  <c r="A213" i="7"/>
  <c r="D212" i="7"/>
  <c r="A212" i="7"/>
  <c r="D211" i="7"/>
  <c r="A211" i="7"/>
  <c r="D210" i="7"/>
  <c r="A210" i="7"/>
  <c r="D209" i="7"/>
  <c r="A209" i="7"/>
  <c r="D208" i="7"/>
  <c r="A208" i="7"/>
  <c r="D207" i="7"/>
  <c r="A207" i="7"/>
  <c r="D206" i="7"/>
  <c r="A206" i="7"/>
  <c r="D205" i="7"/>
  <c r="A205" i="7"/>
  <c r="D204" i="7"/>
  <c r="A204" i="7"/>
  <c r="D203" i="7"/>
  <c r="A203" i="7"/>
  <c r="D202" i="7"/>
  <c r="A202" i="7"/>
  <c r="D201" i="7"/>
  <c r="A201" i="7"/>
  <c r="D200" i="7"/>
  <c r="A200" i="7"/>
  <c r="D199" i="7"/>
  <c r="A199" i="7"/>
  <c r="D198" i="7"/>
  <c r="A198" i="7"/>
  <c r="D197" i="7"/>
  <c r="A197" i="7"/>
  <c r="D196" i="7"/>
  <c r="A196" i="7"/>
  <c r="D195" i="7"/>
  <c r="A195" i="7"/>
  <c r="D194" i="7"/>
  <c r="A194" i="7"/>
  <c r="D193" i="7"/>
  <c r="A193" i="7"/>
  <c r="D192" i="7"/>
  <c r="A192" i="7"/>
  <c r="D191" i="7"/>
  <c r="A191" i="7"/>
  <c r="D190" i="7"/>
  <c r="A190" i="7"/>
  <c r="D189" i="7"/>
  <c r="A189" i="7"/>
  <c r="D188" i="7"/>
  <c r="A188" i="7"/>
  <c r="D187" i="7"/>
  <c r="A187" i="7"/>
  <c r="D186" i="7"/>
  <c r="A186" i="7"/>
  <c r="D185" i="7"/>
  <c r="A185" i="7"/>
  <c r="D184" i="7"/>
  <c r="A184" i="7"/>
  <c r="D183" i="7"/>
  <c r="A183" i="7"/>
  <c r="D182" i="7"/>
  <c r="A182" i="7"/>
  <c r="D181" i="7"/>
  <c r="A181" i="7"/>
  <c r="D180" i="7"/>
  <c r="A180" i="7"/>
  <c r="D179" i="7"/>
  <c r="A179" i="7"/>
  <c r="D178" i="7"/>
  <c r="A178" i="7"/>
  <c r="D177" i="7"/>
  <c r="A177" i="7"/>
  <c r="D176" i="7"/>
  <c r="A176" i="7"/>
  <c r="D175" i="7"/>
  <c r="A175" i="7"/>
  <c r="D174" i="7"/>
  <c r="A174" i="7"/>
  <c r="D173" i="7"/>
  <c r="A173" i="7"/>
  <c r="D172" i="7"/>
  <c r="A172" i="7"/>
  <c r="D171" i="7"/>
  <c r="A171" i="7"/>
  <c r="D170" i="7"/>
  <c r="A170" i="7"/>
  <c r="D169" i="7"/>
  <c r="A169" i="7"/>
  <c r="D168" i="7"/>
  <c r="A168" i="7"/>
  <c r="D167" i="7"/>
  <c r="A167" i="7"/>
  <c r="D166" i="7"/>
  <c r="A166" i="7"/>
  <c r="D165" i="7"/>
  <c r="A165" i="7"/>
  <c r="D164" i="7"/>
  <c r="A164" i="7"/>
  <c r="D163" i="7"/>
  <c r="A163" i="7"/>
  <c r="D162" i="7"/>
  <c r="A162" i="7"/>
  <c r="D161" i="7"/>
  <c r="A161" i="7"/>
  <c r="D160" i="7"/>
  <c r="A160" i="7"/>
  <c r="D159" i="7"/>
  <c r="A159" i="7"/>
  <c r="D158" i="7"/>
  <c r="A158" i="7"/>
  <c r="D157" i="7"/>
  <c r="A157" i="7"/>
  <c r="D156" i="7"/>
  <c r="A156" i="7"/>
  <c r="D155" i="7"/>
  <c r="A155" i="7"/>
  <c r="D154" i="7"/>
  <c r="A154" i="7"/>
  <c r="D153" i="7"/>
  <c r="A153" i="7"/>
  <c r="D152" i="7"/>
  <c r="A152" i="7"/>
  <c r="D151" i="7"/>
  <c r="A151" i="7"/>
  <c r="D150" i="7"/>
  <c r="A150" i="7"/>
  <c r="D149" i="7"/>
  <c r="A149" i="7"/>
  <c r="D148" i="7"/>
  <c r="A148" i="7"/>
  <c r="D147" i="7"/>
  <c r="A147" i="7"/>
  <c r="D146" i="7"/>
  <c r="A146" i="7"/>
  <c r="D145" i="7"/>
  <c r="A145" i="7"/>
  <c r="D144" i="7"/>
  <c r="A144" i="7"/>
  <c r="D143" i="7"/>
  <c r="A143" i="7"/>
  <c r="D142" i="7"/>
  <c r="A142" i="7"/>
  <c r="D141" i="7"/>
  <c r="A141" i="7"/>
  <c r="D140" i="7"/>
  <c r="A140" i="7"/>
  <c r="D139" i="7"/>
  <c r="A139" i="7"/>
  <c r="D138" i="7"/>
  <c r="A138" i="7"/>
  <c r="D137" i="7"/>
  <c r="A137" i="7"/>
  <c r="D136" i="7"/>
  <c r="A136" i="7"/>
  <c r="D135" i="7"/>
  <c r="A135" i="7"/>
  <c r="D134" i="7"/>
  <c r="A134" i="7"/>
  <c r="D133" i="7"/>
  <c r="A133" i="7"/>
  <c r="D132" i="7"/>
  <c r="A132" i="7"/>
  <c r="D131" i="7"/>
  <c r="A131" i="7"/>
  <c r="D130" i="7"/>
  <c r="A130" i="7"/>
  <c r="D129" i="7"/>
  <c r="A129" i="7"/>
  <c r="D128" i="7"/>
  <c r="A128" i="7"/>
  <c r="D127" i="7"/>
  <c r="A127" i="7"/>
  <c r="D126" i="7"/>
  <c r="A126" i="7"/>
  <c r="D125" i="7"/>
  <c r="A125" i="7"/>
  <c r="D124" i="7"/>
  <c r="A124" i="7"/>
  <c r="D123" i="7"/>
  <c r="A123" i="7"/>
  <c r="D122" i="7"/>
  <c r="A122" i="7"/>
  <c r="D121" i="7"/>
  <c r="A121" i="7"/>
  <c r="D120" i="7"/>
  <c r="A120" i="7"/>
  <c r="D119" i="7"/>
  <c r="A119" i="7"/>
  <c r="D118" i="7"/>
  <c r="A118" i="7"/>
  <c r="D117" i="7"/>
  <c r="A117" i="7"/>
  <c r="D116" i="7"/>
  <c r="A116" i="7"/>
  <c r="D115" i="7"/>
  <c r="A115" i="7"/>
  <c r="D114" i="7"/>
  <c r="A114" i="7"/>
  <c r="D113" i="7"/>
  <c r="A113" i="7"/>
  <c r="D112" i="7"/>
  <c r="A112" i="7"/>
  <c r="D111" i="7"/>
  <c r="A111" i="7"/>
  <c r="D110" i="7"/>
  <c r="A110" i="7"/>
  <c r="D109" i="7"/>
  <c r="A109" i="7"/>
  <c r="D108" i="7"/>
  <c r="A108" i="7"/>
  <c r="D107" i="7"/>
  <c r="A107" i="7"/>
  <c r="D106" i="7"/>
  <c r="A106" i="7"/>
  <c r="D105" i="7"/>
  <c r="A105" i="7"/>
  <c r="D104" i="7"/>
  <c r="A104" i="7"/>
  <c r="D103" i="7"/>
  <c r="A103" i="7"/>
  <c r="D102" i="7"/>
  <c r="A102" i="7"/>
  <c r="D101" i="7"/>
  <c r="A101" i="7"/>
  <c r="D100" i="7"/>
  <c r="A100" i="7"/>
  <c r="D99" i="7"/>
  <c r="A99" i="7"/>
  <c r="D98" i="7"/>
  <c r="A98" i="7"/>
  <c r="D97" i="7"/>
  <c r="A97" i="7"/>
  <c r="D96" i="7"/>
  <c r="A96" i="7"/>
  <c r="D95" i="7"/>
  <c r="A95" i="7"/>
  <c r="D94" i="7"/>
  <c r="A94" i="7"/>
  <c r="D93" i="7"/>
  <c r="A93" i="7"/>
  <c r="D92" i="7"/>
  <c r="A92" i="7"/>
  <c r="D91" i="7"/>
  <c r="A91" i="7"/>
  <c r="D90" i="7"/>
  <c r="A90" i="7"/>
  <c r="D89" i="7"/>
  <c r="A89" i="7"/>
  <c r="D88" i="7"/>
  <c r="A88" i="7"/>
  <c r="D87" i="7"/>
  <c r="A87" i="7"/>
  <c r="D86" i="7"/>
  <c r="A86" i="7"/>
  <c r="D85" i="7"/>
  <c r="A85" i="7"/>
  <c r="D84" i="7"/>
  <c r="A84" i="7"/>
  <c r="D83" i="7"/>
  <c r="A83" i="7"/>
  <c r="D82" i="7"/>
  <c r="A82" i="7"/>
  <c r="D81" i="7"/>
  <c r="A81" i="7"/>
  <c r="D80" i="7"/>
  <c r="A80" i="7"/>
  <c r="D79" i="7"/>
  <c r="A79" i="7"/>
  <c r="D78" i="7"/>
  <c r="A78" i="7"/>
  <c r="D77" i="7"/>
  <c r="A77" i="7"/>
  <c r="D76" i="7"/>
  <c r="A76" i="7"/>
  <c r="D75" i="7"/>
  <c r="A75" i="7"/>
  <c r="D74" i="7"/>
  <c r="A74" i="7"/>
  <c r="D73" i="7"/>
  <c r="A73" i="7"/>
  <c r="D72" i="7"/>
  <c r="A72" i="7"/>
  <c r="D71" i="7"/>
  <c r="A71" i="7"/>
  <c r="D70" i="7"/>
  <c r="A70" i="7"/>
  <c r="D69" i="7"/>
  <c r="A69" i="7"/>
  <c r="D68" i="7"/>
  <c r="A68" i="7"/>
  <c r="D67" i="7"/>
  <c r="A67" i="7"/>
  <c r="D66" i="7"/>
  <c r="A66" i="7"/>
  <c r="D65" i="7"/>
  <c r="A65" i="7"/>
  <c r="D64" i="7"/>
  <c r="A64" i="7"/>
  <c r="D63" i="7"/>
  <c r="A63" i="7"/>
  <c r="D62" i="7"/>
  <c r="A62" i="7"/>
  <c r="D61" i="7"/>
  <c r="A61" i="7"/>
  <c r="D60" i="7"/>
  <c r="A60" i="7"/>
  <c r="D59" i="7"/>
  <c r="A59" i="7"/>
  <c r="D58" i="7"/>
  <c r="A58" i="7"/>
  <c r="D57" i="7"/>
  <c r="A57" i="7"/>
  <c r="D56" i="7"/>
  <c r="A56" i="7"/>
  <c r="D55" i="7"/>
  <c r="A55" i="7"/>
  <c r="D54" i="7"/>
  <c r="A54" i="7"/>
  <c r="D53" i="7"/>
  <c r="A53" i="7"/>
  <c r="D52" i="7"/>
  <c r="A52" i="7"/>
  <c r="D51" i="7"/>
  <c r="A51" i="7"/>
  <c r="D50" i="7"/>
  <c r="A50" i="7"/>
  <c r="D49" i="7"/>
  <c r="A49" i="7"/>
  <c r="D48" i="7"/>
  <c r="A48" i="7"/>
  <c r="D47" i="7"/>
  <c r="A47" i="7"/>
  <c r="D46" i="7"/>
  <c r="A46" i="7"/>
  <c r="D45" i="7"/>
  <c r="A45" i="7"/>
  <c r="D44" i="7"/>
  <c r="A44" i="7"/>
  <c r="D43" i="7"/>
  <c r="A43" i="7"/>
  <c r="D42" i="7"/>
  <c r="A42" i="7"/>
  <c r="D41" i="7"/>
  <c r="A41" i="7"/>
  <c r="D40" i="7"/>
  <c r="A40" i="7"/>
  <c r="D39" i="7"/>
  <c r="A39" i="7"/>
  <c r="D38" i="7"/>
  <c r="A38" i="7"/>
  <c r="D37" i="7"/>
  <c r="A37" i="7"/>
  <c r="D36" i="7"/>
  <c r="A36" i="7"/>
  <c r="D35" i="7"/>
  <c r="A35" i="7"/>
  <c r="D34" i="7"/>
  <c r="A34" i="7"/>
  <c r="D33" i="7"/>
  <c r="A33" i="7"/>
  <c r="D32" i="7"/>
  <c r="A32" i="7"/>
  <c r="D31" i="7"/>
  <c r="A31" i="7"/>
  <c r="D30" i="7"/>
  <c r="A30" i="7"/>
  <c r="D29" i="7"/>
  <c r="A29" i="7"/>
  <c r="D28" i="7"/>
  <c r="A28" i="7"/>
  <c r="D27" i="7"/>
  <c r="A27" i="7"/>
  <c r="D26" i="7"/>
  <c r="A26" i="7"/>
  <c r="D25" i="7"/>
  <c r="A25" i="7"/>
  <c r="D24" i="7"/>
  <c r="A24" i="7"/>
  <c r="D23" i="7"/>
  <c r="A23" i="7"/>
  <c r="D22" i="7"/>
  <c r="A22" i="7"/>
  <c r="D21" i="7"/>
  <c r="A21" i="7"/>
  <c r="D20" i="7"/>
  <c r="A20" i="7"/>
  <c r="D19" i="7"/>
  <c r="A19" i="7"/>
  <c r="D18" i="7"/>
  <c r="A18" i="7"/>
  <c r="D17" i="7"/>
  <c r="A17" i="7"/>
  <c r="D16" i="7"/>
  <c r="A16" i="7"/>
  <c r="D15" i="7"/>
  <c r="A15" i="7"/>
  <c r="D14" i="7"/>
  <c r="A14" i="7"/>
  <c r="D13" i="7"/>
  <c r="A13" i="7"/>
  <c r="D12" i="7"/>
  <c r="A12" i="7"/>
  <c r="D11" i="7"/>
  <c r="A11" i="7"/>
  <c r="D10" i="7"/>
  <c r="A10" i="7"/>
  <c r="D9" i="7"/>
  <c r="A9" i="7"/>
  <c r="D8" i="7"/>
  <c r="A8" i="7"/>
  <c r="D7" i="7"/>
  <c r="A7" i="7"/>
  <c r="D6" i="7"/>
  <c r="A6" i="7"/>
  <c r="D5" i="7"/>
  <c r="A5" i="7"/>
  <c r="D4" i="7"/>
  <c r="A4" i="7"/>
  <c r="D3" i="7"/>
  <c r="A3" i="7"/>
  <c r="D2" i="7"/>
  <c r="A2" i="7"/>
  <c r="D501" i="6"/>
  <c r="A501" i="6"/>
  <c r="D500" i="6"/>
  <c r="A500" i="6"/>
  <c r="D499" i="6"/>
  <c r="A499" i="6"/>
  <c r="D498" i="6"/>
  <c r="A498" i="6"/>
  <c r="D497" i="6"/>
  <c r="A497" i="6"/>
  <c r="D496" i="6"/>
  <c r="A496" i="6"/>
  <c r="D495" i="6"/>
  <c r="A495" i="6"/>
  <c r="D494" i="6"/>
  <c r="A494" i="6"/>
  <c r="D493" i="6"/>
  <c r="A493" i="6"/>
  <c r="D492" i="6"/>
  <c r="A492" i="6"/>
  <c r="D491" i="6"/>
  <c r="A491" i="6"/>
  <c r="D490" i="6"/>
  <c r="A490" i="6"/>
  <c r="D489" i="6"/>
  <c r="A489" i="6"/>
  <c r="D488" i="6"/>
  <c r="A488" i="6"/>
  <c r="D487" i="6"/>
  <c r="A487" i="6"/>
  <c r="D486" i="6"/>
  <c r="A486" i="6"/>
  <c r="D485" i="6"/>
  <c r="A485" i="6"/>
  <c r="D484" i="6"/>
  <c r="A484" i="6"/>
  <c r="D483" i="6"/>
  <c r="A483" i="6"/>
  <c r="D482" i="6"/>
  <c r="A482" i="6"/>
  <c r="D481" i="6"/>
  <c r="A481" i="6"/>
  <c r="D480" i="6"/>
  <c r="A480" i="6"/>
  <c r="D479" i="6"/>
  <c r="A479" i="6"/>
  <c r="D478" i="6"/>
  <c r="A478" i="6"/>
  <c r="D477" i="6"/>
  <c r="A477" i="6"/>
  <c r="D476" i="6"/>
  <c r="A476" i="6"/>
  <c r="D475" i="6"/>
  <c r="A475" i="6"/>
  <c r="D474" i="6"/>
  <c r="A474" i="6"/>
  <c r="D473" i="6"/>
  <c r="A473" i="6"/>
  <c r="D472" i="6"/>
  <c r="A472" i="6"/>
  <c r="D471" i="6"/>
  <c r="A471" i="6"/>
  <c r="D470" i="6"/>
  <c r="A470" i="6"/>
  <c r="D469" i="6"/>
  <c r="A469" i="6"/>
  <c r="D468" i="6"/>
  <c r="A468" i="6"/>
  <c r="D467" i="6"/>
  <c r="A467" i="6"/>
  <c r="D466" i="6"/>
  <c r="A466" i="6"/>
  <c r="D465" i="6"/>
  <c r="A465" i="6"/>
  <c r="D464" i="6"/>
  <c r="A464" i="6"/>
  <c r="D463" i="6"/>
  <c r="A463" i="6"/>
  <c r="D462" i="6"/>
  <c r="A462" i="6"/>
  <c r="D461" i="6"/>
  <c r="A461" i="6"/>
  <c r="D460" i="6"/>
  <c r="A460" i="6"/>
  <c r="D459" i="6"/>
  <c r="A459" i="6"/>
  <c r="D458" i="6"/>
  <c r="A458" i="6"/>
  <c r="D457" i="6"/>
  <c r="A457" i="6"/>
  <c r="D456" i="6"/>
  <c r="A456" i="6"/>
  <c r="D455" i="6"/>
  <c r="A455" i="6"/>
  <c r="D454" i="6"/>
  <c r="A454" i="6"/>
  <c r="D453" i="6"/>
  <c r="A453" i="6"/>
  <c r="D452" i="6"/>
  <c r="A452" i="6"/>
  <c r="D451" i="6"/>
  <c r="A451" i="6"/>
  <c r="D450" i="6"/>
  <c r="A450" i="6"/>
  <c r="D449" i="6"/>
  <c r="A449" i="6"/>
  <c r="D448" i="6"/>
  <c r="A448" i="6"/>
  <c r="D447" i="6"/>
  <c r="A447" i="6"/>
  <c r="D446" i="6"/>
  <c r="A446" i="6"/>
  <c r="D445" i="6"/>
  <c r="A445" i="6"/>
  <c r="D444" i="6"/>
  <c r="A444" i="6"/>
  <c r="D443" i="6"/>
  <c r="A443" i="6"/>
  <c r="D442" i="6"/>
  <c r="A442" i="6"/>
  <c r="D441" i="6"/>
  <c r="A441" i="6"/>
  <c r="D440" i="6"/>
  <c r="A440" i="6"/>
  <c r="D439" i="6"/>
  <c r="A439" i="6"/>
  <c r="D438" i="6"/>
  <c r="A438" i="6"/>
  <c r="D437" i="6"/>
  <c r="A437" i="6"/>
  <c r="D436" i="6"/>
  <c r="A436" i="6"/>
  <c r="D435" i="6"/>
  <c r="A435" i="6"/>
  <c r="D434" i="6"/>
  <c r="A434" i="6"/>
  <c r="D433" i="6"/>
  <c r="A433" i="6"/>
  <c r="D432" i="6"/>
  <c r="A432" i="6"/>
  <c r="D431" i="6"/>
  <c r="A431" i="6"/>
  <c r="D430" i="6"/>
  <c r="A430" i="6"/>
  <c r="D429" i="6"/>
  <c r="A429" i="6"/>
  <c r="D428" i="6"/>
  <c r="A428" i="6"/>
  <c r="D427" i="6"/>
  <c r="A427" i="6"/>
  <c r="D426" i="6"/>
  <c r="A426" i="6"/>
  <c r="D425" i="6"/>
  <c r="A425" i="6"/>
  <c r="D424" i="6"/>
  <c r="A424" i="6"/>
  <c r="D423" i="6"/>
  <c r="A423" i="6"/>
  <c r="D422" i="6"/>
  <c r="A422" i="6"/>
  <c r="D421" i="6"/>
  <c r="A421" i="6"/>
  <c r="D420" i="6"/>
  <c r="A420" i="6"/>
  <c r="D419" i="6"/>
  <c r="A419" i="6"/>
  <c r="D418" i="6"/>
  <c r="A418" i="6"/>
  <c r="D417" i="6"/>
  <c r="A417" i="6"/>
  <c r="D416" i="6"/>
  <c r="A416" i="6"/>
  <c r="D415" i="6"/>
  <c r="A415" i="6"/>
  <c r="D414" i="6"/>
  <c r="A414" i="6"/>
  <c r="D413" i="6"/>
  <c r="A413" i="6"/>
  <c r="D412" i="6"/>
  <c r="A412" i="6"/>
  <c r="D411" i="6"/>
  <c r="A411" i="6"/>
  <c r="D410" i="6"/>
  <c r="A410" i="6"/>
  <c r="D409" i="6"/>
  <c r="A409" i="6"/>
  <c r="D408" i="6"/>
  <c r="A408" i="6"/>
  <c r="D407" i="6"/>
  <c r="A407" i="6"/>
  <c r="D406" i="6"/>
  <c r="A406" i="6"/>
  <c r="D405" i="6"/>
  <c r="A405" i="6"/>
  <c r="D404" i="6"/>
  <c r="A404" i="6"/>
  <c r="D403" i="6"/>
  <c r="A403" i="6"/>
  <c r="D402" i="6"/>
  <c r="A402" i="6"/>
  <c r="D401" i="6"/>
  <c r="A401" i="6"/>
  <c r="D400" i="6"/>
  <c r="A400" i="6"/>
  <c r="D399" i="6"/>
  <c r="A399" i="6"/>
  <c r="D398" i="6"/>
  <c r="A398" i="6"/>
  <c r="D397" i="6"/>
  <c r="A397" i="6"/>
  <c r="D396" i="6"/>
  <c r="A396" i="6"/>
  <c r="D395" i="6"/>
  <c r="A395" i="6"/>
  <c r="D394" i="6"/>
  <c r="A394" i="6"/>
  <c r="D393" i="6"/>
  <c r="A393" i="6"/>
  <c r="D392" i="6"/>
  <c r="A392" i="6"/>
  <c r="D391" i="6"/>
  <c r="A391" i="6"/>
  <c r="D390" i="6"/>
  <c r="A390" i="6"/>
  <c r="D389" i="6"/>
  <c r="A389" i="6"/>
  <c r="D388" i="6"/>
  <c r="A388" i="6"/>
  <c r="D387" i="6"/>
  <c r="A387" i="6"/>
  <c r="D386" i="6"/>
  <c r="A386" i="6"/>
  <c r="D385" i="6"/>
  <c r="A385" i="6"/>
  <c r="D384" i="6"/>
  <c r="A384" i="6"/>
  <c r="D383" i="6"/>
  <c r="A383" i="6"/>
  <c r="D382" i="6"/>
  <c r="A382" i="6"/>
  <c r="D381" i="6"/>
  <c r="A381" i="6"/>
  <c r="D380" i="6"/>
  <c r="A380" i="6"/>
  <c r="D379" i="6"/>
  <c r="A379" i="6"/>
  <c r="D378" i="6"/>
  <c r="A378" i="6"/>
  <c r="D377" i="6"/>
  <c r="A377" i="6"/>
  <c r="D376" i="6"/>
  <c r="A376" i="6"/>
  <c r="D375" i="6"/>
  <c r="A375" i="6"/>
  <c r="D374" i="6"/>
  <c r="A374" i="6"/>
  <c r="D373" i="6"/>
  <c r="A373" i="6"/>
  <c r="D372" i="6"/>
  <c r="A372" i="6"/>
  <c r="D371" i="6"/>
  <c r="A371" i="6"/>
  <c r="D370" i="6"/>
  <c r="A370" i="6"/>
  <c r="D369" i="6"/>
  <c r="A369" i="6"/>
  <c r="D368" i="6"/>
  <c r="A368" i="6"/>
  <c r="D367" i="6"/>
  <c r="A367" i="6"/>
  <c r="D366" i="6"/>
  <c r="A366" i="6"/>
  <c r="D365" i="6"/>
  <c r="A365" i="6"/>
  <c r="D364" i="6"/>
  <c r="A364" i="6"/>
  <c r="D363" i="6"/>
  <c r="A363" i="6"/>
  <c r="D362" i="6"/>
  <c r="A362" i="6"/>
  <c r="D361" i="6"/>
  <c r="A361" i="6"/>
  <c r="D360" i="6"/>
  <c r="A360" i="6"/>
  <c r="D359" i="6"/>
  <c r="A359" i="6"/>
  <c r="D358" i="6"/>
  <c r="A358" i="6"/>
  <c r="D357" i="6"/>
  <c r="A357" i="6"/>
  <c r="D356" i="6"/>
  <c r="A356" i="6"/>
  <c r="D355" i="6"/>
  <c r="A355" i="6"/>
  <c r="D354" i="6"/>
  <c r="A354" i="6"/>
  <c r="D353" i="6"/>
  <c r="A353" i="6"/>
  <c r="D352" i="6"/>
  <c r="A352" i="6"/>
  <c r="D351" i="6"/>
  <c r="A351" i="6"/>
  <c r="D350" i="6"/>
  <c r="A350" i="6"/>
  <c r="D349" i="6"/>
  <c r="A349" i="6"/>
  <c r="D348" i="6"/>
  <c r="A348" i="6"/>
  <c r="D347" i="6"/>
  <c r="A347" i="6"/>
  <c r="D346" i="6"/>
  <c r="A346" i="6"/>
  <c r="D345" i="6"/>
  <c r="A345" i="6"/>
  <c r="D344" i="6"/>
  <c r="A344" i="6"/>
  <c r="D343" i="6"/>
  <c r="A343" i="6"/>
  <c r="D342" i="6"/>
  <c r="A342" i="6"/>
  <c r="D341" i="6"/>
  <c r="A341" i="6"/>
  <c r="D340" i="6"/>
  <c r="A340" i="6"/>
  <c r="D339" i="6"/>
  <c r="A339" i="6"/>
  <c r="D338" i="6"/>
  <c r="A338" i="6"/>
  <c r="D337" i="6"/>
  <c r="A337" i="6"/>
  <c r="D336" i="6"/>
  <c r="A336" i="6"/>
  <c r="D335" i="6"/>
  <c r="A335" i="6"/>
  <c r="D334" i="6"/>
  <c r="A334" i="6"/>
  <c r="D333" i="6"/>
  <c r="A333" i="6"/>
  <c r="D332" i="6"/>
  <c r="A332" i="6"/>
  <c r="D331" i="6"/>
  <c r="A331" i="6"/>
  <c r="D330" i="6"/>
  <c r="A330" i="6"/>
  <c r="D329" i="6"/>
  <c r="A329" i="6"/>
  <c r="D328" i="6"/>
  <c r="A328" i="6"/>
  <c r="D327" i="6"/>
  <c r="A327" i="6"/>
  <c r="D326" i="6"/>
  <c r="A326" i="6"/>
  <c r="D325" i="6"/>
  <c r="A325" i="6"/>
  <c r="D324" i="6"/>
  <c r="A324" i="6"/>
  <c r="D323" i="6"/>
  <c r="A323" i="6"/>
  <c r="D322" i="6"/>
  <c r="A322" i="6"/>
  <c r="D321" i="6"/>
  <c r="A321" i="6"/>
  <c r="D320" i="6"/>
  <c r="A320" i="6"/>
  <c r="D319" i="6"/>
  <c r="A319" i="6"/>
  <c r="D318" i="6"/>
  <c r="A318" i="6"/>
  <c r="D317" i="6"/>
  <c r="A317" i="6"/>
  <c r="D316" i="6"/>
  <c r="A316" i="6"/>
  <c r="D315" i="6"/>
  <c r="A315" i="6"/>
  <c r="D314" i="6"/>
  <c r="A314" i="6"/>
  <c r="D313" i="6"/>
  <c r="A313" i="6"/>
  <c r="D312" i="6"/>
  <c r="A312" i="6"/>
  <c r="D311" i="6"/>
  <c r="A311" i="6"/>
  <c r="D310" i="6"/>
  <c r="A310" i="6"/>
  <c r="D309" i="6"/>
  <c r="A309" i="6"/>
  <c r="D308" i="6"/>
  <c r="A308" i="6"/>
  <c r="D307" i="6"/>
  <c r="A307" i="6"/>
  <c r="D306" i="6"/>
  <c r="A306" i="6"/>
  <c r="D305" i="6"/>
  <c r="A305" i="6"/>
  <c r="D304" i="6"/>
  <c r="A304" i="6"/>
  <c r="D303" i="6"/>
  <c r="A303" i="6"/>
  <c r="D302" i="6"/>
  <c r="A302" i="6"/>
  <c r="D301" i="6"/>
  <c r="A301" i="6"/>
  <c r="D300" i="6"/>
  <c r="A300" i="6"/>
  <c r="D299" i="6"/>
  <c r="A299" i="6"/>
  <c r="D298" i="6"/>
  <c r="A298" i="6"/>
  <c r="D297" i="6"/>
  <c r="A297" i="6"/>
  <c r="D296" i="6"/>
  <c r="A296" i="6"/>
  <c r="D295" i="6"/>
  <c r="A295" i="6"/>
  <c r="D294" i="6"/>
  <c r="A294" i="6"/>
  <c r="D293" i="6"/>
  <c r="A293" i="6"/>
  <c r="D292" i="6"/>
  <c r="A292" i="6"/>
  <c r="D291" i="6"/>
  <c r="A291" i="6"/>
  <c r="D290" i="6"/>
  <c r="A290" i="6"/>
  <c r="D289" i="6"/>
  <c r="A289" i="6"/>
  <c r="D288" i="6"/>
  <c r="A288" i="6"/>
  <c r="D287" i="6"/>
  <c r="A287" i="6"/>
  <c r="D286" i="6"/>
  <c r="A286" i="6"/>
  <c r="D285" i="6"/>
  <c r="A285" i="6"/>
  <c r="D284" i="6"/>
  <c r="A284" i="6"/>
  <c r="D283" i="6"/>
  <c r="A283" i="6"/>
  <c r="D282" i="6"/>
  <c r="A282" i="6"/>
  <c r="D281" i="6"/>
  <c r="A281" i="6"/>
  <c r="D280" i="6"/>
  <c r="A280" i="6"/>
  <c r="D279" i="6"/>
  <c r="A279" i="6"/>
  <c r="D278" i="6"/>
  <c r="A278" i="6"/>
  <c r="D277" i="6"/>
  <c r="A277" i="6"/>
  <c r="D276" i="6"/>
  <c r="A276" i="6"/>
  <c r="D275" i="6"/>
  <c r="A275" i="6"/>
  <c r="D274" i="6"/>
  <c r="A274" i="6"/>
  <c r="D273" i="6"/>
  <c r="A273" i="6"/>
  <c r="D272" i="6"/>
  <c r="A272" i="6"/>
  <c r="D271" i="6"/>
  <c r="A271" i="6"/>
  <c r="D270" i="6"/>
  <c r="A270" i="6"/>
  <c r="D269" i="6"/>
  <c r="A269" i="6"/>
  <c r="D268" i="6"/>
  <c r="A268" i="6"/>
  <c r="D267" i="6"/>
  <c r="A267" i="6"/>
  <c r="D266" i="6"/>
  <c r="A266" i="6"/>
  <c r="D265" i="6"/>
  <c r="A265" i="6"/>
  <c r="D264" i="6"/>
  <c r="A264" i="6"/>
  <c r="D263" i="6"/>
  <c r="A263" i="6"/>
  <c r="D262" i="6"/>
  <c r="A262" i="6"/>
  <c r="D261" i="6"/>
  <c r="A261" i="6"/>
  <c r="D260" i="6"/>
  <c r="A260" i="6"/>
  <c r="D259" i="6"/>
  <c r="A259" i="6"/>
  <c r="D258" i="6"/>
  <c r="A258" i="6"/>
  <c r="D257" i="6"/>
  <c r="A257" i="6"/>
  <c r="D256" i="6"/>
  <c r="A256" i="6"/>
  <c r="D255" i="6"/>
  <c r="A255" i="6"/>
  <c r="D254" i="6"/>
  <c r="A254" i="6"/>
  <c r="D253" i="6"/>
  <c r="A253" i="6"/>
  <c r="D252" i="6"/>
  <c r="A252" i="6"/>
  <c r="D251" i="6"/>
  <c r="A251" i="6"/>
  <c r="D250" i="6"/>
  <c r="A250" i="6"/>
  <c r="D249" i="6"/>
  <c r="A249" i="6"/>
  <c r="D248" i="6"/>
  <c r="A248" i="6"/>
  <c r="D247" i="6"/>
  <c r="A247" i="6"/>
  <c r="D246" i="6"/>
  <c r="A246" i="6"/>
  <c r="D245" i="6"/>
  <c r="A245" i="6"/>
  <c r="D244" i="6"/>
  <c r="A244" i="6"/>
  <c r="D243" i="6"/>
  <c r="A243" i="6"/>
  <c r="D242" i="6"/>
  <c r="A242" i="6"/>
  <c r="D241" i="6"/>
  <c r="A241" i="6"/>
  <c r="D240" i="6"/>
  <c r="A240" i="6"/>
  <c r="D239" i="6"/>
  <c r="A239" i="6"/>
  <c r="D238" i="6"/>
  <c r="A238" i="6"/>
  <c r="D237" i="6"/>
  <c r="A237" i="6"/>
  <c r="D236" i="6"/>
  <c r="A236" i="6"/>
  <c r="D235" i="6"/>
  <c r="A235" i="6"/>
  <c r="D234" i="6"/>
  <c r="A234" i="6"/>
  <c r="D233" i="6"/>
  <c r="A233" i="6"/>
  <c r="D232" i="6"/>
  <c r="A232" i="6"/>
  <c r="D231" i="6"/>
  <c r="A231" i="6"/>
  <c r="D230" i="6"/>
  <c r="A230" i="6"/>
  <c r="D229" i="6"/>
  <c r="A229" i="6"/>
  <c r="D228" i="6"/>
  <c r="A228" i="6"/>
  <c r="D227" i="6"/>
  <c r="A227" i="6"/>
  <c r="D226" i="6"/>
  <c r="A226" i="6"/>
  <c r="D225" i="6"/>
  <c r="A225" i="6"/>
  <c r="D224" i="6"/>
  <c r="A224" i="6"/>
  <c r="D223" i="6"/>
  <c r="A223" i="6"/>
  <c r="D222" i="6"/>
  <c r="A222" i="6"/>
  <c r="D221" i="6"/>
  <c r="A221" i="6"/>
  <c r="D220" i="6"/>
  <c r="A220" i="6"/>
  <c r="D219" i="6"/>
  <c r="A219" i="6"/>
  <c r="D218" i="6"/>
  <c r="A218" i="6"/>
  <c r="D217" i="6"/>
  <c r="A217" i="6"/>
  <c r="D216" i="6"/>
  <c r="A216" i="6"/>
  <c r="D215" i="6"/>
  <c r="A215" i="6"/>
  <c r="D214" i="6"/>
  <c r="A214" i="6"/>
  <c r="D213" i="6"/>
  <c r="A213" i="6"/>
  <c r="D212" i="6"/>
  <c r="A212" i="6"/>
  <c r="D211" i="6"/>
  <c r="A211" i="6"/>
  <c r="D210" i="6"/>
  <c r="A210" i="6"/>
  <c r="D209" i="6"/>
  <c r="A209" i="6"/>
  <c r="D208" i="6"/>
  <c r="A208" i="6"/>
  <c r="D207" i="6"/>
  <c r="A207" i="6"/>
  <c r="D206" i="6"/>
  <c r="A206" i="6"/>
  <c r="D205" i="6"/>
  <c r="A205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A2" i="6"/>
  <c r="D514" i="5"/>
  <c r="A514" i="5"/>
  <c r="D513" i="5"/>
  <c r="A513" i="5"/>
  <c r="D512" i="5"/>
  <c r="A512" i="5"/>
  <c r="D511" i="5"/>
  <c r="A511" i="5"/>
  <c r="D510" i="5"/>
  <c r="A510" i="5"/>
  <c r="D509" i="5"/>
  <c r="A509" i="5"/>
  <c r="D508" i="5"/>
  <c r="A508" i="5"/>
  <c r="D507" i="5"/>
  <c r="A507" i="5"/>
  <c r="D506" i="5"/>
  <c r="A506" i="5"/>
  <c r="D505" i="5"/>
  <c r="A505" i="5"/>
  <c r="D504" i="5"/>
  <c r="A504" i="5"/>
  <c r="D503" i="5"/>
  <c r="A503" i="5"/>
  <c r="D502" i="5"/>
  <c r="A502" i="5"/>
  <c r="D501" i="5"/>
  <c r="A501" i="5"/>
  <c r="D500" i="5"/>
  <c r="A500" i="5"/>
  <c r="D499" i="5"/>
  <c r="A499" i="5"/>
  <c r="D498" i="5"/>
  <c r="A498" i="5"/>
  <c r="D497" i="5"/>
  <c r="A497" i="5"/>
  <c r="D496" i="5"/>
  <c r="A496" i="5"/>
  <c r="D495" i="5"/>
  <c r="A495" i="5"/>
  <c r="D494" i="5"/>
  <c r="A494" i="5"/>
  <c r="D493" i="5"/>
  <c r="A493" i="5"/>
  <c r="D492" i="5"/>
  <c r="A492" i="5"/>
  <c r="D491" i="5"/>
  <c r="A491" i="5"/>
  <c r="D490" i="5"/>
  <c r="A490" i="5"/>
  <c r="D489" i="5"/>
  <c r="A489" i="5"/>
  <c r="D488" i="5"/>
  <c r="A488" i="5"/>
  <c r="D487" i="5"/>
  <c r="A487" i="5"/>
  <c r="D486" i="5"/>
  <c r="A486" i="5"/>
  <c r="D485" i="5"/>
  <c r="A485" i="5"/>
  <c r="D484" i="5"/>
  <c r="A484" i="5"/>
  <c r="D483" i="5"/>
  <c r="A483" i="5"/>
  <c r="D482" i="5"/>
  <c r="A482" i="5"/>
  <c r="D481" i="5"/>
  <c r="A481" i="5"/>
  <c r="D480" i="5"/>
  <c r="A480" i="5"/>
  <c r="D479" i="5"/>
  <c r="A479" i="5"/>
  <c r="D478" i="5"/>
  <c r="A478" i="5"/>
  <c r="D477" i="5"/>
  <c r="A477" i="5"/>
  <c r="D476" i="5"/>
  <c r="A476" i="5"/>
  <c r="D475" i="5"/>
  <c r="A475" i="5"/>
  <c r="D474" i="5"/>
  <c r="A474" i="5"/>
  <c r="D473" i="5"/>
  <c r="A473" i="5"/>
  <c r="D472" i="5"/>
  <c r="A472" i="5"/>
  <c r="D471" i="5"/>
  <c r="A471" i="5"/>
  <c r="D470" i="5"/>
  <c r="A470" i="5"/>
  <c r="D469" i="5"/>
  <c r="A469" i="5"/>
  <c r="D468" i="5"/>
  <c r="A468" i="5"/>
  <c r="D467" i="5"/>
  <c r="A467" i="5"/>
  <c r="D466" i="5"/>
  <c r="A466" i="5"/>
  <c r="D465" i="5"/>
  <c r="A465" i="5"/>
  <c r="D464" i="5"/>
  <c r="A464" i="5"/>
  <c r="D463" i="5"/>
  <c r="A463" i="5"/>
  <c r="D462" i="5"/>
  <c r="A462" i="5"/>
  <c r="D461" i="5"/>
  <c r="A461" i="5"/>
  <c r="D460" i="5"/>
  <c r="A460" i="5"/>
  <c r="D459" i="5"/>
  <c r="A459" i="5"/>
  <c r="D458" i="5"/>
  <c r="A458" i="5"/>
  <c r="D457" i="5"/>
  <c r="A457" i="5"/>
  <c r="D456" i="5"/>
  <c r="A456" i="5"/>
  <c r="D455" i="5"/>
  <c r="A455" i="5"/>
  <c r="D454" i="5"/>
  <c r="A454" i="5"/>
  <c r="D453" i="5"/>
  <c r="A453" i="5"/>
  <c r="D452" i="5"/>
  <c r="A452" i="5"/>
  <c r="D451" i="5"/>
  <c r="A451" i="5"/>
  <c r="D450" i="5"/>
  <c r="A450" i="5"/>
  <c r="D449" i="5"/>
  <c r="A449" i="5"/>
  <c r="D448" i="5"/>
  <c r="A448" i="5"/>
  <c r="D447" i="5"/>
  <c r="A447" i="5"/>
  <c r="D446" i="5"/>
  <c r="A446" i="5"/>
  <c r="D445" i="5"/>
  <c r="A445" i="5"/>
  <c r="D444" i="5"/>
  <c r="A444" i="5"/>
  <c r="D443" i="5"/>
  <c r="A443" i="5"/>
  <c r="D442" i="5"/>
  <c r="A442" i="5"/>
  <c r="D441" i="5"/>
  <c r="A441" i="5"/>
  <c r="D440" i="5"/>
  <c r="A440" i="5"/>
  <c r="D439" i="5"/>
  <c r="A439" i="5"/>
  <c r="D438" i="5"/>
  <c r="A438" i="5"/>
  <c r="D437" i="5"/>
  <c r="A437" i="5"/>
  <c r="D436" i="5"/>
  <c r="A436" i="5"/>
  <c r="D435" i="5"/>
  <c r="A435" i="5"/>
  <c r="D434" i="5"/>
  <c r="A434" i="5"/>
  <c r="D433" i="5"/>
  <c r="A433" i="5"/>
  <c r="D432" i="5"/>
  <c r="A432" i="5"/>
  <c r="D431" i="5"/>
  <c r="A431" i="5"/>
  <c r="D430" i="5"/>
  <c r="A430" i="5"/>
  <c r="D429" i="5"/>
  <c r="A429" i="5"/>
  <c r="D428" i="5"/>
  <c r="A428" i="5"/>
  <c r="D427" i="5"/>
  <c r="A427" i="5"/>
  <c r="D426" i="5"/>
  <c r="A426" i="5"/>
  <c r="D425" i="5"/>
  <c r="A425" i="5"/>
  <c r="D424" i="5"/>
  <c r="A424" i="5"/>
  <c r="D423" i="5"/>
  <c r="A423" i="5"/>
  <c r="D422" i="5"/>
  <c r="A422" i="5"/>
  <c r="D421" i="5"/>
  <c r="A421" i="5"/>
  <c r="D420" i="5"/>
  <c r="A420" i="5"/>
  <c r="D419" i="5"/>
  <c r="A419" i="5"/>
  <c r="D418" i="5"/>
  <c r="A418" i="5"/>
  <c r="D417" i="5"/>
  <c r="A417" i="5"/>
  <c r="D416" i="5"/>
  <c r="A416" i="5"/>
  <c r="D415" i="5"/>
  <c r="A415" i="5"/>
  <c r="D414" i="5"/>
  <c r="A414" i="5"/>
  <c r="D413" i="5"/>
  <c r="A413" i="5"/>
  <c r="D412" i="5"/>
  <c r="A412" i="5"/>
  <c r="D411" i="5"/>
  <c r="A411" i="5"/>
  <c r="D410" i="5"/>
  <c r="A410" i="5"/>
  <c r="D409" i="5"/>
  <c r="A409" i="5"/>
  <c r="D408" i="5"/>
  <c r="A408" i="5"/>
  <c r="D407" i="5"/>
  <c r="A407" i="5"/>
  <c r="D406" i="5"/>
  <c r="A406" i="5"/>
  <c r="D405" i="5"/>
  <c r="A405" i="5"/>
  <c r="D404" i="5"/>
  <c r="A404" i="5"/>
  <c r="D403" i="5"/>
  <c r="A403" i="5"/>
  <c r="D402" i="5"/>
  <c r="A402" i="5"/>
  <c r="D401" i="5"/>
  <c r="A401" i="5"/>
  <c r="D400" i="5"/>
  <c r="A400" i="5"/>
  <c r="D399" i="5"/>
  <c r="A399" i="5"/>
  <c r="D398" i="5"/>
  <c r="A398" i="5"/>
  <c r="D397" i="5"/>
  <c r="A397" i="5"/>
  <c r="D396" i="5"/>
  <c r="A396" i="5"/>
  <c r="D395" i="5"/>
  <c r="A395" i="5"/>
  <c r="D394" i="5"/>
  <c r="A394" i="5"/>
  <c r="D393" i="5"/>
  <c r="A393" i="5"/>
  <c r="D392" i="5"/>
  <c r="A392" i="5"/>
  <c r="D391" i="5"/>
  <c r="A391" i="5"/>
  <c r="D390" i="5"/>
  <c r="A390" i="5"/>
  <c r="D389" i="5"/>
  <c r="A389" i="5"/>
  <c r="D388" i="5"/>
  <c r="A388" i="5"/>
  <c r="D387" i="5"/>
  <c r="A387" i="5"/>
  <c r="D386" i="5"/>
  <c r="A386" i="5"/>
  <c r="D385" i="5"/>
  <c r="A385" i="5"/>
  <c r="D384" i="5"/>
  <c r="A384" i="5"/>
  <c r="D383" i="5"/>
  <c r="A383" i="5"/>
  <c r="D382" i="5"/>
  <c r="A382" i="5"/>
  <c r="D381" i="5"/>
  <c r="A381" i="5"/>
  <c r="D380" i="5"/>
  <c r="A380" i="5"/>
  <c r="D379" i="5"/>
  <c r="A379" i="5"/>
  <c r="D378" i="5"/>
  <c r="A378" i="5"/>
  <c r="D377" i="5"/>
  <c r="A377" i="5"/>
  <c r="D376" i="5"/>
  <c r="A376" i="5"/>
  <c r="D375" i="5"/>
  <c r="A375" i="5"/>
  <c r="D374" i="5"/>
  <c r="A374" i="5"/>
  <c r="D373" i="5"/>
  <c r="A373" i="5"/>
  <c r="D372" i="5"/>
  <c r="A372" i="5"/>
  <c r="D371" i="5"/>
  <c r="A371" i="5"/>
  <c r="D370" i="5"/>
  <c r="A370" i="5"/>
  <c r="D369" i="5"/>
  <c r="A369" i="5"/>
  <c r="D368" i="5"/>
  <c r="A368" i="5"/>
  <c r="D367" i="5"/>
  <c r="A367" i="5"/>
  <c r="D366" i="5"/>
  <c r="A366" i="5"/>
  <c r="D365" i="5"/>
  <c r="A365" i="5"/>
  <c r="D364" i="5"/>
  <c r="A364" i="5"/>
  <c r="D363" i="5"/>
  <c r="A363" i="5"/>
  <c r="D362" i="5"/>
  <c r="A362" i="5"/>
  <c r="D361" i="5"/>
  <c r="A361" i="5"/>
  <c r="D360" i="5"/>
  <c r="A360" i="5"/>
  <c r="D359" i="5"/>
  <c r="A359" i="5"/>
  <c r="D358" i="5"/>
  <c r="A358" i="5"/>
  <c r="D357" i="5"/>
  <c r="A357" i="5"/>
  <c r="D356" i="5"/>
  <c r="A356" i="5"/>
  <c r="D355" i="5"/>
  <c r="A355" i="5"/>
  <c r="D354" i="5"/>
  <c r="A354" i="5"/>
  <c r="D353" i="5"/>
  <c r="A353" i="5"/>
  <c r="D352" i="5"/>
  <c r="A352" i="5"/>
  <c r="D351" i="5"/>
  <c r="A351" i="5"/>
  <c r="D350" i="5"/>
  <c r="A350" i="5"/>
  <c r="D349" i="5"/>
  <c r="A349" i="5"/>
  <c r="D348" i="5"/>
  <c r="A348" i="5"/>
  <c r="D347" i="5"/>
  <c r="A347" i="5"/>
  <c r="D346" i="5"/>
  <c r="A346" i="5"/>
  <c r="D345" i="5"/>
  <c r="A345" i="5"/>
  <c r="D344" i="5"/>
  <c r="A344" i="5"/>
  <c r="D343" i="5"/>
  <c r="A343" i="5"/>
  <c r="D342" i="5"/>
  <c r="A342" i="5"/>
  <c r="D341" i="5"/>
  <c r="A341" i="5"/>
  <c r="D340" i="5"/>
  <c r="A340" i="5"/>
  <c r="D339" i="5"/>
  <c r="A339" i="5"/>
  <c r="D338" i="5"/>
  <c r="A338" i="5"/>
  <c r="D337" i="5"/>
  <c r="A337" i="5"/>
  <c r="D336" i="5"/>
  <c r="A336" i="5"/>
  <c r="D335" i="5"/>
  <c r="A335" i="5"/>
  <c r="D334" i="5"/>
  <c r="A334" i="5"/>
  <c r="D333" i="5"/>
  <c r="A333" i="5"/>
  <c r="D332" i="5"/>
  <c r="A332" i="5"/>
  <c r="D331" i="5"/>
  <c r="A331" i="5"/>
  <c r="D330" i="5"/>
  <c r="A330" i="5"/>
  <c r="D329" i="5"/>
  <c r="A329" i="5"/>
  <c r="D328" i="5"/>
  <c r="A328" i="5"/>
  <c r="D327" i="5"/>
  <c r="A327" i="5"/>
  <c r="D326" i="5"/>
  <c r="A326" i="5"/>
  <c r="D325" i="5"/>
  <c r="A325" i="5"/>
  <c r="D324" i="5"/>
  <c r="A324" i="5"/>
  <c r="D323" i="5"/>
  <c r="A323" i="5"/>
  <c r="D322" i="5"/>
  <c r="A322" i="5"/>
  <c r="D321" i="5"/>
  <c r="A321" i="5"/>
  <c r="D320" i="5"/>
  <c r="A320" i="5"/>
  <c r="D319" i="5"/>
  <c r="A319" i="5"/>
  <c r="D318" i="5"/>
  <c r="A318" i="5"/>
  <c r="D317" i="5"/>
  <c r="A317" i="5"/>
  <c r="D316" i="5"/>
  <c r="A316" i="5"/>
  <c r="D315" i="5"/>
  <c r="A315" i="5"/>
  <c r="D314" i="5"/>
  <c r="A314" i="5"/>
  <c r="D313" i="5"/>
  <c r="A313" i="5"/>
  <c r="D312" i="5"/>
  <c r="A312" i="5"/>
  <c r="D311" i="5"/>
  <c r="A311" i="5"/>
  <c r="D310" i="5"/>
  <c r="A310" i="5"/>
  <c r="D309" i="5"/>
  <c r="A309" i="5"/>
  <c r="D308" i="5"/>
  <c r="A308" i="5"/>
  <c r="D307" i="5"/>
  <c r="A307" i="5"/>
  <c r="D306" i="5"/>
  <c r="A306" i="5"/>
  <c r="D305" i="5"/>
  <c r="A305" i="5"/>
  <c r="D304" i="5"/>
  <c r="A304" i="5"/>
  <c r="D303" i="5"/>
  <c r="A303" i="5"/>
  <c r="D302" i="5"/>
  <c r="A302" i="5"/>
  <c r="D301" i="5"/>
  <c r="A301" i="5"/>
  <c r="D300" i="5"/>
  <c r="A300" i="5"/>
  <c r="D299" i="5"/>
  <c r="A299" i="5"/>
  <c r="D298" i="5"/>
  <c r="A298" i="5"/>
  <c r="D297" i="5"/>
  <c r="A297" i="5"/>
  <c r="D296" i="5"/>
  <c r="A296" i="5"/>
  <c r="D295" i="5"/>
  <c r="A295" i="5"/>
  <c r="D294" i="5"/>
  <c r="A294" i="5"/>
  <c r="D293" i="5"/>
  <c r="A293" i="5"/>
  <c r="D292" i="5"/>
  <c r="A292" i="5"/>
  <c r="D291" i="5"/>
  <c r="A291" i="5"/>
  <c r="D290" i="5"/>
  <c r="A290" i="5"/>
  <c r="D289" i="5"/>
  <c r="A289" i="5"/>
  <c r="D288" i="5"/>
  <c r="A288" i="5"/>
  <c r="D287" i="5"/>
  <c r="A287" i="5"/>
  <c r="D286" i="5"/>
  <c r="A286" i="5"/>
  <c r="D285" i="5"/>
  <c r="A285" i="5"/>
  <c r="D284" i="5"/>
  <c r="A284" i="5"/>
  <c r="D283" i="5"/>
  <c r="A283" i="5"/>
  <c r="D282" i="5"/>
  <c r="A282" i="5"/>
  <c r="D281" i="5"/>
  <c r="A281" i="5"/>
  <c r="D280" i="5"/>
  <c r="A280" i="5"/>
  <c r="D279" i="5"/>
  <c r="A279" i="5"/>
  <c r="D278" i="5"/>
  <c r="A278" i="5"/>
  <c r="D277" i="5"/>
  <c r="A277" i="5"/>
  <c r="D276" i="5"/>
  <c r="A276" i="5"/>
  <c r="D275" i="5"/>
  <c r="A275" i="5"/>
  <c r="D274" i="5"/>
  <c r="A274" i="5"/>
  <c r="D273" i="5"/>
  <c r="A273" i="5"/>
  <c r="D272" i="5"/>
  <c r="A272" i="5"/>
  <c r="D271" i="5"/>
  <c r="A271" i="5"/>
  <c r="D270" i="5"/>
  <c r="A270" i="5"/>
  <c r="D269" i="5"/>
  <c r="A269" i="5"/>
  <c r="D268" i="5"/>
  <c r="A268" i="5"/>
  <c r="D267" i="5"/>
  <c r="A267" i="5"/>
  <c r="D266" i="5"/>
  <c r="A266" i="5"/>
  <c r="D265" i="5"/>
  <c r="A265" i="5"/>
  <c r="D264" i="5"/>
  <c r="A264" i="5"/>
  <c r="D263" i="5"/>
  <c r="A263" i="5"/>
  <c r="D262" i="5"/>
  <c r="A262" i="5"/>
  <c r="D261" i="5"/>
  <c r="A261" i="5"/>
  <c r="D260" i="5"/>
  <c r="A260" i="5"/>
  <c r="D259" i="5"/>
  <c r="A259" i="5"/>
  <c r="D258" i="5"/>
  <c r="A258" i="5"/>
  <c r="D257" i="5"/>
  <c r="A257" i="5"/>
  <c r="D256" i="5"/>
  <c r="A256" i="5"/>
  <c r="D255" i="5"/>
  <c r="A255" i="5"/>
  <c r="D254" i="5"/>
  <c r="A254" i="5"/>
  <c r="D253" i="5"/>
  <c r="A253" i="5"/>
  <c r="D252" i="5"/>
  <c r="A252" i="5"/>
  <c r="D251" i="5"/>
  <c r="A251" i="5"/>
  <c r="D250" i="5"/>
  <c r="A250" i="5"/>
  <c r="D249" i="5"/>
  <c r="A249" i="5"/>
  <c r="D248" i="5"/>
  <c r="A248" i="5"/>
  <c r="D247" i="5"/>
  <c r="A247" i="5"/>
  <c r="D246" i="5"/>
  <c r="A246" i="5"/>
  <c r="D245" i="5"/>
  <c r="A245" i="5"/>
  <c r="D244" i="5"/>
  <c r="A244" i="5"/>
  <c r="D243" i="5"/>
  <c r="A243" i="5"/>
  <c r="D242" i="5"/>
  <c r="A242" i="5"/>
  <c r="D241" i="5"/>
  <c r="A241" i="5"/>
  <c r="D240" i="5"/>
  <c r="A240" i="5"/>
  <c r="D239" i="5"/>
  <c r="A239" i="5"/>
  <c r="D238" i="5"/>
  <c r="A238" i="5"/>
  <c r="D237" i="5"/>
  <c r="A237" i="5"/>
  <c r="D236" i="5"/>
  <c r="A236" i="5"/>
  <c r="D235" i="5"/>
  <c r="A235" i="5"/>
  <c r="D234" i="5"/>
  <c r="A234" i="5"/>
  <c r="D233" i="5"/>
  <c r="A233" i="5"/>
  <c r="D232" i="5"/>
  <c r="A232" i="5"/>
  <c r="D231" i="5"/>
  <c r="A231" i="5"/>
  <c r="D230" i="5"/>
  <c r="A230" i="5"/>
  <c r="D229" i="5"/>
  <c r="A229" i="5"/>
  <c r="D228" i="5"/>
  <c r="A228" i="5"/>
  <c r="D227" i="5"/>
  <c r="A227" i="5"/>
  <c r="D226" i="5"/>
  <c r="A226" i="5"/>
  <c r="D225" i="5"/>
  <c r="A225" i="5"/>
  <c r="D224" i="5"/>
  <c r="A224" i="5"/>
  <c r="D223" i="5"/>
  <c r="A223" i="5"/>
  <c r="D222" i="5"/>
  <c r="A222" i="5"/>
  <c r="D221" i="5"/>
  <c r="A221" i="5"/>
  <c r="D220" i="5"/>
  <c r="A220" i="5"/>
  <c r="D219" i="5"/>
  <c r="A219" i="5"/>
  <c r="D218" i="5"/>
  <c r="A218" i="5"/>
  <c r="A28" i="5"/>
  <c r="A27" i="5"/>
  <c r="D26" i="5"/>
  <c r="A26" i="5"/>
  <c r="D25" i="5"/>
  <c r="A25" i="5"/>
  <c r="D24" i="5"/>
  <c r="A24" i="5"/>
  <c r="D23" i="5"/>
  <c r="A23" i="5"/>
  <c r="D22" i="5"/>
  <c r="A22" i="5"/>
  <c r="D21" i="5"/>
  <c r="A21" i="5"/>
  <c r="D20" i="5"/>
  <c r="A20" i="5"/>
  <c r="D19" i="5"/>
  <c r="A19" i="5"/>
  <c r="D18" i="5"/>
  <c r="A18" i="5"/>
  <c r="D17" i="5"/>
  <c r="A17" i="5"/>
  <c r="D16" i="5"/>
  <c r="A16" i="5"/>
  <c r="D15" i="5"/>
  <c r="A15" i="5"/>
  <c r="D14" i="5"/>
  <c r="A14" i="5"/>
  <c r="D13" i="5"/>
  <c r="A13" i="5"/>
  <c r="D12" i="5"/>
  <c r="A12" i="5"/>
  <c r="D11" i="5"/>
  <c r="A11" i="5"/>
  <c r="D10" i="5"/>
  <c r="A10" i="5"/>
  <c r="D9" i="5"/>
  <c r="A9" i="5"/>
  <c r="D8" i="5"/>
  <c r="A8" i="5"/>
  <c r="D7" i="5"/>
  <c r="A7" i="5"/>
  <c r="D6" i="5"/>
  <c r="A6" i="5"/>
  <c r="D5" i="5"/>
  <c r="A5" i="5"/>
  <c r="D4" i="5"/>
  <c r="A4" i="5"/>
  <c r="D3" i="5"/>
  <c r="A3" i="5"/>
  <c r="D2" i="5"/>
  <c r="A2" i="5"/>
  <c r="D829" i="4"/>
  <c r="A829" i="4"/>
  <c r="D828" i="4"/>
  <c r="A828" i="4"/>
  <c r="D827" i="4"/>
  <c r="A827" i="4"/>
  <c r="D826" i="4"/>
  <c r="A826" i="4"/>
  <c r="D825" i="4"/>
  <c r="A825" i="4"/>
  <c r="D824" i="4"/>
  <c r="A824" i="4"/>
  <c r="D823" i="4"/>
  <c r="A823" i="4"/>
  <c r="D822" i="4"/>
  <c r="A822" i="4"/>
  <c r="D821" i="4"/>
  <c r="A821" i="4"/>
  <c r="D820" i="4"/>
  <c r="A820" i="4"/>
  <c r="D819" i="4"/>
  <c r="A819" i="4"/>
  <c r="D818" i="4"/>
  <c r="A818" i="4"/>
  <c r="D817" i="4"/>
  <c r="A817" i="4"/>
  <c r="D816" i="4"/>
  <c r="A816" i="4"/>
  <c r="D815" i="4"/>
  <c r="A815" i="4"/>
  <c r="D814" i="4"/>
  <c r="A814" i="4"/>
  <c r="D813" i="4"/>
  <c r="A813" i="4"/>
  <c r="D812" i="4"/>
  <c r="A812" i="4"/>
  <c r="D811" i="4"/>
  <c r="A811" i="4"/>
  <c r="D810" i="4"/>
  <c r="A810" i="4"/>
  <c r="D809" i="4"/>
  <c r="A809" i="4"/>
  <c r="D808" i="4"/>
  <c r="A808" i="4"/>
  <c r="D807" i="4"/>
  <c r="A807" i="4"/>
  <c r="D806" i="4"/>
  <c r="A806" i="4"/>
  <c r="D805" i="4"/>
  <c r="A805" i="4"/>
  <c r="D804" i="4"/>
  <c r="A804" i="4"/>
  <c r="D803" i="4"/>
  <c r="A803" i="4"/>
  <c r="D802" i="4"/>
  <c r="A802" i="4"/>
  <c r="D801" i="4"/>
  <c r="A801" i="4"/>
  <c r="D800" i="4"/>
  <c r="A800" i="4"/>
  <c r="D799" i="4"/>
  <c r="A799" i="4"/>
  <c r="D798" i="4"/>
  <c r="A798" i="4"/>
  <c r="D797" i="4"/>
  <c r="A797" i="4"/>
  <c r="D796" i="4"/>
  <c r="A796" i="4"/>
  <c r="D795" i="4"/>
  <c r="A795" i="4"/>
  <c r="D794" i="4"/>
  <c r="A794" i="4"/>
  <c r="D793" i="4"/>
  <c r="A793" i="4"/>
  <c r="D792" i="4"/>
  <c r="A792" i="4"/>
  <c r="D791" i="4"/>
  <c r="A791" i="4"/>
  <c r="D790" i="4"/>
  <c r="A790" i="4"/>
  <c r="D789" i="4"/>
  <c r="A789" i="4"/>
  <c r="D788" i="4"/>
  <c r="A788" i="4"/>
  <c r="D787" i="4"/>
  <c r="A787" i="4"/>
  <c r="D786" i="4"/>
  <c r="A786" i="4"/>
  <c r="D785" i="4"/>
  <c r="A785" i="4"/>
  <c r="D784" i="4"/>
  <c r="A784" i="4"/>
  <c r="D783" i="4"/>
  <c r="A783" i="4"/>
  <c r="D782" i="4"/>
  <c r="A782" i="4"/>
  <c r="D781" i="4"/>
  <c r="A781" i="4"/>
  <c r="D780" i="4"/>
  <c r="A780" i="4"/>
  <c r="D779" i="4"/>
  <c r="A779" i="4"/>
  <c r="D778" i="4"/>
  <c r="A778" i="4"/>
  <c r="D777" i="4"/>
  <c r="A777" i="4"/>
  <c r="D776" i="4"/>
  <c r="A776" i="4"/>
  <c r="D775" i="4"/>
  <c r="A775" i="4"/>
  <c r="D774" i="4"/>
  <c r="A774" i="4"/>
  <c r="D773" i="4"/>
  <c r="A773" i="4"/>
  <c r="D772" i="4"/>
  <c r="A772" i="4"/>
  <c r="D771" i="4"/>
  <c r="A771" i="4"/>
  <c r="D770" i="4"/>
  <c r="A770" i="4"/>
  <c r="D769" i="4"/>
  <c r="A769" i="4"/>
  <c r="D768" i="4"/>
  <c r="A768" i="4"/>
  <c r="D767" i="4"/>
  <c r="A767" i="4"/>
  <c r="D766" i="4"/>
  <c r="A766" i="4"/>
  <c r="D765" i="4"/>
  <c r="A765" i="4"/>
  <c r="D764" i="4"/>
  <c r="A764" i="4"/>
  <c r="D763" i="4"/>
  <c r="A763" i="4"/>
  <c r="D762" i="4"/>
  <c r="A762" i="4"/>
  <c r="D761" i="4"/>
  <c r="A761" i="4"/>
  <c r="D760" i="4"/>
  <c r="A760" i="4"/>
  <c r="D759" i="4"/>
  <c r="A759" i="4"/>
  <c r="D758" i="4"/>
  <c r="A758" i="4"/>
  <c r="D757" i="4"/>
  <c r="A757" i="4"/>
  <c r="D756" i="4"/>
  <c r="A756" i="4"/>
  <c r="D755" i="4"/>
  <c r="A755" i="4"/>
  <c r="D754" i="4"/>
  <c r="A754" i="4"/>
  <c r="D753" i="4"/>
  <c r="A753" i="4"/>
  <c r="D752" i="4"/>
  <c r="A752" i="4"/>
  <c r="D751" i="4"/>
  <c r="A751" i="4"/>
  <c r="D750" i="4"/>
  <c r="A750" i="4"/>
  <c r="D749" i="4"/>
  <c r="A749" i="4"/>
  <c r="D748" i="4"/>
  <c r="A748" i="4"/>
  <c r="D747" i="4"/>
  <c r="A747" i="4"/>
  <c r="D746" i="4"/>
  <c r="A746" i="4"/>
  <c r="D745" i="4"/>
  <c r="A745" i="4"/>
  <c r="D744" i="4"/>
  <c r="A744" i="4"/>
  <c r="D743" i="4"/>
  <c r="A743" i="4"/>
  <c r="D742" i="4"/>
  <c r="A742" i="4"/>
  <c r="D741" i="4"/>
  <c r="A741" i="4"/>
  <c r="D740" i="4"/>
  <c r="A740" i="4"/>
  <c r="D739" i="4"/>
  <c r="A739" i="4"/>
  <c r="D738" i="4"/>
  <c r="A738" i="4"/>
  <c r="D737" i="4"/>
  <c r="A737" i="4"/>
  <c r="D736" i="4"/>
  <c r="A736" i="4"/>
  <c r="D735" i="4"/>
  <c r="A735" i="4"/>
  <c r="D734" i="4"/>
  <c r="A734" i="4"/>
  <c r="D733" i="4"/>
  <c r="A733" i="4"/>
  <c r="D732" i="4"/>
  <c r="A732" i="4"/>
  <c r="D731" i="4"/>
  <c r="A731" i="4"/>
  <c r="D730" i="4"/>
  <c r="A730" i="4"/>
  <c r="D729" i="4"/>
  <c r="A729" i="4"/>
  <c r="D728" i="4"/>
  <c r="A728" i="4"/>
  <c r="D727" i="4"/>
  <c r="A727" i="4"/>
  <c r="D726" i="4"/>
  <c r="A726" i="4"/>
  <c r="D725" i="4"/>
  <c r="A725" i="4"/>
  <c r="D724" i="4"/>
  <c r="A724" i="4"/>
  <c r="D723" i="4"/>
  <c r="A723" i="4"/>
  <c r="D722" i="4"/>
  <c r="A722" i="4"/>
  <c r="D721" i="4"/>
  <c r="A721" i="4"/>
  <c r="D720" i="4"/>
  <c r="A720" i="4"/>
  <c r="D719" i="4"/>
  <c r="A719" i="4"/>
  <c r="D718" i="4"/>
  <c r="A718" i="4"/>
  <c r="D717" i="4"/>
  <c r="A717" i="4"/>
  <c r="D716" i="4"/>
  <c r="A716" i="4"/>
  <c r="D715" i="4"/>
  <c r="A715" i="4"/>
  <c r="D714" i="4"/>
  <c r="A714" i="4"/>
  <c r="D713" i="4"/>
  <c r="A713" i="4"/>
  <c r="D712" i="4"/>
  <c r="A712" i="4"/>
  <c r="D711" i="4"/>
  <c r="A711" i="4"/>
  <c r="D710" i="4"/>
  <c r="A710" i="4"/>
  <c r="D709" i="4"/>
  <c r="A709" i="4"/>
  <c r="D708" i="4"/>
  <c r="A708" i="4"/>
  <c r="D707" i="4"/>
  <c r="A707" i="4"/>
  <c r="D706" i="4"/>
  <c r="A706" i="4"/>
  <c r="D705" i="4"/>
  <c r="A705" i="4"/>
  <c r="D704" i="4"/>
  <c r="A704" i="4"/>
  <c r="D703" i="4"/>
  <c r="A703" i="4"/>
  <c r="D702" i="4"/>
  <c r="A702" i="4"/>
  <c r="D701" i="4"/>
  <c r="A701" i="4"/>
  <c r="D700" i="4"/>
  <c r="A700" i="4"/>
  <c r="D699" i="4"/>
  <c r="A699" i="4"/>
  <c r="D698" i="4"/>
  <c r="A698" i="4"/>
  <c r="D697" i="4"/>
  <c r="A697" i="4"/>
  <c r="D696" i="4"/>
  <c r="A696" i="4"/>
  <c r="D695" i="4"/>
  <c r="A695" i="4"/>
  <c r="D694" i="4"/>
  <c r="A694" i="4"/>
  <c r="D693" i="4"/>
  <c r="A693" i="4"/>
  <c r="D692" i="4"/>
  <c r="A692" i="4"/>
  <c r="D691" i="4"/>
  <c r="A691" i="4"/>
  <c r="D690" i="4"/>
  <c r="A690" i="4"/>
  <c r="D689" i="4"/>
  <c r="A689" i="4"/>
  <c r="D688" i="4"/>
  <c r="A688" i="4"/>
  <c r="D687" i="4"/>
  <c r="A687" i="4"/>
  <c r="D686" i="4"/>
  <c r="A686" i="4"/>
  <c r="D685" i="4"/>
  <c r="A685" i="4"/>
  <c r="D684" i="4"/>
  <c r="A684" i="4"/>
  <c r="D683" i="4"/>
  <c r="A683" i="4"/>
  <c r="D682" i="4"/>
  <c r="A682" i="4"/>
  <c r="D681" i="4"/>
  <c r="A681" i="4"/>
  <c r="D680" i="4"/>
  <c r="A680" i="4"/>
  <c r="D679" i="4"/>
  <c r="A679" i="4"/>
  <c r="D678" i="4"/>
  <c r="A678" i="4"/>
  <c r="D677" i="4"/>
  <c r="A677" i="4"/>
  <c r="D676" i="4"/>
  <c r="A676" i="4"/>
  <c r="D675" i="4"/>
  <c r="A675" i="4"/>
  <c r="D674" i="4"/>
  <c r="A674" i="4"/>
  <c r="D673" i="4"/>
  <c r="A673" i="4"/>
  <c r="D672" i="4"/>
  <c r="A672" i="4"/>
  <c r="D671" i="4"/>
  <c r="A671" i="4"/>
  <c r="D670" i="4"/>
  <c r="A670" i="4"/>
  <c r="D669" i="4"/>
  <c r="A669" i="4"/>
  <c r="D668" i="4"/>
  <c r="A668" i="4"/>
  <c r="D667" i="4"/>
  <c r="A667" i="4"/>
  <c r="D666" i="4"/>
  <c r="A666" i="4"/>
  <c r="D665" i="4"/>
  <c r="A665" i="4"/>
  <c r="D664" i="4"/>
  <c r="A664" i="4"/>
  <c r="D663" i="4"/>
  <c r="A663" i="4"/>
  <c r="D662" i="4"/>
  <c r="A662" i="4"/>
  <c r="D661" i="4"/>
  <c r="A661" i="4"/>
  <c r="D660" i="4"/>
  <c r="A660" i="4"/>
  <c r="D659" i="4"/>
  <c r="A659" i="4"/>
  <c r="D658" i="4"/>
  <c r="A658" i="4"/>
  <c r="D657" i="4"/>
  <c r="A657" i="4"/>
  <c r="D656" i="4"/>
  <c r="A656" i="4"/>
  <c r="D655" i="4"/>
  <c r="A655" i="4"/>
  <c r="D654" i="4"/>
  <c r="A654" i="4"/>
  <c r="D653" i="4"/>
  <c r="A653" i="4"/>
  <c r="D652" i="4"/>
  <c r="A652" i="4"/>
  <c r="D651" i="4"/>
  <c r="A651" i="4"/>
  <c r="D650" i="4"/>
  <c r="A650" i="4"/>
  <c r="D649" i="4"/>
  <c r="A649" i="4"/>
  <c r="D648" i="4"/>
  <c r="A648" i="4"/>
  <c r="D647" i="4"/>
  <c r="A647" i="4"/>
  <c r="D646" i="4"/>
  <c r="A646" i="4"/>
  <c r="D645" i="4"/>
  <c r="A645" i="4"/>
  <c r="D644" i="4"/>
  <c r="A644" i="4"/>
  <c r="D643" i="4"/>
  <c r="A643" i="4"/>
  <c r="D642" i="4"/>
  <c r="A642" i="4"/>
  <c r="D641" i="4"/>
  <c r="A641" i="4"/>
  <c r="D640" i="4"/>
  <c r="A640" i="4"/>
  <c r="D639" i="4"/>
  <c r="A639" i="4"/>
  <c r="D638" i="4"/>
  <c r="A638" i="4"/>
  <c r="D637" i="4"/>
  <c r="A637" i="4"/>
  <c r="D636" i="4"/>
  <c r="A636" i="4"/>
  <c r="D635" i="4"/>
  <c r="A635" i="4"/>
  <c r="D634" i="4"/>
  <c r="A634" i="4"/>
  <c r="D633" i="4"/>
  <c r="A633" i="4"/>
  <c r="D632" i="4"/>
  <c r="A632" i="4"/>
  <c r="D631" i="4"/>
  <c r="A631" i="4"/>
  <c r="D630" i="4"/>
  <c r="A630" i="4"/>
  <c r="D629" i="4"/>
  <c r="A629" i="4"/>
  <c r="D628" i="4"/>
  <c r="A628" i="4"/>
  <c r="D627" i="4"/>
  <c r="A627" i="4"/>
  <c r="D626" i="4"/>
  <c r="A626" i="4"/>
  <c r="D625" i="4"/>
  <c r="A625" i="4"/>
  <c r="D624" i="4"/>
  <c r="A624" i="4"/>
  <c r="D623" i="4"/>
  <c r="A623" i="4"/>
  <c r="D622" i="4"/>
  <c r="A622" i="4"/>
  <c r="D621" i="4"/>
  <c r="A621" i="4"/>
  <c r="D620" i="4"/>
  <c r="A620" i="4"/>
  <c r="D619" i="4"/>
  <c r="A619" i="4"/>
  <c r="D618" i="4"/>
  <c r="A618" i="4"/>
  <c r="D617" i="4"/>
  <c r="A617" i="4"/>
  <c r="D616" i="4"/>
  <c r="A616" i="4"/>
  <c r="D615" i="4"/>
  <c r="A615" i="4"/>
  <c r="D614" i="4"/>
  <c r="A614" i="4"/>
  <c r="D613" i="4"/>
  <c r="A613" i="4"/>
  <c r="D612" i="4"/>
  <c r="A612" i="4"/>
  <c r="D611" i="4"/>
  <c r="A611" i="4"/>
  <c r="D610" i="4"/>
  <c r="A610" i="4"/>
  <c r="D609" i="4"/>
  <c r="A609" i="4"/>
  <c r="D608" i="4"/>
  <c r="A608" i="4"/>
  <c r="D607" i="4"/>
  <c r="A607" i="4"/>
  <c r="D606" i="4"/>
  <c r="A606" i="4"/>
  <c r="D605" i="4"/>
  <c r="A605" i="4"/>
  <c r="D604" i="4"/>
  <c r="A604" i="4"/>
  <c r="D603" i="4"/>
  <c r="A603" i="4"/>
  <c r="D602" i="4"/>
  <c r="A602" i="4"/>
  <c r="D601" i="4"/>
  <c r="A601" i="4"/>
  <c r="D600" i="4"/>
  <c r="A600" i="4"/>
  <c r="D599" i="4"/>
  <c r="A599" i="4"/>
  <c r="D598" i="4"/>
  <c r="A598" i="4"/>
  <c r="D597" i="4"/>
  <c r="A597" i="4"/>
  <c r="D596" i="4"/>
  <c r="A596" i="4"/>
  <c r="D595" i="4"/>
  <c r="A595" i="4"/>
  <c r="D594" i="4"/>
  <c r="A594" i="4"/>
  <c r="D593" i="4"/>
  <c r="A593" i="4"/>
  <c r="D592" i="4"/>
  <c r="A592" i="4"/>
  <c r="D591" i="4"/>
  <c r="A591" i="4"/>
  <c r="D590" i="4"/>
  <c r="A590" i="4"/>
  <c r="D589" i="4"/>
  <c r="A589" i="4"/>
  <c r="D588" i="4"/>
  <c r="A588" i="4"/>
  <c r="D587" i="4"/>
  <c r="A587" i="4"/>
  <c r="D586" i="4"/>
  <c r="A586" i="4"/>
  <c r="D585" i="4"/>
  <c r="A585" i="4"/>
  <c r="D584" i="4"/>
  <c r="A584" i="4"/>
  <c r="D583" i="4"/>
  <c r="A583" i="4"/>
  <c r="D582" i="4"/>
  <c r="A582" i="4"/>
  <c r="D581" i="4"/>
  <c r="A581" i="4"/>
  <c r="D580" i="4"/>
  <c r="A580" i="4"/>
  <c r="D579" i="4"/>
  <c r="A579" i="4"/>
  <c r="D578" i="4"/>
  <c r="A578" i="4"/>
  <c r="D577" i="4"/>
  <c r="A577" i="4"/>
  <c r="D576" i="4"/>
  <c r="A576" i="4"/>
  <c r="D575" i="4"/>
  <c r="A575" i="4"/>
  <c r="D574" i="4"/>
  <c r="A574" i="4"/>
  <c r="D573" i="4"/>
  <c r="A573" i="4"/>
  <c r="D572" i="4"/>
  <c r="A572" i="4"/>
  <c r="D571" i="4"/>
  <c r="A571" i="4"/>
  <c r="D570" i="4"/>
  <c r="A570" i="4"/>
  <c r="D569" i="4"/>
  <c r="A569" i="4"/>
  <c r="D568" i="4"/>
  <c r="A568" i="4"/>
  <c r="D567" i="4"/>
  <c r="A567" i="4"/>
  <c r="D566" i="4"/>
  <c r="A566" i="4"/>
  <c r="D565" i="4"/>
  <c r="A565" i="4"/>
  <c r="D564" i="4"/>
  <c r="A564" i="4"/>
  <c r="D563" i="4"/>
  <c r="A563" i="4"/>
  <c r="D562" i="4"/>
  <c r="A562" i="4"/>
  <c r="D561" i="4"/>
  <c r="A561" i="4"/>
  <c r="D560" i="4"/>
  <c r="A560" i="4"/>
  <c r="D559" i="4"/>
  <c r="A559" i="4"/>
  <c r="D558" i="4"/>
  <c r="A558" i="4"/>
  <c r="D557" i="4"/>
  <c r="A557" i="4"/>
  <c r="D556" i="4"/>
  <c r="A556" i="4"/>
  <c r="D555" i="4"/>
  <c r="A555" i="4"/>
  <c r="D554" i="4"/>
  <c r="A554" i="4"/>
  <c r="D553" i="4"/>
  <c r="A553" i="4"/>
  <c r="D552" i="4"/>
  <c r="A552" i="4"/>
  <c r="D551" i="4"/>
  <c r="A551" i="4"/>
  <c r="D550" i="4"/>
  <c r="A550" i="4"/>
  <c r="D549" i="4"/>
  <c r="A549" i="4"/>
  <c r="D548" i="4"/>
  <c r="A548" i="4"/>
  <c r="D547" i="4"/>
  <c r="A547" i="4"/>
  <c r="D546" i="4"/>
  <c r="A546" i="4"/>
  <c r="D545" i="4"/>
  <c r="A545" i="4"/>
  <c r="D544" i="4"/>
  <c r="A544" i="4"/>
  <c r="D543" i="4"/>
  <c r="A543" i="4"/>
  <c r="D542" i="4"/>
  <c r="A542" i="4"/>
  <c r="D541" i="4"/>
  <c r="A541" i="4"/>
  <c r="D540" i="4"/>
  <c r="A540" i="4"/>
  <c r="D539" i="4"/>
  <c r="A539" i="4"/>
  <c r="D538" i="4"/>
  <c r="A538" i="4"/>
  <c r="D537" i="4"/>
  <c r="A537" i="4"/>
  <c r="D536" i="4"/>
  <c r="A536" i="4"/>
  <c r="D535" i="4"/>
  <c r="A535" i="4"/>
  <c r="D534" i="4"/>
  <c r="A534" i="4"/>
  <c r="D533" i="4"/>
  <c r="A533" i="4"/>
  <c r="D532" i="4"/>
  <c r="A532" i="4"/>
  <c r="D531" i="4"/>
  <c r="A531" i="4"/>
  <c r="D530" i="4"/>
  <c r="A530" i="4"/>
  <c r="D529" i="4"/>
  <c r="A529" i="4"/>
  <c r="D528" i="4"/>
  <c r="A528" i="4"/>
  <c r="D527" i="4"/>
  <c r="A527" i="4"/>
  <c r="D526" i="4"/>
  <c r="A526" i="4"/>
  <c r="D525" i="4"/>
  <c r="A525" i="4"/>
  <c r="D524" i="4"/>
  <c r="A524" i="4"/>
  <c r="D523" i="4"/>
  <c r="A523" i="4"/>
  <c r="D522" i="4"/>
  <c r="A522" i="4"/>
  <c r="D521" i="4"/>
  <c r="A521" i="4"/>
  <c r="D520" i="4"/>
  <c r="A520" i="4"/>
  <c r="D519" i="4"/>
  <c r="A519" i="4"/>
  <c r="D518" i="4"/>
  <c r="A518" i="4"/>
  <c r="D517" i="4"/>
  <c r="A517" i="4"/>
  <c r="D516" i="4"/>
  <c r="A516" i="4"/>
  <c r="D515" i="4"/>
  <c r="A515" i="4"/>
  <c r="D514" i="4"/>
  <c r="A514" i="4"/>
  <c r="D513" i="4"/>
  <c r="A513" i="4"/>
  <c r="D512" i="4"/>
  <c r="A512" i="4"/>
  <c r="D511" i="4"/>
  <c r="A511" i="4"/>
  <c r="D510" i="4"/>
  <c r="A510" i="4"/>
  <c r="D509" i="4"/>
  <c r="A509" i="4"/>
  <c r="D508" i="4"/>
  <c r="A508" i="4"/>
  <c r="D507" i="4"/>
  <c r="A507" i="4"/>
  <c r="D506" i="4"/>
  <c r="A506" i="4"/>
  <c r="D505" i="4"/>
  <c r="A505" i="4"/>
  <c r="D504" i="4"/>
  <c r="A504" i="4"/>
  <c r="D503" i="4"/>
  <c r="A503" i="4"/>
  <c r="D502" i="4"/>
  <c r="A502" i="4"/>
  <c r="D501" i="4"/>
  <c r="A501" i="4"/>
  <c r="D500" i="4"/>
  <c r="A500" i="4"/>
  <c r="D499" i="4"/>
  <c r="A499" i="4"/>
  <c r="D498" i="4"/>
  <c r="A498" i="4"/>
  <c r="D497" i="4"/>
  <c r="A497" i="4"/>
  <c r="D496" i="4"/>
  <c r="A496" i="4"/>
  <c r="D495" i="4"/>
  <c r="A495" i="4"/>
  <c r="D494" i="4"/>
  <c r="A494" i="4"/>
  <c r="D493" i="4"/>
  <c r="A493" i="4"/>
  <c r="D492" i="4"/>
  <c r="A492" i="4"/>
  <c r="D491" i="4"/>
  <c r="A491" i="4"/>
  <c r="D490" i="4"/>
  <c r="A490" i="4"/>
  <c r="D489" i="4"/>
  <c r="A489" i="4"/>
  <c r="D488" i="4"/>
  <c r="A488" i="4"/>
  <c r="D487" i="4"/>
  <c r="A487" i="4"/>
  <c r="D486" i="4"/>
  <c r="A486" i="4"/>
  <c r="D485" i="4"/>
  <c r="A485" i="4"/>
  <c r="D484" i="4"/>
  <c r="A484" i="4"/>
  <c r="D483" i="4"/>
  <c r="A483" i="4"/>
  <c r="D482" i="4"/>
  <c r="A482" i="4"/>
  <c r="D481" i="4"/>
  <c r="A481" i="4"/>
  <c r="D480" i="4"/>
  <c r="A480" i="4"/>
  <c r="D479" i="4"/>
  <c r="A479" i="4"/>
  <c r="D478" i="4"/>
  <c r="A478" i="4"/>
  <c r="D477" i="4"/>
  <c r="A477" i="4"/>
  <c r="D476" i="4"/>
  <c r="A476" i="4"/>
  <c r="D475" i="4"/>
  <c r="A475" i="4"/>
  <c r="D474" i="4"/>
  <c r="A474" i="4"/>
  <c r="D473" i="4"/>
  <c r="A473" i="4"/>
  <c r="D472" i="4"/>
  <c r="A472" i="4"/>
  <c r="D471" i="4"/>
  <c r="A471" i="4"/>
  <c r="D470" i="4"/>
  <c r="A470" i="4"/>
  <c r="D469" i="4"/>
  <c r="A469" i="4"/>
  <c r="D468" i="4"/>
  <c r="A468" i="4"/>
  <c r="D467" i="4"/>
  <c r="A467" i="4"/>
  <c r="D466" i="4"/>
  <c r="A466" i="4"/>
  <c r="D465" i="4"/>
  <c r="A465" i="4"/>
  <c r="D464" i="4"/>
  <c r="A464" i="4"/>
  <c r="D463" i="4"/>
  <c r="A463" i="4"/>
  <c r="D462" i="4"/>
  <c r="A462" i="4"/>
  <c r="D461" i="4"/>
  <c r="A461" i="4"/>
  <c r="D460" i="4"/>
  <c r="A460" i="4"/>
  <c r="D459" i="4"/>
  <c r="A459" i="4"/>
  <c r="D458" i="4"/>
  <c r="A458" i="4"/>
  <c r="D457" i="4"/>
  <c r="A457" i="4"/>
  <c r="D456" i="4"/>
  <c r="A456" i="4"/>
  <c r="D455" i="4"/>
  <c r="A455" i="4"/>
  <c r="D454" i="4"/>
  <c r="A454" i="4"/>
  <c r="D453" i="4"/>
  <c r="A453" i="4"/>
  <c r="D452" i="4"/>
  <c r="A452" i="4"/>
  <c r="D451" i="4"/>
  <c r="A451" i="4"/>
  <c r="D450" i="4"/>
  <c r="A450" i="4"/>
  <c r="D449" i="4"/>
  <c r="A449" i="4"/>
  <c r="D448" i="4"/>
  <c r="A448" i="4"/>
  <c r="D447" i="4"/>
  <c r="A447" i="4"/>
  <c r="D446" i="4"/>
  <c r="A446" i="4"/>
  <c r="D445" i="4"/>
  <c r="A445" i="4"/>
  <c r="D444" i="4"/>
  <c r="A444" i="4"/>
  <c r="D443" i="4"/>
  <c r="A443" i="4"/>
  <c r="D442" i="4"/>
  <c r="A442" i="4"/>
  <c r="D441" i="4"/>
  <c r="A441" i="4"/>
  <c r="D440" i="4"/>
  <c r="A440" i="4"/>
  <c r="D439" i="4"/>
  <c r="A439" i="4"/>
  <c r="D438" i="4"/>
  <c r="A438" i="4"/>
  <c r="D437" i="4"/>
  <c r="A437" i="4"/>
  <c r="D436" i="4"/>
  <c r="A436" i="4"/>
  <c r="D435" i="4"/>
  <c r="A435" i="4"/>
  <c r="D434" i="4"/>
  <c r="A434" i="4"/>
  <c r="D433" i="4"/>
  <c r="A433" i="4"/>
  <c r="D432" i="4"/>
  <c r="A432" i="4"/>
  <c r="D431" i="4"/>
  <c r="A431" i="4"/>
  <c r="D430" i="4"/>
  <c r="A430" i="4"/>
  <c r="D429" i="4"/>
  <c r="A429" i="4"/>
  <c r="D428" i="4"/>
  <c r="A428" i="4"/>
  <c r="D427" i="4"/>
  <c r="A427" i="4"/>
  <c r="D426" i="4"/>
  <c r="A426" i="4"/>
  <c r="D425" i="4"/>
  <c r="A425" i="4"/>
  <c r="D424" i="4"/>
  <c r="A424" i="4"/>
  <c r="D423" i="4"/>
  <c r="A423" i="4"/>
  <c r="D422" i="4"/>
  <c r="A422" i="4"/>
  <c r="D421" i="4"/>
  <c r="A421" i="4"/>
  <c r="D420" i="4"/>
  <c r="A420" i="4"/>
  <c r="D419" i="4"/>
  <c r="A419" i="4"/>
  <c r="D418" i="4"/>
  <c r="A418" i="4"/>
  <c r="D417" i="4"/>
  <c r="A417" i="4"/>
  <c r="D416" i="4"/>
  <c r="A416" i="4"/>
  <c r="D415" i="4"/>
  <c r="A415" i="4"/>
  <c r="D414" i="4"/>
  <c r="A414" i="4"/>
  <c r="D413" i="4"/>
  <c r="A413" i="4"/>
  <c r="D412" i="4"/>
  <c r="A412" i="4"/>
  <c r="D411" i="4"/>
  <c r="A411" i="4"/>
  <c r="D410" i="4"/>
  <c r="A410" i="4"/>
  <c r="D409" i="4"/>
  <c r="A409" i="4"/>
  <c r="D408" i="4"/>
  <c r="A408" i="4"/>
  <c r="D407" i="4"/>
  <c r="A407" i="4"/>
  <c r="D406" i="4"/>
  <c r="A406" i="4"/>
  <c r="D405" i="4"/>
  <c r="A405" i="4"/>
  <c r="D404" i="4"/>
  <c r="A404" i="4"/>
  <c r="D403" i="4"/>
  <c r="A403" i="4"/>
  <c r="D402" i="4"/>
  <c r="A402" i="4"/>
  <c r="D401" i="4"/>
  <c r="A401" i="4"/>
  <c r="D400" i="4"/>
  <c r="A400" i="4"/>
  <c r="D399" i="4"/>
  <c r="A399" i="4"/>
  <c r="D398" i="4"/>
  <c r="A398" i="4"/>
  <c r="D397" i="4"/>
  <c r="A397" i="4"/>
  <c r="D396" i="4"/>
  <c r="A396" i="4"/>
  <c r="D395" i="4"/>
  <c r="A395" i="4"/>
  <c r="D394" i="4"/>
  <c r="A394" i="4"/>
  <c r="D393" i="4"/>
  <c r="A393" i="4"/>
  <c r="D392" i="4"/>
  <c r="A392" i="4"/>
  <c r="D391" i="4"/>
  <c r="A391" i="4"/>
  <c r="D390" i="4"/>
  <c r="A390" i="4"/>
  <c r="D389" i="4"/>
  <c r="A389" i="4"/>
  <c r="D388" i="4"/>
  <c r="A388" i="4"/>
  <c r="D387" i="4"/>
  <c r="A387" i="4"/>
  <c r="D386" i="4"/>
  <c r="A386" i="4"/>
  <c r="D385" i="4"/>
  <c r="A385" i="4"/>
  <c r="D384" i="4"/>
  <c r="A384" i="4"/>
  <c r="D383" i="4"/>
  <c r="A383" i="4"/>
  <c r="D382" i="4"/>
  <c r="A382" i="4"/>
  <c r="D381" i="4"/>
  <c r="A381" i="4"/>
  <c r="D380" i="4"/>
  <c r="A380" i="4"/>
  <c r="D379" i="4"/>
  <c r="A379" i="4"/>
  <c r="D378" i="4"/>
  <c r="A378" i="4"/>
  <c r="D377" i="4"/>
  <c r="A377" i="4"/>
  <c r="D376" i="4"/>
  <c r="A376" i="4"/>
  <c r="D375" i="4"/>
  <c r="A375" i="4"/>
  <c r="D374" i="4"/>
  <c r="A374" i="4"/>
  <c r="D373" i="4"/>
  <c r="A373" i="4"/>
  <c r="D372" i="4"/>
  <c r="A372" i="4"/>
  <c r="D371" i="4"/>
  <c r="A371" i="4"/>
  <c r="D370" i="4"/>
  <c r="A370" i="4"/>
  <c r="D369" i="4"/>
  <c r="A369" i="4"/>
  <c r="D368" i="4"/>
  <c r="A368" i="4"/>
  <c r="D367" i="4"/>
  <c r="A367" i="4"/>
  <c r="D366" i="4"/>
  <c r="A366" i="4"/>
  <c r="D365" i="4"/>
  <c r="A365" i="4"/>
  <c r="D364" i="4"/>
  <c r="A364" i="4"/>
  <c r="D363" i="4"/>
  <c r="A363" i="4"/>
  <c r="D362" i="4"/>
  <c r="A362" i="4"/>
  <c r="D361" i="4"/>
  <c r="A361" i="4"/>
  <c r="D360" i="4"/>
  <c r="A360" i="4"/>
  <c r="D359" i="4"/>
  <c r="A359" i="4"/>
  <c r="D358" i="4"/>
  <c r="A358" i="4"/>
  <c r="D357" i="4"/>
  <c r="A357" i="4"/>
  <c r="D356" i="4"/>
  <c r="A356" i="4"/>
  <c r="D355" i="4"/>
  <c r="A355" i="4"/>
  <c r="D354" i="4"/>
  <c r="A354" i="4"/>
  <c r="D353" i="4"/>
  <c r="A353" i="4"/>
  <c r="D352" i="4"/>
  <c r="A352" i="4"/>
  <c r="D351" i="4"/>
  <c r="A351" i="4"/>
  <c r="D350" i="4"/>
  <c r="A350" i="4"/>
  <c r="D349" i="4"/>
  <c r="A349" i="4"/>
  <c r="D348" i="4"/>
  <c r="A348" i="4"/>
  <c r="D347" i="4"/>
  <c r="A347" i="4"/>
  <c r="D346" i="4"/>
  <c r="A346" i="4"/>
  <c r="D345" i="4"/>
  <c r="A345" i="4"/>
  <c r="D344" i="4"/>
  <c r="A344" i="4"/>
  <c r="D343" i="4"/>
  <c r="A343" i="4"/>
  <c r="D342" i="4"/>
  <c r="A342" i="4"/>
  <c r="D341" i="4"/>
  <c r="A341" i="4"/>
  <c r="D340" i="4"/>
  <c r="A340" i="4"/>
  <c r="D339" i="4"/>
  <c r="A339" i="4"/>
  <c r="D338" i="4"/>
  <c r="A338" i="4"/>
  <c r="D337" i="4"/>
  <c r="A337" i="4"/>
  <c r="D336" i="4"/>
  <c r="A336" i="4"/>
  <c r="D335" i="4"/>
  <c r="A335" i="4"/>
  <c r="D334" i="4"/>
  <c r="A334" i="4"/>
  <c r="D333" i="4"/>
  <c r="A333" i="4"/>
  <c r="D332" i="4"/>
  <c r="A332" i="4"/>
  <c r="D331" i="4"/>
  <c r="A331" i="4"/>
  <c r="D330" i="4"/>
  <c r="A330" i="4"/>
  <c r="D329" i="4"/>
  <c r="A329" i="4"/>
  <c r="D328" i="4"/>
  <c r="A328" i="4"/>
  <c r="D327" i="4"/>
  <c r="A327" i="4"/>
  <c r="D326" i="4"/>
  <c r="A326" i="4"/>
  <c r="D325" i="4"/>
  <c r="A325" i="4"/>
  <c r="D324" i="4"/>
  <c r="A324" i="4"/>
  <c r="D323" i="4"/>
  <c r="A323" i="4"/>
  <c r="D322" i="4"/>
  <c r="A322" i="4"/>
  <c r="D321" i="4"/>
  <c r="A321" i="4"/>
  <c r="D320" i="4"/>
  <c r="A320" i="4"/>
  <c r="D319" i="4"/>
  <c r="A319" i="4"/>
  <c r="D318" i="4"/>
  <c r="A318" i="4"/>
  <c r="D317" i="4"/>
  <c r="A317" i="4"/>
  <c r="D316" i="4"/>
  <c r="A316" i="4"/>
  <c r="D315" i="4"/>
  <c r="A315" i="4"/>
  <c r="D314" i="4"/>
  <c r="A314" i="4"/>
  <c r="D313" i="4"/>
  <c r="A313" i="4"/>
  <c r="D312" i="4"/>
  <c r="A312" i="4"/>
  <c r="D311" i="4"/>
  <c r="A311" i="4"/>
  <c r="D310" i="4"/>
  <c r="A310" i="4"/>
  <c r="D309" i="4"/>
  <c r="A309" i="4"/>
  <c r="D308" i="4"/>
  <c r="A308" i="4"/>
  <c r="D307" i="4"/>
  <c r="A307" i="4"/>
  <c r="D306" i="4"/>
  <c r="A306" i="4"/>
  <c r="D305" i="4"/>
  <c r="A305" i="4"/>
  <c r="D304" i="4"/>
  <c r="A304" i="4"/>
  <c r="D303" i="4"/>
  <c r="A303" i="4"/>
  <c r="D302" i="4"/>
  <c r="A302" i="4"/>
  <c r="D301" i="4"/>
  <c r="A301" i="4"/>
  <c r="D300" i="4"/>
  <c r="A300" i="4"/>
  <c r="D299" i="4"/>
  <c r="A299" i="4"/>
  <c r="D298" i="4"/>
  <c r="A298" i="4"/>
  <c r="D297" i="4"/>
  <c r="A297" i="4"/>
  <c r="D296" i="4"/>
  <c r="A296" i="4"/>
  <c r="D295" i="4"/>
  <c r="A295" i="4"/>
  <c r="D294" i="4"/>
  <c r="A294" i="4"/>
  <c r="D293" i="4"/>
  <c r="A293" i="4"/>
  <c r="D292" i="4"/>
  <c r="A292" i="4"/>
  <c r="D291" i="4"/>
  <c r="A291" i="4"/>
  <c r="D290" i="4"/>
  <c r="A290" i="4"/>
  <c r="D289" i="4"/>
  <c r="A289" i="4"/>
  <c r="D288" i="4"/>
  <c r="A288" i="4"/>
  <c r="D287" i="4"/>
  <c r="A287" i="4"/>
  <c r="D286" i="4"/>
  <c r="A286" i="4"/>
  <c r="D285" i="4"/>
  <c r="A285" i="4"/>
  <c r="D284" i="4"/>
  <c r="A284" i="4"/>
  <c r="D283" i="4"/>
  <c r="A283" i="4"/>
  <c r="D282" i="4"/>
  <c r="A282" i="4"/>
  <c r="D281" i="4"/>
  <c r="A281" i="4"/>
  <c r="D280" i="4"/>
  <c r="A280" i="4"/>
  <c r="D279" i="4"/>
  <c r="A279" i="4"/>
  <c r="D278" i="4"/>
  <c r="A278" i="4"/>
  <c r="D277" i="4"/>
  <c r="A277" i="4"/>
  <c r="D276" i="4"/>
  <c r="A276" i="4"/>
  <c r="D275" i="4"/>
  <c r="A275" i="4"/>
  <c r="D274" i="4"/>
  <c r="A274" i="4"/>
  <c r="D273" i="4"/>
  <c r="A273" i="4"/>
  <c r="D272" i="4"/>
  <c r="A272" i="4"/>
  <c r="D271" i="4"/>
  <c r="A271" i="4"/>
  <c r="D270" i="4"/>
  <c r="A270" i="4"/>
  <c r="D269" i="4"/>
  <c r="A269" i="4"/>
  <c r="D268" i="4"/>
  <c r="A268" i="4"/>
  <c r="D267" i="4"/>
  <c r="A267" i="4"/>
  <c r="D266" i="4"/>
  <c r="A266" i="4"/>
  <c r="D265" i="4"/>
  <c r="A265" i="4"/>
  <c r="D264" i="4"/>
  <c r="A264" i="4"/>
  <c r="D263" i="4"/>
  <c r="A263" i="4"/>
  <c r="D262" i="4"/>
  <c r="A262" i="4"/>
  <c r="D261" i="4"/>
  <c r="A261" i="4"/>
  <c r="D260" i="4"/>
  <c r="A260" i="4"/>
  <c r="D259" i="4"/>
  <c r="A259" i="4"/>
  <c r="D258" i="4"/>
  <c r="A258" i="4"/>
  <c r="D257" i="4"/>
  <c r="A257" i="4"/>
  <c r="D256" i="4"/>
  <c r="A256" i="4"/>
  <c r="D255" i="4"/>
  <c r="A255" i="4"/>
  <c r="D254" i="4"/>
  <c r="A254" i="4"/>
  <c r="D253" i="4"/>
  <c r="A253" i="4"/>
  <c r="D252" i="4"/>
  <c r="A252" i="4"/>
  <c r="D251" i="4"/>
  <c r="A251" i="4"/>
  <c r="D250" i="4"/>
  <c r="A250" i="4"/>
  <c r="D249" i="4"/>
  <c r="A249" i="4"/>
  <c r="D248" i="4"/>
  <c r="A248" i="4"/>
  <c r="D247" i="4"/>
  <c r="A247" i="4"/>
  <c r="D246" i="4"/>
  <c r="A246" i="4"/>
  <c r="D245" i="4"/>
  <c r="A245" i="4"/>
  <c r="D244" i="4"/>
  <c r="A244" i="4"/>
  <c r="D243" i="4"/>
  <c r="A243" i="4"/>
  <c r="D242" i="4"/>
  <c r="A242" i="4"/>
  <c r="D241" i="4"/>
  <c r="A241" i="4"/>
  <c r="D240" i="4"/>
  <c r="A240" i="4"/>
  <c r="D239" i="4"/>
  <c r="A239" i="4"/>
  <c r="D238" i="4"/>
  <c r="A238" i="4"/>
  <c r="D237" i="4"/>
  <c r="A237" i="4"/>
  <c r="D236" i="4"/>
  <c r="A236" i="4"/>
  <c r="D235" i="4"/>
  <c r="A235" i="4"/>
  <c r="D234" i="4"/>
  <c r="A234" i="4"/>
  <c r="D233" i="4"/>
  <c r="A233" i="4"/>
  <c r="D232" i="4"/>
  <c r="A232" i="4"/>
  <c r="D231" i="4"/>
  <c r="A231" i="4"/>
  <c r="D230" i="4"/>
  <c r="A230" i="4"/>
  <c r="D229" i="4"/>
  <c r="A229" i="4"/>
  <c r="D228" i="4"/>
  <c r="A228" i="4"/>
  <c r="D227" i="4"/>
  <c r="A227" i="4"/>
  <c r="D226" i="4"/>
  <c r="A226" i="4"/>
  <c r="D225" i="4"/>
  <c r="A225" i="4"/>
  <c r="D224" i="4"/>
  <c r="A224" i="4"/>
  <c r="D223" i="4"/>
  <c r="A223" i="4"/>
  <c r="D222" i="4"/>
  <c r="A222" i="4"/>
  <c r="D221" i="4"/>
  <c r="A221" i="4"/>
  <c r="D220" i="4"/>
  <c r="A220" i="4"/>
  <c r="D219" i="4"/>
  <c r="A219" i="4"/>
  <c r="D218" i="4"/>
  <c r="A218" i="4"/>
  <c r="D217" i="4"/>
  <c r="A217" i="4"/>
  <c r="D216" i="4"/>
  <c r="A216" i="4"/>
  <c r="D215" i="4"/>
  <c r="A215" i="4"/>
  <c r="D214" i="4"/>
  <c r="A214" i="4"/>
  <c r="D213" i="4"/>
  <c r="A213" i="4"/>
  <c r="D212" i="4"/>
  <c r="A212" i="4"/>
  <c r="D211" i="4"/>
  <c r="A211" i="4"/>
  <c r="D210" i="4"/>
  <c r="A210" i="4"/>
  <c r="D209" i="4"/>
  <c r="A209" i="4"/>
  <c r="D208" i="4"/>
  <c r="A208" i="4"/>
  <c r="D207" i="4"/>
  <c r="A207" i="4"/>
  <c r="D206" i="4"/>
  <c r="A206" i="4"/>
  <c r="D205" i="4"/>
  <c r="A205" i="4"/>
  <c r="D204" i="4"/>
  <c r="A204" i="4"/>
  <c r="D203" i="4"/>
  <c r="A203" i="4"/>
  <c r="D202" i="4"/>
  <c r="A202" i="4"/>
  <c r="D201" i="4"/>
  <c r="A201" i="4"/>
  <c r="D200" i="4"/>
  <c r="A200" i="4"/>
  <c r="D199" i="4"/>
  <c r="A199" i="4"/>
  <c r="D198" i="4"/>
  <c r="A198" i="4"/>
  <c r="D197" i="4"/>
  <c r="A197" i="4"/>
  <c r="D196" i="4"/>
  <c r="A196" i="4"/>
  <c r="D195" i="4"/>
  <c r="A195" i="4"/>
  <c r="D194" i="4"/>
  <c r="A194" i="4"/>
  <c r="D193" i="4"/>
  <c r="A193" i="4"/>
  <c r="D192" i="4"/>
  <c r="A192" i="4"/>
  <c r="D191" i="4"/>
  <c r="A191" i="4"/>
  <c r="D190" i="4"/>
  <c r="A190" i="4"/>
  <c r="D189" i="4"/>
  <c r="A189" i="4"/>
  <c r="D188" i="4"/>
  <c r="A188" i="4"/>
  <c r="D187" i="4"/>
  <c r="A187" i="4"/>
  <c r="D186" i="4"/>
  <c r="A186" i="4"/>
  <c r="D185" i="4"/>
  <c r="A185" i="4"/>
  <c r="D184" i="4"/>
  <c r="A184" i="4"/>
  <c r="D183" i="4"/>
  <c r="A183" i="4"/>
  <c r="D182" i="4"/>
  <c r="A182" i="4"/>
  <c r="D181" i="4"/>
  <c r="A181" i="4"/>
  <c r="D180" i="4"/>
  <c r="A180" i="4"/>
  <c r="D179" i="4"/>
  <c r="A179" i="4"/>
  <c r="D178" i="4"/>
  <c r="A178" i="4"/>
  <c r="D177" i="4"/>
  <c r="A177" i="4"/>
  <c r="D176" i="4"/>
  <c r="A176" i="4"/>
  <c r="D175" i="4"/>
  <c r="A175" i="4"/>
  <c r="D174" i="4"/>
  <c r="A174" i="4"/>
  <c r="D173" i="4"/>
  <c r="A173" i="4"/>
  <c r="D172" i="4"/>
  <c r="A172" i="4"/>
  <c r="D171" i="4"/>
  <c r="A171" i="4"/>
  <c r="D170" i="4"/>
  <c r="A170" i="4"/>
  <c r="D169" i="4"/>
  <c r="A169" i="4"/>
  <c r="D168" i="4"/>
  <c r="A168" i="4"/>
  <c r="D167" i="4"/>
  <c r="A167" i="4"/>
  <c r="D166" i="4"/>
  <c r="A166" i="4"/>
  <c r="D165" i="4"/>
  <c r="A165" i="4"/>
  <c r="D164" i="4"/>
  <c r="A164" i="4"/>
  <c r="D163" i="4"/>
  <c r="A163" i="4"/>
  <c r="D162" i="4"/>
  <c r="A162" i="4"/>
  <c r="D161" i="4"/>
  <c r="A161" i="4"/>
  <c r="D160" i="4"/>
  <c r="A160" i="4"/>
  <c r="D159" i="4"/>
  <c r="A159" i="4"/>
  <c r="D158" i="4"/>
  <c r="A158" i="4"/>
  <c r="D157" i="4"/>
  <c r="A157" i="4"/>
  <c r="D156" i="4"/>
  <c r="A156" i="4"/>
  <c r="D155" i="4"/>
  <c r="A155" i="4"/>
  <c r="D154" i="4"/>
  <c r="A154" i="4"/>
  <c r="D153" i="4"/>
  <c r="A153" i="4"/>
  <c r="D152" i="4"/>
  <c r="A152" i="4"/>
  <c r="D151" i="4"/>
  <c r="A151" i="4"/>
  <c r="D150" i="4"/>
  <c r="A150" i="4"/>
  <c r="D149" i="4"/>
  <c r="A149" i="4"/>
  <c r="D148" i="4"/>
  <c r="A148" i="4"/>
  <c r="D147" i="4"/>
  <c r="A147" i="4"/>
  <c r="D146" i="4"/>
  <c r="A146" i="4"/>
  <c r="D145" i="4"/>
  <c r="A145" i="4"/>
  <c r="D144" i="4"/>
  <c r="A144" i="4"/>
  <c r="D143" i="4"/>
  <c r="A143" i="4"/>
  <c r="D142" i="4"/>
  <c r="A142" i="4"/>
  <c r="D141" i="4"/>
  <c r="A141" i="4"/>
  <c r="D140" i="4"/>
  <c r="A140" i="4"/>
  <c r="D139" i="4"/>
  <c r="A139" i="4"/>
  <c r="D138" i="4"/>
  <c r="A138" i="4"/>
  <c r="D137" i="4"/>
  <c r="A137" i="4"/>
  <c r="D136" i="4"/>
  <c r="A136" i="4"/>
  <c r="D135" i="4"/>
  <c r="A135" i="4"/>
  <c r="D134" i="4"/>
  <c r="A134" i="4"/>
  <c r="D133" i="4"/>
  <c r="A133" i="4"/>
  <c r="D132" i="4"/>
  <c r="A132" i="4"/>
  <c r="D131" i="4"/>
  <c r="A131" i="4"/>
  <c r="D130" i="4"/>
  <c r="A130" i="4"/>
  <c r="D129" i="4"/>
  <c r="A129" i="4"/>
  <c r="D128" i="4"/>
  <c r="A128" i="4"/>
  <c r="D127" i="4"/>
  <c r="A127" i="4"/>
  <c r="D126" i="4"/>
  <c r="A126" i="4"/>
  <c r="D125" i="4"/>
  <c r="A125" i="4"/>
  <c r="D124" i="4"/>
  <c r="A124" i="4"/>
  <c r="D123" i="4"/>
  <c r="A123" i="4"/>
  <c r="D122" i="4"/>
  <c r="A122" i="4"/>
  <c r="D121" i="4"/>
  <c r="A121" i="4"/>
  <c r="D120" i="4"/>
  <c r="A120" i="4"/>
  <c r="D119" i="4"/>
  <c r="A119" i="4"/>
  <c r="D118" i="4"/>
  <c r="A118" i="4"/>
  <c r="D117" i="4"/>
  <c r="A117" i="4"/>
  <c r="D116" i="4"/>
  <c r="A116" i="4"/>
  <c r="D115" i="4"/>
  <c r="A115" i="4"/>
  <c r="D114" i="4"/>
  <c r="A114" i="4"/>
  <c r="D113" i="4"/>
  <c r="A113" i="4"/>
  <c r="D112" i="4"/>
  <c r="A112" i="4"/>
  <c r="D111" i="4"/>
  <c r="A111" i="4"/>
  <c r="D110" i="4"/>
  <c r="A110" i="4"/>
  <c r="D109" i="4"/>
  <c r="A109" i="4"/>
  <c r="D108" i="4"/>
  <c r="A108" i="4"/>
  <c r="D107" i="4"/>
  <c r="A107" i="4"/>
  <c r="D106" i="4"/>
  <c r="A106" i="4"/>
  <c r="D105" i="4"/>
  <c r="A105" i="4"/>
  <c r="D104" i="4"/>
  <c r="A104" i="4"/>
  <c r="D103" i="4"/>
  <c r="A103" i="4"/>
  <c r="D102" i="4"/>
  <c r="A102" i="4"/>
  <c r="D101" i="4"/>
  <c r="A101" i="4"/>
  <c r="D100" i="4"/>
  <c r="A100" i="4"/>
  <c r="D99" i="4"/>
  <c r="A99" i="4"/>
  <c r="D98" i="4"/>
  <c r="A98" i="4"/>
  <c r="D97" i="4"/>
  <c r="A97" i="4"/>
  <c r="D96" i="4"/>
  <c r="A96" i="4"/>
  <c r="D95" i="4"/>
  <c r="A95" i="4"/>
  <c r="D94" i="4"/>
  <c r="A94" i="4"/>
  <c r="D93" i="4"/>
  <c r="A93" i="4"/>
  <c r="D92" i="4"/>
  <c r="A92" i="4"/>
  <c r="D91" i="4"/>
  <c r="A91" i="4"/>
  <c r="D90" i="4"/>
  <c r="A90" i="4"/>
  <c r="D89" i="4"/>
  <c r="A89" i="4"/>
  <c r="D88" i="4"/>
  <c r="A88" i="4"/>
  <c r="D87" i="4"/>
  <c r="A87" i="4"/>
  <c r="D86" i="4"/>
  <c r="A86" i="4"/>
  <c r="D85" i="4"/>
  <c r="A85" i="4"/>
  <c r="D84" i="4"/>
  <c r="A84" i="4"/>
  <c r="D83" i="4"/>
  <c r="A83" i="4"/>
  <c r="D82" i="4"/>
  <c r="A82" i="4"/>
  <c r="D81" i="4"/>
  <c r="A81" i="4"/>
  <c r="D80" i="4"/>
  <c r="A80" i="4"/>
  <c r="D79" i="4"/>
  <c r="A79" i="4"/>
  <c r="D78" i="4"/>
  <c r="A78" i="4"/>
  <c r="D77" i="4"/>
  <c r="A77" i="4"/>
  <c r="D76" i="4"/>
  <c r="A76" i="4"/>
  <c r="D75" i="4"/>
  <c r="A75" i="4"/>
  <c r="D74" i="4"/>
  <c r="A74" i="4"/>
  <c r="D73" i="4"/>
  <c r="A73" i="4"/>
  <c r="D72" i="4"/>
  <c r="A72" i="4"/>
  <c r="D71" i="4"/>
  <c r="A71" i="4"/>
  <c r="D70" i="4"/>
  <c r="A70" i="4"/>
  <c r="D69" i="4"/>
  <c r="A69" i="4"/>
  <c r="D68" i="4"/>
  <c r="A68" i="4"/>
  <c r="D67" i="4"/>
  <c r="A67" i="4"/>
  <c r="D66" i="4"/>
  <c r="A66" i="4"/>
  <c r="D65" i="4"/>
  <c r="A65" i="4"/>
  <c r="D64" i="4"/>
  <c r="A64" i="4"/>
  <c r="D63" i="4"/>
  <c r="A63" i="4"/>
  <c r="D62" i="4"/>
  <c r="A62" i="4"/>
  <c r="D61" i="4"/>
  <c r="A61" i="4"/>
  <c r="D60" i="4"/>
  <c r="A60" i="4"/>
  <c r="D59" i="4"/>
  <c r="A59" i="4"/>
  <c r="D58" i="4"/>
  <c r="A58" i="4"/>
  <c r="D57" i="4"/>
  <c r="A57" i="4"/>
  <c r="D56" i="4"/>
  <c r="A56" i="4"/>
  <c r="D55" i="4"/>
  <c r="A55" i="4"/>
  <c r="D54" i="4"/>
  <c r="A54" i="4"/>
  <c r="D53" i="4"/>
  <c r="A53" i="4"/>
  <c r="D52" i="4"/>
  <c r="A52" i="4"/>
  <c r="D51" i="4"/>
  <c r="A51" i="4"/>
  <c r="D50" i="4"/>
  <c r="A50" i="4"/>
  <c r="D49" i="4"/>
  <c r="A49" i="4"/>
  <c r="D48" i="4"/>
  <c r="A48" i="4"/>
  <c r="D47" i="4"/>
  <c r="A47" i="4"/>
  <c r="D46" i="4"/>
  <c r="A46" i="4"/>
  <c r="D45" i="4"/>
  <c r="A45" i="4"/>
  <c r="D44" i="4"/>
  <c r="A44" i="4"/>
  <c r="D43" i="4"/>
  <c r="A43" i="4"/>
  <c r="D42" i="4"/>
  <c r="A42" i="4"/>
  <c r="D41" i="4"/>
  <c r="A41" i="4"/>
  <c r="D40" i="4"/>
  <c r="A40" i="4"/>
  <c r="D39" i="4"/>
  <c r="A39" i="4"/>
  <c r="D38" i="4"/>
  <c r="A38" i="4"/>
  <c r="D37" i="4"/>
  <c r="A37" i="4"/>
  <c r="D36" i="4"/>
  <c r="A36" i="4"/>
  <c r="D35" i="4"/>
  <c r="A35" i="4"/>
  <c r="D34" i="4"/>
  <c r="A34" i="4"/>
  <c r="D33" i="4"/>
  <c r="A33" i="4"/>
  <c r="D32" i="4"/>
  <c r="A32" i="4"/>
  <c r="D31" i="4"/>
  <c r="A31" i="4"/>
  <c r="D30" i="4"/>
  <c r="A30" i="4"/>
  <c r="D29" i="4"/>
  <c r="A29" i="4"/>
  <c r="D28" i="4"/>
  <c r="A28" i="4"/>
  <c r="D27" i="4"/>
  <c r="A27" i="4"/>
  <c r="D26" i="4"/>
  <c r="A26" i="4"/>
  <c r="D25" i="4"/>
  <c r="A25" i="4"/>
  <c r="D24" i="4"/>
  <c r="A24" i="4"/>
  <c r="D23" i="4"/>
  <c r="A23" i="4"/>
  <c r="D22" i="4"/>
  <c r="A22" i="4"/>
  <c r="D21" i="4"/>
  <c r="A21" i="4"/>
  <c r="D20" i="4"/>
  <c r="A20" i="4"/>
  <c r="D19" i="4"/>
  <c r="A19" i="4"/>
  <c r="D18" i="4"/>
  <c r="A18" i="4"/>
  <c r="D17" i="4"/>
  <c r="A17" i="4"/>
  <c r="D16" i="4"/>
  <c r="A16" i="4"/>
  <c r="D15" i="4"/>
  <c r="A15" i="4"/>
  <c r="D14" i="4"/>
  <c r="A14" i="4"/>
  <c r="D13" i="4"/>
  <c r="A13" i="4"/>
  <c r="D12" i="4"/>
  <c r="A12" i="4"/>
  <c r="D11" i="4"/>
  <c r="A11" i="4"/>
  <c r="D10" i="4"/>
  <c r="A10" i="4"/>
  <c r="D9" i="4"/>
  <c r="A9" i="4"/>
  <c r="D8" i="4"/>
  <c r="A8" i="4"/>
  <c r="D7" i="4"/>
  <c r="A7" i="4"/>
  <c r="D6" i="4"/>
  <c r="A6" i="4"/>
  <c r="D5" i="4"/>
  <c r="A5" i="4"/>
  <c r="D4" i="4"/>
  <c r="A4" i="4"/>
  <c r="D3" i="4"/>
  <c r="A3" i="4"/>
  <c r="D2" i="4"/>
  <c r="A2" i="4"/>
  <c r="C36" i="1"/>
  <c r="B36" i="1"/>
  <c r="A36" i="1"/>
  <c r="C35" i="1"/>
  <c r="B35" i="1"/>
  <c r="A35" i="1"/>
  <c r="C34" i="1"/>
  <c r="B34" i="1"/>
  <c r="A34" i="1"/>
  <c r="C33" i="1"/>
  <c r="B33" i="1"/>
  <c r="A33" i="1"/>
  <c r="E26" i="1"/>
  <c r="D26" i="1"/>
  <c r="C26" i="1"/>
  <c r="E25" i="1"/>
  <c r="D25" i="1"/>
  <c r="C25" i="1"/>
  <c r="E24" i="1"/>
  <c r="D24" i="1"/>
  <c r="C24" i="1"/>
  <c r="E23" i="1"/>
  <c r="D23" i="1"/>
  <c r="D27" i="1" s="1"/>
  <c r="C23" i="1"/>
  <c r="E10" i="1"/>
  <c r="B26" i="1" s="1"/>
  <c r="D10" i="1"/>
  <c r="C18" i="1" s="1"/>
  <c r="C10" i="1"/>
  <c r="B18" i="1" s="1"/>
  <c r="D18" i="1" s="1"/>
  <c r="B10" i="1"/>
  <c r="E9" i="1"/>
  <c r="B25" i="1" s="1"/>
  <c r="D9" i="1"/>
  <c r="C17" i="1" s="1"/>
  <c r="C9" i="1"/>
  <c r="B17" i="1" s="1"/>
  <c r="D17" i="1" s="1"/>
  <c r="B9" i="1"/>
  <c r="E8" i="1"/>
  <c r="B24" i="1" s="1"/>
  <c r="D8" i="1"/>
  <c r="C16" i="1" s="1"/>
  <c r="C8" i="1"/>
  <c r="B16" i="1" s="1"/>
  <c r="D16" i="1" s="1"/>
  <c r="B8" i="1"/>
  <c r="E7" i="1"/>
  <c r="D7" i="1"/>
  <c r="C7" i="1"/>
  <c r="B7" i="1"/>
  <c r="E27" i="1" l="1"/>
  <c r="C27" i="1"/>
  <c r="E36" i="1"/>
  <c r="F36" i="1"/>
  <c r="D36" i="1"/>
  <c r="F35" i="1"/>
  <c r="E35" i="1"/>
  <c r="D35" i="1"/>
  <c r="F34" i="1"/>
  <c r="E34" i="1"/>
  <c r="D34" i="1"/>
  <c r="E33" i="1"/>
  <c r="D33" i="1"/>
  <c r="F33" i="1"/>
  <c r="F37" i="1" s="1"/>
  <c r="F10" i="1"/>
  <c r="H10" i="1"/>
  <c r="G10" i="1"/>
  <c r="H9" i="1"/>
  <c r="G9" i="1"/>
  <c r="F9" i="1"/>
  <c r="F8" i="1"/>
  <c r="G8" i="1"/>
  <c r="H8" i="1"/>
  <c r="B23" i="1"/>
  <c r="B27" i="1" s="1"/>
  <c r="E11" i="1"/>
  <c r="C15" i="1"/>
  <c r="C19" i="1" s="1"/>
  <c r="D11" i="1"/>
  <c r="B15" i="1"/>
  <c r="C11" i="1"/>
  <c r="G7" i="1"/>
  <c r="H7" i="1"/>
  <c r="B11" i="1"/>
  <c r="F7" i="1"/>
  <c r="F43" i="1" l="1"/>
  <c r="E37" i="1"/>
  <c r="G33" i="1"/>
  <c r="D37" i="1"/>
  <c r="G37" i="1" s="1"/>
  <c r="D15" i="1"/>
  <c r="B19" i="1"/>
  <c r="D19" i="1" s="1"/>
  <c r="G11" i="1"/>
  <c r="F41" i="1" s="1"/>
  <c r="H11" i="1"/>
  <c r="F42" i="1" s="1"/>
  <c r="F40" i="1"/>
  <c r="G35" i="1"/>
  <c r="G36" i="1"/>
  <c r="G34" i="1"/>
</calcChain>
</file>

<file path=xl/sharedStrings.xml><?xml version="1.0" encoding="utf-8"?>
<sst xmlns="http://schemas.openxmlformats.org/spreadsheetml/2006/main" count="28458" uniqueCount="3567">
  <si>
    <t>Finland Representation Inventory — Summary of Coding Results</t>
  </si>
  <si>
    <t>National Mapping Agency: NLS-FI  |  Auto-summarized from the Coding_Records sheets (Table 7 instrument, Section 3.5). Figures recalculate automatically as records are added.</t>
  </si>
  <si>
    <t>Note: 'Present' totals include emphasized features (Code beginning "Present"); 'Absent' totals include minor spelling/case variants (Code beginning "Absent"); 'Other/Unclear' captures any remaining codes (e.g. "outside sheet extent").</t>
  </si>
  <si>
    <t>1. Overall Coding Results by Category</t>
  </si>
  <si>
    <t>Category</t>
  </si>
  <si>
    <t>Total Records</t>
  </si>
  <si>
    <t>Present</t>
  </si>
  <si>
    <t>Present
(Emphasized)</t>
  </si>
  <si>
    <t>Absent</t>
  </si>
  <si>
    <t>Other /
Unclear</t>
  </si>
  <si>
    <t>% Present</t>
  </si>
  <si>
    <t>% Absent</t>
  </si>
  <si>
    <t>Culture</t>
  </si>
  <si>
    <t>Border</t>
  </si>
  <si>
    <t>Military</t>
  </si>
  <si>
    <t>Toponym</t>
  </si>
  <si>
    <t>TOTAL</t>
  </si>
  <si>
    <t>2. Visual Emphasis Analysis (share of Present features that are emphasized)</t>
  </si>
  <si>
    <t>Present (Total,
incl. emphasized)</t>
  </si>
  <si>
    <t>% of Present
Emphasized</t>
  </si>
  <si>
    <t>3. Absence-Reason Flag Analysis (basis coded for Absent features)</t>
  </si>
  <si>
    <t>Absent
Total</t>
  </si>
  <si>
    <t>Rendering-Stage
Omission (Yes)</t>
  </si>
  <si>
    <t>Specification
Gap (Yes)</t>
  </si>
  <si>
    <t>Generalization-
Attributed (Yes)</t>
  </si>
  <si>
    <t>Note: a record may carry more than one flag, so flag counts need not sum to the Absent total; N/A and blank entries are excluded from these counts.</t>
  </si>
  <si>
    <t>4. Coding Coverage by Map Sample</t>
  </si>
  <si>
    <t>Map ID</t>
  </si>
  <si>
    <t>Area / Context</t>
  </si>
  <si>
    <t>Sheet Type</t>
  </si>
  <si>
    <t>Headline Figures</t>
  </si>
  <si>
    <t>Total coded features (all categories)</t>
  </si>
  <si>
    <t>Overall % Present (incl. emphasized)</t>
  </si>
  <si>
    <t>Overall % Absent</t>
  </si>
  <si>
    <t>Overall % of Present features visually emphasized</t>
  </si>
  <si>
    <t xml:space="preserve">Representation Inventory for Coding Workbook </t>
  </si>
  <si>
    <t>This workbook implements the recording instrument defined in Table 7 of the methodology (Section 3.5).</t>
  </si>
  <si>
    <t>One row in Coding_Records = one feature record, produced by the coding sequence in Section 3.5 (omission, inclusion, visual emphasis).</t>
  </si>
  <si>
    <t xml:space="preserve">How to use: (1) complete Map_Register sheet numbers in Step 1.1; (2) enter records in Coding_Records </t>
  </si>
  <si>
    <t>Sheet_Type fills automatically from Map_Register when a Map_ID is selected. Record_ID numbers itself when NMA is entered.</t>
  </si>
  <si>
    <t xml:space="preserve">Coding reminders: default to Present when ambiguous, and record the reasoning in Justification. </t>
  </si>
  <si>
    <t>Field definitions (verbatim from Table 7)</t>
  </si>
  <si>
    <t>Field</t>
  </si>
  <si>
    <t>Values</t>
  </si>
  <si>
    <t>Purpose</t>
  </si>
  <si>
    <t>Record_ID</t>
  </si>
  <si>
    <t>Sequential reference number</t>
  </si>
  <si>
    <t>Unique identifier for each record</t>
  </si>
  <si>
    <t>NMA</t>
  </si>
  <si>
    <t>BEV / NLS-FI / IGN</t>
  </si>
  <si>
    <t>Identify the NMA</t>
  </si>
  <si>
    <t>Map_ID</t>
  </si>
  <si>
    <t>NMA–Sequence</t>
  </si>
  <si>
    <t>Links to specific map sample</t>
  </si>
  <si>
    <t>Military / Border / Cultural / Toponym</t>
  </si>
  <si>
    <t>Thematic category of the feature</t>
  </si>
  <si>
    <t>Feature_Type</t>
  </si>
  <si>
    <t>Classification within category</t>
  </si>
  <si>
    <t>Documents the specific feature type</t>
  </si>
  <si>
    <t>Code</t>
  </si>
  <si>
    <t xml:space="preserve">Absent / Present / Present (Emphasized) </t>
  </si>
  <si>
    <t>Primary coding result</t>
  </si>
  <si>
    <t>RenderingStage_Flag</t>
  </si>
  <si>
    <t>Yes / N/A</t>
  </si>
  <si>
    <t xml:space="preserve">Y: feature confirmed in INSPIRE dataset but absent from map (rendering-stage omission). N/A: INSPIRE dataset not applicable.; NULL : In INSPIRE dataset but not omitted </t>
  </si>
  <si>
    <t>Specification_Flag</t>
  </si>
  <si>
    <t>Yes / No</t>
  </si>
  <si>
    <t>Yes: feature class not provided for in the NMA’s published legend/product specification; absence reflects an agenecies representational scheme</t>
  </si>
  <si>
    <t>Generalization_Flag</t>
  </si>
  <si>
    <t>Yes: absence possibly attributable to scale-appropriate generalization; flagged for Phase 3 contextualization</t>
  </si>
  <si>
    <t>Justification</t>
  </si>
  <si>
    <t>Text</t>
  </si>
  <si>
    <t>Written rationale for coding decision; notes basis for any flag or ambiguous decision</t>
  </si>
  <si>
    <t>Feature_Count</t>
  </si>
  <si>
    <t>Number</t>
  </si>
  <si>
    <t>Number of instances of this feature type included on the sample (Inclusion only)</t>
  </si>
  <si>
    <t>Emphasis_Variable</t>
  </si>
  <si>
    <t>Size / Value / Color / Typographic weight / Position / Line style / N/A</t>
  </si>
  <si>
    <t>Variable through which emphasis is achieved; N/A for Absent or Present (not emphasized)</t>
  </si>
  <si>
    <t>Reference_Source</t>
  </si>
  <si>
    <t>Citation of external source</t>
  </si>
  <si>
    <t>Documents basis for absent coding or reference cross-check</t>
  </si>
  <si>
    <t>Sheet_Type</t>
  </si>
  <si>
    <t>Series Sheet Number</t>
  </si>
  <si>
    <t>Date Retrieved</t>
  </si>
  <si>
    <t>Source / URL</t>
  </si>
  <si>
    <t>NLS-FI-01</t>
  </si>
  <si>
    <t>NLS-FI</t>
  </si>
  <si>
    <t>Border Region</t>
  </si>
  <si>
    <t>Eastern Lapland (Russian border; close to ceded Karelian zone)</t>
  </si>
  <si>
    <t>W514</t>
  </si>
  <si>
    <t>July 4,2026</t>
  </si>
  <si>
    <t>https://asiointi.maanmittauslaitos.fi/karttapaikka/tiedostopalvelu/maastokartta_rasteri?lang=en</t>
  </si>
  <si>
    <t>NLS-FI-02</t>
  </si>
  <si>
    <t>Cultural Heritage Area</t>
  </si>
  <si>
    <t>Old Rauma ( UNESCO WHS)</t>
  </si>
  <si>
    <t>M314</t>
  </si>
  <si>
    <t>NLS-FI-03</t>
  </si>
  <si>
    <t>Military Zone</t>
  </si>
  <si>
    <t>Upinniemi Naval Base</t>
  </si>
  <si>
    <t>K422</t>
  </si>
  <si>
    <t>July 8,2026</t>
  </si>
  <si>
    <t>NLS-FI-04</t>
  </si>
  <si>
    <t>Toponym Labels</t>
  </si>
  <si>
    <t>Inari municipality</t>
  </si>
  <si>
    <t xml:space="preserve">W511 </t>
  </si>
  <si>
    <t xml:space="preserve">Sheet_Type </t>
  </si>
  <si>
    <t>FID</t>
  </si>
  <si>
    <t>Name(If Available)</t>
  </si>
  <si>
    <t>Rendering Stage Flag</t>
  </si>
  <si>
    <t>Bertin_Variable</t>
  </si>
  <si>
    <t>Cultural</t>
  </si>
  <si>
    <t>archaeological</t>
  </si>
  <si>
    <t>Laitrenvuori (Heikku)</t>
  </si>
  <si>
    <t>Yes</t>
  </si>
  <si>
    <t>No symbol/label</t>
  </si>
  <si>
    <t>No</t>
  </si>
  <si>
    <t>Finnish Heritage Agency</t>
  </si>
  <si>
    <t>Skorpionmaa</t>
  </si>
  <si>
    <t xml:space="preserve">archaeological - Label Only </t>
  </si>
  <si>
    <t>Tahkoniemi</t>
  </si>
  <si>
    <t>Label of the Site only , no point symbol</t>
  </si>
  <si>
    <t>Mäntymäki</t>
  </si>
  <si>
    <t>Pujonkulma</t>
  </si>
  <si>
    <t>Perkola</t>
  </si>
  <si>
    <t>Vuoristo</t>
  </si>
  <si>
    <t>Ristesampas 2</t>
  </si>
  <si>
    <t>Ottila I</t>
  </si>
  <si>
    <t>Ottila II</t>
  </si>
  <si>
    <t>Iso-Saukko</t>
  </si>
  <si>
    <t>Label only</t>
  </si>
  <si>
    <t>Helo</t>
  </si>
  <si>
    <t>Lakari</t>
  </si>
  <si>
    <t>ancient relic symbol</t>
  </si>
  <si>
    <t>Lähteentie</t>
  </si>
  <si>
    <t xml:space="preserve">No symbol/label ; enough space ; size  might be coniderabel reason for omission </t>
  </si>
  <si>
    <t>Tauro V</t>
  </si>
  <si>
    <t>feature very close to another feature</t>
  </si>
  <si>
    <t>Uudenmaankallio</t>
  </si>
  <si>
    <t>label only</t>
  </si>
  <si>
    <t>Uusi-Kortela</t>
  </si>
  <si>
    <t>outside sheet extent</t>
  </si>
  <si>
    <t>Vilkkilä 2</t>
  </si>
  <si>
    <t>Vuorentausta 2</t>
  </si>
  <si>
    <t>Rauman Fransiskaanikirkko</t>
  </si>
  <si>
    <t>Rauman entinen kaupunginkirkko</t>
  </si>
  <si>
    <t>Sähköasema itä</t>
  </si>
  <si>
    <t>Pappila</t>
  </si>
  <si>
    <t>Absent - point is on a feature heavy area</t>
  </si>
  <si>
    <t>Ottila III</t>
  </si>
  <si>
    <t>Pitkäjärvi E</t>
  </si>
  <si>
    <t xml:space="preserve">No symbol found; no label </t>
  </si>
  <si>
    <t>Pitkäjärvi SE</t>
  </si>
  <si>
    <t>Kaatopaikka läntinen</t>
  </si>
  <si>
    <t xml:space="preserve">Unclear; possibly attributable to generalization through size </t>
  </si>
  <si>
    <t>Uola 2</t>
  </si>
  <si>
    <t>Röömäri</t>
  </si>
  <si>
    <t>close to a feature</t>
  </si>
  <si>
    <t>Kanni 2</t>
  </si>
  <si>
    <t>Valkiavaha</t>
  </si>
  <si>
    <t>Impivaara</t>
  </si>
  <si>
    <t>Kuusela</t>
  </si>
  <si>
    <t>close to features</t>
  </si>
  <si>
    <t>Syväalho 1</t>
  </si>
  <si>
    <t>Ylä-Lasola</t>
  </si>
  <si>
    <t>close to other features</t>
  </si>
  <si>
    <t>Syväalho 2</t>
  </si>
  <si>
    <t>close to Syvaalho 1</t>
  </si>
  <si>
    <t>Karhulinna</t>
  </si>
  <si>
    <t>Ensimmäinen Petäjäs</t>
  </si>
  <si>
    <t>Sven Renström</t>
  </si>
  <si>
    <t>Suvitie</t>
  </si>
  <si>
    <t>in feature dense area</t>
  </si>
  <si>
    <t>Ridanalho</t>
  </si>
  <si>
    <t>close to another feature</t>
  </si>
  <si>
    <t>Sorkan kylän muistokivi</t>
  </si>
  <si>
    <t>Mustalahti</t>
  </si>
  <si>
    <t>Taipalmaantie</t>
  </si>
  <si>
    <t>Kaasankallio</t>
  </si>
  <si>
    <t>Haapasaari (Aspöö)</t>
  </si>
  <si>
    <t>close to other feature</t>
  </si>
  <si>
    <t>Sorkka (Sorcka)</t>
  </si>
  <si>
    <t>Toinen Petäjäs</t>
  </si>
  <si>
    <t>Drott</t>
  </si>
  <si>
    <t>Uudenhuhdankallio</t>
  </si>
  <si>
    <t>Sydänkallio</t>
  </si>
  <si>
    <t>Vanha-Lahti</t>
  </si>
  <si>
    <t>Arvio</t>
  </si>
  <si>
    <t>Ingersoll</t>
  </si>
  <si>
    <t>Iso Järviluoto pohjoisranta</t>
  </si>
  <si>
    <t>Frigga</t>
  </si>
  <si>
    <t>Mudaistenniemi</t>
  </si>
  <si>
    <t>Myllynokka</t>
  </si>
  <si>
    <t>Kokkovuori</t>
  </si>
  <si>
    <t>Reksaari kiuas</t>
  </si>
  <si>
    <t>Etu-Aikko</t>
  </si>
  <si>
    <t xml:space="preserve">Symbol found ; unlcear; it’s a circle </t>
  </si>
  <si>
    <t>Kolla Paimenen torppa</t>
  </si>
  <si>
    <t>Kolla Säterintie 1</t>
  </si>
  <si>
    <t>Kolla Säterintie 2</t>
  </si>
  <si>
    <t>Nihattula</t>
  </si>
  <si>
    <t>Neula</t>
  </si>
  <si>
    <t>Miekantie</t>
  </si>
  <si>
    <t>Takalantie</t>
  </si>
  <si>
    <t>seems to be small</t>
  </si>
  <si>
    <t>Perkkotie</t>
  </si>
  <si>
    <t>Hongistonmäki</t>
  </si>
  <si>
    <t>Sorri</t>
  </si>
  <si>
    <t>close to other different features</t>
  </si>
  <si>
    <t>Vuorenalho</t>
  </si>
  <si>
    <t>Siuttila</t>
  </si>
  <si>
    <t>Linjavainio</t>
  </si>
  <si>
    <t>Sippola</t>
  </si>
  <si>
    <t>close to other features,</t>
  </si>
  <si>
    <t>Kairassuo</t>
  </si>
  <si>
    <t>Syväalho 3</t>
  </si>
  <si>
    <t>Isoniittu</t>
  </si>
  <si>
    <t>Perkkotie 2</t>
  </si>
  <si>
    <t>Suiklanmaa 3</t>
  </si>
  <si>
    <t>Laivurinpolku</t>
  </si>
  <si>
    <t>in feature heavy area</t>
  </si>
  <si>
    <t>Siiwo</t>
  </si>
  <si>
    <t>Urpo</t>
  </si>
  <si>
    <t>Ristesampas</t>
  </si>
  <si>
    <t>Santala</t>
  </si>
  <si>
    <t>ancient relic</t>
  </si>
  <si>
    <t>Pullankallio (Pullanvuori)</t>
  </si>
  <si>
    <t xml:space="preserve">ancient relic </t>
  </si>
  <si>
    <t>Hiittenvareen kallio</t>
  </si>
  <si>
    <t>Liinmaan linna</t>
  </si>
  <si>
    <t>Kartunkari I</t>
  </si>
  <si>
    <t>Kartunkari II</t>
  </si>
  <si>
    <t>Kertunmäki</t>
  </si>
  <si>
    <t>Ruuhenmaan Vare</t>
  </si>
  <si>
    <t>Matinhaka</t>
  </si>
  <si>
    <t>Vilkkilä 1</t>
  </si>
  <si>
    <t>Isovuori</t>
  </si>
  <si>
    <t>Tuitinvuori</t>
  </si>
  <si>
    <t>Uusi-Kartano</t>
  </si>
  <si>
    <t>Uola</t>
  </si>
  <si>
    <t>Kappelinluhta</t>
  </si>
  <si>
    <t>feature dense area</t>
  </si>
  <si>
    <t>Koivusalo</t>
  </si>
  <si>
    <t>Kalattila</t>
  </si>
  <si>
    <t>Lehtisten haka</t>
  </si>
  <si>
    <t>Monnanjärvi</t>
  </si>
  <si>
    <t>Helistö II</t>
  </si>
  <si>
    <t>Vuorentausta 1</t>
  </si>
  <si>
    <t>Röömärinoja</t>
  </si>
  <si>
    <t>Kunnan-Tuomisto</t>
  </si>
  <si>
    <t>Tauro I</t>
  </si>
  <si>
    <t>Jaakonkuru</t>
  </si>
  <si>
    <t>too small **</t>
  </si>
  <si>
    <t>Tauro II</t>
  </si>
  <si>
    <t>Talviperkko</t>
  </si>
  <si>
    <t>Suiklanmaa</t>
  </si>
  <si>
    <t>Suiklanmaa II</t>
  </si>
  <si>
    <t>Lautassuo</t>
  </si>
  <si>
    <t>Nielu II</t>
  </si>
  <si>
    <t>Tauro III</t>
  </si>
  <si>
    <t>Karenius</t>
  </si>
  <si>
    <t>Tuomisto</t>
  </si>
  <si>
    <t>Tauro IV</t>
  </si>
  <si>
    <t>Ympyriäinensuo</t>
  </si>
  <si>
    <t>IVO</t>
  </si>
  <si>
    <t>very close to other features</t>
  </si>
  <si>
    <t>Vanha Rauma</t>
  </si>
  <si>
    <t>Flatbergen</t>
  </si>
  <si>
    <t>Malmskyan</t>
  </si>
  <si>
    <t>Pentby SW</t>
  </si>
  <si>
    <t>Längkärret NNW/Västerby</t>
  </si>
  <si>
    <t>Långö sund NW (Rävelsberget)</t>
  </si>
  <si>
    <t>Flakholmen Kejsarklobben</t>
  </si>
  <si>
    <t>Gammelbacka</t>
  </si>
  <si>
    <t>Gloet</t>
  </si>
  <si>
    <t>Brändvik</t>
  </si>
  <si>
    <t xml:space="preserve">label only; specification </t>
  </si>
  <si>
    <t>Fåfängsudden</t>
  </si>
  <si>
    <t>no symbol found; similar label but not exact</t>
  </si>
  <si>
    <t>Kullåkerbacken</t>
  </si>
  <si>
    <t>Lillberg</t>
  </si>
  <si>
    <t>label only; specification</t>
  </si>
  <si>
    <t>Båtdrag</t>
  </si>
  <si>
    <t>Maren</t>
  </si>
  <si>
    <t>stones symbol</t>
  </si>
  <si>
    <t>Timmerbacksberget</t>
  </si>
  <si>
    <t>Sjöskogen</t>
  </si>
  <si>
    <t>Telegrafberget</t>
  </si>
  <si>
    <t>Granklev</t>
  </si>
  <si>
    <t>Pikkala Hovgård</t>
  </si>
  <si>
    <t>Svartbäck NW</t>
  </si>
  <si>
    <t>Bylandet 1-2</t>
  </si>
  <si>
    <t xml:space="preserve">label only ;  terrain feature name </t>
  </si>
  <si>
    <t>Ärtrisholmen</t>
  </si>
  <si>
    <t>Stora Äspskär</t>
  </si>
  <si>
    <t>Stormossen 1</t>
  </si>
  <si>
    <t>Stormossen 2</t>
  </si>
  <si>
    <t>Kasabergen</t>
  </si>
  <si>
    <t>Finnbacka Hagaberget</t>
  </si>
  <si>
    <t>Byviken 1</t>
  </si>
  <si>
    <t>Byviken 2</t>
  </si>
  <si>
    <t>Träskön 1</t>
  </si>
  <si>
    <t>Träskön 3</t>
  </si>
  <si>
    <t>Salmen</t>
  </si>
  <si>
    <t>Kyrkogårdsön Byviken</t>
  </si>
  <si>
    <t>Kyrkogårdsön Norrudden</t>
  </si>
  <si>
    <t>Mjölandet</t>
  </si>
  <si>
    <t>Omsatuviken</t>
  </si>
  <si>
    <t>Ängesholmen</t>
  </si>
  <si>
    <t>Långvik (Långvik)</t>
  </si>
  <si>
    <t xml:space="preserve">ancinet relic </t>
  </si>
  <si>
    <t>Prästgården</t>
  </si>
  <si>
    <t xml:space="preserve">monument </t>
  </si>
  <si>
    <t>Raseborg (Kungsgården)</t>
  </si>
  <si>
    <t>close to other features , label present</t>
  </si>
  <si>
    <t>Tallholmen</t>
  </si>
  <si>
    <t>Ramsjö</t>
  </si>
  <si>
    <t>Svinö 4</t>
  </si>
  <si>
    <t>label present</t>
  </si>
  <si>
    <t>Dönsby</t>
  </si>
  <si>
    <t>label present only</t>
  </si>
  <si>
    <t>Björnsjölandet västra</t>
  </si>
  <si>
    <t>Älgsjöskatan</t>
  </si>
  <si>
    <t>Place name , not the site</t>
  </si>
  <si>
    <t>Barölandet Storböle</t>
  </si>
  <si>
    <t>Sjömansberget 1</t>
  </si>
  <si>
    <t>label present closeby</t>
  </si>
  <si>
    <t>Kohagen</t>
  </si>
  <si>
    <t>Snappertuna Bastuåkern</t>
  </si>
  <si>
    <t>Kudiby (Kuddeby)</t>
  </si>
  <si>
    <t>Petars</t>
  </si>
  <si>
    <t>Slottsmalmen</t>
  </si>
  <si>
    <t>Kastalekasen 3</t>
  </si>
  <si>
    <t>label on top</t>
  </si>
  <si>
    <t>Grönkullavägen</t>
  </si>
  <si>
    <t>Bredslätt 1</t>
  </si>
  <si>
    <t>label closeby</t>
  </si>
  <si>
    <t>Granhammarskogen</t>
  </si>
  <si>
    <t>Halvdelskärr 2</t>
  </si>
  <si>
    <t>Grundsö 2</t>
  </si>
  <si>
    <t>Arvskär 1</t>
  </si>
  <si>
    <t>Bergskär</t>
  </si>
  <si>
    <t>Gåsö</t>
  </si>
  <si>
    <t>Vargskär</t>
  </si>
  <si>
    <t>Tingsholmen</t>
  </si>
  <si>
    <t xml:space="preserve">label only; terrain feature name </t>
  </si>
  <si>
    <t>Älgsjölandet</t>
  </si>
  <si>
    <t>Trollholmen</t>
  </si>
  <si>
    <t>Hättö 1</t>
  </si>
  <si>
    <t>Hättö 4</t>
  </si>
  <si>
    <t>Ormskärsören</t>
  </si>
  <si>
    <t>Torsholmen</t>
  </si>
  <si>
    <t>Halstö 2</t>
  </si>
  <si>
    <t>Gammelbylandet</t>
  </si>
  <si>
    <t>Norrby</t>
  </si>
  <si>
    <t>Snäckkulla</t>
  </si>
  <si>
    <t>Nätigårdsholmen</t>
  </si>
  <si>
    <t>Busö Östra Nätigårdsön</t>
  </si>
  <si>
    <t>Busö Mosskärsklobben</t>
  </si>
  <si>
    <t>Busö Bockholmen</t>
  </si>
  <si>
    <t>Moderholmen 3</t>
  </si>
  <si>
    <t>Busö Viborgs sten</t>
  </si>
  <si>
    <t>Västerby (Backa/ Fotebacka / Fagervik)</t>
  </si>
  <si>
    <t>Gästans Själön</t>
  </si>
  <si>
    <t>Bastö</t>
  </si>
  <si>
    <t>Ors Gammelby</t>
  </si>
  <si>
    <t>Älgsjö Gammelby</t>
  </si>
  <si>
    <t>Strömsby (Skräddarby/ Ström)</t>
  </si>
  <si>
    <t>Antkärr</t>
  </si>
  <si>
    <t>Bockboda (Bockboda)</t>
  </si>
  <si>
    <t>Gästersö Gammelby</t>
  </si>
  <si>
    <t>Halstö/ Halvskifte</t>
  </si>
  <si>
    <t>Huskvarn</t>
  </si>
  <si>
    <t>Nothamn/ Norrkam</t>
  </si>
  <si>
    <t>Sådö (Såddö)</t>
  </si>
  <si>
    <t>Långvikin rautakaivos</t>
  </si>
  <si>
    <t>Svarfvarböle</t>
  </si>
  <si>
    <t>archaeological /Church</t>
  </si>
  <si>
    <t>Inkoon kirkko</t>
  </si>
  <si>
    <t>archaeological / Church</t>
  </si>
  <si>
    <t>Karjaan kirkko</t>
  </si>
  <si>
    <t>Bold cross symbol, emphasized - black color, bold, prominent to surrounding features</t>
  </si>
  <si>
    <t>Klovviken 1</t>
  </si>
  <si>
    <t>Klovviken 2</t>
  </si>
  <si>
    <t>Kasaberget 2 ja 3</t>
  </si>
  <si>
    <t>Boxby</t>
  </si>
  <si>
    <t>Billnäsin (Pinjaisten) ruukki</t>
  </si>
  <si>
    <t>Fagervikin ruukki</t>
  </si>
  <si>
    <t>I Kom. dir. bostaden</t>
  </si>
  <si>
    <t>II Väderkvarnen</t>
  </si>
  <si>
    <t>III Skolområdet</t>
  </si>
  <si>
    <t>IV Prästgårdberget</t>
  </si>
  <si>
    <t>V-VI Torp</t>
  </si>
  <si>
    <t>VII Bolstad</t>
  </si>
  <si>
    <t>VIII Brännbolstad</t>
  </si>
  <si>
    <t>IX Vägkröken mot Virkby</t>
  </si>
  <si>
    <t>X Bakstängslen</t>
  </si>
  <si>
    <t>Västankvarn Bonäs</t>
  </si>
  <si>
    <t>stones</t>
  </si>
  <si>
    <t>Gårdsböle (Gudlögsböle)</t>
  </si>
  <si>
    <t>Landsbro</t>
  </si>
  <si>
    <t>Klobben</t>
  </si>
  <si>
    <t>Forsby</t>
  </si>
  <si>
    <t>Kvarnbäcken</t>
  </si>
  <si>
    <t>Stormalmen</t>
  </si>
  <si>
    <t>Ristikalliontie 2</t>
  </si>
  <si>
    <t>Brunniberg 2</t>
  </si>
  <si>
    <t xml:space="preserve">label present- terrain feature name; and stones </t>
  </si>
  <si>
    <t>Bäckdal</t>
  </si>
  <si>
    <t>Nissbacka</t>
  </si>
  <si>
    <t xml:space="preserve">only label </t>
  </si>
  <si>
    <t>Brynickbacka</t>
  </si>
  <si>
    <t>Snällböle</t>
  </si>
  <si>
    <t>Prålsbacka</t>
  </si>
  <si>
    <t>Kopparnäs</t>
  </si>
  <si>
    <t>Vormö</t>
  </si>
  <si>
    <t>Norra Svartö</t>
  </si>
  <si>
    <t>Svartö</t>
  </si>
  <si>
    <t>Skansholmen</t>
  </si>
  <si>
    <t>Barösund 1</t>
  </si>
  <si>
    <t>Barösund 2</t>
  </si>
  <si>
    <t>Barösund 3</t>
  </si>
  <si>
    <t>Barösund 4</t>
  </si>
  <si>
    <t xml:space="preserve">observation tower; unclear symbol </t>
  </si>
  <si>
    <t>Jakobramsjö 1</t>
  </si>
  <si>
    <t>Jakobramsjö 2</t>
  </si>
  <si>
    <t>Jakobramsjö 3</t>
  </si>
  <si>
    <t>Ålö</t>
  </si>
  <si>
    <t>Västerängen 2</t>
  </si>
  <si>
    <t>Älsjö</t>
  </si>
  <si>
    <t>Älgsjölandet 2</t>
  </si>
  <si>
    <t>Storramsjö eteläranta</t>
  </si>
  <si>
    <t>Krusbackberget</t>
  </si>
  <si>
    <t>Stormalmen 2</t>
  </si>
  <si>
    <t>Stormalmen 3</t>
  </si>
  <si>
    <t>Stormalmen 4</t>
  </si>
  <si>
    <t>Stormalmen 5</t>
  </si>
  <si>
    <t>Stormalmen 6</t>
  </si>
  <si>
    <t>Stormalmen 7</t>
  </si>
  <si>
    <t>Brännbergen 1</t>
  </si>
  <si>
    <t>Brännbergen 2</t>
  </si>
  <si>
    <t>No label/symbol found ; unclear reason regarding the omission</t>
  </si>
  <si>
    <t>Storberget 1</t>
  </si>
  <si>
    <t>Storberget 2</t>
  </si>
  <si>
    <t>Kasernängarna</t>
  </si>
  <si>
    <t>Pampskatan 6 tykkipatteri</t>
  </si>
  <si>
    <t>Joddböle</t>
  </si>
  <si>
    <t>Joddböle 2</t>
  </si>
  <si>
    <t>Solbacka</t>
  </si>
  <si>
    <t>Träskisbacka</t>
  </si>
  <si>
    <t>Prästholmen</t>
  </si>
  <si>
    <t>Briggharuna</t>
  </si>
  <si>
    <t>Malmikuja</t>
  </si>
  <si>
    <t>Jakobramsjö</t>
  </si>
  <si>
    <t>Träskön 2 tykkipatteri</t>
  </si>
  <si>
    <t>Träskön 4 tykkipatteri</t>
  </si>
  <si>
    <t>Träskön 14 tykkitie</t>
  </si>
  <si>
    <t>Träskön 15 tykkitie</t>
  </si>
  <si>
    <t>Träskön 16 tykkitie</t>
  </si>
  <si>
    <t>Träskön 17 pengerrys</t>
  </si>
  <si>
    <t>Pampskatan 3 tykkipatteri</t>
  </si>
  <si>
    <t>Pampskatan 4 kivirakenne</t>
  </si>
  <si>
    <t>Pampskatan 5 tykkipatteri</t>
  </si>
  <si>
    <t>Pampskatan 9 hautaraunio</t>
  </si>
  <si>
    <t>Byviken 2 hautaraunio</t>
  </si>
  <si>
    <t>Barösund Verkviken</t>
  </si>
  <si>
    <t>Orslandet Oxnäs</t>
  </si>
  <si>
    <t>Idrottsvägen 1</t>
  </si>
  <si>
    <t>Hemåkersbergen</t>
  </si>
  <si>
    <t>Fremböle 1</t>
  </si>
  <si>
    <t>Fremböle 2</t>
  </si>
  <si>
    <t>Fremböle 3</t>
  </si>
  <si>
    <t>Björnviken</t>
  </si>
  <si>
    <t>Stormossen NW 1</t>
  </si>
  <si>
    <t>Stormossen NW 2</t>
  </si>
  <si>
    <t>Gruvviken</t>
  </si>
  <si>
    <t>Flatbergen 2</t>
  </si>
  <si>
    <t>Villkärr</t>
  </si>
  <si>
    <t>Brödkyan</t>
  </si>
  <si>
    <t>Bolekärrskogen 1</t>
  </si>
  <si>
    <t>Bolekärrskogen 2</t>
  </si>
  <si>
    <t>absent</t>
  </si>
  <si>
    <t>Ängelandet 1</t>
  </si>
  <si>
    <t>Ängelandet 2</t>
  </si>
  <si>
    <t>Torpskogen NE</t>
  </si>
  <si>
    <t>Breds torp 1</t>
  </si>
  <si>
    <t>Bolstad Nyby</t>
  </si>
  <si>
    <t>Bolstad Bäckströms</t>
  </si>
  <si>
    <t>Dals soldat torp</t>
  </si>
  <si>
    <t>Böhle soldattorp</t>
  </si>
  <si>
    <t>Maggböle 1</t>
  </si>
  <si>
    <t>Hovgård Krouvi</t>
  </si>
  <si>
    <t>Lövkärr</t>
  </si>
  <si>
    <t>Vars kvarn</t>
  </si>
  <si>
    <t>Högströms</t>
  </si>
  <si>
    <t>Strömsby torppa</t>
  </si>
  <si>
    <t>Västeråkern</t>
  </si>
  <si>
    <t>absent -size?</t>
  </si>
  <si>
    <t>Stenviken</t>
  </si>
  <si>
    <t>maybe size</t>
  </si>
  <si>
    <t>Fagernäs 2</t>
  </si>
  <si>
    <t>Fagernäs Granhammar</t>
  </si>
  <si>
    <t>Lill-Barsgård Johannesberg</t>
  </si>
  <si>
    <t>Raaseporin linna NW</t>
  </si>
  <si>
    <t>Raseborg Kungsgården NW</t>
  </si>
  <si>
    <t>Raseborg Kungsgården N</t>
  </si>
  <si>
    <t>Grönborgin tie</t>
  </si>
  <si>
    <t>Slottsströmmen</t>
  </si>
  <si>
    <t>Svedjaträsket</t>
  </si>
  <si>
    <t>Träskön limisaumahylky</t>
  </si>
  <si>
    <t>out in sea</t>
  </si>
  <si>
    <t>features cluster</t>
  </si>
  <si>
    <t>Lillsundet</t>
  </si>
  <si>
    <t>Lilla Hankelö</t>
  </si>
  <si>
    <t>Domargård VI</t>
  </si>
  <si>
    <t>Skriks N</t>
  </si>
  <si>
    <t>Skansudden linnoite</t>
  </si>
  <si>
    <t>feature cluster</t>
  </si>
  <si>
    <t>Brokärr</t>
  </si>
  <si>
    <t>Salmossen</t>
  </si>
  <si>
    <t>Fallskogen</t>
  </si>
  <si>
    <t>Holmbacken</t>
  </si>
  <si>
    <t>Salmossen 2</t>
  </si>
  <si>
    <t>Permortan miilu</t>
  </si>
  <si>
    <t>Strömsö S</t>
  </si>
  <si>
    <t>Starrböle 2</t>
  </si>
  <si>
    <t>Åminne 1</t>
  </si>
  <si>
    <t>lose to other features</t>
  </si>
  <si>
    <t>Starrböle miilu</t>
  </si>
  <si>
    <t>Nordgolf 1</t>
  </si>
  <si>
    <t>size</t>
  </si>
  <si>
    <t>Nordgolf 2</t>
  </si>
  <si>
    <t>Nordgolf 3</t>
  </si>
  <si>
    <t>Orrberget</t>
  </si>
  <si>
    <t>Urensmalmen 1</t>
  </si>
  <si>
    <t>Urensmalmen 2</t>
  </si>
  <si>
    <t>Urensmalmen 3</t>
  </si>
  <si>
    <t>Urensmalmen 4</t>
  </si>
  <si>
    <t>Urensmalmen 5</t>
  </si>
  <si>
    <t>Urensmalmen 6</t>
  </si>
  <si>
    <t>Urensmalmen 7</t>
  </si>
  <si>
    <t>Urensmalmen 12</t>
  </si>
  <si>
    <t>Urensmalmen 8</t>
  </si>
  <si>
    <t>Urensmalmen 9</t>
  </si>
  <si>
    <t>Urensmalmen 10</t>
  </si>
  <si>
    <t>Marieberg 4</t>
  </si>
  <si>
    <t>Båsa 2</t>
  </si>
  <si>
    <t>Oxhagen rajamerkki</t>
  </si>
  <si>
    <t>Oxhagen röykkiö</t>
  </si>
  <si>
    <t>as stones symbol</t>
  </si>
  <si>
    <t>Råbergen</t>
  </si>
  <si>
    <t>Idrottsvägen 2</t>
  </si>
  <si>
    <t>Trehörnsråberget</t>
  </si>
  <si>
    <t>Fältensdik rå</t>
  </si>
  <si>
    <t>Kittelberget 2</t>
  </si>
  <si>
    <t>Kittelbergs rå</t>
  </si>
  <si>
    <t>Malmskyan 2</t>
  </si>
  <si>
    <t>close ot other features</t>
  </si>
  <si>
    <t>Eriksberg</t>
  </si>
  <si>
    <t>Rådkila 2</t>
  </si>
  <si>
    <t>Prästängsbergen</t>
  </si>
  <si>
    <t>Rådkila 4</t>
  </si>
  <si>
    <t>Rådkila 5</t>
  </si>
  <si>
    <t>Boställsberget 2</t>
  </si>
  <si>
    <t>Halvdels Högberget</t>
  </si>
  <si>
    <t>Rävberget rajakivi 1</t>
  </si>
  <si>
    <t>Rävberget rajakivi 2</t>
  </si>
  <si>
    <t>Trastbackaskogen</t>
  </si>
  <si>
    <t>Domargård VII</t>
  </si>
  <si>
    <t>Domargård VIII</t>
  </si>
  <si>
    <t>Domargård XI</t>
  </si>
  <si>
    <t>Domargård XIII</t>
  </si>
  <si>
    <t>Oxhagakärret</t>
  </si>
  <si>
    <t>Fagernäs 3</t>
  </si>
  <si>
    <t>Pippuri</t>
  </si>
  <si>
    <t>Kurby 3</t>
  </si>
  <si>
    <t>Kurby 4</t>
  </si>
  <si>
    <t>Åsen 2</t>
  </si>
  <si>
    <t>other features closeby</t>
  </si>
  <si>
    <t>Bolstad Nyängen</t>
  </si>
  <si>
    <t>Furu Rå</t>
  </si>
  <si>
    <t>Oxhagen</t>
  </si>
  <si>
    <t>Rävlyåsen</t>
  </si>
  <si>
    <t>Rödjörna</t>
  </si>
  <si>
    <t>Åsenby (Osmundby) Nygrann</t>
  </si>
  <si>
    <t>Torvströmossen 2</t>
  </si>
  <si>
    <t>Långviken 2</t>
  </si>
  <si>
    <t>Varvsudden</t>
  </si>
  <si>
    <t>Storberget 4</t>
  </si>
  <si>
    <t>Malm</t>
  </si>
  <si>
    <t>Torvströmossen 3</t>
  </si>
  <si>
    <t>Svedjaträsket 2</t>
  </si>
  <si>
    <t>Svedjaträsket 3</t>
  </si>
  <si>
    <t>Hundpotten</t>
  </si>
  <si>
    <t>Hundpotten 2</t>
  </si>
  <si>
    <t>Tjärdalsmalmen</t>
  </si>
  <si>
    <t>Krogarbacken 2</t>
  </si>
  <si>
    <t>Långåmossarna 2</t>
  </si>
  <si>
    <t>Stormossen 5</t>
  </si>
  <si>
    <t>Vattusnåldskärret 4</t>
  </si>
  <si>
    <t>Storberget 5</t>
  </si>
  <si>
    <t>Tjärdalsmalmen 3</t>
  </si>
  <si>
    <t>Brandängen</t>
  </si>
  <si>
    <t>Svedjaträsket 4</t>
  </si>
  <si>
    <t>Urensmalmen 13</t>
  </si>
  <si>
    <t>Urensmalmen 14</t>
  </si>
  <si>
    <t>Urensmalmen 15</t>
  </si>
  <si>
    <t>Urensmalmen 16</t>
  </si>
  <si>
    <t>Torvströmossen</t>
  </si>
  <si>
    <t>Svedjaträsket 5</t>
  </si>
  <si>
    <t>Stora Fagerö hiilimiilut</t>
  </si>
  <si>
    <t>Fageröfjärden</t>
  </si>
  <si>
    <t>Brandholmen 1</t>
  </si>
  <si>
    <t>Brandholmen 2</t>
  </si>
  <si>
    <t>displaced a bit to the left; stones</t>
  </si>
  <si>
    <t>Brandängen 2</t>
  </si>
  <si>
    <t>Brandängen 3</t>
  </si>
  <si>
    <t>Fallskogen 2</t>
  </si>
  <si>
    <t>Östra Långö eteläpuoli</t>
  </si>
  <si>
    <t>out in see</t>
  </si>
  <si>
    <t>Kotipuro</t>
  </si>
  <si>
    <t>Salmö 2</t>
  </si>
  <si>
    <t>Rågrund 1</t>
  </si>
  <si>
    <t>Falken</t>
  </si>
  <si>
    <t>Oljegrundet</t>
  </si>
  <si>
    <t>Träskön tynnyrihylky</t>
  </si>
  <si>
    <t>Alku</t>
  </si>
  <si>
    <t>Linjatauluhylky</t>
  </si>
  <si>
    <t>Träskön Segelkobben</t>
  </si>
  <si>
    <t>Remmarudden</t>
  </si>
  <si>
    <t>Rågrund 2</t>
  </si>
  <si>
    <t>Rönnskärin tykkihylky</t>
  </si>
  <si>
    <t>Haruna</t>
  </si>
  <si>
    <t>Notgrundin hylky</t>
  </si>
  <si>
    <t>Pärongrund</t>
  </si>
  <si>
    <t>Stora Pippurviken 1</t>
  </si>
  <si>
    <t>Karlshamnsuddin hylky</t>
  </si>
  <si>
    <t>Linkobben</t>
  </si>
  <si>
    <t>Ryssbrantarna</t>
  </si>
  <si>
    <t>Pampskatan 1</t>
  </si>
  <si>
    <t>in sea</t>
  </si>
  <si>
    <t>Risholmen</t>
  </si>
  <si>
    <t>Kyrkogårdsö</t>
  </si>
  <si>
    <t>Amatus</t>
  </si>
  <si>
    <t>Lövströmsudden</t>
  </si>
  <si>
    <t>Ramsö</t>
  </si>
  <si>
    <t>Sankbådan</t>
  </si>
  <si>
    <t>Trutgrunden</t>
  </si>
  <si>
    <t>Pohjoinen Kotka</t>
  </si>
  <si>
    <t>Oxgrundet</t>
  </si>
  <si>
    <t>Skämmö 1</t>
  </si>
  <si>
    <t>Sumpgrund</t>
  </si>
  <si>
    <t>Kullö</t>
  </si>
  <si>
    <t>Västra Långö</t>
  </si>
  <si>
    <t>Själö</t>
  </si>
  <si>
    <t>Esselholm</t>
  </si>
  <si>
    <t>Bockholmen</t>
  </si>
  <si>
    <t>Rågö Hospitalet</t>
  </si>
  <si>
    <t>Hättornas grundet</t>
  </si>
  <si>
    <t>Norrudden</t>
  </si>
  <si>
    <t>Långö sund 1</t>
  </si>
  <si>
    <t>Långö sund 2</t>
  </si>
  <si>
    <t>Långö sund 3</t>
  </si>
  <si>
    <t>Långösund 4</t>
  </si>
  <si>
    <t>Strömsö Linddalsbukten</t>
  </si>
  <si>
    <t>Höstnäs</t>
  </si>
  <si>
    <t>Rävberget 1</t>
  </si>
  <si>
    <t>cluster of ancient relics(3)</t>
  </si>
  <si>
    <t>Rävberget 2</t>
  </si>
  <si>
    <t>Räfsö</t>
  </si>
  <si>
    <t>Finnvikbergen</t>
  </si>
  <si>
    <t>Jungfruviken</t>
  </si>
  <si>
    <t>Knipholmen</t>
  </si>
  <si>
    <t>Stora Fagerö</t>
  </si>
  <si>
    <t>Marieberg, Finnviken</t>
  </si>
  <si>
    <t>Marieberg 1</t>
  </si>
  <si>
    <t>Marieberg 2</t>
  </si>
  <si>
    <t>Marieberg 3</t>
  </si>
  <si>
    <t>Storsundet</t>
  </si>
  <si>
    <t>Sundskogen 1</t>
  </si>
  <si>
    <t>Sundskogen 2</t>
  </si>
  <si>
    <t>Sundskogen 3</t>
  </si>
  <si>
    <t>Sjöbodarna 1</t>
  </si>
  <si>
    <t>Riddarkil</t>
  </si>
  <si>
    <t>Grundsö 1</t>
  </si>
  <si>
    <t>Andö</t>
  </si>
  <si>
    <t>Svartbäck</t>
  </si>
  <si>
    <t>Nyängen, Oxhagaberget</t>
  </si>
  <si>
    <t>Bastubacka</t>
  </si>
  <si>
    <t>Bränneboberget</t>
  </si>
  <si>
    <t>Hagaberget, Björkudden W</t>
  </si>
  <si>
    <t>ancinet relic; cluster of 2</t>
  </si>
  <si>
    <t>Telegrafberget 2</t>
  </si>
  <si>
    <t>ancient relic; cluster of 3</t>
  </si>
  <si>
    <t>Prästängen</t>
  </si>
  <si>
    <t>Storberget Ålkila</t>
  </si>
  <si>
    <t>Riåkern</t>
  </si>
  <si>
    <t>Högåsa</t>
  </si>
  <si>
    <t>Högberget</t>
  </si>
  <si>
    <t>Storberget Ingarskila</t>
  </si>
  <si>
    <t>ancinet relic</t>
  </si>
  <si>
    <t>Knuts</t>
  </si>
  <si>
    <t>Högbergsfallet</t>
  </si>
  <si>
    <t>ancient relic ; cluster of 3</t>
  </si>
  <si>
    <t>Boställsberget</t>
  </si>
  <si>
    <t>ancient relic; cluster of 2</t>
  </si>
  <si>
    <t>Magasinberget N</t>
  </si>
  <si>
    <t>Magasinberget S</t>
  </si>
  <si>
    <t>Björnsjölandet</t>
  </si>
  <si>
    <t>Simonsberget</t>
  </si>
  <si>
    <t>Storrödjan</t>
  </si>
  <si>
    <t>Flakaberget</t>
  </si>
  <si>
    <t>Brobacka</t>
  </si>
  <si>
    <t>Tallmo</t>
  </si>
  <si>
    <t>Halvdelskärr 1</t>
  </si>
  <si>
    <t>Svartträsket</t>
  </si>
  <si>
    <t>Björkudden E</t>
  </si>
  <si>
    <t>Telegrafberget, varikkoalue</t>
  </si>
  <si>
    <t>Skomakarbacka</t>
  </si>
  <si>
    <t>Torshälla</t>
  </si>
  <si>
    <t>Torshälla SE</t>
  </si>
  <si>
    <t>Ragnvalds</t>
  </si>
  <si>
    <t>Malmgård</t>
  </si>
  <si>
    <t>Kvarnkulla</t>
  </si>
  <si>
    <t>Vahrs</t>
  </si>
  <si>
    <t>Nötterkulla</t>
  </si>
  <si>
    <t>Dråsa kronoskog</t>
  </si>
  <si>
    <t>Majdal</t>
  </si>
  <si>
    <t>Nybacka</t>
  </si>
  <si>
    <t>Nysvenskas</t>
  </si>
  <si>
    <t>Svartnäs</t>
  </si>
  <si>
    <t>Nygrännas</t>
  </si>
  <si>
    <t>Ådgrund</t>
  </si>
  <si>
    <t xml:space="preserve">place name only labelling feature </t>
  </si>
  <si>
    <t>Kurby</t>
  </si>
  <si>
    <t>Domargård I</t>
  </si>
  <si>
    <t>Domargård II</t>
  </si>
  <si>
    <t>Domargård III</t>
  </si>
  <si>
    <t>Domargård IV</t>
  </si>
  <si>
    <t>Domargård kartanonpaikka</t>
  </si>
  <si>
    <t>Harjula</t>
  </si>
  <si>
    <t>Hulubäckberget 1</t>
  </si>
  <si>
    <t>Hagabacka</t>
  </si>
  <si>
    <t>Snörs</t>
  </si>
  <si>
    <t>Bergvalla</t>
  </si>
  <si>
    <t>Nygranns</t>
  </si>
  <si>
    <t>Sutarkulla</t>
  </si>
  <si>
    <t>Bergäng</t>
  </si>
  <si>
    <t>ancient relic, clusters within other features</t>
  </si>
  <si>
    <t>Västre</t>
  </si>
  <si>
    <t>Själdberget</t>
  </si>
  <si>
    <t>Nyåkerskullen</t>
  </si>
  <si>
    <t>Vidbergsåkerskullen</t>
  </si>
  <si>
    <t>Bockklint</t>
  </si>
  <si>
    <t>Stora Näset</t>
  </si>
  <si>
    <t>Hemåkerskullen</t>
  </si>
  <si>
    <t>Lilla Näset</t>
  </si>
  <si>
    <t>Storsvedberget</t>
  </si>
  <si>
    <t>Bäljars 1</t>
  </si>
  <si>
    <t>Bäljars maakellari</t>
  </si>
  <si>
    <t>Grabbacka Borgberget</t>
  </si>
  <si>
    <t>Östergård</t>
  </si>
  <si>
    <t>Sunnandal</t>
  </si>
  <si>
    <t>Etterkilen - Hinders</t>
  </si>
  <si>
    <t>Högvalla</t>
  </si>
  <si>
    <t>Dragongatan</t>
  </si>
  <si>
    <t>cluster of features</t>
  </si>
  <si>
    <t>Läppgatan</t>
  </si>
  <si>
    <t>Storladsbacken</t>
  </si>
  <si>
    <t>Enbacken</t>
  </si>
  <si>
    <t>Haveråkersberget</t>
  </si>
  <si>
    <t>Lillkullan</t>
  </si>
  <si>
    <t>Borgmästars</t>
  </si>
  <si>
    <t>Storåkern</t>
  </si>
  <si>
    <t>Storåkerskullen</t>
  </si>
  <si>
    <t>Första Haveråkersbacken</t>
  </si>
  <si>
    <t>Dårberget</t>
  </si>
  <si>
    <t>Mankeberg</t>
  </si>
  <si>
    <t>Kroggård</t>
  </si>
  <si>
    <t>Hagnäs II</t>
  </si>
  <si>
    <t>Långåmossarna</t>
  </si>
  <si>
    <t>Hönsåkerskullen</t>
  </si>
  <si>
    <t>ancient relic- cluster of 2</t>
  </si>
  <si>
    <t>Säterigatan</t>
  </si>
  <si>
    <t>Råckers</t>
  </si>
  <si>
    <t>Grabben kanava</t>
  </si>
  <si>
    <t>Gjuterigatan</t>
  </si>
  <si>
    <t>Malmkulla</t>
  </si>
  <si>
    <t>Kroggårdsmalmen</t>
  </si>
  <si>
    <t>Gåliberget</t>
  </si>
  <si>
    <t>Södra Lövkulla</t>
  </si>
  <si>
    <t>Gålibacka</t>
  </si>
  <si>
    <t>Hembo</t>
  </si>
  <si>
    <t>Brobacka 22</t>
  </si>
  <si>
    <t>Brobacka 23</t>
  </si>
  <si>
    <t>Skäldberget 3</t>
  </si>
  <si>
    <t>Västanby Barkarkulla</t>
  </si>
  <si>
    <t>Grabbacka</t>
  </si>
  <si>
    <t>Kopparnäs Klobbacka</t>
  </si>
  <si>
    <t>Fiskarviken 1</t>
  </si>
  <si>
    <t>Fiskarviken 2</t>
  </si>
  <si>
    <t>close to another ancinet relic</t>
  </si>
  <si>
    <t>Munkkullabergen</t>
  </si>
  <si>
    <t>Rövars Övergård</t>
  </si>
  <si>
    <t>Rövars Nedergård</t>
  </si>
  <si>
    <t>Tullandet</t>
  </si>
  <si>
    <t>close to other features ; label only</t>
  </si>
  <si>
    <t>Kyrkogårdsön</t>
  </si>
  <si>
    <t>Sjövik 1</t>
  </si>
  <si>
    <t>Sjövik 2</t>
  </si>
  <si>
    <t>Lillskogen 1</t>
  </si>
  <si>
    <t>Lillskogen 2</t>
  </si>
  <si>
    <t>Brunniberg</t>
  </si>
  <si>
    <t>Getberg</t>
  </si>
  <si>
    <t>Kasaberget 1</t>
  </si>
  <si>
    <t>Bastö länsipuoli 1</t>
  </si>
  <si>
    <t>Stora Ångestö</t>
  </si>
  <si>
    <t>in sea/shore</t>
  </si>
  <si>
    <t>Katajamäki</t>
  </si>
  <si>
    <t>Starrböleträsket</t>
  </si>
  <si>
    <t>Sjösäng 3</t>
  </si>
  <si>
    <t>ancient relic- cluster of symbols</t>
  </si>
  <si>
    <t>Sjösäng 4</t>
  </si>
  <si>
    <t>ancient relic ; cluster of 2 symbols</t>
  </si>
  <si>
    <t>Sjösäng 5</t>
  </si>
  <si>
    <t>Sjösäng 6</t>
  </si>
  <si>
    <t>ancient relic- cluster of 4</t>
  </si>
  <si>
    <t>Sjösäng 7</t>
  </si>
  <si>
    <t>ancient relic - cluster of 5 symbols / 3 closeby</t>
  </si>
  <si>
    <t>Sjösäng 8</t>
  </si>
  <si>
    <t>ancient relic - cluster of 2</t>
  </si>
  <si>
    <t>Sjösäng 9</t>
  </si>
  <si>
    <t>ancient relic- cluster of 3</t>
  </si>
  <si>
    <t>Starrböle 1</t>
  </si>
  <si>
    <t>Permortan</t>
  </si>
  <si>
    <t>Nyåkersberget</t>
  </si>
  <si>
    <t>Stormossen</t>
  </si>
  <si>
    <t>Hirvikallio</t>
  </si>
  <si>
    <t>Gunnars</t>
  </si>
  <si>
    <t>Störsvik Snickars 2</t>
  </si>
  <si>
    <t>Störsvik Kolaviken N</t>
  </si>
  <si>
    <t>Broändagård Tjärudalen</t>
  </si>
  <si>
    <t>Broändagård Timala NE</t>
  </si>
  <si>
    <t>n</t>
  </si>
  <si>
    <t>Marsviken</t>
  </si>
  <si>
    <t>Störsviken</t>
  </si>
  <si>
    <t>Ålandsbergen</t>
  </si>
  <si>
    <t>Sandfjärden</t>
  </si>
  <si>
    <t>Svinö</t>
  </si>
  <si>
    <t>Källarlandet</t>
  </si>
  <si>
    <t>Vårdö</t>
  </si>
  <si>
    <t>Störsvikin Kasaberget</t>
  </si>
  <si>
    <t>Nyängsberget</t>
  </si>
  <si>
    <t>Jeppans Bykärr</t>
  </si>
  <si>
    <t>Söderskär</t>
  </si>
  <si>
    <t>Verkvik</t>
  </si>
  <si>
    <t>Båtdrag 2</t>
  </si>
  <si>
    <t>Jeppans</t>
  </si>
  <si>
    <t>Vesterkulla</t>
  </si>
  <si>
    <t>Rullarsböle Kasberget</t>
  </si>
  <si>
    <t>Rullarsböle Kasberget 2</t>
  </si>
  <si>
    <t>Kastalekasen</t>
  </si>
  <si>
    <t>Kastalekasen 2</t>
  </si>
  <si>
    <t>Norrby Björnholm</t>
  </si>
  <si>
    <t>Totalgård</t>
  </si>
  <si>
    <t>Storgård</t>
  </si>
  <si>
    <t>Raaseporin linna</t>
  </si>
  <si>
    <t>Pirttisaari</t>
  </si>
  <si>
    <t>no symbol/label found</t>
  </si>
  <si>
    <t>Käymäsaari</t>
  </si>
  <si>
    <t>Sarviniemi</t>
  </si>
  <si>
    <t>Kirkkoranta</t>
  </si>
  <si>
    <t>no label/symbol found</t>
  </si>
  <si>
    <t>Kirakkajoen niska 3</t>
  </si>
  <si>
    <t>no label/symbol found ; feature cluster</t>
  </si>
  <si>
    <t>Kaaverpoanoja</t>
  </si>
  <si>
    <t>no label/symbl found</t>
  </si>
  <si>
    <t>Päällyskivi</t>
  </si>
  <si>
    <t>Keski-Mustola</t>
  </si>
  <si>
    <t>Tikkiniemi, länsi</t>
  </si>
  <si>
    <t>Alalompola</t>
  </si>
  <si>
    <t>Sarviniementie</t>
  </si>
  <si>
    <t>Ronkajärvi</t>
  </si>
  <si>
    <t>Jänkäjärvi</t>
  </si>
  <si>
    <t>Kirkkomännikkö</t>
  </si>
  <si>
    <t>Kaapin-Matin vanha kenttä</t>
  </si>
  <si>
    <t>no symbol/label</t>
  </si>
  <si>
    <t>Äijihkedgi Ukonkivi</t>
  </si>
  <si>
    <t>Nuoran-Juhani</t>
  </si>
  <si>
    <t>Kankiniemi</t>
  </si>
  <si>
    <t xml:space="preserve"> Kankiniemi—located in Finnish Lapland near the town of Inari—is a recognized cultural and historical heritage site. It is specifically classified under conflict archaeology and "dark heritage"</t>
  </si>
  <si>
    <t>Talovaara lounas</t>
  </si>
  <si>
    <t>Nukkumajoki 9</t>
  </si>
  <si>
    <t>Kaamassaari länsi</t>
  </si>
  <si>
    <t>Mukkajärvenlammet saari</t>
  </si>
  <si>
    <t>Mukkajärvi kaakko</t>
  </si>
  <si>
    <t>Kaapin-Matti</t>
  </si>
  <si>
    <t>Inividual building ; The homestead is a celebrated historical landmark with high cultural and historical value.</t>
  </si>
  <si>
    <t>Vehersaari</t>
  </si>
  <si>
    <t>Kenttäsaari Kankivuono</t>
  </si>
  <si>
    <t>contains the preserved historical remains and log outlines of an old 4x4 meter wilderness camp/dwelling</t>
  </si>
  <si>
    <t>Aikion kenttä / Iisakinkenttä</t>
  </si>
  <si>
    <t>Ronkajärvi koillinen</t>
  </si>
  <si>
    <t>Tupavaara Nukkumajoki</t>
  </si>
  <si>
    <t>Harjujärvi koillinen</t>
  </si>
  <si>
    <t>Nanguvuono, Pontikkalahti</t>
  </si>
  <si>
    <t>Kuádáášluobbâlâš 1</t>
  </si>
  <si>
    <t>Kähteejáávráš</t>
  </si>
  <si>
    <t>Liisankoski</t>
  </si>
  <si>
    <t>Peskilááduuh</t>
  </si>
  <si>
    <t>Peskimyetki</t>
  </si>
  <si>
    <t>Haukkajärvi</t>
  </si>
  <si>
    <t>Maddârkuoškâ 4</t>
  </si>
  <si>
    <t>Luobbâljävri</t>
  </si>
  <si>
    <t>Hautalahti</t>
  </si>
  <si>
    <t>leading beacon symbol found not sure if its cultral related</t>
  </si>
  <si>
    <t>Uáđđivei 11</t>
  </si>
  <si>
    <t>Rahajärvenkaita 2</t>
  </si>
  <si>
    <t>Kolessaari</t>
  </si>
  <si>
    <t>Nirvanmella</t>
  </si>
  <si>
    <t>Alakoski pohjoinen</t>
  </si>
  <si>
    <t>Saamen museo / Vuopaja</t>
  </si>
  <si>
    <t>Vuopaja pohjoinen</t>
  </si>
  <si>
    <t>Siltaoja</t>
  </si>
  <si>
    <t>Nukkumajoki 4</t>
  </si>
  <si>
    <t>Nukkumajoki 2</t>
  </si>
  <si>
    <t>Lusmasaari</t>
  </si>
  <si>
    <t>Ukonsaari</t>
  </si>
  <si>
    <t>Vuopaja etelä</t>
  </si>
  <si>
    <t>Einehjärvi</t>
  </si>
  <si>
    <t>Pielpajärvi</t>
  </si>
  <si>
    <t>Lapinojan talvikylä</t>
  </si>
  <si>
    <t>Nukkumajoki 3</t>
  </si>
  <si>
    <t>anceint relic</t>
  </si>
  <si>
    <t>Nukkumajoki 6</t>
  </si>
  <si>
    <t>Nukkumajoki 7</t>
  </si>
  <si>
    <t>Nukkumajoki 5</t>
  </si>
  <si>
    <t>Ala-Mustola</t>
  </si>
  <si>
    <t>Nunnarosaari</t>
  </si>
  <si>
    <t>Telju Peuna</t>
  </si>
  <si>
    <t>Kenkäniemi</t>
  </si>
  <si>
    <t>Sikaston kenttä</t>
  </si>
  <si>
    <t>Taplasaari</t>
  </si>
  <si>
    <t>Hietaniemi</t>
  </si>
  <si>
    <t>Hangaslahti</t>
  </si>
  <si>
    <t>Hautuumaasaari</t>
  </si>
  <si>
    <t>Munhaissaari</t>
  </si>
  <si>
    <t>Irvasaari</t>
  </si>
  <si>
    <t>Jolluslahti</t>
  </si>
  <si>
    <t>Palosaari</t>
  </si>
  <si>
    <t>Ukonjärven Ukko</t>
  </si>
  <si>
    <t>Morottajankenttä</t>
  </si>
  <si>
    <t>Kenttäsaari Joensuunkenttäsaari</t>
  </si>
  <si>
    <t>Ulkuniemen nokka</t>
  </si>
  <si>
    <t>Säisaari</t>
  </si>
  <si>
    <t>Kourinsaari</t>
  </si>
  <si>
    <t>Kaidanvuono itä</t>
  </si>
  <si>
    <t>Kaidanvuono lounas</t>
  </si>
  <si>
    <t>Mustat Lantot etelä</t>
  </si>
  <si>
    <t>Kirakkaköngäs</t>
  </si>
  <si>
    <t>no label/symbol found ; label over location</t>
  </si>
  <si>
    <t>Huvilaniemi</t>
  </si>
  <si>
    <t>Lahdensuu</t>
  </si>
  <si>
    <t>Satamasaari</t>
  </si>
  <si>
    <t>Kaaverpoan kenttä</t>
  </si>
  <si>
    <t>Täyssinän rauhan rajakivi</t>
  </si>
  <si>
    <t>Nukkumajokisuu länsi saha-alue</t>
  </si>
  <si>
    <t>close to feature cluster ; no label/symbol found</t>
  </si>
  <si>
    <t>Vanhahautuumaasaari</t>
  </si>
  <si>
    <t>Lapinoja länsi</t>
  </si>
  <si>
    <t>Niliniemi</t>
  </si>
  <si>
    <t>Leviä Petäjäsaari</t>
  </si>
  <si>
    <t>Hämähäkkiniemi</t>
  </si>
  <si>
    <t>no label/symbl found ; other feature cluster</t>
  </si>
  <si>
    <t>Sarmijoki</t>
  </si>
  <si>
    <t>Ukonjärven Akku</t>
  </si>
  <si>
    <t>no label/symbl found ; label on top of location but not the one for ths feature</t>
  </si>
  <si>
    <t>Kalkuvaaran Akku</t>
  </si>
  <si>
    <t>no label /symbol found</t>
  </si>
  <si>
    <t>Rahajärvenkaita</t>
  </si>
  <si>
    <t>Nuottamajärven kenttä</t>
  </si>
  <si>
    <t>no label/symbl found ; label on top of location not for this feature</t>
  </si>
  <si>
    <t>Alakoski kaakko</t>
  </si>
  <si>
    <t>Kenkisaari etelä</t>
  </si>
  <si>
    <t>Kaidanvuono itä 2</t>
  </si>
  <si>
    <t>Mustat Lantot pohjoinen</t>
  </si>
  <si>
    <t>Kenkiniemi pohjoinen 4</t>
  </si>
  <si>
    <t>Kenkiniemi pohjoinen 3</t>
  </si>
  <si>
    <t>Kenkiniemi pohjoinen 2</t>
  </si>
  <si>
    <t>Kenkiniemi pohjoinen 1</t>
  </si>
  <si>
    <t>Mustavaara</t>
  </si>
  <si>
    <t>no label/symbol found ; another feature on top of location</t>
  </si>
  <si>
    <t>Kaidanvuonon saari länsi</t>
  </si>
  <si>
    <t>Kaidanvuonon saari itä</t>
  </si>
  <si>
    <t>Kirakkajoen voimala</t>
  </si>
  <si>
    <t>Apajalahdensuu</t>
  </si>
  <si>
    <t>Paavisvuononperänsuu</t>
  </si>
  <si>
    <t>Aunionlahden salmi lounas 2</t>
  </si>
  <si>
    <t>Ronkajoen suu lounas</t>
  </si>
  <si>
    <t>Aunionlahden perukka</t>
  </si>
  <si>
    <t>Aunionlahden salmi koillinen 1</t>
  </si>
  <si>
    <t>Aunionojan suu</t>
  </si>
  <si>
    <t>Rahajärvensalmi</t>
  </si>
  <si>
    <t>Rahajärvenperä</t>
  </si>
  <si>
    <t>Kirakkajoen niska 1</t>
  </si>
  <si>
    <t>no label/symbol found ; other features over location</t>
  </si>
  <si>
    <t>Kirakkajoen niska 2</t>
  </si>
  <si>
    <t xml:space="preserve">Yes </t>
  </si>
  <si>
    <t>no label/symbol found ; other features nearby</t>
  </si>
  <si>
    <t>Kirakkajoen niska 4</t>
  </si>
  <si>
    <t>Suovataival</t>
  </si>
  <si>
    <t>None within sheet extent !!!</t>
  </si>
  <si>
    <t>Shed</t>
  </si>
  <si>
    <t>Rauman rautatieasema</t>
  </si>
  <si>
    <t>shed, small sized</t>
  </si>
  <si>
    <t>Station Building</t>
  </si>
  <si>
    <t>as commercial/public building</t>
  </si>
  <si>
    <t>Residential Barracks</t>
  </si>
  <si>
    <t>Karjaan rautatieasema-alue</t>
  </si>
  <si>
    <t xml:space="preserve">as residential building </t>
  </si>
  <si>
    <t>Barn</t>
  </si>
  <si>
    <t>no symbol or associated feature found ; crowded space with features</t>
  </si>
  <si>
    <t xml:space="preserve">as commercial/public building </t>
  </si>
  <si>
    <t>Locomotive Depot</t>
  </si>
  <si>
    <t>Cellar</t>
  </si>
  <si>
    <t xml:space="preserve">Sauna                                                                                               </t>
  </si>
  <si>
    <t>no symbol or associated feature found ; crowded space with features; shed , small sized</t>
  </si>
  <si>
    <t>Toilet*</t>
  </si>
  <si>
    <t>Church</t>
  </si>
  <si>
    <t>Pielpajärven kirkko</t>
  </si>
  <si>
    <t>Present (Emphasized)</t>
  </si>
  <si>
    <t>as church building, bold black cross</t>
  </si>
  <si>
    <t>value--Bold</t>
  </si>
  <si>
    <t>Vanha Rauma/ Raumajoen pohjoispuoli</t>
  </si>
  <si>
    <t>Snappertunan kirkko</t>
  </si>
  <si>
    <t>Bell Tower</t>
  </si>
  <si>
    <t>close to church; bell tower is part of church but not rendered</t>
  </si>
  <si>
    <t xml:space="preserve">Tapuli                                                                                              </t>
  </si>
  <si>
    <t>Workshop</t>
  </si>
  <si>
    <t xml:space="preserve">no symbol or associated feature found </t>
  </si>
  <si>
    <t xml:space="preserve">Church- Protected building </t>
  </si>
  <si>
    <t>Pielpajärven erämaakirkko</t>
  </si>
  <si>
    <t xml:space="preserve">as bold black cross </t>
  </si>
  <si>
    <t>Inarin Saamelaiskirkko</t>
  </si>
  <si>
    <t>Snappertuna kyrka</t>
  </si>
  <si>
    <t>Degerby kyrka</t>
  </si>
  <si>
    <t xml:space="preserve">Line - International Boundary </t>
  </si>
  <si>
    <t>Segment 1</t>
  </si>
  <si>
    <t xml:space="preserve">National Boundary depicted by segmented dash-dot line with an added hashed buffer </t>
  </si>
  <si>
    <t>Size and 2 color values</t>
  </si>
  <si>
    <t xml:space="preserve">UN Borders***; World Bank Official Borders </t>
  </si>
  <si>
    <t>Line- Municipal Boundary</t>
  </si>
  <si>
    <t xml:space="preserve">Overlaps with National Boundary, Scale specific? No </t>
  </si>
  <si>
    <t>MapSite NLS-FI</t>
  </si>
  <si>
    <t xml:space="preserve">Line - Province </t>
  </si>
  <si>
    <t>Line- Regional Boundary</t>
  </si>
  <si>
    <t xml:space="preserve">Overlaps with National Boundary </t>
  </si>
  <si>
    <t>Line - Rear boundary of boundary Zone</t>
  </si>
  <si>
    <t>Boundary depicted as a continuous hashed purple line</t>
  </si>
  <si>
    <t xml:space="preserve">Map itself, No other reference </t>
  </si>
  <si>
    <t xml:space="preserve">Line- Conservation Area </t>
  </si>
  <si>
    <t xml:space="preserve">rendered as conservation area boundary </t>
  </si>
  <si>
    <t>Polygon - Conservation Area</t>
  </si>
  <si>
    <t xml:space="preserve">Conservation Area </t>
  </si>
  <si>
    <t xml:space="preserve">rendered as an enclosed conservation area polygon </t>
  </si>
  <si>
    <t xml:space="preserve">Line - Limit of Territorial Waters </t>
  </si>
  <si>
    <t>Segment 4</t>
  </si>
  <si>
    <t xml:space="preserve">Boundary depicted as patterned line </t>
  </si>
  <si>
    <t>MapSite NLS-FI; Marine Regions Org</t>
  </si>
  <si>
    <t>Line - Municipal Boundary</t>
  </si>
  <si>
    <t>Boundary depicted as segmented dash-dot line</t>
  </si>
  <si>
    <t>Line - Regional Boundary</t>
  </si>
  <si>
    <t>Segment 2</t>
  </si>
  <si>
    <t xml:space="preserve">Boundary depicted as segmented dash- 2 dot line </t>
  </si>
  <si>
    <t>Segment 3</t>
  </si>
  <si>
    <t xml:space="preserve">Overlaps with regional boundary </t>
  </si>
  <si>
    <t>Line- Province Boundary</t>
  </si>
  <si>
    <t>Overlaps with limit of territorial water</t>
  </si>
  <si>
    <t>Segment 5</t>
  </si>
  <si>
    <t>Segment 6</t>
  </si>
  <si>
    <t xml:space="preserve">Segment 3 </t>
  </si>
  <si>
    <t>Line-Limit of Territorial Waters</t>
  </si>
  <si>
    <t xml:space="preserve">Boundary symbolized as limits of territorial water , but no exising documentation that the limit of territorial waters exist there </t>
  </si>
  <si>
    <t>None within sheet</t>
  </si>
  <si>
    <t>Restricted area polygon</t>
  </si>
  <si>
    <t>Upinniemi Naval base</t>
  </si>
  <si>
    <t>NA</t>
  </si>
  <si>
    <t xml:space="preserve">No indication of restricted area or military use </t>
  </si>
  <si>
    <t>Finnish Defense Forces(https://puolustusvoimat.fi/documents/1951215/2015884/upinniemi.gif/3ae5fbbd-8db5-4c99-b9c7-79e0d0cb942f?t=1484114045000)</t>
  </si>
  <si>
    <t xml:space="preserve">Alternative Names </t>
  </si>
  <si>
    <t xml:space="preserve">Languages </t>
  </si>
  <si>
    <t>Lake or pond</t>
  </si>
  <si>
    <t>Liskujärvi</t>
  </si>
  <si>
    <t>Liskujärvi; Čuuskâšjävri</t>
  </si>
  <si>
    <t>fin;smn</t>
  </si>
  <si>
    <t xml:space="preserve"> </t>
  </si>
  <si>
    <t>label for Lake/pond ; Finnish label on top</t>
  </si>
  <si>
    <t xml:space="preserve">MapSite NLS-FI  </t>
  </si>
  <si>
    <t>Tammukkalampi</t>
  </si>
  <si>
    <t>Tammukkalampi; Veejeehjáávráš</t>
  </si>
  <si>
    <t xml:space="preserve">Absent </t>
  </si>
  <si>
    <t>no label found; size</t>
  </si>
  <si>
    <t>Puállámčielgijävri</t>
  </si>
  <si>
    <t>Puállámčielgijävri; Paloselkäjärvi</t>
  </si>
  <si>
    <t>smn;fin</t>
  </si>
  <si>
    <t>Finnish label on top</t>
  </si>
  <si>
    <t>Äägisvärjáávráš</t>
  </si>
  <si>
    <t>Äägisvärjáávráš; Hangasjärvi</t>
  </si>
  <si>
    <t>Elevation</t>
  </si>
  <si>
    <t>Peuranuittamaselkä</t>
  </si>
  <si>
    <t>fin</t>
  </si>
  <si>
    <t xml:space="preserve">Label for elevation; terrain feature </t>
  </si>
  <si>
    <t>Pennuuvääri</t>
  </si>
  <si>
    <t>Pennuuvääri; Pennuuläppimvääri; Koiravaara</t>
  </si>
  <si>
    <t>smn;smn;fin</t>
  </si>
  <si>
    <t>Finnish in top , followed by Smn</t>
  </si>
  <si>
    <t>Miällááváárááš</t>
  </si>
  <si>
    <t>smn</t>
  </si>
  <si>
    <t>Watercourse</t>
  </si>
  <si>
    <t>Harrioja</t>
  </si>
  <si>
    <t>Harrioja; Suávviljuuvâš</t>
  </si>
  <si>
    <t xml:space="preserve"> Yes</t>
  </si>
  <si>
    <t xml:space="preserve">No label found in area ; size </t>
  </si>
  <si>
    <t>Čapisvääri</t>
  </si>
  <si>
    <t>Čapisvääri; Mustavaara</t>
  </si>
  <si>
    <t>Cape</t>
  </si>
  <si>
    <t>Kirvesniemi</t>
  </si>
  <si>
    <t>Kirvesniemi; Ákšunjaargâš</t>
  </si>
  <si>
    <t>Lompolanjärvi</t>
  </si>
  <si>
    <t>Lompolanjärvi; Luobbâljävri</t>
  </si>
  <si>
    <t>Suávviljáávráš</t>
  </si>
  <si>
    <t>Suávviljáávráš; Harrijärvi</t>
  </si>
  <si>
    <t>Puállámčielgi</t>
  </si>
  <si>
    <t>Puállámčielgi; Paloselkä</t>
  </si>
  <si>
    <t>Ulkuniemi</t>
  </si>
  <si>
    <t>Ulkuniemi; Ulgânjargâ</t>
  </si>
  <si>
    <t>Island or islet</t>
  </si>
  <si>
    <t>Sarmisaari</t>
  </si>
  <si>
    <t>Sarmisaari; Čaarmâčuážžumsuálui</t>
  </si>
  <si>
    <t>Uccluobbâlâš</t>
  </si>
  <si>
    <t>Uccluobbâlâš; Pikkulompola</t>
  </si>
  <si>
    <t>Misseevááráájáávráš</t>
  </si>
  <si>
    <t>Misseevááráájáávráš; Missevaaranjärvi</t>
  </si>
  <si>
    <t>Missevaara</t>
  </si>
  <si>
    <t>Missevaara; Misseeváárááš</t>
  </si>
  <si>
    <t>Group of lakes or ponds</t>
  </si>
  <si>
    <t>Mukkajärvet</t>
  </si>
  <si>
    <t>Mukkajärvet; Mokkejávrááh</t>
  </si>
  <si>
    <t>Silmäpuoliahvenjärvi</t>
  </si>
  <si>
    <t>Silmäpuoliahvenjärvi; Čalmepelvuáskujávrááh</t>
  </si>
  <si>
    <t>Patojärvet</t>
  </si>
  <si>
    <t>label for group of ponds</t>
  </si>
  <si>
    <t>Äittilássá</t>
  </si>
  <si>
    <t>Äittilássá; Aittalaassa</t>
  </si>
  <si>
    <t>Áánnášnjargâ</t>
  </si>
  <si>
    <t xml:space="preserve">Label for cape </t>
  </si>
  <si>
    <t>Mustaniemi</t>
  </si>
  <si>
    <t>Mustaniemi; Čapisnjargâ</t>
  </si>
  <si>
    <t>no label found; enough space for label</t>
  </si>
  <si>
    <t>Luolajärvi</t>
  </si>
  <si>
    <t>Luolajärvi; Juovâluovtjáávráš</t>
  </si>
  <si>
    <t>Pirkittajärvi</t>
  </si>
  <si>
    <t>Pirkittajärvi; Pirgitjáávráš</t>
  </si>
  <si>
    <t>Group of islands or islets</t>
  </si>
  <si>
    <t>Njurgomsuálui</t>
  </si>
  <si>
    <t>Njurgomsuálui; Vihellyssaaret</t>
  </si>
  <si>
    <t>no label found ; maybe attributable to size of island</t>
  </si>
  <si>
    <t>Kuávžurnjuškimnjargâ</t>
  </si>
  <si>
    <t>Kuávžurnjuškimnjargâ; Taimenhyppäämäniemi</t>
  </si>
  <si>
    <t>Kähteejuuvâš</t>
  </si>
  <si>
    <t>Keđgivihálâh</t>
  </si>
  <si>
    <t>Keđgivihálâh; Kivitarpoma</t>
  </si>
  <si>
    <t>Rissenjargâ</t>
  </si>
  <si>
    <t>Rissenjargâ; Vittaniemi</t>
  </si>
  <si>
    <t>Syeinikuovđâjáávráš</t>
  </si>
  <si>
    <t>Syeinikuovđâjáávráš; Heinäaronjärvi</t>
  </si>
  <si>
    <t>Kolmumkuátieennâm</t>
  </si>
  <si>
    <t>Lompolanjärvenoja</t>
  </si>
  <si>
    <t xml:space="preserve">No label found in area ; small feature ;waterway symbolized </t>
  </si>
  <si>
    <t>Part of lake</t>
  </si>
  <si>
    <t>Uusivuono</t>
  </si>
  <si>
    <t>Uusivuono; Uđđâvuonâ</t>
  </si>
  <si>
    <t>Kevätkalalahti</t>
  </si>
  <si>
    <t>Kevätkalalahti; Kiđđâkyelluohtâ</t>
  </si>
  <si>
    <t>possible size generalization; labels nearby conflict</t>
  </si>
  <si>
    <t>Čapisluohtâ</t>
  </si>
  <si>
    <t>Čapisluohtâ; Mustalahti</t>
  </si>
  <si>
    <t>Rapids</t>
  </si>
  <si>
    <t>Läbispuálláš</t>
  </si>
  <si>
    <t>Läbispuálláš; Karitsaniva</t>
  </si>
  <si>
    <t>size of feature</t>
  </si>
  <si>
    <t>Annanlahti</t>
  </si>
  <si>
    <t>Annanlahti; Áánnášluohtâ</t>
  </si>
  <si>
    <t>Peskalahti</t>
  </si>
  <si>
    <t>Peskalahti; Peskiluohtâ</t>
  </si>
  <si>
    <t>Ulkulahti</t>
  </si>
  <si>
    <t>Ulkulahti; Ulgâluohtâ</t>
  </si>
  <si>
    <t>Toorâhluohtâ</t>
  </si>
  <si>
    <t>Toorâhluohtâ; Torahlahti</t>
  </si>
  <si>
    <t>Čaarmâvuonâ</t>
  </si>
  <si>
    <t>Čaarmâvuonâ; Sarmivuono</t>
  </si>
  <si>
    <t>Former dwelling place</t>
  </si>
  <si>
    <t xml:space="preserve"> no label found;</t>
  </si>
  <si>
    <t>Other terrain feature</t>
  </si>
  <si>
    <t>Juvnjälmi</t>
  </si>
  <si>
    <t>House</t>
  </si>
  <si>
    <t>Einari</t>
  </si>
  <si>
    <t>House ; Importance likely; Secluded areas</t>
  </si>
  <si>
    <t>Kähteejáávráš; Kaakkurijärvi</t>
  </si>
  <si>
    <t>Annin Jäkälännostamajärvi</t>
  </si>
  <si>
    <t>Annin Jäkälännostamajärvi; Ánnáá Jävilkoccoomjáávráš</t>
  </si>
  <si>
    <t>No label found in area ; feature is small</t>
  </si>
  <si>
    <t>Käldeejáávráš</t>
  </si>
  <si>
    <t>Käldeejáávráš; Kaltiolampi</t>
  </si>
  <si>
    <t>Kaitajärvi</t>
  </si>
  <si>
    <t>Kaitajärvi; Skäiđijävri</t>
  </si>
  <si>
    <t>Cuobbuuváárááš</t>
  </si>
  <si>
    <t>Cuobbuuváárááš; Sammakkovaara</t>
  </si>
  <si>
    <t>Finnish in top ; no OSM reference</t>
  </si>
  <si>
    <t>Cuobbuujáávráš</t>
  </si>
  <si>
    <t>Cuobbuujáávráš; Sammakkojärvi</t>
  </si>
  <si>
    <t>Nuottamojärvi</t>
  </si>
  <si>
    <t>Nuottamojärvi; Koldemjävri</t>
  </si>
  <si>
    <t>Forested area</t>
  </si>
  <si>
    <t>Puolžâ</t>
  </si>
  <si>
    <t>Puolžâ; Harjumaa</t>
  </si>
  <si>
    <t>maybe sheet cutoff;</t>
  </si>
  <si>
    <t>Kaitajärvenlompola</t>
  </si>
  <si>
    <t>Kaitajärvenlompola; Skäiđijävrluobâl</t>
  </si>
  <si>
    <t>Skäiđivääri</t>
  </si>
  <si>
    <t>Skäiđivääri; Kaitavaara</t>
  </si>
  <si>
    <t xml:space="preserve">no label found; enough space ; genealization unlikely </t>
  </si>
  <si>
    <t>Mikonlampi</t>
  </si>
  <si>
    <t>Mikonlampi; Pälgispeljáávráš</t>
  </si>
  <si>
    <t>Akkasaari</t>
  </si>
  <si>
    <t>Akkasaari; Kálgusuolluš</t>
  </si>
  <si>
    <t>Sarmilompola</t>
  </si>
  <si>
    <t>Sarmilompola; Čaarmâluobâl</t>
  </si>
  <si>
    <t>Leipäsaari</t>
  </si>
  <si>
    <t>Leipäsaari; Leibisuálui</t>
  </si>
  <si>
    <t>Rovaniemi</t>
  </si>
  <si>
    <t>Rovaniemi; Ruávinjargâ</t>
  </si>
  <si>
    <t xml:space="preserve">no label found; </t>
  </si>
  <si>
    <t>Kapteeninsaari</t>
  </si>
  <si>
    <t>Kapteeninsaari; Čappurassuálui</t>
  </si>
  <si>
    <t>Matalasaari</t>
  </si>
  <si>
    <t>Matalasaari; Segissuálui</t>
  </si>
  <si>
    <t>Vihellyssaari</t>
  </si>
  <si>
    <t>Vihellyssaari; Njurgomsuálui</t>
  </si>
  <si>
    <t>Tuvesiägáájáávráš</t>
  </si>
  <si>
    <t>Tuvesiägáájáávráš; Tuvanselkäjärvi</t>
  </si>
  <si>
    <t>Ruáhujáávráš</t>
  </si>
  <si>
    <t>Ruáhujáávráš; Rytilampi</t>
  </si>
  <si>
    <t>Lauttajärvi</t>
  </si>
  <si>
    <t>Lauttajärvi; Puornâjáávráš</t>
  </si>
  <si>
    <t>Kynsikoskenjärvi</t>
  </si>
  <si>
    <t>Kynsikoskenjärvi; Kozzâkuoškjáávráš</t>
  </si>
  <si>
    <t>Ruijanjoki</t>
  </si>
  <si>
    <t>Ruijanjoki; Tarruujuuhâ</t>
  </si>
  <si>
    <t xml:space="preserve">No label found in area ; feature is small ; another label on top </t>
  </si>
  <si>
    <t>Toorâhjävri</t>
  </si>
  <si>
    <t>Toorâhjävri; Torahjärvi</t>
  </si>
  <si>
    <t>Beahcevuotkinvárri</t>
  </si>
  <si>
    <t>Beahcevuotkinvárri; Pecivyetkimvääri; Petäjänkuorimavaara</t>
  </si>
  <si>
    <t>sme;smn;fin</t>
  </si>
  <si>
    <t>Finnish in top ; followed by Smn and ten by Sme</t>
  </si>
  <si>
    <t>Suáhinjargâ</t>
  </si>
  <si>
    <t>Suáhinjargâ; Koivuniemi</t>
  </si>
  <si>
    <t>no label found</t>
  </si>
  <si>
    <t>Juomusniemi</t>
  </si>
  <si>
    <t>Juomusniemi; Juoŋâsnjargâ</t>
  </si>
  <si>
    <t>Silgeejävri</t>
  </si>
  <si>
    <t>Silgeejävri; Silkejärvi</t>
  </si>
  <si>
    <t>Skäiđivärjáávráš</t>
  </si>
  <si>
    <t>Skäiđivärjáávráš; Kaitavaaranjärvi</t>
  </si>
  <si>
    <t>Leppäjärvi</t>
  </si>
  <si>
    <t>Leppäjärvi; Leibijáávráš</t>
  </si>
  <si>
    <t>Pyhäjärvi</t>
  </si>
  <si>
    <t>Pyhäjärvi; Pajebuš Pasejävri</t>
  </si>
  <si>
    <t>Silgeevääri</t>
  </si>
  <si>
    <t>Silgeevääri; Silkevaara</t>
  </si>
  <si>
    <t>Radiokämppäjärvi</t>
  </si>
  <si>
    <t>Radiokämppäjärvi; Mokkejáávráš</t>
  </si>
  <si>
    <t>Kynsikoski</t>
  </si>
  <si>
    <t>Kynsikoski; Kozzâkuoškâ</t>
  </si>
  <si>
    <t>similar names closeby; finnish at top ; feature is small</t>
  </si>
  <si>
    <t>Mannerkoski</t>
  </si>
  <si>
    <t>Mannerkoski; Maddârkuoškâ</t>
  </si>
  <si>
    <t>other label on top; corwded space</t>
  </si>
  <si>
    <t>Sarmijärvi</t>
  </si>
  <si>
    <t>House ; likely due to size; ther is enough space for label but size is likely the reason</t>
  </si>
  <si>
    <t>Kaisaranta</t>
  </si>
  <si>
    <t xml:space="preserve">Label for house; single building </t>
  </si>
  <si>
    <t>Vasakaltio</t>
  </si>
  <si>
    <t>House; Importance likely; Secluded area</t>
  </si>
  <si>
    <t>Jänkäperä</t>
  </si>
  <si>
    <t>Mustola</t>
  </si>
  <si>
    <t>Saunakangas</t>
  </si>
  <si>
    <t>no label found ; forested area</t>
  </si>
  <si>
    <t>Saukkojänkänjärvi</t>
  </si>
  <si>
    <t xml:space="preserve">label for Lake/pond </t>
  </si>
  <si>
    <t>Karhuselkä</t>
  </si>
  <si>
    <t>Saukkolompola</t>
  </si>
  <si>
    <t>Kantturilammet</t>
  </si>
  <si>
    <t>Lehtivaara</t>
  </si>
  <si>
    <t>Tammukkajärvi</t>
  </si>
  <si>
    <t>Tammukkajärvi; Veejeehjáávráš</t>
  </si>
  <si>
    <t>Tammukkajärvi at top ; Veejeehjáávráš bottom</t>
  </si>
  <si>
    <t>Taimenlampi</t>
  </si>
  <si>
    <t>Marsh or paludified area</t>
  </si>
  <si>
    <t>Kaivosjänkkä</t>
  </si>
  <si>
    <t>Pahtajärvi</t>
  </si>
  <si>
    <t>Pahtajärvi; Pähtijävri</t>
  </si>
  <si>
    <t>Pahtalompola</t>
  </si>
  <si>
    <t>Pahtaoja</t>
  </si>
  <si>
    <t>label for watercourse</t>
  </si>
  <si>
    <t>Pahtaojanlammet</t>
  </si>
  <si>
    <t>size ; no abel found</t>
  </si>
  <si>
    <t>Silmäjärvi</t>
  </si>
  <si>
    <t>Pähtivääri</t>
  </si>
  <si>
    <t>Pähtivääri; Pahtavaara</t>
  </si>
  <si>
    <t>Päänalusjänkkä</t>
  </si>
  <si>
    <t>Polkupuolivaara</t>
  </si>
  <si>
    <t>Kivijärvi</t>
  </si>
  <si>
    <t>Mitätönlampi</t>
  </si>
  <si>
    <t>Juvduuruávi</t>
  </si>
  <si>
    <t>Juvduuruávi; Juutuanvaara</t>
  </si>
  <si>
    <t>Rapavattavaara</t>
  </si>
  <si>
    <t>Palolampi</t>
  </si>
  <si>
    <t>Papinlampi</t>
  </si>
  <si>
    <t>Uáđđivei</t>
  </si>
  <si>
    <t>Uáđđivei; Nukkumajoki</t>
  </si>
  <si>
    <t>Pahtalampi</t>
  </si>
  <si>
    <t>Saunalammenoja</t>
  </si>
  <si>
    <t>Saukkojänkänoja</t>
  </si>
  <si>
    <t>Lapinoja</t>
  </si>
  <si>
    <t>Honkalampi</t>
  </si>
  <si>
    <t>Urrváárááš</t>
  </si>
  <si>
    <t>Urrváárááš; Uruvaara</t>
  </si>
  <si>
    <t>Savioja</t>
  </si>
  <si>
    <t>cluster of labels directly on top; Inari</t>
  </si>
  <si>
    <t>Shallows</t>
  </si>
  <si>
    <t>Hirvaskari</t>
  </si>
  <si>
    <t>Hirvaskari; Jiälluškeđgi</t>
  </si>
  <si>
    <t>Savzâsuálui</t>
  </si>
  <si>
    <t>Savzâsuálui; Lammassaari</t>
  </si>
  <si>
    <t>Shore or waterside</t>
  </si>
  <si>
    <t>crowded space; clustered features</t>
  </si>
  <si>
    <t>Pappilanniemi</t>
  </si>
  <si>
    <t>Pappilanniemi; Pappâlnjargâ</t>
  </si>
  <si>
    <t>no label found; feature cluster - too crowded</t>
  </si>
  <si>
    <t>Vuopajanniemi</t>
  </si>
  <si>
    <t>size; close to other label</t>
  </si>
  <si>
    <t>Korppioja</t>
  </si>
  <si>
    <t>Uhuoja</t>
  </si>
  <si>
    <t>Ekorrensaari</t>
  </si>
  <si>
    <t>Ulmosensaari</t>
  </si>
  <si>
    <t>Sirrioja</t>
  </si>
  <si>
    <t>Sirrioja; Cyerijuuvâš</t>
  </si>
  <si>
    <t>Pahtaniemi</t>
  </si>
  <si>
    <t>Pahtaniemi; Cyerinjargâš</t>
  </si>
  <si>
    <t>Sarviniemi; Čuárvinjargâ</t>
  </si>
  <si>
    <t>Kalkuvaara</t>
  </si>
  <si>
    <t>Kalkuvaara; Kálguvääri</t>
  </si>
  <si>
    <t>Sirrijärvi</t>
  </si>
  <si>
    <t>Sirrijärvi; Cyerijävri</t>
  </si>
  <si>
    <t>Rävdeeváárááš</t>
  </si>
  <si>
    <t>Rävdeeváárááš; Rautiovaara</t>
  </si>
  <si>
    <t>Koivuniemi</t>
  </si>
  <si>
    <t>size;</t>
  </si>
  <si>
    <t>Hirvasniemi</t>
  </si>
  <si>
    <t>Varissaaret</t>
  </si>
  <si>
    <t>Suárvinjargâ</t>
  </si>
  <si>
    <t>size; close to other features</t>
  </si>
  <si>
    <t>Ukonjänkkä</t>
  </si>
  <si>
    <t>size; no label found</t>
  </si>
  <si>
    <t>Ergivääri</t>
  </si>
  <si>
    <t>Ergivääri; Härkävaara</t>
  </si>
  <si>
    <t>Karjelijärvet</t>
  </si>
  <si>
    <t>Karjelijärvet; Kärjiljávrááh</t>
  </si>
  <si>
    <t>referes to the group of ponds/lake; individual lakes are small</t>
  </si>
  <si>
    <t>Group of elevations</t>
  </si>
  <si>
    <t>Piegguáivááh</t>
  </si>
  <si>
    <t>Piegguáivááh; Tuulispäät</t>
  </si>
  <si>
    <t>Tupavaara</t>
  </si>
  <si>
    <t>Hukkaoja</t>
  </si>
  <si>
    <t>Haarasalmenoja</t>
  </si>
  <si>
    <t>Ergiváárááš</t>
  </si>
  <si>
    <t>Siskelijärvenpalot</t>
  </si>
  <si>
    <t xml:space="preserve">Label for forested area </t>
  </si>
  <si>
    <t>Paksuniemi</t>
  </si>
  <si>
    <t>Siskelijärvi</t>
  </si>
  <si>
    <t>Siskelijärvi; Siskeljävri</t>
  </si>
  <si>
    <t>Kärjilvei</t>
  </si>
  <si>
    <t>Pingospahta</t>
  </si>
  <si>
    <t>size seems to be small</t>
  </si>
  <si>
    <t>Kaaristo-oja</t>
  </si>
  <si>
    <t>Risuoja</t>
  </si>
  <si>
    <t>Huutoniemi</t>
  </si>
  <si>
    <t>Čuđevuáčču</t>
  </si>
  <si>
    <t>Turvesaari</t>
  </si>
  <si>
    <t>Sunccuslássá</t>
  </si>
  <si>
    <t>Sunccuslássá; Suntsuslaassa</t>
  </si>
  <si>
    <t>Lukkusaari</t>
  </si>
  <si>
    <t>Lukkusaari; Lukkuusuálui</t>
  </si>
  <si>
    <t>Kaakkurisalmensaari</t>
  </si>
  <si>
    <t>Label for island/islets</t>
  </si>
  <si>
    <t>Haarasalmensaari</t>
  </si>
  <si>
    <t>Haukkapesävaara</t>
  </si>
  <si>
    <t>Jouninniemi</t>
  </si>
  <si>
    <t>Silmänpesemälantto</t>
  </si>
  <si>
    <t>Kotasijalantto</t>
  </si>
  <si>
    <t>symbolized as water hole but not labelled</t>
  </si>
  <si>
    <t>Sairaaluohtvääri</t>
  </si>
  <si>
    <t>Sairaaluohtvääri; Sairalahdenvaara</t>
  </si>
  <si>
    <t xml:space="preserve">No label found in area </t>
  </si>
  <si>
    <t>Kaijasaari</t>
  </si>
  <si>
    <t>Kieddsuálui</t>
  </si>
  <si>
    <t>Kieddsuálui; Kenttäsaari</t>
  </si>
  <si>
    <t>Boulder in water or boulders in water</t>
  </si>
  <si>
    <t>Kusikari</t>
  </si>
  <si>
    <t>symbolized but not labelled</t>
  </si>
  <si>
    <t>Säisaari; Säđisuálui</t>
  </si>
  <si>
    <t>Ratsinasaari</t>
  </si>
  <si>
    <t>Korvuslaassa</t>
  </si>
  <si>
    <t>Korvuslaassa; Kuárvislássá</t>
  </si>
  <si>
    <t>Vihelsaari</t>
  </si>
  <si>
    <t>Vihelsaari; Ulgâsuálui; Njurgomsuálui</t>
  </si>
  <si>
    <t>fin;smn;smn</t>
  </si>
  <si>
    <t>Turkinrepimäsaari</t>
  </si>
  <si>
    <t>Suossuolluuh</t>
  </si>
  <si>
    <t>Suossuolluuh; Suassaaret</t>
  </si>
  <si>
    <t>Finnish label at top; group if islands</t>
  </si>
  <si>
    <t>Ahmasalmensaari</t>
  </si>
  <si>
    <t>Rippusaari</t>
  </si>
  <si>
    <t>Rippusaari; Rippuusuálui</t>
  </si>
  <si>
    <t>Aittalaassa</t>
  </si>
  <si>
    <t>size ; group of islands is named not individuals</t>
  </si>
  <si>
    <t>Kanisaari</t>
  </si>
  <si>
    <t>Aaltokari</t>
  </si>
  <si>
    <t>Aaltokari; Áldukárgu</t>
  </si>
  <si>
    <t>Siämujeggi</t>
  </si>
  <si>
    <t>Siämujeggi; Partajänkkä</t>
  </si>
  <si>
    <t>Lahjahaminanvaara</t>
  </si>
  <si>
    <t>Aaltovaara</t>
  </si>
  <si>
    <t>Aaltovaara; Álduvääri</t>
  </si>
  <si>
    <t>Elinajärvi</t>
  </si>
  <si>
    <t>Elinajärvi; Eellimjáávráš</t>
  </si>
  <si>
    <t>Elinavaara</t>
  </si>
  <si>
    <t>Elinavaara; Eellimváárááš</t>
  </si>
  <si>
    <t>Teinakari</t>
  </si>
  <si>
    <t>Nopaniemi</t>
  </si>
  <si>
    <t>Nopaniemi; Nopenjargâ</t>
  </si>
  <si>
    <t>Syväsalmensaari</t>
  </si>
  <si>
    <t>Vuotsosaari</t>
  </si>
  <si>
    <t>Iisakinkari</t>
  </si>
  <si>
    <t>Räptukeđgi</t>
  </si>
  <si>
    <t>Räptukeđgi; Rääpystikka; Repšsáágáš</t>
  </si>
  <si>
    <t>smn;fin;smn</t>
  </si>
  <si>
    <t>Taulusaari</t>
  </si>
  <si>
    <t>Taulusaari; Čuárveesuálui</t>
  </si>
  <si>
    <t>Aapramin Marjan kari</t>
  </si>
  <si>
    <t>no label found; bulders in water</t>
  </si>
  <si>
    <t>Eellimsuálui</t>
  </si>
  <si>
    <t>Eellimsuálui; Elinasaari</t>
  </si>
  <si>
    <t>Miesniemennokka</t>
  </si>
  <si>
    <t>Tiskiniemi</t>
  </si>
  <si>
    <t>Laivalaassa</t>
  </si>
  <si>
    <t>Laivalaassa; Skiijpâlássá</t>
  </si>
  <si>
    <t>Avgâdlássááh</t>
  </si>
  <si>
    <t>Avgâdlássááh; Aviosaaret</t>
  </si>
  <si>
    <t>Pankinsaari</t>
  </si>
  <si>
    <t>Vanha Hautuumaasaari</t>
  </si>
  <si>
    <t>Vanha Hautuumaasaari; Jaamišsuálui</t>
  </si>
  <si>
    <t>Alppaasuálui</t>
  </si>
  <si>
    <t>Alppaasuálui; Alppasaari</t>
  </si>
  <si>
    <t>Siltakallio</t>
  </si>
  <si>
    <t>Siltakallio; Šaldompáávtáš</t>
  </si>
  <si>
    <t>Pielpaniemi</t>
  </si>
  <si>
    <t>Pielpaniemi; Piälppáánjargâš</t>
  </si>
  <si>
    <t>Apajasaari</t>
  </si>
  <si>
    <t>Njollânjargâ</t>
  </si>
  <si>
    <t>Njollânjargâ; Niliniemi</t>
  </si>
  <si>
    <t>Aasniemi</t>
  </si>
  <si>
    <t>Mutustelemaniemi</t>
  </si>
  <si>
    <t>Pitkänapajanniemi</t>
  </si>
  <si>
    <t>Aaltoniemi</t>
  </si>
  <si>
    <t>Aaltoniemi; Áldunjargâ</t>
  </si>
  <si>
    <t>Eellimnjargâ</t>
  </si>
  <si>
    <t>Eellimnjargâ; Elinaniemi</t>
  </si>
  <si>
    <t>Teinasaari</t>
  </si>
  <si>
    <t>Leipäkari</t>
  </si>
  <si>
    <t>no label found; shallows?</t>
  </si>
  <si>
    <t>Oravakallio</t>
  </si>
  <si>
    <t>Palo-oja</t>
  </si>
  <si>
    <t>Part of watercourse</t>
  </si>
  <si>
    <t>Oivanlompola</t>
  </si>
  <si>
    <t>no label found ; part of watercourse</t>
  </si>
  <si>
    <t>Savilahti</t>
  </si>
  <si>
    <t>Honkalahti</t>
  </si>
  <si>
    <t>Honkalahti; Suárviluohtâ</t>
  </si>
  <si>
    <t>Hirvaslahti</t>
  </si>
  <si>
    <t xml:space="preserve">label for part of lake </t>
  </si>
  <si>
    <t>Ivnátkeđgi</t>
  </si>
  <si>
    <t>Ivnátkeđgi; Haikarakivi</t>
  </si>
  <si>
    <t>Juvduuvuonâ</t>
  </si>
  <si>
    <t>Juvduuvuonâ; Juutuanvuono</t>
  </si>
  <si>
    <t>Märkkikeđgi</t>
  </si>
  <si>
    <t>Märkkikeđgi; Markkakivi</t>
  </si>
  <si>
    <t>Kálguluohtâ</t>
  </si>
  <si>
    <t>Kálguluohtâ; Kalkulahti</t>
  </si>
  <si>
    <t>Arpanmukka</t>
  </si>
  <si>
    <t>no label found; enough space for label; generalization purpose unclear</t>
  </si>
  <si>
    <t>Pahtamukka</t>
  </si>
  <si>
    <t>Karjelikivi</t>
  </si>
  <si>
    <t>Haarasalmi</t>
  </si>
  <si>
    <t>Turvesalmi</t>
  </si>
  <si>
    <t>Käyrälahti</t>
  </si>
  <si>
    <t>Silmävuopaja</t>
  </si>
  <si>
    <t>Lahtiapajanjärvi</t>
  </si>
  <si>
    <t>Kaakkurisalmi</t>
  </si>
  <si>
    <t>Sairaaluohtâ</t>
  </si>
  <si>
    <t>Sairaaluohtâ; Sairalahti</t>
  </si>
  <si>
    <t>Smn label at top</t>
  </si>
  <si>
    <t>Juovâluohtâ</t>
  </si>
  <si>
    <t>Juovâluohtâ; Vinnarilahti</t>
  </si>
  <si>
    <t>Áldučuálmi</t>
  </si>
  <si>
    <t>Áldučuálmi; Aaltosalmi</t>
  </si>
  <si>
    <t>Siskelvuonâ</t>
  </si>
  <si>
    <t>Siskelvuonâ; Siskelivuono</t>
  </si>
  <si>
    <t>Palolahti</t>
  </si>
  <si>
    <t>Lyijylahti</t>
  </si>
  <si>
    <t>Koirakivi</t>
  </si>
  <si>
    <t>Ahmasalmi</t>
  </si>
  <si>
    <t>Raumalahti</t>
  </si>
  <si>
    <t>Siämuluohtâ</t>
  </si>
  <si>
    <t>Siämuluohtâ; Partalahti</t>
  </si>
  <si>
    <t>Elinalahti</t>
  </si>
  <si>
    <t>Elinalahti; Eellimluohtâ</t>
  </si>
  <si>
    <t>Siämukeđgi</t>
  </si>
  <si>
    <t>Siämukeđgi; Partakivi</t>
  </si>
  <si>
    <t>Čuárvivyeppee</t>
  </si>
  <si>
    <t>Čuárvivyeppee; Sarvivuopaja</t>
  </si>
  <si>
    <t>Tiskilahti</t>
  </si>
  <si>
    <t>Kesäkalalahti</t>
  </si>
  <si>
    <t>Kesäkalalahti; Kesikyeliluohtâ</t>
  </si>
  <si>
    <t>Pielpavuono</t>
  </si>
  <si>
    <t>Pielpavuono; Piälppáávuonâ</t>
  </si>
  <si>
    <t>Lahjahamina</t>
  </si>
  <si>
    <t>Lahjahamina; Skieŋsátku</t>
  </si>
  <si>
    <t>Haukimukka</t>
  </si>
  <si>
    <t>Vallenkari</t>
  </si>
  <si>
    <t>Kiärduluohtâ</t>
  </si>
  <si>
    <t>Kiärduluohtâ; Kerttulahti</t>
  </si>
  <si>
    <t>Lapinojansuu</t>
  </si>
  <si>
    <t>Puronsuu</t>
  </si>
  <si>
    <t>Municipality</t>
  </si>
  <si>
    <t>Aanaar</t>
  </si>
  <si>
    <t>Aanaar; Anár; Inari; Enare; Aanar</t>
  </si>
  <si>
    <t>smn;sme;fin;swe;sms</t>
  </si>
  <si>
    <t xml:space="preserve">Present (Emphasized) - typographic weight all caps; Finnish label on top </t>
  </si>
  <si>
    <t>Typographic weight- Bold; Size ; *Repeated 4 times</t>
  </si>
  <si>
    <t>Heikkilä</t>
  </si>
  <si>
    <t>Honkaniemi</t>
  </si>
  <si>
    <t>Uruvaara</t>
  </si>
  <si>
    <t>Uruniemi</t>
  </si>
  <si>
    <t>House; Importance likely; Secluded area ; camping area- OSM</t>
  </si>
  <si>
    <t>Saamila</t>
  </si>
  <si>
    <t>Turula</t>
  </si>
  <si>
    <t>Ojansuu</t>
  </si>
  <si>
    <t>Uhoniemi</t>
  </si>
  <si>
    <t>Oravala</t>
  </si>
  <si>
    <t>Ulmala</t>
  </si>
  <si>
    <t>Äärelä</t>
  </si>
  <si>
    <t>Rantala</t>
  </si>
  <si>
    <t>Lahti</t>
  </si>
  <si>
    <t>Sellaniemi</t>
  </si>
  <si>
    <t>House; Importance likely; Secluded area ; Finnish label at top</t>
  </si>
  <si>
    <t>Paloniemi</t>
  </si>
  <si>
    <t>Kivikumpu</t>
  </si>
  <si>
    <t>Lyijyranta</t>
  </si>
  <si>
    <t>Koutavaaranjärvi</t>
  </si>
  <si>
    <t>Stuorrâ Piälbáájävri</t>
  </si>
  <si>
    <t>Stuorrâ Piälbáájävri; Iso Pielpajärvi</t>
  </si>
  <si>
    <t>FInish at top</t>
  </si>
  <si>
    <t>Luosma</t>
  </si>
  <si>
    <t>Luosma; Luovtâsmâš</t>
  </si>
  <si>
    <t xml:space="preserve">Both names present; Terrain feature name; Finnish label on top </t>
  </si>
  <si>
    <t>Uccâ Luovtâsmáájävri</t>
  </si>
  <si>
    <t>Uccâ Luovtâsmáájävri; Pikku Luosmajärvi</t>
  </si>
  <si>
    <t>Einehjáávráš</t>
  </si>
  <si>
    <t>Einehjáávráš; Äimäjärvi</t>
  </si>
  <si>
    <t>Pikku Pielpajärvi</t>
  </si>
  <si>
    <t>Pikku Pielpajärvi; Ucceeb Piälppáájävri</t>
  </si>
  <si>
    <t>Sudesčuálmáásuálui</t>
  </si>
  <si>
    <t>Vinesuálui</t>
  </si>
  <si>
    <t>Aibuđuusuálui</t>
  </si>
  <si>
    <t>Aibuđuusuálui; Aibutsaari</t>
  </si>
  <si>
    <t>Leutaniemi</t>
  </si>
  <si>
    <t>Leutaniemi; Levdeenjaargâš</t>
  </si>
  <si>
    <t>Puáris Juoŋâssailássá</t>
  </si>
  <si>
    <t>Puáris Juoŋâssailássá; Aittasaari</t>
  </si>
  <si>
    <t>Áinooluohtâ</t>
  </si>
  <si>
    <t>Fattervuono</t>
  </si>
  <si>
    <t>Fattervuono; Faadârvuonâ</t>
  </si>
  <si>
    <t>Järvikäinen</t>
  </si>
  <si>
    <t>Järvikäinen; Jávrádâh</t>
  </si>
  <si>
    <t>Iäinármyetki</t>
  </si>
  <si>
    <t>Tälvituvejáávráš</t>
  </si>
  <si>
    <t>Tälvituvejáávráš; Talvitupajärvi</t>
  </si>
  <si>
    <t>Viklojärvi</t>
  </si>
  <si>
    <t>Viklojärvi; Čiävžuijävri</t>
  </si>
  <si>
    <t>Káránâsjävri</t>
  </si>
  <si>
    <t>Káránâsjävri; Korppijärvi</t>
  </si>
  <si>
    <t>size of lake/ponf; no name</t>
  </si>
  <si>
    <t>Cuskâvääri</t>
  </si>
  <si>
    <t>Karraamjävri</t>
  </si>
  <si>
    <t>Karraamjävri; Karamajärvi</t>
  </si>
  <si>
    <t>Karamajärvi on top -- Finnish</t>
  </si>
  <si>
    <t>Korppivaara</t>
  </si>
  <si>
    <t>Korppivaara; Káránâsvääri</t>
  </si>
  <si>
    <t>Korppilammet</t>
  </si>
  <si>
    <t>Korppilammet; Káránâslááduh</t>
  </si>
  <si>
    <t>size of lake? no label</t>
  </si>
  <si>
    <t>Simmaahjävri</t>
  </si>
  <si>
    <t>Simmaahjävri; Simmettijärvi</t>
  </si>
  <si>
    <t>Palosaaret</t>
  </si>
  <si>
    <t>Label for group of islands/islets</t>
  </si>
  <si>
    <t>Kiurujärvi</t>
  </si>
  <si>
    <t>Aitajärvi</t>
  </si>
  <si>
    <t>Lammassaari</t>
  </si>
  <si>
    <t>Niementyvijänkä</t>
  </si>
  <si>
    <t>Pähtiváárááš</t>
  </si>
  <si>
    <t>Pähtiváárááš; Pahtavaara</t>
  </si>
  <si>
    <t>Myetkijävri</t>
  </si>
  <si>
    <t>Myetkijävri; Taivaljärvi</t>
  </si>
  <si>
    <t>Syvänlahdenvaara</t>
  </si>
  <si>
    <t>Martin Kotajärvet</t>
  </si>
  <si>
    <t>Label for group of lakes/ponds</t>
  </si>
  <si>
    <t>Näpsävaara</t>
  </si>
  <si>
    <t>Näpsävaara; Njápčáváárááš</t>
  </si>
  <si>
    <t>Kállujáávráš</t>
  </si>
  <si>
    <t>Kállujáávráš; Kallojärvi</t>
  </si>
  <si>
    <t>Pikku Näpsäjärvi</t>
  </si>
  <si>
    <t>Njápčájävri</t>
  </si>
  <si>
    <t>Njápčájävri; Iso Näpsäjärvi</t>
  </si>
  <si>
    <t>Keskiniemenjärvet</t>
  </si>
  <si>
    <t>size of feature; no label found</t>
  </si>
  <si>
    <t>Keskiniemenvaara</t>
  </si>
  <si>
    <t>Almaanjargâ</t>
  </si>
  <si>
    <t>Almaanjargâ; Miesniemi</t>
  </si>
  <si>
    <t>Annan Kotajärvi</t>
  </si>
  <si>
    <t>Annan Kotajärvi; Ááná Kuátsaijáávráš</t>
  </si>
  <si>
    <t>Kortejärvi</t>
  </si>
  <si>
    <t>Lukkársuálui</t>
  </si>
  <si>
    <t>Lukkársuálui; Lukkarinsaari</t>
  </si>
  <si>
    <t>Oklasaari</t>
  </si>
  <si>
    <t>Oklasaari; Oglásuálui</t>
  </si>
  <si>
    <t>Njähijävri</t>
  </si>
  <si>
    <t>Njähijävri; Madejärvi</t>
  </si>
  <si>
    <t>Vaadinsaari</t>
  </si>
  <si>
    <t>Vaadinsaari; Áldusuálui</t>
  </si>
  <si>
    <t>Karssuálui</t>
  </si>
  <si>
    <t>Karssuálui; Korkiasaari</t>
  </si>
  <si>
    <t xml:space="preserve"> Korkiasaari in top -- Finnish</t>
  </si>
  <si>
    <t>Njaskempeeci</t>
  </si>
  <si>
    <t>no label, other label nearby</t>
  </si>
  <si>
    <t>Vaskiissuálui</t>
  </si>
  <si>
    <t>Vaskiissuálui; Vaskissaari</t>
  </si>
  <si>
    <t>Ristisalmensaaret</t>
  </si>
  <si>
    <t>Ristisalmensaaret; Ristčuálmáásuolluuh</t>
  </si>
  <si>
    <t>Kavrenjunsuolluuh</t>
  </si>
  <si>
    <t>Kavrenjunsuolluuh; Käyränokkasaaret</t>
  </si>
  <si>
    <t>Salasalmensaari</t>
  </si>
  <si>
    <t>Salasalmensaari; Šileháásuálui</t>
  </si>
  <si>
    <t>Salasalmensaari at top -- FInnish</t>
  </si>
  <si>
    <t>Áinoosuálui</t>
  </si>
  <si>
    <t>Áinoosuálui; Kuusisaari</t>
  </si>
  <si>
    <t>Kuusisaari at top -- FInnish</t>
  </si>
  <si>
    <t>Junttisaari</t>
  </si>
  <si>
    <t>Njižžekeđgsuálui</t>
  </si>
  <si>
    <t>Njižžekeđgsuálui; Tissikivisaari</t>
  </si>
  <si>
    <t>Sevlivääri</t>
  </si>
  <si>
    <t>Sevlivääri; Seulavaara</t>
  </si>
  <si>
    <t>Seulavaara at top -- Finnish</t>
  </si>
  <si>
    <t>Hiiriaittasaari</t>
  </si>
  <si>
    <t>Hiiriaittasaari; Säpligsuálui</t>
  </si>
  <si>
    <t>Morohsuálui</t>
  </si>
  <si>
    <t>Aittasaari</t>
  </si>
  <si>
    <t>Kovrinsuálui</t>
  </si>
  <si>
    <t>Kovrinsuálui; Kourinsaari</t>
  </si>
  <si>
    <t>Lehtisaaret</t>
  </si>
  <si>
    <t>Väylänsaari</t>
  </si>
  <si>
    <t>Njolosuálui</t>
  </si>
  <si>
    <t>Njolosuálui; Nilisaari</t>
  </si>
  <si>
    <t xml:space="preserve"> Nilisaari at top -- Finnish</t>
  </si>
  <si>
    <t>Puállâmsuálui</t>
  </si>
  <si>
    <t>Puállâmsuálui; Palosaari</t>
  </si>
  <si>
    <t>Palosaari top- Finnish</t>
  </si>
  <si>
    <t>Lahoaittasaari</t>
  </si>
  <si>
    <t>Lahoaittasaari; Mieskâsáittáásuálui</t>
  </si>
  <si>
    <t>Kankiniemi; Kaŋgânjargâ</t>
  </si>
  <si>
    <t>Pitkäjärvi</t>
  </si>
  <si>
    <t>Vehersaari; Vehersuálui</t>
  </si>
  <si>
    <t>Vehersaari at top -- FInnish</t>
  </si>
  <si>
    <t>Kalluudemsuálui</t>
  </si>
  <si>
    <t>Palgâssuálui</t>
  </si>
  <si>
    <t>Palgâssuálui; Palkissaari</t>
  </si>
  <si>
    <t>Nestorinsaari</t>
  </si>
  <si>
    <t>Nestorinsaari; Nestorsuálui</t>
  </si>
  <si>
    <t>Nestorinsaari at top -Finnish</t>
  </si>
  <si>
    <t>Rikun Kotasaari</t>
  </si>
  <si>
    <t>Njälgispecsuálui</t>
  </si>
  <si>
    <t>Njälgispecsuálui; Makia Petäjäsaari; Ahmasaari</t>
  </si>
  <si>
    <t>smn;fin;fin</t>
  </si>
  <si>
    <t>Finnish followed by anothr finnish name "Ahmasaari" then by Smn name</t>
  </si>
  <si>
    <t>Kallosaari</t>
  </si>
  <si>
    <t>Heistansaari</t>
  </si>
  <si>
    <t>Ulimmainensaari</t>
  </si>
  <si>
    <t>Korkia Petäjäsaari</t>
  </si>
  <si>
    <t>Korkia Petäjäsaari; Ollâpecsuálui; Kuhespecsuálui</t>
  </si>
  <si>
    <t>Finnish folowed by 2 other  Smn names</t>
  </si>
  <si>
    <t>Laatikkosaaret</t>
  </si>
  <si>
    <t>Laatikkosaaret; Postâlaatikkosuolluuh</t>
  </si>
  <si>
    <t>Lyevisuolluuh</t>
  </si>
  <si>
    <t>Lyevisuolluuh; Suovasaaret</t>
  </si>
  <si>
    <t>Liekovuopajasaaret</t>
  </si>
  <si>
    <t>Kiuruvuopaja</t>
  </si>
  <si>
    <t>Niementyvivuopaja</t>
  </si>
  <si>
    <t>Kaŋgâvuonâ</t>
  </si>
  <si>
    <t>Kaŋgâvuonâ; Kankivuono</t>
  </si>
  <si>
    <t>Lastavuopaja</t>
  </si>
  <si>
    <t>Salanuora</t>
  </si>
  <si>
    <t>Salanuora; Syelinyeri</t>
  </si>
  <si>
    <t>Näpsälahti</t>
  </si>
  <si>
    <t>Näpsälahti; Njápčáluohtâ</t>
  </si>
  <si>
    <t>Kallolahti</t>
  </si>
  <si>
    <t>Kallolahti; Kálluluovtâš</t>
  </si>
  <si>
    <t>Naukulahti</t>
  </si>
  <si>
    <t>Naukulahti; Njávguluohtâ</t>
  </si>
  <si>
    <t>Siejâluohtâ</t>
  </si>
  <si>
    <t>no label</t>
  </si>
  <si>
    <t>Tissikivinuora</t>
  </si>
  <si>
    <t>Tissikivinuora; Njižžekeđgnyeri</t>
  </si>
  <si>
    <t>Tááijumluohtâ</t>
  </si>
  <si>
    <t>Tááijumluohtâ; Taajomalahti</t>
  </si>
  <si>
    <t>Aija</t>
  </si>
  <si>
    <t>Áldučuálmi; Vaadinsalmi</t>
  </si>
  <si>
    <t>Ristčuálmáš</t>
  </si>
  <si>
    <t>Ristčuálmáš; Ristisalmi</t>
  </si>
  <si>
    <t>Keinosalmi</t>
  </si>
  <si>
    <t>No label found in area ; small feature</t>
  </si>
  <si>
    <t>Tissikivivuopaja</t>
  </si>
  <si>
    <t>Tissikivivuopaja; Njižžekeđgvyeppee</t>
  </si>
  <si>
    <t>Vaskisselkä</t>
  </si>
  <si>
    <t>Vaskisselkä; Vaskiisjorŋâ</t>
  </si>
  <si>
    <t>Märluohtâ</t>
  </si>
  <si>
    <t>no lbel</t>
  </si>
  <si>
    <t>Kurjaluohtâ</t>
  </si>
  <si>
    <t>Kurjaluohtâ; Kurjalahti</t>
  </si>
  <si>
    <t>Paavisvuononperä</t>
  </si>
  <si>
    <t>Paavisvuononperä; Pevisvuonpottâ</t>
  </si>
  <si>
    <t>labels nearby area, crowded space</t>
  </si>
  <si>
    <t>Värppiluohtâ</t>
  </si>
  <si>
    <t>Värppiluohtâ; Apajalahti</t>
  </si>
  <si>
    <t>Apajalahti at top -- Finnish</t>
  </si>
  <si>
    <t>Kourinsalmi</t>
  </si>
  <si>
    <t>Kourinsalmi; Kovrinčuálmi</t>
  </si>
  <si>
    <t>Paavisvuono</t>
  </si>
  <si>
    <t>Paavisvuono; Pevisvuonâ</t>
  </si>
  <si>
    <t>Kärjilvyeppee</t>
  </si>
  <si>
    <t>Kärjilvyeppee; Karvinvuopaja</t>
  </si>
  <si>
    <t>Pihtisalmi</t>
  </si>
  <si>
    <t>no name found around; in cluster of labels</t>
  </si>
  <si>
    <t>Porttâluohtâ</t>
  </si>
  <si>
    <t>Porttâluohtâ; Pirttilahti</t>
  </si>
  <si>
    <t>Nástárčuálmi</t>
  </si>
  <si>
    <t>Pirttisalmi</t>
  </si>
  <si>
    <t>Pirttisalmi; Porttâčuálmi</t>
  </si>
  <si>
    <t>size; part of lake</t>
  </si>
  <si>
    <t>Sigáčiärrumčuálmi</t>
  </si>
  <si>
    <t>part of lake; size?</t>
  </si>
  <si>
    <t>Kaltioselkä</t>
  </si>
  <si>
    <t>Taimensalmi</t>
  </si>
  <si>
    <t>Ruánniháittáájorŋâ</t>
  </si>
  <si>
    <t>Ruánniháittáájorŋâ; Iso Kapaselkä</t>
  </si>
  <si>
    <t>Pikku Kapaselkä</t>
  </si>
  <si>
    <t>Miesniemi</t>
  </si>
  <si>
    <t>as terrian feature name</t>
  </si>
  <si>
    <t>Ukko</t>
  </si>
  <si>
    <t>Ukko; Äijih</t>
  </si>
  <si>
    <t>Puállâm-Äijih</t>
  </si>
  <si>
    <t>Puállâm-Äijih; Palo-Ukko</t>
  </si>
  <si>
    <t>Hävdieennâmsuálui</t>
  </si>
  <si>
    <t>Hävdieennâmsuálui; Hautuumaasaari</t>
  </si>
  <si>
    <t>Koittoniemi</t>
  </si>
  <si>
    <t>Koittoniemi; Kuávsuinjaargâš</t>
  </si>
  <si>
    <t>Siliätsaaret</t>
  </si>
  <si>
    <t>Siliätsaaret; Jolgislássááh</t>
  </si>
  <si>
    <t>Čompperâssuálui</t>
  </si>
  <si>
    <t>Čompperâssuálui; Somperussaari</t>
  </si>
  <si>
    <t>Ujojyelgkällee</t>
  </si>
  <si>
    <t>Mergamsuálui</t>
  </si>
  <si>
    <t>Mergamsuálui; Mergamsaari</t>
  </si>
  <si>
    <t>Piättârlássá</t>
  </si>
  <si>
    <t>Piättârlássá; Pietarinlaassa</t>
  </si>
  <si>
    <t>Karsittusaari</t>
  </si>
  <si>
    <t>Rávdukođolássá</t>
  </si>
  <si>
    <t>Rávdukođolássá; Raudunkutulaassa</t>
  </si>
  <si>
    <t>Pääsaaret</t>
  </si>
  <si>
    <t>Pääsaaret; Uáivisuolluuh</t>
  </si>
  <si>
    <t>Äijihjorŋâ</t>
  </si>
  <si>
    <t>Äijihjorŋâ; Ukonselkä</t>
  </si>
  <si>
    <t>Pierkikivi</t>
  </si>
  <si>
    <t>Pierkikivi; Piergikeđgi</t>
  </si>
  <si>
    <t>Mergamsalmi</t>
  </si>
  <si>
    <t>Mergamsalmi; Mergamčuálmi</t>
  </si>
  <si>
    <t>Pääsaarensalmi</t>
  </si>
  <si>
    <t>Pääsaarensalmi; Uáivisuolluučuálmi</t>
  </si>
  <si>
    <t>Nuutsasenvaara</t>
  </si>
  <si>
    <t>Nuutsasenvaara; Njuhčâvääri</t>
  </si>
  <si>
    <t>Jäkäläsaaret</t>
  </si>
  <si>
    <t>Jäkäläsaaret; Jävilsuolluuh</t>
  </si>
  <si>
    <t>Njuhčânjargâ</t>
  </si>
  <si>
    <t>Njuhčânjargâ; Nuutsasenniemi</t>
  </si>
  <si>
    <t>Madejärvi</t>
  </si>
  <si>
    <t>Madejärvi; Njähijáávráš</t>
  </si>
  <si>
    <t>Lostâsuolluuh</t>
  </si>
  <si>
    <t>Lostâsuolluuh; Lehtisaaret</t>
  </si>
  <si>
    <t>no label found; feature size too small</t>
  </si>
  <si>
    <t>Piehâinsuolluuh</t>
  </si>
  <si>
    <t>Piehâinsuolluuh; Piekanasaaret</t>
  </si>
  <si>
    <t>Aikahaaralaassa</t>
  </si>
  <si>
    <t>Aikahaaralaassa; Äigisyerlássá</t>
  </si>
  <si>
    <t>Hoikka Petäjäsaari</t>
  </si>
  <si>
    <t>Hoikka Petäjäsaari; Segispecsuálui</t>
  </si>
  <si>
    <t>Leviä Petäjäsaari; Kossâpecsuálui</t>
  </si>
  <si>
    <t>Mooššinsuálui</t>
  </si>
  <si>
    <t>Mooššinsuálui; Moossinasaari</t>
  </si>
  <si>
    <t>Jieŋâsuálui</t>
  </si>
  <si>
    <t>Jieŋâsuálui; Iso Jääsaari</t>
  </si>
  <si>
    <t>Čuormâssuolluuh</t>
  </si>
  <si>
    <t>Čuormâssuolluuh; Raesaaret</t>
  </si>
  <si>
    <t>Hillasaaret</t>
  </si>
  <si>
    <t>Hillasaaret; Lyemesuolluuh</t>
  </si>
  <si>
    <t>Finnish label at top; group of island</t>
  </si>
  <si>
    <t>Nuutsasenlahti</t>
  </si>
  <si>
    <t>Nuutsasenlahti; Njuhčâluohtâ</t>
  </si>
  <si>
    <t>Äigisyeri</t>
  </si>
  <si>
    <t>Mahlatinvuopaja</t>
  </si>
  <si>
    <t>Mahlatinvuopaja; Mahladvyeppee</t>
  </si>
  <si>
    <t>Petäjäsaarenvuopaja</t>
  </si>
  <si>
    <t>Petäjäsaarenvuopaja; Vyeppee</t>
  </si>
  <si>
    <t>Moossinavuopaja</t>
  </si>
  <si>
    <t>Moossinavuopaja; Mooššinvyeppee</t>
  </si>
  <si>
    <t>Etelä-Aunio</t>
  </si>
  <si>
    <t>Jäkäläselkä</t>
  </si>
  <si>
    <t>Selkä-Aunio</t>
  </si>
  <si>
    <t>Koldemjáávráš</t>
  </si>
  <si>
    <t>Paavalinsavustamasaari</t>
  </si>
  <si>
    <t>Malkosaaret</t>
  </si>
  <si>
    <t>Malkosaaret; Malgâssuolluuh</t>
  </si>
  <si>
    <t>Pieni Moossinasaari</t>
  </si>
  <si>
    <t>Pieni Moossinasaari; Uccâ Mooššinsuálui</t>
  </si>
  <si>
    <t>Kaijaussaaret</t>
  </si>
  <si>
    <t>Solttusaaret</t>
  </si>
  <si>
    <t>Solttuvaara</t>
  </si>
  <si>
    <t>Maanmittarinsaari</t>
  </si>
  <si>
    <t>Pulkkisaari</t>
  </si>
  <si>
    <t>Jekkimösaari</t>
  </si>
  <si>
    <t>Ikkersuálui</t>
  </si>
  <si>
    <t>Ikkersuálui; Ikkerinsaari</t>
  </si>
  <si>
    <t>Aittosaari</t>
  </si>
  <si>
    <t>Pieni Jääsaari</t>
  </si>
  <si>
    <t>Pieni Jääsaari; Uccâ Jieŋâsuálui</t>
  </si>
  <si>
    <t>Šigástohnjargâ</t>
  </si>
  <si>
    <t>Šigástohnjargâ; Sikastoniemi</t>
  </si>
  <si>
    <t>Sikastosaaret</t>
  </si>
  <si>
    <t>Sikastosaaret; Šigástohsuolluuh</t>
  </si>
  <si>
    <t>Uccâ Kamessuálui</t>
  </si>
  <si>
    <t>Uccâ Kamessuálui; Pieni Kaamassaari</t>
  </si>
  <si>
    <t>Vieppisaaret</t>
  </si>
  <si>
    <t>Vieppisaaret; Vieppisuolluuh</t>
  </si>
  <si>
    <t>Jänisniemi</t>
  </si>
  <si>
    <t>Jänisniemi; Njuámmilnjargâ</t>
  </si>
  <si>
    <t>Äijihsuálui</t>
  </si>
  <si>
    <t>Äijihsuálui; Ukonsaari</t>
  </si>
  <si>
    <t>Kuoppasaaret</t>
  </si>
  <si>
    <t>Kuoppasaaret; Roggesuolluuh</t>
  </si>
  <si>
    <t>Huihojärvi</t>
  </si>
  <si>
    <t>Huihojärvi; Huihoojáávráš</t>
  </si>
  <si>
    <t>Sarminiemi</t>
  </si>
  <si>
    <t>Sarminiemi; Čaarmânjargâ</t>
  </si>
  <si>
    <t>Šigástohjávrááh</t>
  </si>
  <si>
    <t>Šigástohjávrááh; Sikastojärvet</t>
  </si>
  <si>
    <t>Finnish label at top; Group of lakes/ponds</t>
  </si>
  <si>
    <t>Ikkernjargâ</t>
  </si>
  <si>
    <t>Ikkernjargâ; Ikkerinniemi</t>
  </si>
  <si>
    <t>Sikastovaara</t>
  </si>
  <si>
    <t>Sikastovaara; Šigástohvääri</t>
  </si>
  <si>
    <t>Kivitarpomasaari</t>
  </si>
  <si>
    <t>Tarruujävri</t>
  </si>
  <si>
    <t>Kähteejäävrih</t>
  </si>
  <si>
    <t>Kähteejäävrih; Kuikkajärvet</t>
  </si>
  <si>
    <t>Kuikkajängät</t>
  </si>
  <si>
    <t xml:space="preserve">label for marsh / paludified area </t>
  </si>
  <si>
    <t>Kuávžurnjargâ</t>
  </si>
  <si>
    <t xml:space="preserve">no label found; labels nearby ; limited space </t>
  </si>
  <si>
    <t>Tyllyjärvi</t>
  </si>
  <si>
    <t>Marttinsuáloi</t>
  </si>
  <si>
    <t>Marttinsuáloi; Martinsaari</t>
  </si>
  <si>
    <t>Huáššijáávráš</t>
  </si>
  <si>
    <t>Huáššijáávráš; Kortejärvi</t>
  </si>
  <si>
    <t>Kovasaari</t>
  </si>
  <si>
    <t>Kovasaari; Korrâsuálui</t>
  </si>
  <si>
    <t>Katsomasaari</t>
  </si>
  <si>
    <t>Katsomasaari; Kejâdimsuálui</t>
  </si>
  <si>
    <t>Huiholahti</t>
  </si>
  <si>
    <t>Huiholahti; Huihooluohtâ</t>
  </si>
  <si>
    <t>Sikastolahti</t>
  </si>
  <si>
    <t>Sikastolahti; Šigástohluohtâ</t>
  </si>
  <si>
    <t>Solttusalmi</t>
  </si>
  <si>
    <t>Nanguvuononselkä</t>
  </si>
  <si>
    <t>Šigástohluohtâ</t>
  </si>
  <si>
    <t>Šigástohluohtâ; Sikastolahti</t>
  </si>
  <si>
    <t>Jääsaartensalmi</t>
  </si>
  <si>
    <t>Kyeššipottâ</t>
  </si>
  <si>
    <t>Kyeššipottâ; Kuossaperä</t>
  </si>
  <si>
    <t>Ikkerinvuono</t>
  </si>
  <si>
    <t>Ikkerinvuono; Ikkervuonâ</t>
  </si>
  <si>
    <t>Šigástohvuonâ</t>
  </si>
  <si>
    <t>Šigástohvuonâ; Sikastovuono</t>
  </si>
  <si>
    <t>Kiäigunyeri</t>
  </si>
  <si>
    <t>Kiäigunyeri; Kaikunuora</t>
  </si>
  <si>
    <t>Tarrulahti</t>
  </si>
  <si>
    <t>Tarrulahti; Tarruuluohtâ</t>
  </si>
  <si>
    <t>Tyllylahti</t>
  </si>
  <si>
    <t>Kuávžurluohtâ</t>
  </si>
  <si>
    <t>Kuávžurluohtâ; Taimenlahti</t>
  </si>
  <si>
    <t>Kamesnyeri</t>
  </si>
  <si>
    <t>Kamesnyeri; Kaamasnuora</t>
  </si>
  <si>
    <t>Kovasalmi</t>
  </si>
  <si>
    <t>Kovasalmi; Korrâčuálmi</t>
  </si>
  <si>
    <t>Wilderness hut or daytrip hut or booked or rented hut</t>
  </si>
  <si>
    <t>Kiäigunyeri; Punainentupa; Kaikunuora; Ruopsistupe</t>
  </si>
  <si>
    <t>smn;fin;fin;smn</t>
  </si>
  <si>
    <t>Finnish label at top; followed by Smn label; then by another FInnish label then by another Smn label</t>
  </si>
  <si>
    <t>Sarre</t>
  </si>
  <si>
    <t>House; importance likely; secluded area</t>
  </si>
  <si>
    <t>Kotkasaari</t>
  </si>
  <si>
    <t>Kotkasaari; Kuáskimsuálui</t>
  </si>
  <si>
    <t>Vierccâsuálui</t>
  </si>
  <si>
    <t>Vierccâsuálui; Jaarasaari</t>
  </si>
  <si>
    <t>fiinn</t>
  </si>
  <si>
    <t>Kejâdimnjargâ</t>
  </si>
  <si>
    <t>Kejâdimnjargâ; Keitinniemi</t>
  </si>
  <si>
    <t>Uccâ Korrâsuálui</t>
  </si>
  <si>
    <t>Uccâ Korrâsuálui; Pikku Kovasaari</t>
  </si>
  <si>
    <t>Rávdulássá</t>
  </si>
  <si>
    <t>Rávdulássá; Rautulaassa</t>
  </si>
  <si>
    <t>Njižžesuolluuh</t>
  </si>
  <si>
    <t>Njižžesuolluuh; Tissisaaret</t>
  </si>
  <si>
    <t>Heikinsaaret</t>
  </si>
  <si>
    <t>Heikinsaaret; Hendrihlássááh</t>
  </si>
  <si>
    <t>feature size too small</t>
  </si>
  <si>
    <t>Lauttasaaret</t>
  </si>
  <si>
    <t>Lauttasaaret; Puárreesuolluuh</t>
  </si>
  <si>
    <t>Finnish label on top; Group of islands</t>
  </si>
  <si>
    <t>Tavečuálmlássá</t>
  </si>
  <si>
    <t>Tavečuálmlássá; Tavesalmenlaassa</t>
  </si>
  <si>
    <t>Vierccânyeri</t>
  </si>
  <si>
    <t>Vierccânyeri; Jaaranuora</t>
  </si>
  <si>
    <t>Hirvinuora</t>
  </si>
  <si>
    <t>Hirvinuora; Sorvânyeri</t>
  </si>
  <si>
    <t>Jäälahti</t>
  </si>
  <si>
    <t>Jäälahti; Jieŋâluohtâ</t>
  </si>
  <si>
    <t>Vuonâpottsuáloi</t>
  </si>
  <si>
    <t>Vuonâpottsuáloi; Vuononperäsaari</t>
  </si>
  <si>
    <t>Peskilááduh</t>
  </si>
  <si>
    <t>Peskilááduh; Peskanlammet</t>
  </si>
  <si>
    <t>Aitalahdenlampi</t>
  </si>
  <si>
    <t>Nilottupetäjäjärvet</t>
  </si>
  <si>
    <t>Nilottupetäjäjärvet; Kurittiipecjávrááh</t>
  </si>
  <si>
    <t>Mosksaaret</t>
  </si>
  <si>
    <t>Mosksaaret; Mosksuolluuh</t>
  </si>
  <si>
    <t>Laišpottnjargâ</t>
  </si>
  <si>
    <t>Laišpottnjargâ; Laisperänniemi</t>
  </si>
  <si>
    <t>Kotasaari</t>
  </si>
  <si>
    <t>Kotasaari; Kuátisuáloi</t>
  </si>
  <si>
    <t>Mäšš-suâl</t>
  </si>
  <si>
    <t>Mäšš-suâl; Máššáásuáloi; Massansaari</t>
  </si>
  <si>
    <t>sms;smn;fin</t>
  </si>
  <si>
    <t>Finnish at top; followed by Smn then by Sms</t>
  </si>
  <si>
    <t>Taplasaari; Täbbláásuáloi</t>
  </si>
  <si>
    <t>Tyeljiläppimsuáloi</t>
  </si>
  <si>
    <t>Tyeljiläppimsuáloi; Taljankadottamasaari</t>
  </si>
  <si>
    <t>Kutkâsuáloi</t>
  </si>
  <si>
    <t>Kutkâsuáloi; Muurahaissaari</t>
  </si>
  <si>
    <t>Satapetäjäsaari</t>
  </si>
  <si>
    <t>Satapetäjäsaari; Čyetpecsuáloi</t>
  </si>
  <si>
    <t>Puuniemi</t>
  </si>
  <si>
    <t>Puuniemi; Muorânjargâ</t>
  </si>
  <si>
    <t>Puuniemensaaret</t>
  </si>
  <si>
    <t>Laišpottjävri</t>
  </si>
  <si>
    <t>Laišpottjävri; Laisperänjärvi</t>
  </si>
  <si>
    <t>Pyhäjärvenlompolat</t>
  </si>
  <si>
    <t>Pyhäjärvenlompolat; Vyelemuš Paseluobâl</t>
  </si>
  <si>
    <t>Koskâmuš Paseluobâl</t>
  </si>
  <si>
    <t>Uuttupetäjälampi</t>
  </si>
  <si>
    <t>Uuttupetäjälampi; Vuovdâpecláddu</t>
  </si>
  <si>
    <t>Alempi Pyhäjärvi</t>
  </si>
  <si>
    <t>Alempi Pyhäjärvi; Vyeleeb Pasejävri</t>
  </si>
  <si>
    <t>Lusmesuáloi</t>
  </si>
  <si>
    <t>Lusmesuáloi; Lusmasaari</t>
  </si>
  <si>
    <t>Tiaisniemensaaret</t>
  </si>
  <si>
    <t>Tiaisniemensaaret; Cissáánjargsuolluuh</t>
  </si>
  <si>
    <t>Árttáásuolluuh</t>
  </si>
  <si>
    <t>Árttáásuolluuh; Arttasaaret</t>
  </si>
  <si>
    <t>Tervasaari</t>
  </si>
  <si>
    <t>Tervasaari; Piihâšsuáloi</t>
  </si>
  <si>
    <t>Uáivisuáloi</t>
  </si>
  <si>
    <t>Uáivisuáloi; Pääsaari</t>
  </si>
  <si>
    <t>Kurittivuono</t>
  </si>
  <si>
    <t>Kurittivuono; Kurittiivuonâ</t>
  </si>
  <si>
    <t>Vuonâpottâ</t>
  </si>
  <si>
    <t>Vuonâpottâ; Vuononperälahti</t>
  </si>
  <si>
    <t>Aitalahti</t>
  </si>
  <si>
    <t>Aitalahti; Äiđiluohtâ</t>
  </si>
  <si>
    <t>Peskanlahti</t>
  </si>
  <si>
    <t>Peskanlahti; Peskiluohtâ</t>
  </si>
  <si>
    <t>Moskväylä</t>
  </si>
  <si>
    <t>Moskväylä; Moskvävli</t>
  </si>
  <si>
    <t>Andreasnuora</t>
  </si>
  <si>
    <t>Andreasnuora; Addrâsnuárááš</t>
  </si>
  <si>
    <t>Puulahti</t>
  </si>
  <si>
    <t>Puulahti; Muorâluohtâ</t>
  </si>
  <si>
    <t>Čyetpecjorŋâ</t>
  </si>
  <si>
    <t>Čyetpecjorŋâ; Satapetäjäselkä</t>
  </si>
  <si>
    <t>Muorâluohtvyeppee</t>
  </si>
  <si>
    <t>Laisperänlahti</t>
  </si>
  <si>
    <t>Laisperänlahti; Laišpottluohtâ</t>
  </si>
  <si>
    <t>Lusmenyeri</t>
  </si>
  <si>
    <t>Lusmenyeri; Lusmanuora</t>
  </si>
  <si>
    <t>Pihâšsuolluučuálmjávrádâh</t>
  </si>
  <si>
    <t>Smn ; no OSM reference</t>
  </si>
  <si>
    <t>Uáivivyeppee</t>
  </si>
  <si>
    <t>Uáivičuálmi</t>
  </si>
  <si>
    <t>Uáivičuálmi; Pääsaarensalmi</t>
  </si>
  <si>
    <t>Luovttiipiäskáásuolluuh</t>
  </si>
  <si>
    <t>Luovttiipiäskáásuolluuh; Lahdenpeskansaaret</t>
  </si>
  <si>
    <t>feature too small</t>
  </si>
  <si>
    <t>Isthmus</t>
  </si>
  <si>
    <t>Luovttiipiäskáš</t>
  </si>
  <si>
    <t>Luovttiipiäskáš; Lahdenpeska</t>
  </si>
  <si>
    <t>Kerrimjávrádohsuáloi</t>
  </si>
  <si>
    <t>Mannersaari</t>
  </si>
  <si>
    <t>Mannersaari ; Maadasualoi</t>
  </si>
  <si>
    <t>Ruávisuáloi</t>
  </si>
  <si>
    <t>Ruávisuáloi; Rovasaari</t>
  </si>
  <si>
    <t>Supevyeppeesuáloi</t>
  </si>
  <si>
    <t>Supevyeppeesuáloi; Haapavuopajansaari</t>
  </si>
  <si>
    <t>Maadâsuáloi</t>
  </si>
  <si>
    <t>label not found; another label found on top</t>
  </si>
  <si>
    <t>Supesuáloi</t>
  </si>
  <si>
    <t>Supesuáloi; Haapasaari</t>
  </si>
  <si>
    <t>Rautulaassat</t>
  </si>
  <si>
    <t>Rautulaassat; Rávdulássááh</t>
  </si>
  <si>
    <t>Puásuipiäskáásuolluuh</t>
  </si>
  <si>
    <t>Puásuipiäskáásuolluuh; Poropeskansaaret</t>
  </si>
  <si>
    <t>Muálkkisuáloi</t>
  </si>
  <si>
    <t>Tervahautasaari</t>
  </si>
  <si>
    <t>Tervahautasaari; Pikkâhävdisuáloi</t>
  </si>
  <si>
    <t>Kaakkurilampi</t>
  </si>
  <si>
    <t>Kaakkurilampi; Kähteejáávráš</t>
  </si>
  <si>
    <t>Kimesluovtânjargâ</t>
  </si>
  <si>
    <t xml:space="preserve">no label found; small feature </t>
  </si>
  <si>
    <t>Kyerdesčuálmsuáloi</t>
  </si>
  <si>
    <t>Kyerdesčuálmsuáloi; Kuortessaari</t>
  </si>
  <si>
    <t>no label found, size of island small for labeling?</t>
  </si>
  <si>
    <t>Naalalampi</t>
  </si>
  <si>
    <t>Naalalampi; Naalâhjävri</t>
  </si>
  <si>
    <t>no label found, only the lake feature not labelled ; size?</t>
  </si>
  <si>
    <t>Kiimasvaara</t>
  </si>
  <si>
    <t>Kiimasvaara; Kimeseennâm</t>
  </si>
  <si>
    <t>Depression</t>
  </si>
  <si>
    <t>Ryevdiporttâ</t>
  </si>
  <si>
    <t>Ryevdiporttâ; Rautaportti</t>
  </si>
  <si>
    <t>Kuortesoja</t>
  </si>
  <si>
    <t>Kuortesoja; Kyerdesjuuvâš</t>
  </si>
  <si>
    <t>Kerrimjávrádoh</t>
  </si>
  <si>
    <t>Punaisenkivennuora</t>
  </si>
  <si>
    <t>Punaisenkivennuora; Ruopsiskeđgnyeri</t>
  </si>
  <si>
    <t>Kárgujávrádoh</t>
  </si>
  <si>
    <t>Smn; no OSM ref</t>
  </si>
  <si>
    <t>Supevyeppee</t>
  </si>
  <si>
    <t>Supevyeppee; Haapavuopaja</t>
  </si>
  <si>
    <t>Čoođâvyeppee</t>
  </si>
  <si>
    <t>Kiimaslahti</t>
  </si>
  <si>
    <t>Kiimaslahti; Kimesluohtâ</t>
  </si>
  <si>
    <t>Kyerdesluohtâ</t>
  </si>
  <si>
    <t>Kyerdesluohtâ; Kuorteslahti</t>
  </si>
  <si>
    <t>Kultalahti</t>
  </si>
  <si>
    <t>Hukkavaaranjärvi</t>
  </si>
  <si>
    <t>Ketkijáávráš</t>
  </si>
  <si>
    <t>Ketkijáávráš; Ahmajärvi</t>
  </si>
  <si>
    <t>Nupinrengastamajänkkä</t>
  </si>
  <si>
    <t>no label found ; feature seems small</t>
  </si>
  <si>
    <t>Ahmavaara</t>
  </si>
  <si>
    <t>Lauluvaara</t>
  </si>
  <si>
    <t>Aunionoja</t>
  </si>
  <si>
    <t>labelled on the upper course of the waterway</t>
  </si>
  <si>
    <t>Ronkajoki</t>
  </si>
  <si>
    <t>Keino-oja</t>
  </si>
  <si>
    <t>Paanneoja</t>
  </si>
  <si>
    <t>Roggejáávráš</t>
  </si>
  <si>
    <t>Roggejáávráš; Ronkajärvi</t>
  </si>
  <si>
    <t>Linjavaara</t>
  </si>
  <si>
    <t>Kuorolammet</t>
  </si>
  <si>
    <t>size possibly</t>
  </si>
  <si>
    <t>Alkonmukka</t>
  </si>
  <si>
    <t>Alkonniemi</t>
  </si>
  <si>
    <t>Alkonjänkä</t>
  </si>
  <si>
    <t>Blockfield or rocky area</t>
  </si>
  <si>
    <t>Härkäriutta</t>
  </si>
  <si>
    <t>Kolmihokka</t>
  </si>
  <si>
    <t>Kolmihokkalammet</t>
  </si>
  <si>
    <t>Vaaranalusjänkä</t>
  </si>
  <si>
    <t>Harjujärvi</t>
  </si>
  <si>
    <t>Harjujärvi; Puolžâjävri</t>
  </si>
  <si>
    <t>Kutumaa</t>
  </si>
  <si>
    <t>Kutuharju</t>
  </si>
  <si>
    <t>Roggejuuvâš</t>
  </si>
  <si>
    <t>Roggejuuvâš; Ronkajoki</t>
  </si>
  <si>
    <t>both labels present of both languages</t>
  </si>
  <si>
    <t>Juppura</t>
  </si>
  <si>
    <t>Vyelebâšluobâl</t>
  </si>
  <si>
    <t>Vyelebâšluobâl; Alalompola</t>
  </si>
  <si>
    <t>Salosenlampi</t>
  </si>
  <si>
    <t>Pajebâšluobâl</t>
  </si>
  <si>
    <t>Pajebâšluobâl; Ylälompola</t>
  </si>
  <si>
    <t>Ryssälako</t>
  </si>
  <si>
    <t>Kettukurunvaara</t>
  </si>
  <si>
    <t>No label found in area ; generalization unlikely ; for elevation areas</t>
  </si>
  <si>
    <t>Kuollutkalavaara</t>
  </si>
  <si>
    <t>Vesijärvi</t>
  </si>
  <si>
    <t>Ruostesuo</t>
  </si>
  <si>
    <t>Opsidijjeeláddu</t>
  </si>
  <si>
    <t>Opsidijjeeláddu; Kuollutkalajärvi</t>
  </si>
  <si>
    <t>Kuuđuujävri</t>
  </si>
  <si>
    <t>Kuuđuujävri; Kutujärvi</t>
  </si>
  <si>
    <t>Hangasvaaranpalo</t>
  </si>
  <si>
    <t>Keitistankolammet</t>
  </si>
  <si>
    <t>Keitistanko-oja</t>
  </si>
  <si>
    <t>Hukkavaaranoja</t>
  </si>
  <si>
    <t>water course relatively small</t>
  </si>
  <si>
    <t>Hukkavaara</t>
  </si>
  <si>
    <t>Hukkavaara; Kumppiváárááš</t>
  </si>
  <si>
    <t>Piärtušmvääri</t>
  </si>
  <si>
    <t>Piärtušmvääri; Hangasvaara</t>
  </si>
  <si>
    <t>Hukkavaaranjänkä</t>
  </si>
  <si>
    <t>Kirveslampi</t>
  </si>
  <si>
    <t>Piippuvisavaara</t>
  </si>
  <si>
    <t>Luobâlvääri</t>
  </si>
  <si>
    <t>Luobâlvääri; Lompolavaara</t>
  </si>
  <si>
    <t>Repoäijän Kolmihokka</t>
  </si>
  <si>
    <t>Hurttanokka</t>
  </si>
  <si>
    <t>Ronkahokka</t>
  </si>
  <si>
    <t>Viltto</t>
  </si>
  <si>
    <t>Hurunlatva</t>
  </si>
  <si>
    <t>Isojuurakko</t>
  </si>
  <si>
    <t>Niittyjänkä</t>
  </si>
  <si>
    <t>name not found ; small feature - marsh</t>
  </si>
  <si>
    <t>Hurtteváárááš</t>
  </si>
  <si>
    <t>Hurtteváárááš; Hurttariutta</t>
  </si>
  <si>
    <t>Hurttajärvi</t>
  </si>
  <si>
    <t>Hurttajärvi; Hurttejáávráš</t>
  </si>
  <si>
    <t>Ahven-Rautujärvi</t>
  </si>
  <si>
    <t>Rautujärvi</t>
  </si>
  <si>
    <t>Rautujärvi; Rávdujáávráš</t>
  </si>
  <si>
    <t>Haisevalantto</t>
  </si>
  <si>
    <t>Siekarojänkä</t>
  </si>
  <si>
    <t>Suolannakkomajänkä</t>
  </si>
  <si>
    <t>Housupahta</t>
  </si>
  <si>
    <t>Pikku Rautujärvi</t>
  </si>
  <si>
    <t>Nimetön Rautujärvi</t>
  </si>
  <si>
    <t>Isontaipaleenjärvi</t>
  </si>
  <si>
    <t>Iivarintalojärvi</t>
  </si>
  <si>
    <t>Pilhupää</t>
  </si>
  <si>
    <t>Rautupää</t>
  </si>
  <si>
    <t>Rautupää; Rávdu-uáiváš</t>
  </si>
  <si>
    <t>Laavuvaara</t>
  </si>
  <si>
    <t>Loitonokka</t>
  </si>
  <si>
    <t>Hurttakuru</t>
  </si>
  <si>
    <t>label for depression</t>
  </si>
  <si>
    <t>Saukko-Tupapää</t>
  </si>
  <si>
    <t>Kolmisormiharju</t>
  </si>
  <si>
    <t>Ahkionrepimäpää</t>
  </si>
  <si>
    <t>Saunalampi</t>
  </si>
  <si>
    <t>Loijakkalampi</t>
  </si>
  <si>
    <t>Hurttejuuvâš</t>
  </si>
  <si>
    <t>Hurttejuuvâš; Hurttaoja</t>
  </si>
  <si>
    <t>Rautuoja</t>
  </si>
  <si>
    <t>Čevrisjáávráš</t>
  </si>
  <si>
    <t>Čevrisjáávráš; Saukkojärvi</t>
  </si>
  <si>
    <t>Saukkojärvi on top and Čevrisjáávráš at bottom</t>
  </si>
  <si>
    <t>Lelpe-Matin oja</t>
  </si>
  <si>
    <t>Hulpaoja</t>
  </si>
  <si>
    <t>Saukkojänkä</t>
  </si>
  <si>
    <t>Ahven-Rautuoja</t>
  </si>
  <si>
    <t>Pukinkusema</t>
  </si>
  <si>
    <t>no label found ; size</t>
  </si>
  <si>
    <t>Jänkäjärvi; Jeggijävri</t>
  </si>
  <si>
    <t>Jänkäjärvenpalo</t>
  </si>
  <si>
    <t>Alajärvenlampi</t>
  </si>
  <si>
    <t>Kalkuselkäjärvi</t>
  </si>
  <si>
    <t>Vyelemušjävri</t>
  </si>
  <si>
    <t>Vyelemušjävri; Alajärvi</t>
  </si>
  <si>
    <t>Kämppälammet</t>
  </si>
  <si>
    <t>Kalatonjärvi</t>
  </si>
  <si>
    <t>Ruutilantonjunni</t>
  </si>
  <si>
    <t>Katoskuru</t>
  </si>
  <si>
    <t>Sotkapää</t>
  </si>
  <si>
    <t>Jänkäjärvenrinne</t>
  </si>
  <si>
    <t>Ruutilantto</t>
  </si>
  <si>
    <t>Sotkalantto</t>
  </si>
  <si>
    <t>Hoikkajärvi</t>
  </si>
  <si>
    <t>Immosen Kalajärvi</t>
  </si>
  <si>
    <t>Paksupetäjäjärvi</t>
  </si>
  <si>
    <t>Jeggijävruáiváš</t>
  </si>
  <si>
    <t>Jeggijävruáiváš; Jänkäjärvenpää</t>
  </si>
  <si>
    <t>Jänkäjärvenpää at top -- FInnish</t>
  </si>
  <si>
    <t>Palopää</t>
  </si>
  <si>
    <t>Pilhujänkä</t>
  </si>
  <si>
    <t>Paksupetäjäjunni</t>
  </si>
  <si>
    <t>Tuulispään Pikku Rautujärvi</t>
  </si>
  <si>
    <t>Alempi Paksupetäjäjärvi</t>
  </si>
  <si>
    <t>Tuulisjärvi</t>
  </si>
  <si>
    <t>Tuulisjärvi; Pieggâjävri</t>
  </si>
  <si>
    <t>Tuulisjärvi at Top ; Pieggâjävri at bottom</t>
  </si>
  <si>
    <t>Rautujärvenpää</t>
  </si>
  <si>
    <t>Kehinkyylämänokka</t>
  </si>
  <si>
    <t>Tuulisjärvenoja</t>
  </si>
  <si>
    <t>Paksupetäjäoja</t>
  </si>
  <si>
    <t>Katosjärvi</t>
  </si>
  <si>
    <t>Kutukoski</t>
  </si>
  <si>
    <t>label for rapids</t>
  </si>
  <si>
    <t>Jänkäjärvenperä</t>
  </si>
  <si>
    <t>Alajärvensalmi</t>
  </si>
  <si>
    <t>Kortelompola</t>
  </si>
  <si>
    <t>Other cultural object</t>
  </si>
  <si>
    <t>Lyevimyetki</t>
  </si>
  <si>
    <t>Lyevimyetki; Suovataival</t>
  </si>
  <si>
    <t>Isotaival</t>
  </si>
  <si>
    <t>Isotaival; Stuorrâmyetki</t>
  </si>
  <si>
    <t>Mustaoja</t>
  </si>
  <si>
    <t>Salmiapaja</t>
  </si>
  <si>
    <t>Kaijanvuononperä</t>
  </si>
  <si>
    <t>similar name but with added -nopera</t>
  </si>
  <si>
    <t>Kenkisaari</t>
  </si>
  <si>
    <t>Rahajärvi</t>
  </si>
  <si>
    <t>Rahajärvi; Rááhájävri</t>
  </si>
  <si>
    <t>Vaadinmorosto</t>
  </si>
  <si>
    <t>Vaadinmorosto; Áldumoorâst</t>
  </si>
  <si>
    <t>Äiđieennâm</t>
  </si>
  <si>
    <t>Äiđieennâm; Aitamaa</t>
  </si>
  <si>
    <t>Mukkajärvenlammet</t>
  </si>
  <si>
    <t>Kaislalammet</t>
  </si>
  <si>
    <t>Kalkuselkä</t>
  </si>
  <si>
    <t>Kalkuselkä; Kálgučielgi</t>
  </si>
  <si>
    <t>Vaadinselkä</t>
  </si>
  <si>
    <t>Vaadinselkä; Áldučielgi</t>
  </si>
  <si>
    <t>Myössäjärvenpakka</t>
  </si>
  <si>
    <t>Suávviljävri</t>
  </si>
  <si>
    <t>Suávviljävri; Harrijärvi</t>
  </si>
  <si>
    <t>Mokkejävri</t>
  </si>
  <si>
    <t>Mokkejävri; Mukkajärvi</t>
  </si>
  <si>
    <t>Lentokonelampi</t>
  </si>
  <si>
    <t>Myössäjärvi</t>
  </si>
  <si>
    <t>Myössäjärvi; Misseejävri</t>
  </si>
  <si>
    <t>Myössäjärvenniemi</t>
  </si>
  <si>
    <t>no label found within area</t>
  </si>
  <si>
    <t>Ukonjärvenjänkä</t>
  </si>
  <si>
    <t>Karhunpesävaara</t>
  </si>
  <si>
    <t>Yli-Tupajärvi</t>
  </si>
  <si>
    <t>Yli-Tupajärvi; Paje-Tupejävri</t>
  </si>
  <si>
    <t>Tupevääri</t>
  </si>
  <si>
    <t>Tupevääri; Tupavaara</t>
  </si>
  <si>
    <t>Rappainvaara</t>
  </si>
  <si>
    <t>Rappainvaara; Rappainvääri</t>
  </si>
  <si>
    <t>Antti-Petterin vaara</t>
  </si>
  <si>
    <t>Antti-Petterin vaara; Antti-Petter vääri</t>
  </si>
  <si>
    <t>Isonkivenjärvi</t>
  </si>
  <si>
    <t>Maartikuátjävri</t>
  </si>
  <si>
    <t>Maartikuátjävri; Martinkotajärvi</t>
  </si>
  <si>
    <t>Ahkiontekemäjärvi</t>
  </si>
  <si>
    <t>Ahkiontekemäjärvi; Kerrisrähtimjävri</t>
  </si>
  <si>
    <t>Hukkajärvet</t>
  </si>
  <si>
    <t>Hukkajärvet; Kumppijäävrih</t>
  </si>
  <si>
    <t>Paavisjärvi</t>
  </si>
  <si>
    <t>Paavisjärvi; Pevisjävri</t>
  </si>
  <si>
    <t>Paavisjärvi in top - Finnish at top</t>
  </si>
  <si>
    <t>Sakiarinne</t>
  </si>
  <si>
    <t>Sakiarinne; Suohisroodâ</t>
  </si>
  <si>
    <t>Aviaispää</t>
  </si>
  <si>
    <t>Aviaispää; Avjus</t>
  </si>
  <si>
    <t>Rappainoja</t>
  </si>
  <si>
    <t>Boulder</t>
  </si>
  <si>
    <t>Karhunpesäkivi</t>
  </si>
  <si>
    <t xml:space="preserve">Label for boulder </t>
  </si>
  <si>
    <t>Pahtavaara</t>
  </si>
  <si>
    <t>Ukonjärvi</t>
  </si>
  <si>
    <t>Ukonjärvi; Äijihjävri</t>
  </si>
  <si>
    <t>Rahajärvenkaita; Rááhájävrskäiđi</t>
  </si>
  <si>
    <t>Könkäänvaara</t>
  </si>
  <si>
    <t>Könkäänvaara; Kievŋisvääri</t>
  </si>
  <si>
    <t>Čuálmivääri</t>
  </si>
  <si>
    <t>Čuálmivääri; Salmivaara</t>
  </si>
  <si>
    <t>Salmivaaranjärvi</t>
  </si>
  <si>
    <t>Salmivaaranjärvi; Čuálmivärjävri</t>
  </si>
  <si>
    <t>Akuniemi</t>
  </si>
  <si>
    <t>Akuniemi; Áhunjargâ</t>
  </si>
  <si>
    <t>Ákku</t>
  </si>
  <si>
    <t>Ákku; Akku</t>
  </si>
  <si>
    <t>Áhuvuáláášjävri</t>
  </si>
  <si>
    <t>Áhuvuáláášjävri; Akunalusjärvi</t>
  </si>
  <si>
    <t>Loddejävri</t>
  </si>
  <si>
    <t>Loddejävri; Lintujärvi</t>
  </si>
  <si>
    <t>Rautujärvet</t>
  </si>
  <si>
    <t>Rautujärvet; Rávdujávrááh</t>
  </si>
  <si>
    <t>Rávdujävrvääri</t>
  </si>
  <si>
    <t>Rávdujävrvääri; Rautujärvenvaara</t>
  </si>
  <si>
    <t>Tanelinvaara</t>
  </si>
  <si>
    <t>Tanelinvaara; Taannâlvääri</t>
  </si>
  <si>
    <t>Pälgispelesjävri</t>
  </si>
  <si>
    <t>Pälgispelesjävri; Polkupuolijärvi</t>
  </si>
  <si>
    <t>Polkupuolijärvi at top -- Finnish</t>
  </si>
  <si>
    <t>Nuorajänkä</t>
  </si>
  <si>
    <t>Mielkusniemi</t>
  </si>
  <si>
    <t xml:space="preserve">No label found in area; small feature; another label already on top </t>
  </si>
  <si>
    <t>Pyöriäniemi</t>
  </si>
  <si>
    <t>Nuottamajärvi</t>
  </si>
  <si>
    <t>Nuottamajärvi; Koldemjävri</t>
  </si>
  <si>
    <t>Nuottamajärvi at top -- Finnish</t>
  </si>
  <si>
    <t>Kalatonjärvi; Kyelettemesjävri</t>
  </si>
  <si>
    <t>size of lake small, label could fit</t>
  </si>
  <si>
    <t>Kimesvääri</t>
  </si>
  <si>
    <t>Kimesvääri; Lauluvaara</t>
  </si>
  <si>
    <t>Čuhâvääri</t>
  </si>
  <si>
    <t>Čuhâvääri; Juppuravaara</t>
  </si>
  <si>
    <t>Airuskuru</t>
  </si>
  <si>
    <t>Airuskuru; Airâškurrâ</t>
  </si>
  <si>
    <t>Sovsjävri</t>
  </si>
  <si>
    <t>Sovsjävri; Karvajärvi</t>
  </si>
  <si>
    <t>Vikatetaittamavaara</t>
  </si>
  <si>
    <t>Kotaniemi</t>
  </si>
  <si>
    <t>Liššátoijumjeggi</t>
  </si>
  <si>
    <t>Liššátoijumjeggi; Vikatetaittamajänkä</t>
  </si>
  <si>
    <t>Lehmänjänkä</t>
  </si>
  <si>
    <t>Lehmänjänkä; Kusâjeggi</t>
  </si>
  <si>
    <t>Porolahti</t>
  </si>
  <si>
    <t>Karamajärvenlantto</t>
  </si>
  <si>
    <t>name not found around</t>
  </si>
  <si>
    <t>Kaijanvuono</t>
  </si>
  <si>
    <t>Rahajärvenluusua</t>
  </si>
  <si>
    <t>Ukonperä</t>
  </si>
  <si>
    <t>Kievŋiskuoškâ</t>
  </si>
  <si>
    <t>Kievŋiskuoškâ; Kirakkaköngäs</t>
  </si>
  <si>
    <t>Mielkuslahti</t>
  </si>
  <si>
    <t>Kettulahti</t>
  </si>
  <si>
    <t>size- part of lake</t>
  </si>
  <si>
    <t>Vaaralahti</t>
  </si>
  <si>
    <t>Mutalahti</t>
  </si>
  <si>
    <t>Onttosalmi</t>
  </si>
  <si>
    <t>size, part of lake</t>
  </si>
  <si>
    <t>Paljakkavaara</t>
  </si>
  <si>
    <t>Kepinnakkauslantto</t>
  </si>
  <si>
    <t>no label found; enough space for label but feature appears small</t>
  </si>
  <si>
    <t>Kepinnakkauslantonvaara</t>
  </si>
  <si>
    <t>no name found</t>
  </si>
  <si>
    <t>Kaakkurijärvi</t>
  </si>
  <si>
    <t>no label found; enough space for label ; feature is forested area</t>
  </si>
  <si>
    <t>Aitalahdenniemi</t>
  </si>
  <si>
    <t>Mannilahdenniemi</t>
  </si>
  <si>
    <t>Uusoppijoki</t>
  </si>
  <si>
    <t>Uusoppijoki; Uusâpjuuvâš</t>
  </si>
  <si>
    <t>Nirvamella</t>
  </si>
  <si>
    <t>Haukijuppu</t>
  </si>
  <si>
    <t>Haukijärvi</t>
  </si>
  <si>
    <t>Mannilahti</t>
  </si>
  <si>
    <t>Kontiouitto</t>
  </si>
  <si>
    <t>Risu-uitto</t>
  </si>
  <si>
    <t>Kulmala</t>
  </si>
  <si>
    <t>Haukimaa</t>
  </si>
  <si>
    <t>Mella</t>
  </si>
  <si>
    <t>Uusoppi</t>
  </si>
  <si>
    <t>Ukon Korkiasaari</t>
  </si>
  <si>
    <t>Äijih</t>
  </si>
  <si>
    <t>Äijih; Ukko</t>
  </si>
  <si>
    <t>Koskivuononvaara</t>
  </si>
  <si>
    <t>Konesniemi</t>
  </si>
  <si>
    <t>Konesniemi; Konišnjargâ</t>
  </si>
  <si>
    <t>Martinjärvi</t>
  </si>
  <si>
    <t>Putaansaari</t>
  </si>
  <si>
    <t>Pikku Kaijasaari</t>
  </si>
  <si>
    <t>Iso Kaijasaari</t>
  </si>
  <si>
    <t>Mutasaari</t>
  </si>
  <si>
    <t>Njopânjargâ</t>
  </si>
  <si>
    <t>Njopânjargâ; Nuppaniemi</t>
  </si>
  <si>
    <t>Lahessaari</t>
  </si>
  <si>
    <t>Vierccâsuolluuh</t>
  </si>
  <si>
    <t>Vierccâsuolluuh; Jaarasaaret</t>
  </si>
  <si>
    <t>Kulpposuálui</t>
  </si>
  <si>
    <t>Kulpposuálui; Kulpposaari</t>
  </si>
  <si>
    <t>Rykimäsaari</t>
  </si>
  <si>
    <t>Riitunsaari</t>
  </si>
  <si>
    <t>Hämähäkkiniemi; Evnnjargâ</t>
  </si>
  <si>
    <t>Patokotaniemi</t>
  </si>
  <si>
    <t>Tärsvaara</t>
  </si>
  <si>
    <t>Tärsvaara; Tärsvääri</t>
  </si>
  <si>
    <t>Moonahvääri</t>
  </si>
  <si>
    <t>Moonahvääri; Moonivaara</t>
  </si>
  <si>
    <t>Lätteenjargâ</t>
  </si>
  <si>
    <t>Lätteenjargâ; Laattianiemi</t>
  </si>
  <si>
    <t>Iso-Potso</t>
  </si>
  <si>
    <t>Palovaara</t>
  </si>
  <si>
    <t>Palovaaranjärvet</t>
  </si>
  <si>
    <t>Kosksuolluš</t>
  </si>
  <si>
    <t>Kosksuolluš; Koskisaari</t>
  </si>
  <si>
    <t>Mahlad</t>
  </si>
  <si>
    <t>Mahlad; Mahlatti</t>
  </si>
  <si>
    <t>Taajomavaara</t>
  </si>
  <si>
    <t>Rauhastonsaaret</t>
  </si>
  <si>
    <t>Aittasaaret</t>
  </si>
  <si>
    <t>Vuoriaisenjärvi</t>
  </si>
  <si>
    <t>Vuoriainen</t>
  </si>
  <si>
    <t>Vuoriainen; Värehâš</t>
  </si>
  <si>
    <t>Rauhastonjärvi</t>
  </si>
  <si>
    <t>Antinmätäs</t>
  </si>
  <si>
    <t>Romosaari</t>
  </si>
  <si>
    <t>Juurakkovaara</t>
  </si>
  <si>
    <t>Vuáskujävri</t>
  </si>
  <si>
    <t>Vuáskujävri; Ahvenjärvi</t>
  </si>
  <si>
    <t>Joensuunkenttäsaari</t>
  </si>
  <si>
    <t>Joensuunkenttäsaari; Kieddsuálui</t>
  </si>
  <si>
    <t>Lakopetäjänsaari</t>
  </si>
  <si>
    <t>Pikku-Oukonen</t>
  </si>
  <si>
    <t>Oukonen</t>
  </si>
  <si>
    <t>Pystövaara</t>
  </si>
  <si>
    <t>Pikku Romojärvi</t>
  </si>
  <si>
    <t>Romojärvi</t>
  </si>
  <si>
    <t>Kärppäsaari</t>
  </si>
  <si>
    <t>Hanhisaaret</t>
  </si>
  <si>
    <t>Romovaara</t>
  </si>
  <si>
    <t>Kalkujänkkä</t>
  </si>
  <si>
    <t>Ahosaari</t>
  </si>
  <si>
    <t>Ahvenoja</t>
  </si>
  <si>
    <t>Kálgujávrááh</t>
  </si>
  <si>
    <t>Kálgujávrááh; Kalkujärvet</t>
  </si>
  <si>
    <t>Seytsijärvi</t>
  </si>
  <si>
    <t>Seytsijärvi; Čevžijävri</t>
  </si>
  <si>
    <t>Sammakkolampi</t>
  </si>
  <si>
    <t>Nirppivääri</t>
  </si>
  <si>
    <t>Nirppivääri; Nirppivaara</t>
  </si>
  <si>
    <t>Kaaverpojanniemi</t>
  </si>
  <si>
    <t>Pikku-Potso</t>
  </si>
  <si>
    <t>Istumasaari</t>
  </si>
  <si>
    <t>Lammaskotasaari</t>
  </si>
  <si>
    <t>Čevživáárááš</t>
  </si>
  <si>
    <t>Čevživáárááš; Seytsivaara</t>
  </si>
  <si>
    <t>Kuukasjärvi</t>
  </si>
  <si>
    <t>Kellariniemi</t>
  </si>
  <si>
    <t>Kuukasniemi</t>
  </si>
  <si>
    <t>Pilzenjargâ</t>
  </si>
  <si>
    <t>Pilzenjargâ; Piltsiniemi</t>
  </si>
  <si>
    <t>Kaskamosaaret</t>
  </si>
  <si>
    <t>Kota-Maura</t>
  </si>
  <si>
    <t>Pitkä-Maura</t>
  </si>
  <si>
    <t>Korkia-Maura</t>
  </si>
  <si>
    <t>Piltsikari</t>
  </si>
  <si>
    <t>Lankovaara</t>
  </si>
  <si>
    <t>Kalkuoja</t>
  </si>
  <si>
    <t>Kivisalmi</t>
  </si>
  <si>
    <t>Matalansalmenkoski</t>
  </si>
  <si>
    <t>Äijihluohtâ</t>
  </si>
  <si>
    <t>Äijihluohtâ; Ukonlahti</t>
  </si>
  <si>
    <t>Koskivuono</t>
  </si>
  <si>
    <t>Källijâš</t>
  </si>
  <si>
    <t>Källijâš; Kalliokoski</t>
  </si>
  <si>
    <t>Ukonjärven Kivilahti</t>
  </si>
  <si>
    <t>Joutavalahti</t>
  </si>
  <si>
    <t>Hämähäkkilahti</t>
  </si>
  <si>
    <t>Kivilahti</t>
  </si>
  <si>
    <t>Avveelnjälmjorŋâ</t>
  </si>
  <si>
    <t>Avveelnjälmjorŋâ; Joensuuselkä</t>
  </si>
  <si>
    <t>Nuoransuuselkä</t>
  </si>
  <si>
    <t>Kirkkosalmi</t>
  </si>
  <si>
    <t>Keeđhičuálmi</t>
  </si>
  <si>
    <t>Keeđhičuálmi; Ahmasalmi</t>
  </si>
  <si>
    <t>Nuora</t>
  </si>
  <si>
    <t>Nuora; Nyeri</t>
  </si>
  <si>
    <t>Kivisalmi; Keđgičuálmi</t>
  </si>
  <si>
    <t>Jávrádoh</t>
  </si>
  <si>
    <t>Jávrádoh; Järvikäinen</t>
  </si>
  <si>
    <t>Mahladnyeri</t>
  </si>
  <si>
    <t>Mahladnyeri; Mahlattinuora</t>
  </si>
  <si>
    <t>Rauhastonperä</t>
  </si>
  <si>
    <t>Vuoriaisenlahti</t>
  </si>
  <si>
    <t>Vuoriaisenlahti; Värehâsluohtâ</t>
  </si>
  <si>
    <t>Isolahti</t>
  </si>
  <si>
    <t>Ruottukka</t>
  </si>
  <si>
    <t>Romoväylä</t>
  </si>
  <si>
    <t>Juurakkovuopaja</t>
  </si>
  <si>
    <t>Oukosenperä</t>
  </si>
  <si>
    <t>Putaanväylä</t>
  </si>
  <si>
    <t>Härkänuora</t>
  </si>
  <si>
    <t>Pilzejorŋâ</t>
  </si>
  <si>
    <t>Pilzejorŋâ; Piltsiselkä</t>
  </si>
  <si>
    <t>Kuukaslahti</t>
  </si>
  <si>
    <t>Ollespiessansalmi</t>
  </si>
  <si>
    <t>Mooššinjorŋâ</t>
  </si>
  <si>
    <t>Mooššinjorŋâ; Moossinaselkä</t>
  </si>
  <si>
    <t>Village or neighbourhood</t>
  </si>
  <si>
    <t>Viäskoonjargâ</t>
  </si>
  <si>
    <t>Viäskoonjargâ; Veskoniemi</t>
  </si>
  <si>
    <t>Ojala</t>
  </si>
  <si>
    <t>Niemelä</t>
  </si>
  <si>
    <t>Varpuniemi</t>
  </si>
  <si>
    <t>Romoniemi</t>
  </si>
  <si>
    <t>Varpuoja</t>
  </si>
  <si>
    <t>Alimmainen Suhajärvi</t>
  </si>
  <si>
    <t>Skajesuálui</t>
  </si>
  <si>
    <t>Skajesuálui; Kaijasaari</t>
  </si>
  <si>
    <t>Jollušjävri</t>
  </si>
  <si>
    <t>Jollušjävri; Jollusjärvi</t>
  </si>
  <si>
    <t>Kuáđáášluobbâlâš</t>
  </si>
  <si>
    <t>Kuáđáášluobbâlâš; Tikkijärvi</t>
  </si>
  <si>
    <t>Njirroohvääri</t>
  </si>
  <si>
    <t>Njirroohvääri; Nirrovaara</t>
  </si>
  <si>
    <t>Pontikkalahti</t>
  </si>
  <si>
    <t>Suhavaara</t>
  </si>
  <si>
    <t>Kivivaara</t>
  </si>
  <si>
    <t>Menesniemi</t>
  </si>
  <si>
    <t>Alimmainen Menesjärvi</t>
  </si>
  <si>
    <t>Ylimmäinen Menesjärvi</t>
  </si>
  <si>
    <t>Jänisjärvet</t>
  </si>
  <si>
    <t>Menišväärih</t>
  </si>
  <si>
    <t>Menišväärih; Menesvaara</t>
  </si>
  <si>
    <t>Pieni Menesvaara</t>
  </si>
  <si>
    <t>Menesoja</t>
  </si>
  <si>
    <t xml:space="preserve">label for watercourse </t>
  </si>
  <si>
    <t>Saivarvaara</t>
  </si>
  <si>
    <t>Isojänkkä</t>
  </si>
  <si>
    <t>Härkäjärvet</t>
  </si>
  <si>
    <t>Keinolammet</t>
  </si>
  <si>
    <t>Mielkkiniemi</t>
  </si>
  <si>
    <t>Mielkkiniemi; Mielgâjargâ</t>
  </si>
  <si>
    <t>Kuukasvaara</t>
  </si>
  <si>
    <t>Riäskásuáloi</t>
  </si>
  <si>
    <t>Riäskásuáloi; Reeskasaari</t>
  </si>
  <si>
    <t>Korkiasaari</t>
  </si>
  <si>
    <t>Juppurasaari</t>
  </si>
  <si>
    <t>Pitkä Moossinasaari</t>
  </si>
  <si>
    <t>Munhaissaari; Maaneemčalmesuálui</t>
  </si>
  <si>
    <t>Jänisvaara</t>
  </si>
  <si>
    <t>Naŋŋânjargâ</t>
  </si>
  <si>
    <t>Naŋŋânjargâ; Nanguniemi</t>
  </si>
  <si>
    <t>Laitavaara</t>
  </si>
  <si>
    <t>Laitavaara; Ruobduinvääri</t>
  </si>
  <si>
    <t>Harbour, port or haven</t>
  </si>
  <si>
    <t>Typographic weight- Bold; Size</t>
  </si>
  <si>
    <t>Alimmainen Jollusjärvi</t>
  </si>
  <si>
    <t>Pääsaari</t>
  </si>
  <si>
    <t>Haukanpesävaara</t>
  </si>
  <si>
    <t>no OSM Reference</t>
  </si>
  <si>
    <t>Koiraniemi</t>
  </si>
  <si>
    <t>Vallipahta</t>
  </si>
  <si>
    <t>Vallipahdansaari</t>
  </si>
  <si>
    <t>Poronleikkaamasaari</t>
  </si>
  <si>
    <t>Irvasaaret</t>
  </si>
  <si>
    <t>Irvasaaret; Irveesuolluuh</t>
  </si>
  <si>
    <t>Hangasvaara</t>
  </si>
  <si>
    <t>Hangasvaara; Äägisvääri</t>
  </si>
  <si>
    <t>Korppipahta</t>
  </si>
  <si>
    <t>Luolaniemi</t>
  </si>
  <si>
    <t>Leŋgisuolluuh</t>
  </si>
  <si>
    <t>Leŋgisuolluuh; Lengisaaret</t>
  </si>
  <si>
    <t>Peskasaaret</t>
  </si>
  <si>
    <t>Petäjäsaari</t>
  </si>
  <si>
    <t>Sahavaaranlampi</t>
  </si>
  <si>
    <t>Mustajuurakkojärvi</t>
  </si>
  <si>
    <t>Jalanluiskahtamavaara</t>
  </si>
  <si>
    <t>Mikittijärvi</t>
  </si>
  <si>
    <t>Lammasjärvi</t>
  </si>
  <si>
    <t>Kaakkurijärvet</t>
  </si>
  <si>
    <t>Pystyvaarajärvi</t>
  </si>
  <si>
    <t>Kaakkurijärvenlompolat</t>
  </si>
  <si>
    <t>Lennjinjargâ</t>
  </si>
  <si>
    <t>Lennjinjargâ; Lenkoniemi</t>
  </si>
  <si>
    <t>Sahavaara</t>
  </si>
  <si>
    <t>no OSM reference</t>
  </si>
  <si>
    <t>Menišluohtâ</t>
  </si>
  <si>
    <t>Menišluohtâ; Meneslahti</t>
  </si>
  <si>
    <t>Riäskáluohtâ</t>
  </si>
  <si>
    <t>Riäskáluohtâ; Reeskalahti</t>
  </si>
  <si>
    <t>Laitavaaranselkä</t>
  </si>
  <si>
    <t>Tikkilahti</t>
  </si>
  <si>
    <t>Jänislahti</t>
  </si>
  <si>
    <t>Koiralahti</t>
  </si>
  <si>
    <t>Kaakkurilahti</t>
  </si>
  <si>
    <t>Nanguvuono</t>
  </si>
  <si>
    <t>Nanguvuono; Naŋŋâvuonâ</t>
  </si>
  <si>
    <t>Paloselkä</t>
  </si>
  <si>
    <t>Tikkiniemi</t>
  </si>
  <si>
    <t>Kylkivaara</t>
  </si>
  <si>
    <t>Juovâluohtâ; Luolalahti</t>
  </si>
  <si>
    <t>Korkianiemi</t>
  </si>
  <si>
    <t>Syrjäjärvi</t>
  </si>
  <si>
    <t>Lammasniemi</t>
  </si>
  <si>
    <t>near other label ; clustered</t>
  </si>
  <si>
    <t>Nastinlampi</t>
  </si>
  <si>
    <t>Moottorilahti</t>
  </si>
  <si>
    <t>Ahvenlahti</t>
  </si>
  <si>
    <t>Nastinsaari</t>
  </si>
  <si>
    <t>Hangasvaara; Torrakkavaara</t>
  </si>
  <si>
    <t>fin;fin</t>
  </si>
  <si>
    <t>Männikkövaara</t>
  </si>
  <si>
    <t>Beahcevuotkinjávri</t>
  </si>
  <si>
    <t>Beahcevuotkinjávri; Ollinlampi; Pecivyetkimjáávráš</t>
  </si>
  <si>
    <t>sme;fin;smn</t>
  </si>
  <si>
    <t>finish folowed by Sme then by Smn</t>
  </si>
  <si>
    <t>Matinlahti</t>
  </si>
  <si>
    <t>Peltosaari</t>
  </si>
  <si>
    <t>Kiskarolammet</t>
  </si>
  <si>
    <t>Aunen ja Unton lampi</t>
  </si>
  <si>
    <t xml:space="preserve">No label found in area ; very small feature </t>
  </si>
  <si>
    <t>Kotajärvi</t>
  </si>
  <si>
    <t>Outa-Luosma</t>
  </si>
  <si>
    <t>Terrain feature name</t>
  </si>
  <si>
    <t>Other educational unit</t>
  </si>
  <si>
    <t>Saamelaisalueen koulutuskeskus</t>
  </si>
  <si>
    <t>symbolized but not labelled ; public building</t>
  </si>
  <si>
    <t>Vyeppee</t>
  </si>
  <si>
    <t>Vyeppee; Vuopaja</t>
  </si>
  <si>
    <t>Cultural or fair centre</t>
  </si>
  <si>
    <t>Siida</t>
  </si>
  <si>
    <t>label absent but a symbol for public/commercial building present</t>
  </si>
  <si>
    <t>Pyöriävaara</t>
  </si>
  <si>
    <t>no name; no OSM reference</t>
  </si>
  <si>
    <t>Honkaoja</t>
  </si>
  <si>
    <t>Känkäänlampi</t>
  </si>
  <si>
    <t>Honkavaara</t>
  </si>
  <si>
    <t>Nukkumajoenjärvenvaara</t>
  </si>
  <si>
    <t>no name found; another  label closeby ; limited space</t>
  </si>
  <si>
    <t>Kuhesvyeppee</t>
  </si>
  <si>
    <t>Kuhesvyeppee; Pitkävuopaja</t>
  </si>
  <si>
    <t>Aittalaassa; Äittilássá</t>
  </si>
  <si>
    <t>Pokasuálui</t>
  </si>
  <si>
    <t>Pokasuálui; Pokasaari</t>
  </si>
  <si>
    <t>Vanhankirkonvaara</t>
  </si>
  <si>
    <t>Significant building</t>
  </si>
  <si>
    <t>Puáriskirkko</t>
  </si>
  <si>
    <t>Puáriskirkko; Vanhakirkko</t>
  </si>
  <si>
    <t>FInnish label at top ; labelled and symbolized with bold cross; signiifcant building</t>
  </si>
  <si>
    <t>Punccijáávráš</t>
  </si>
  <si>
    <t>Punccijáávráš; Puntsijärvi</t>
  </si>
  <si>
    <t>Lapinojanjänkkä</t>
  </si>
  <si>
    <t>Kuoppalampi</t>
  </si>
  <si>
    <t>Silmävaara</t>
  </si>
  <si>
    <t>Pitkäjärvi; Nukkumajoenjärvi</t>
  </si>
  <si>
    <t>both present ; Pitkäjärvi at top ; both are Finnish</t>
  </si>
  <si>
    <t>Maatsaari</t>
  </si>
  <si>
    <t>Matalasalmi</t>
  </si>
  <si>
    <t>Matalasalmi; Cuávisčuálmi</t>
  </si>
  <si>
    <t>Kieddsuáloi</t>
  </si>
  <si>
    <t>Kieddsuáloi; Kenttäsaari</t>
  </si>
  <si>
    <t>Lostâsuáloi</t>
  </si>
  <si>
    <t>Lostâsuáloi; Lehtisaari</t>
  </si>
  <si>
    <t>Läpivuopaja</t>
  </si>
  <si>
    <t>Selkälahti</t>
  </si>
  <si>
    <t>Selkälahti; Selgiluohtâ</t>
  </si>
  <si>
    <t>Nilottupetäjävuopaja</t>
  </si>
  <si>
    <t>Nilottupetäjävuopaja; Njaskâmpiässäävyeppee</t>
  </si>
  <si>
    <t>Avvenvuopaja</t>
  </si>
  <si>
    <t>Metsonpyrstö</t>
  </si>
  <si>
    <t>no label foud</t>
  </si>
  <si>
    <t>Pyrstölahti</t>
  </si>
  <si>
    <t>Teppanavuopaja</t>
  </si>
  <si>
    <t>Kenttävuopaja</t>
  </si>
  <si>
    <t>Martinlahti</t>
  </si>
  <si>
    <t>Linttala</t>
  </si>
  <si>
    <t xml:space="preserve">Label for cultural object </t>
  </si>
  <si>
    <t>Other recreational service</t>
  </si>
  <si>
    <t>Label for recreational area</t>
  </si>
  <si>
    <t>Orttosen Kotasaari</t>
  </si>
  <si>
    <t>Jieŋâsuálui; Jääsaari</t>
  </si>
  <si>
    <t>Riutanalusjärvi</t>
  </si>
  <si>
    <t>Haapalahdenjärvi</t>
  </si>
  <si>
    <t>Haapalahdenvaara</t>
  </si>
  <si>
    <t>Pecsuálui</t>
  </si>
  <si>
    <t>Pecsuálui; Petäjäsaari</t>
  </si>
  <si>
    <t>Haapalahti</t>
  </si>
  <si>
    <t xml:space="preserve">Label for part of lake </t>
  </si>
  <si>
    <t>Petäjäsaarenjärvikäinen</t>
  </si>
  <si>
    <t>Hoikan Petäjäsaaren lampi</t>
  </si>
  <si>
    <t>Syelinyerenjargâ</t>
  </si>
  <si>
    <t>Syelinyerenjargâ; Salanuoranniemi</t>
  </si>
  <si>
    <t>Naukumapahta</t>
  </si>
  <si>
    <t>Karccâjuuvâš</t>
  </si>
  <si>
    <t>Karccâjuuvâš; Kartsaoja</t>
  </si>
  <si>
    <t>Kartsajänkä</t>
  </si>
  <si>
    <t>label not found</t>
  </si>
  <si>
    <t>Lyevisuálui</t>
  </si>
  <si>
    <t>Lyevisuálui; Suovasaari</t>
  </si>
  <si>
    <t>Korteoja</t>
  </si>
  <si>
    <t>Korteoja; Silmäoja</t>
  </si>
  <si>
    <t>Näpsäpalonlampi</t>
  </si>
  <si>
    <t>Heistansalmi</t>
  </si>
  <si>
    <t>Jäkäläjärvi</t>
  </si>
  <si>
    <t>Jäkäläjänkä</t>
  </si>
  <si>
    <t>Meadow or pasture</t>
  </si>
  <si>
    <t>Iisakinkenttä</t>
  </si>
  <si>
    <t>Uusijänkä</t>
  </si>
  <si>
    <t>Uudenjängänvaara</t>
  </si>
  <si>
    <t>Valkiapohjajärvi</t>
  </si>
  <si>
    <t>Ruáhujáávráš; Rytijärvi</t>
  </si>
  <si>
    <t>Saihojänkä</t>
  </si>
  <si>
    <t>label on top ; no space for the label of this feature</t>
  </si>
  <si>
    <t>Riäskájávrááh</t>
  </si>
  <si>
    <t>Riäskájávrááh; Reeskajärvet</t>
  </si>
  <si>
    <t>FInnish label at top ; group of lakes/pond</t>
  </si>
  <si>
    <t>Kamessuálui</t>
  </si>
  <si>
    <t>Kamessuálui; Kaamassaari</t>
  </si>
  <si>
    <t>Liittojärvet</t>
  </si>
  <si>
    <t>Liittojärvet; Littojäävrih</t>
  </si>
  <si>
    <t>Finnish label on top; Group of lakes/ponds</t>
  </si>
  <si>
    <t>Ylimmäinen Ampumajärvi</t>
  </si>
  <si>
    <t>Alimmainen Ampumajärvi</t>
  </si>
  <si>
    <t>Saihojärvet</t>
  </si>
  <si>
    <t>Ykspetäjälaassa</t>
  </si>
  <si>
    <t>Kuobžâčuálmi</t>
  </si>
  <si>
    <t>Kuobžâčuálmi; Karhusalmi</t>
  </si>
  <si>
    <t>Tyllyvaara</t>
  </si>
  <si>
    <t>Čaarmânjargruávi</t>
  </si>
  <si>
    <t>Čaarmânjargruávi; Sarminiemenpalo</t>
  </si>
  <si>
    <t>Iisakin Kotasaari</t>
  </si>
  <si>
    <t>Naammalahčuálmi</t>
  </si>
  <si>
    <t>Mahlatinsalmet</t>
  </si>
  <si>
    <t>Mahlatinsalmet; Mahladčuálmááh</t>
  </si>
  <si>
    <t>Cehásuálui</t>
  </si>
  <si>
    <t>Cehásuálui; Pikku Pääsaari</t>
  </si>
  <si>
    <t>Ristčualmáásuolluuvyeppee</t>
  </si>
  <si>
    <t>Ristčualmáásuolluuvyeppee; Ristisalmensaarenvuopaja</t>
  </si>
  <si>
    <t>Aasluohtâ</t>
  </si>
  <si>
    <t>Aasluohtâ; Aaslahti</t>
  </si>
  <si>
    <t>Sigáčiärrumnjargâ</t>
  </si>
  <si>
    <t>Selkäjuomussaari</t>
  </si>
  <si>
    <t>Selkäjuomussaari; Tavejuoŋâssuálui</t>
  </si>
  <si>
    <t>Syvälahti</t>
  </si>
  <si>
    <t>Taajomaniemi</t>
  </si>
  <si>
    <t>Taajomaniemi; Tááijumnjargâ</t>
  </si>
  <si>
    <t>no label found; small feature</t>
  </si>
  <si>
    <t>Tissikivi</t>
  </si>
  <si>
    <t>Tissikivi; Njižžekeđgi</t>
  </si>
  <si>
    <t>Njaahâtnjargâ</t>
  </si>
  <si>
    <t>Njaahâtnjargâ; Nahatniemi</t>
  </si>
  <si>
    <t>Nahatniemi at top -- Finnish</t>
  </si>
  <si>
    <t>Saimanjargâ</t>
  </si>
  <si>
    <t>Saimanjargâ; Saimuniemi</t>
  </si>
  <si>
    <t>Saimuniemi at top -finnish</t>
  </si>
  <si>
    <t>Tarruuvääri</t>
  </si>
  <si>
    <t>Tovnkeijävrluohtâ</t>
  </si>
  <si>
    <t>Karvalampi</t>
  </si>
  <si>
    <t>Rautujärvenoja</t>
  </si>
  <si>
    <t>Rautujärvenoja; Rávdujävrjuuvâš</t>
  </si>
  <si>
    <t>No label found in area; small feature; waterway symbolized</t>
  </si>
  <si>
    <t>Juppuravaaranjärvet</t>
  </si>
  <si>
    <t>Juppuravaaranjärvet; Čuhâvärjávrááh</t>
  </si>
  <si>
    <t>Ukonjärvenkaita</t>
  </si>
  <si>
    <t>Korppilahdenniemi</t>
  </si>
  <si>
    <t>Korppilahti</t>
  </si>
  <si>
    <t>Äijihjävrčuálmi</t>
  </si>
  <si>
    <t>Äijihjävrčuálmi; Leviäsalmi</t>
  </si>
  <si>
    <t>Mustan Matin Rahajärvi</t>
  </si>
  <si>
    <t>Kenkilahti</t>
  </si>
  <si>
    <t>Päikkiluohtâ</t>
  </si>
  <si>
    <t>Roggejávráávääri</t>
  </si>
  <si>
    <t>Aunionperä</t>
  </si>
  <si>
    <t>Laikanen</t>
  </si>
  <si>
    <t>Laikasenvuopaja</t>
  </si>
  <si>
    <t>Kuonâvärpsuálui</t>
  </si>
  <si>
    <t>Kaivoslahti</t>
  </si>
  <si>
    <t>Moonilahti</t>
  </si>
  <si>
    <t>Keeđhiluohtâ</t>
  </si>
  <si>
    <t>Keeđhiluohtâ; Ahmalahti</t>
  </si>
  <si>
    <t>Luolikkoniemi</t>
  </si>
  <si>
    <t>Telŋipevŋi</t>
  </si>
  <si>
    <t>Telŋipevŋi; Teljupeuna</t>
  </si>
  <si>
    <t>Ämmänhiekka</t>
  </si>
  <si>
    <t xml:space="preserve">label for shallows </t>
  </si>
  <si>
    <t>Saivarlampi</t>
  </si>
  <si>
    <t>Ylimmäinen Suhajärvi</t>
  </si>
  <si>
    <t>Njirrooh</t>
  </si>
  <si>
    <t>Njirrooh; Nirrola</t>
  </si>
  <si>
    <t>FInnish label at top; House likey important ; no OSM reference</t>
  </si>
  <si>
    <t>Rastassaari</t>
  </si>
  <si>
    <t>Pajalâskeđgi</t>
  </si>
  <si>
    <t>size; other labels nearby</t>
  </si>
  <si>
    <t>Rastassalmi</t>
  </si>
  <si>
    <t>Paajeeb Keđgivihálâh</t>
  </si>
  <si>
    <t>Jollusjoki</t>
  </si>
  <si>
    <t>Jollusjoki; Jollušjuuhâ</t>
  </si>
  <si>
    <t>Monument or work of art</t>
  </si>
  <si>
    <t>Sarmijärven matkamiehen risti</t>
  </si>
  <si>
    <t>monument with no labels</t>
  </si>
  <si>
    <t>Sellaniemi; Šiällánjargâ</t>
  </si>
  <si>
    <t>Menišjäävrih</t>
  </si>
  <si>
    <t>City or town or population centre</t>
  </si>
  <si>
    <t>Aanaar; Enare; Aanar; Anár; Inari</t>
  </si>
  <si>
    <t>smn;swe;sms;sme;fin</t>
  </si>
  <si>
    <t>all four names included in the followin order from top to botton: Inari , Enare , Anar, Aanaar , AAnar</t>
  </si>
  <si>
    <t>Kuáskimčuálmi</t>
  </si>
  <si>
    <t>Kuáskimčuálmi; Kotkasalmi</t>
  </si>
  <si>
    <t>Inarin saamelaiskirkko</t>
  </si>
  <si>
    <t>label not found; symbolized by bold cross(emphasized)</t>
  </si>
  <si>
    <t>not found; symbolized by a bold cross (emphasized)</t>
  </si>
  <si>
    <t>Nature centre</t>
  </si>
  <si>
    <t>Övre Lapplands naturum Siida</t>
  </si>
  <si>
    <t>Övre Lapplands naturum Siida; Davvi-Sámi luondduguovddáš Siida; Ylä-Lapin luontokeskus Siida</t>
  </si>
  <si>
    <t>swe;sme;fin</t>
  </si>
  <si>
    <t>symbolized but not labelled ; cluster of features</t>
  </si>
  <si>
    <t>Čuđeluohtâ</t>
  </si>
  <si>
    <t>Smn</t>
  </si>
  <si>
    <t>Kesikyelipivdemsaje</t>
  </si>
  <si>
    <t>Vaamenhukkumalampi</t>
  </si>
  <si>
    <t>Vaamenhukkumalampi; Áldučaaŋŋâmjáávráš</t>
  </si>
  <si>
    <t>Feature too small</t>
  </si>
  <si>
    <t>Väärisistjävri</t>
  </si>
  <si>
    <t>Väärisistjävri; Vaaransisälläjärvi</t>
  </si>
  <si>
    <t>Visavaara</t>
  </si>
  <si>
    <t>Visavaara; Visávääri</t>
  </si>
  <si>
    <t>Kuobžâkuátieennâm</t>
  </si>
  <si>
    <t>Kuobžâkuátieennâm; Karhunpesämaa</t>
  </si>
  <si>
    <t>Laanjáávrášluobâl</t>
  </si>
  <si>
    <t>Vuonpottjáávráš</t>
  </si>
  <si>
    <t>Vuonpottjáávráš; Vuononperälampi</t>
  </si>
  <si>
    <t>Vuonpottjuuvâš</t>
  </si>
  <si>
    <t>Ruohojärvi</t>
  </si>
  <si>
    <t>Ruohojärvi; Ruáhujävri</t>
  </si>
  <si>
    <t>Hanhilampi</t>
  </si>
  <si>
    <t>Hanhilampi; Čuánjájáávráš</t>
  </si>
  <si>
    <t>Leppäojanjärvi</t>
  </si>
  <si>
    <t>Leppäojanjärvi; Leibijuvviijáávráš</t>
  </si>
  <si>
    <t>Härjänhirttymäjärvi</t>
  </si>
  <si>
    <t>Härjänhirttymäjärvi; Ergikákkásemjävri</t>
  </si>
  <si>
    <t>Myevvirvääri</t>
  </si>
  <si>
    <t>Myevvirvääri; Möyryvaara</t>
  </si>
  <si>
    <t>Leppäoja</t>
  </si>
  <si>
    <t>Leppäoja; Leibijuuvâš</t>
  </si>
  <si>
    <t>Leibivääri</t>
  </si>
  <si>
    <t>Leibivääri; Leppävaara</t>
  </si>
  <si>
    <t>Majava-Ahvenjärvi</t>
  </si>
  <si>
    <t>Majava-Ahvenjärvi; Maijuu-Vuáskujáávráš</t>
  </si>
  <si>
    <t>Palotupajärvi</t>
  </si>
  <si>
    <t>Palotupajärvi; Puállámtupejáávráš</t>
  </si>
  <si>
    <t>Leibijävri</t>
  </si>
  <si>
    <t>Leibijävri; Leppäjärvi</t>
  </si>
  <si>
    <t>Láávtášjävri</t>
  </si>
  <si>
    <t>Láávtášjävri; Lauttasjärvi</t>
  </si>
  <si>
    <t>Säggeepääččimjáávráš</t>
  </si>
  <si>
    <t>Säggeepääččimjáávráš; Tikunampumajärvi</t>
  </si>
  <si>
    <t>Juggejävri</t>
  </si>
  <si>
    <t>Joutsenampumajärvi</t>
  </si>
  <si>
    <t>Joutsenampumajärvi; Njuuvčâpääččimjävri</t>
  </si>
  <si>
    <t>Jieŋŋâlâsjävri</t>
  </si>
  <si>
    <t>Jieŋŋâlâsjävri; Syväjärvi</t>
  </si>
  <si>
    <t>Nektumjävri</t>
  </si>
  <si>
    <t>Faadârjävri</t>
  </si>
  <si>
    <t>Silbâvääri</t>
  </si>
  <si>
    <t>Silbâvääri; Hopiavaara</t>
  </si>
  <si>
    <t>Uccâ Lagglimjävri</t>
  </si>
  <si>
    <t>Uccâ Lagglimjävri; Pieni Laklemijärvi</t>
  </si>
  <si>
    <t>Paloselkäjärvi</t>
  </si>
  <si>
    <t>Paloselkäjärvi; Ruávičielgjävri</t>
  </si>
  <si>
    <t>Marttin Lávusaijáávráš</t>
  </si>
  <si>
    <t>Marttin Lávusaijáávráš; Longinlampi</t>
  </si>
  <si>
    <t>Pitkälampi</t>
  </si>
  <si>
    <t>Pitkälampi; Kuheslááduš</t>
  </si>
  <si>
    <t>Hannun Kotavaara</t>
  </si>
  <si>
    <t>Hannun Kotavaara; Haanu Kuátivääri</t>
  </si>
  <si>
    <t>Vuáskujáávráš</t>
  </si>
  <si>
    <t>Vuáskujáávráš; Ahvenlampi</t>
  </si>
  <si>
    <t>Maijuujävri</t>
  </si>
  <si>
    <t>Maijuujävri; Majavajärvi</t>
  </si>
  <si>
    <t>Ruávičielgi</t>
  </si>
  <si>
    <t>Ruávičielgi; Paloselkä</t>
  </si>
  <si>
    <t>Tuparepimävaara</t>
  </si>
  <si>
    <t>Tuparepimävaara; Kiškomtupevääri</t>
  </si>
  <si>
    <t>Tuparepimälampi</t>
  </si>
  <si>
    <t>Tuparepimälampi; Kiškomtupejáávráš</t>
  </si>
  <si>
    <t>Kiäinujeglááduš</t>
  </si>
  <si>
    <t>Kiäinujeglááduš; Keinojängänlampi</t>
  </si>
  <si>
    <t>Majavaselkä</t>
  </si>
  <si>
    <t>Majavaselkä; Maijuučielgi</t>
  </si>
  <si>
    <t>Pistoppiselkä</t>
  </si>
  <si>
    <t>Pistoppiselkä; Pissotoppčielgi</t>
  </si>
  <si>
    <t>Isákkáájävri</t>
  </si>
  <si>
    <t>Isákkáájävri; Iisakkijärvi</t>
  </si>
  <si>
    <t>Veddâkuolbânâš</t>
  </si>
  <si>
    <t>Veddâkuolbânâš; Juurikuolpunen</t>
  </si>
  <si>
    <t>House; Single entity ; refers to an isolated, traditional wilderness log cabin</t>
  </si>
  <si>
    <t>Littojävri</t>
  </si>
  <si>
    <t>Littojävri; Liittojärvi</t>
  </si>
  <si>
    <t>Lammassaari; Savzâsuáloi</t>
  </si>
  <si>
    <t>Kossnjargâ</t>
  </si>
  <si>
    <t>Kossnjargâ; Paksuniemi</t>
  </si>
  <si>
    <t>Kirakkaniemi</t>
  </si>
  <si>
    <t>Kirakkaniemi; Kaareehnjargâ</t>
  </si>
  <si>
    <t>Mälivuoššâmsuáloi</t>
  </si>
  <si>
    <t>Mälivuoššâmsuáloi; Vellinkeittämäsaari</t>
  </si>
  <si>
    <t>Kálgunjargâ</t>
  </si>
  <si>
    <t>Korvasvaaranjärvi</t>
  </si>
  <si>
    <t>Korvasvaaranjärvi; Kuárvisvärjáávráš</t>
  </si>
  <si>
    <t>Korvasvaara</t>
  </si>
  <si>
    <t>Korvasvaara; Kuárvisvääri</t>
  </si>
  <si>
    <t>Korvasjärvi</t>
  </si>
  <si>
    <t>Korvasjärvi; Kuárvisjävri</t>
  </si>
  <si>
    <t>Lammasjärvi; Savzâjävri</t>
  </si>
  <si>
    <t>Kuárvisjuuhâ</t>
  </si>
  <si>
    <t>Kuárvisjuuhâ; Korvasjoki</t>
  </si>
  <si>
    <t>Vyelijävri</t>
  </si>
  <si>
    <t>Vyelijävri; Alajärvi</t>
  </si>
  <si>
    <t>Kesjuuhâ</t>
  </si>
  <si>
    <t>Kesjuuhâ; Kessijoki</t>
  </si>
  <si>
    <t>Maailmjävri</t>
  </si>
  <si>
    <t>Maailmjävri; Maailmanjärvi</t>
  </si>
  <si>
    <t>Tuolbâjävri</t>
  </si>
  <si>
    <t>Tuolbâjävri; Tuolpajärvi</t>
  </si>
  <si>
    <t>Rippuniemi</t>
  </si>
  <si>
    <t>Rippuniemi; Rippuunjargâ</t>
  </si>
  <si>
    <t>Kessvuonskäiđi</t>
  </si>
  <si>
    <t>Kessvuonskäiđi; Kessivuononkaita</t>
  </si>
  <si>
    <t>Kessvuonsuáloi</t>
  </si>
  <si>
    <t>Kessvuonsuáloi; Kessivuononsaari</t>
  </si>
  <si>
    <t>Suárdunjargâ</t>
  </si>
  <si>
    <t>Smn language</t>
  </si>
  <si>
    <t>Pikku Kivijärvi</t>
  </si>
  <si>
    <t>Pikku Kivijärvi; Uccâ Keđgijáávráš</t>
  </si>
  <si>
    <t>Pecivyetkimsuáloi</t>
  </si>
  <si>
    <t>Sammakkoniemi</t>
  </si>
  <si>
    <t>House; single entity</t>
  </si>
  <si>
    <t>Järvensuu</t>
  </si>
  <si>
    <t>Kivijärvenkaita</t>
  </si>
  <si>
    <t>Kivijärvenkaita; Keđgijävrskäiđi</t>
  </si>
  <si>
    <t>Pissopuunnjâmsiälgáš</t>
  </si>
  <si>
    <t>Pissopuunnjâmsiälgáš; Pyssynvääntämäselkä</t>
  </si>
  <si>
    <t>Tyvijärvi</t>
  </si>
  <si>
    <t>Tyvijärvi; Maadâjävri</t>
  </si>
  <si>
    <t>Čievčjávrááruávi</t>
  </si>
  <si>
    <t>Čievčjáávráš</t>
  </si>
  <si>
    <t>Čievčjáávráš; Haukkajärvi</t>
  </si>
  <si>
    <t>Uáivuščuálmáánjargâ</t>
  </si>
  <si>
    <t>No label found; Enough space; might be size generalization but unclear</t>
  </si>
  <si>
    <t>Pieggâpooráánjargâ</t>
  </si>
  <si>
    <t>Makarikeđginjargâ</t>
  </si>
  <si>
    <t>Uáivuščuálmáásuálui</t>
  </si>
  <si>
    <t>Kuiváásuálui</t>
  </si>
  <si>
    <t>Njähijuuvâš</t>
  </si>
  <si>
    <t>Ááhárnjargâ</t>
  </si>
  <si>
    <t>Savzâvyeppeenjargâ</t>
  </si>
  <si>
    <t>Kaijuusuolluuh</t>
  </si>
  <si>
    <t>Puolžâsuálui</t>
  </si>
  <si>
    <t>Kuávdoojävrsuolluuh</t>
  </si>
  <si>
    <t>Njammijävri</t>
  </si>
  <si>
    <t>Njammijävri; Nammijärvi</t>
  </si>
  <si>
    <t>Ááhársuálui</t>
  </si>
  <si>
    <t>Caaccâmsuálui</t>
  </si>
  <si>
    <t>Makarikeđgilássááh</t>
  </si>
  <si>
    <t>Čadervärnjargâ</t>
  </si>
  <si>
    <t>Label on top; no space</t>
  </si>
  <si>
    <t>Navettavaara</t>
  </si>
  <si>
    <t>Navettavaara; Naavitváárááš</t>
  </si>
  <si>
    <t>Njammivääri</t>
  </si>
  <si>
    <t>Njammivääri; Nammivaara</t>
  </si>
  <si>
    <t>Piilola</t>
  </si>
  <si>
    <t>Single entity; resort</t>
  </si>
  <si>
    <t>Turvejärvi</t>
  </si>
  <si>
    <t>Turvejärvi; Pajebuš Lavŋejävri</t>
  </si>
  <si>
    <t>Turvemaa</t>
  </si>
  <si>
    <t>Turvemaa; Lavŋevuoppumváárááš</t>
  </si>
  <si>
    <t>Tupesaiváárááš</t>
  </si>
  <si>
    <t>Kuátsaijáávráš</t>
  </si>
  <si>
    <t>Kuátsaijáávráš; Tupasijajärvi</t>
  </si>
  <si>
    <t>Njammičielgi</t>
  </si>
  <si>
    <t>Njammičielgi; Nammiselkä</t>
  </si>
  <si>
    <t>Veddikeessimváárááš</t>
  </si>
  <si>
    <t>no label found; enough space; unclear</t>
  </si>
  <si>
    <t>Kalliovaara</t>
  </si>
  <si>
    <t>Kalliovaara; Källeeváárááš</t>
  </si>
  <si>
    <t>Puárreevuáppááváárááš</t>
  </si>
  <si>
    <t>Taimenjärvi</t>
  </si>
  <si>
    <t>Taimenjärvi; Kuávžurjáávráš</t>
  </si>
  <si>
    <t>Lerkk-Issáák jáávráš</t>
  </si>
  <si>
    <t>Lerkk-Issáák jáávráš; Iisakinjärvi</t>
  </si>
  <si>
    <t>Pieni Taimenjärvi</t>
  </si>
  <si>
    <t>Uáivipuunnjâmláássáš</t>
  </si>
  <si>
    <t>Sä'pplisuâl</t>
  </si>
  <si>
    <t>Sä'pplisuâl; Säpligsuálui; Hiirisaari</t>
  </si>
  <si>
    <t>Finnish label at top; followed by SMN then by another SMN label</t>
  </si>
  <si>
    <t>Pikku-Söimi</t>
  </si>
  <si>
    <t>Iso-Söimi</t>
  </si>
  <si>
    <t>Iso-Söimi; Čyeiminsuálui</t>
  </si>
  <si>
    <t>Lostâ-Čyeiminsuálui</t>
  </si>
  <si>
    <t>Kyeškirnjargâ</t>
  </si>
  <si>
    <t>Kyeškirnjargâ; Kuoskerniemi; Kue'šǩernjargg</t>
  </si>
  <si>
    <t>smn;fin;sms</t>
  </si>
  <si>
    <t>Finnish label at top ; followed by Smn then by Sms</t>
  </si>
  <si>
    <t>Marttinjävri</t>
  </si>
  <si>
    <t>Pekkaljävri</t>
  </si>
  <si>
    <t>SMn</t>
  </si>
  <si>
    <t>Cuávis Säpligjävri</t>
  </si>
  <si>
    <t>Cuávis Säpligjävri; Matala Hiirijärvi</t>
  </si>
  <si>
    <t>Säplignjargâ</t>
  </si>
  <si>
    <t>Säplignjargâ; Hiiriniemi; Sä'pplinjargg</t>
  </si>
  <si>
    <t>Finnish label at top ; followed by SMN then by SMS</t>
  </si>
  <si>
    <t>Hietajärvi</t>
  </si>
  <si>
    <t>Hietajärvi; Pajebuš Vuodâsjáávráš; Vuõddâsjäu'rr</t>
  </si>
  <si>
    <t>fin;smn;sms</t>
  </si>
  <si>
    <t>Finnish label at top; followed by SMN then by SMS</t>
  </si>
  <si>
    <t>Puállámtupejáávráš</t>
  </si>
  <si>
    <t>Jievjâjávráiváárááš</t>
  </si>
  <si>
    <t>Vyelebuš Vuodâsjáávráš</t>
  </si>
  <si>
    <t>Vyelebuš Vuodâsjáávráš; Pieni Hietajärvi; Vue'lbuž Vuõddâsjääuraž</t>
  </si>
  <si>
    <t>Finnish label at top; followed by SMN; then by SMS</t>
  </si>
  <si>
    <t>Hiiriniemi</t>
  </si>
  <si>
    <t>Oškâsjuuvâš</t>
  </si>
  <si>
    <t>Káránâsvääri</t>
  </si>
  <si>
    <t>Káránâsvääri; Korppikuruvaara</t>
  </si>
  <si>
    <t>Takinkadottamajärvi</t>
  </si>
  <si>
    <t>Takinkadottamajärvi; Soteläppimjáávráš</t>
  </si>
  <si>
    <t>Oskisjärvi</t>
  </si>
  <si>
    <t>Oskisjärvi; Oškâsjävri</t>
  </si>
  <si>
    <t>Káránâsluobâl</t>
  </si>
  <si>
    <t>Káránâsluobâl; Korppilompola</t>
  </si>
  <si>
    <t>Korppikurujärvi</t>
  </si>
  <si>
    <t>Korppikurujärvi; Káránâsjävri</t>
  </si>
  <si>
    <t>Puornâjáávráš</t>
  </si>
  <si>
    <t>Puornâjáávráš; Purnujärvi</t>
  </si>
  <si>
    <t>Keinojärvi</t>
  </si>
  <si>
    <t>Keinojärvi; Kiäinujävri</t>
  </si>
  <si>
    <t>Myeđđegâšvääri</t>
  </si>
  <si>
    <t>Korppipalo</t>
  </si>
  <si>
    <t>Korppipalo; Káránâsruávi</t>
  </si>
  <si>
    <t>Jieŋŋâlâsluobâl</t>
  </si>
  <si>
    <t>Jieŋŋâlâsluobâl; Syvälompola</t>
  </si>
  <si>
    <t>Kesčielgi</t>
  </si>
  <si>
    <t>Merjeslompola</t>
  </si>
  <si>
    <t>Merjeslompola; Myeđđegâšluobâl</t>
  </si>
  <si>
    <t>Pistoppijärvi</t>
  </si>
  <si>
    <t>Pistoppijärvi; Pissotoppjävri</t>
  </si>
  <si>
    <t>Kesjävri</t>
  </si>
  <si>
    <t>Kesjävri; Kessijärvi</t>
  </si>
  <si>
    <t>Šaldelyevijáávráš</t>
  </si>
  <si>
    <t>Šaldelyevijáávráš; Siltasuovanjärvi</t>
  </si>
  <si>
    <t>Pissotoppjuuvâš</t>
  </si>
  <si>
    <t>Pissotoppjuuvâš; Pistoppijoki</t>
  </si>
  <si>
    <t xml:space="preserve">Label is shown side by side; Finnish first </t>
  </si>
  <si>
    <t>Säkkiselkä</t>
  </si>
  <si>
    <t>Säkkiselkä; Sekkâčielgi</t>
  </si>
  <si>
    <t>Čuánjákačâttâllâmjáávráš</t>
  </si>
  <si>
    <t>Čuánjákačâttâllâmjáávráš; Säkkiselänlampi</t>
  </si>
  <si>
    <t>Jalŋesjävri</t>
  </si>
  <si>
    <t>Jalŋesjävri; Kantojärvi</t>
  </si>
  <si>
    <t>Suávviljuuvâš</t>
  </si>
  <si>
    <t>Kessijärvi</t>
  </si>
  <si>
    <t>Maijuujuuhâ</t>
  </si>
  <si>
    <t>Maijuujuuhâ; Majavajoki</t>
  </si>
  <si>
    <t xml:space="preserve">Labels shown almost side to side; Finnish first </t>
  </si>
  <si>
    <t>Koškisjävri</t>
  </si>
  <si>
    <t>Koškisjävri; Matalajärvi</t>
  </si>
  <si>
    <t>Kiimasselkä</t>
  </si>
  <si>
    <t>Kiimasselkä; Kimessiälgáš</t>
  </si>
  <si>
    <t>Naamajärvi</t>
  </si>
  <si>
    <t>Naamajärvi; Njaamâjävri</t>
  </si>
  <si>
    <t>Kuivaslompola</t>
  </si>
  <si>
    <t>Kuivaslompola; Koškisluobâl</t>
  </si>
  <si>
    <t>Njaamâjuuhâ</t>
  </si>
  <si>
    <t>Njaamâjuuhâ; Naamajoki</t>
  </si>
  <si>
    <t>Pitkäjärvi; Kuhesjävri</t>
  </si>
  <si>
    <t>Skáiđáájäävrih</t>
  </si>
  <si>
    <t>Skáiđáájäävrih; Kaitajärvi</t>
  </si>
  <si>
    <t>Kuátiluobâl</t>
  </si>
  <si>
    <t>Kuátiluobâl; Kotalampi</t>
  </si>
  <si>
    <t>Skááiđáš</t>
  </si>
  <si>
    <t>Skááiđáš; Kaitajärvenvaara</t>
  </si>
  <si>
    <t>Onomušjävri</t>
  </si>
  <si>
    <t>Onomušjävri; Onomusjärvi</t>
  </si>
  <si>
    <t>Paaluneksymäjärvi</t>
  </si>
  <si>
    <t>Saaveehjävri</t>
  </si>
  <si>
    <t>Saaveehjävri; Sivakkajärvi</t>
  </si>
  <si>
    <t>Kintaskadottamajärvi</t>
  </si>
  <si>
    <t>Kintaskadottamajärvi; Kistlappumjävri</t>
  </si>
  <si>
    <t>Onomusvaara</t>
  </si>
  <si>
    <t>Onomusvaara; Onomušvääri</t>
  </si>
  <si>
    <t>Markusrapomajärvi</t>
  </si>
  <si>
    <t>Kivijärvi; Keđgijävri</t>
  </si>
  <si>
    <t>Šorstijuuhâ</t>
  </si>
  <si>
    <t>Šorstijuuhâ; Sorstijoki</t>
  </si>
  <si>
    <t>Stuorrâ Šorstijävri</t>
  </si>
  <si>
    <t>Stuorrâ Šorstijävri; Ristijärvi</t>
  </si>
  <si>
    <t>Movrâsvääri</t>
  </si>
  <si>
    <t>Movrâsvääri; Mourasvaara</t>
  </si>
  <si>
    <t>Pikku-Sorsti</t>
  </si>
  <si>
    <t>Pikku-Sorsti; Uccâ Šorstijáávráš</t>
  </si>
  <si>
    <t>Isonkivenlampi</t>
  </si>
  <si>
    <t>Isonkivenlampi; Stuorrâkeđglááduš</t>
  </si>
  <si>
    <t>Seipisselkä</t>
  </si>
  <si>
    <t>Seipisselkä; Seibisčielgi</t>
  </si>
  <si>
    <t>Sorstivaara</t>
  </si>
  <si>
    <t>Sorstivaara; Šorstivääri</t>
  </si>
  <si>
    <t>Kuhesjáávráš</t>
  </si>
  <si>
    <t>Kuhesjáávráš; Nuottamalompolan Pitkäjärvi</t>
  </si>
  <si>
    <t>Koldemluobbâlvääri</t>
  </si>
  <si>
    <t>Koldemluobbâlvääri; Nuottamalompolanvaara</t>
  </si>
  <si>
    <t>Čievrâluobâl</t>
  </si>
  <si>
    <t>Čievrâluobâl; Kivilompola</t>
  </si>
  <si>
    <t>Hietikkolompola</t>
  </si>
  <si>
    <t>Hietikkolompola; Čunoiluobâl</t>
  </si>
  <si>
    <t>Uđđâjävri</t>
  </si>
  <si>
    <t>Uđđâjävri; Uusijärvi</t>
  </si>
  <si>
    <t>Kaivuluobâl</t>
  </si>
  <si>
    <t>Kaivuluobâl; Kaivolampi</t>
  </si>
  <si>
    <t>Uđđâjävreennâm</t>
  </si>
  <si>
    <t>Uđđâjävreennâm; Uudenjärvenvaara</t>
  </si>
  <si>
    <t>Luusuanmaa</t>
  </si>
  <si>
    <t>Luusuanmaa; Uáivušeennâm</t>
  </si>
  <si>
    <t>Pailuobâl</t>
  </si>
  <si>
    <t>Pailuobâl; Ylilompola</t>
  </si>
  <si>
    <t>Ylilompolanvaara</t>
  </si>
  <si>
    <t>Ylilompolanvaara; Pailuobbâlvääri</t>
  </si>
  <si>
    <t>Kivi-Luppojärvi</t>
  </si>
  <si>
    <t>Kivi-Luppojärvi; Stuorrâ Loppookjävri; Käyräjärvi</t>
  </si>
  <si>
    <t>fin;smn;fin</t>
  </si>
  <si>
    <t>Finnish label at top ; followed by another finnis label then by SMN label at last</t>
  </si>
  <si>
    <t>Hukanulvomajärvi</t>
  </si>
  <si>
    <t>Hukanulvomajärvi; Kuumpiolvomjävri</t>
  </si>
  <si>
    <t>Luppovaara</t>
  </si>
  <si>
    <t>Luppovaara; Jievjumvääri</t>
  </si>
  <si>
    <t>Kivi-Luppovaara</t>
  </si>
  <si>
    <t>Kivi-Luppovaara; Keđgijievjumvääri</t>
  </si>
  <si>
    <t>Kehämaa</t>
  </si>
  <si>
    <t>Sakiapetäjävaara</t>
  </si>
  <si>
    <t>Sakiapetäjävaara; Suohispecvääri</t>
  </si>
  <si>
    <t>Pähtivärlááduš</t>
  </si>
  <si>
    <t>Pähtivärlááduš; Pahtavaaranlampi</t>
  </si>
  <si>
    <t>Porttvärláddu</t>
  </si>
  <si>
    <t>Porttvärláddu; Porttivaaranlampi</t>
  </si>
  <si>
    <t>Porttivaara</t>
  </si>
  <si>
    <t>Porttivaara; Porttvääri</t>
  </si>
  <si>
    <t>Suávvilkođojuuvâš</t>
  </si>
  <si>
    <t>Njuuvčâpiervâljävri</t>
  </si>
  <si>
    <t>Njuuvčâpiervâljävri; Joukhaisenpesäjärvi</t>
  </si>
  <si>
    <t>Kertusjärvi</t>
  </si>
  <si>
    <t>Kertusjärvi; Kiärdusjävri</t>
  </si>
  <si>
    <t>Kielesvääri</t>
  </si>
  <si>
    <t>Kielesvääri; Valevaara</t>
  </si>
  <si>
    <t>Ala-Turvejärvi</t>
  </si>
  <si>
    <t>Ala-Turvejärvi; Vyelebuš Lavŋejävri</t>
  </si>
  <si>
    <t>Jänisselkä</t>
  </si>
  <si>
    <t>Jänisselkä; Njuámmilčielgi</t>
  </si>
  <si>
    <t>Muotkavaaranoja</t>
  </si>
  <si>
    <t>Muotkavaaranoja; Myetkivärjuuvâš</t>
  </si>
  <si>
    <t>Myetkivääri</t>
  </si>
  <si>
    <t>Myetkivääri; Muotkavaara</t>
  </si>
  <si>
    <t>Koskelonmunakari</t>
  </si>
  <si>
    <t>Koskelonmunakari; Kuálsimanekárgu</t>
  </si>
  <si>
    <t>Feature too small  doesnt show it</t>
  </si>
  <si>
    <t>Äijihkiškodemsuáloi</t>
  </si>
  <si>
    <t>Äijihkiškodemsuáloi; Ukonrepimäsaari</t>
  </si>
  <si>
    <t>Karhuniemi</t>
  </si>
  <si>
    <t>Karhuniemi; Kuobžânjargâ</t>
  </si>
  <si>
    <t>Linjalampi</t>
  </si>
  <si>
    <t>Huáššilyevisuáloi</t>
  </si>
  <si>
    <t>Huáššilyevisuáloi; Kortesuovasaari</t>
  </si>
  <si>
    <t>Features is small ; no label found</t>
  </si>
  <si>
    <t>Vuáskunjargâ</t>
  </si>
  <si>
    <t>Vuáskunjargâ; Ahvenniemi</t>
  </si>
  <si>
    <t>Mokkeláddu</t>
  </si>
  <si>
    <t>Mokkeláddu; Mukkalampi</t>
  </si>
  <si>
    <t>Perälautaniemi</t>
  </si>
  <si>
    <t>Perälautaniemi; Liäkkunjargâ</t>
  </si>
  <si>
    <t>Kaakkurilampi; Kähteelááduš</t>
  </si>
  <si>
    <t>Puárisnjargâ</t>
  </si>
  <si>
    <t>Puárisnjargâ; Vanhanniemi</t>
  </si>
  <si>
    <t>Hiekkalaassa</t>
  </si>
  <si>
    <t>Hiekkalaassa; Čunoiláássáš</t>
  </si>
  <si>
    <t>Suojanperälampi</t>
  </si>
  <si>
    <t>Suojanperälampi; Čuájápottluobâl</t>
  </si>
  <si>
    <t>Peurannousuniemi</t>
  </si>
  <si>
    <t>Peurannousuniemi; Koddepajanemnjargâ</t>
  </si>
  <si>
    <t>Rantatupajärvi</t>
  </si>
  <si>
    <t>Rantatupajärvi; Riddotupejävri</t>
  </si>
  <si>
    <t>Tupasijalampi</t>
  </si>
  <si>
    <t>Tupasijalampi; Tupesailuobâl</t>
  </si>
  <si>
    <t>Pitkävaara</t>
  </si>
  <si>
    <t>Čerrihlááduš</t>
  </si>
  <si>
    <t>Čerrihlááduš; Tirrolampi</t>
  </si>
  <si>
    <t>Viäpsákällee</t>
  </si>
  <si>
    <t>Viäpsákällee; Ampiaiskallio</t>
  </si>
  <si>
    <t>Vyeleebjävri</t>
  </si>
  <si>
    <t>Vyeleebjävri; Alimmainenjärvi</t>
  </si>
  <si>
    <t>Soteläppimvääri</t>
  </si>
  <si>
    <t>Soteläppimvääri; Piruvaara</t>
  </si>
  <si>
    <t>Ruávičielgjävrjuuvâš</t>
  </si>
  <si>
    <t>Ruávičielgjävrjuuvâš; Paloselkäjärvenoja</t>
  </si>
  <si>
    <t>Äijihkiškodemkällee</t>
  </si>
  <si>
    <t>something similar but bit different</t>
  </si>
  <si>
    <t>Ukonrepimäkallio</t>
  </si>
  <si>
    <t xml:space="preserve">Finnish label at top </t>
  </si>
  <si>
    <t>Heinäkuoppajärvi</t>
  </si>
  <si>
    <t>Heinäkuoppajärvi; Syeinikyeppjáávráš</t>
  </si>
  <si>
    <t>Liittovaara</t>
  </si>
  <si>
    <t>Liittovaara; Littovääri</t>
  </si>
  <si>
    <t>Kynsisaari</t>
  </si>
  <si>
    <t>Feature is small but still labelled ; Finish label</t>
  </si>
  <si>
    <t>Hannunpääkari</t>
  </si>
  <si>
    <t>feature doesnt appear; very small</t>
  </si>
  <si>
    <t>Kaivojärvi</t>
  </si>
  <si>
    <t>Kaivojärvi; Kaivujävri</t>
  </si>
  <si>
    <t>Uccâ Kaivujävri</t>
  </si>
  <si>
    <t>Uccâ Kaivujävri; Pikku Kaivojärvi</t>
  </si>
  <si>
    <t>Luusuanpalo</t>
  </si>
  <si>
    <t>Luusuankoski</t>
  </si>
  <si>
    <t>Luusuankoski; Uáivuškuoškâ</t>
  </si>
  <si>
    <t>Kuátieennâm</t>
  </si>
  <si>
    <t>Kuátieennâm; Kotamaa</t>
  </si>
  <si>
    <t>area might be too small</t>
  </si>
  <si>
    <t>Pikkulompola</t>
  </si>
  <si>
    <t>Pikkulompola; Uccâluobbâlâš</t>
  </si>
  <si>
    <t>Juolkusniemi</t>
  </si>
  <si>
    <t>Juolkusniemi; Juolkusnjargâ</t>
  </si>
  <si>
    <t>Nuotanperäniemi</t>
  </si>
  <si>
    <t>Puornlaassa</t>
  </si>
  <si>
    <t>Puornlaassa; Puornâlássá</t>
  </si>
  <si>
    <t>Kivisaarijärvi</t>
  </si>
  <si>
    <t>Mourasvaaranjärvi</t>
  </si>
  <si>
    <t>Cuáŋuijuuvâš</t>
  </si>
  <si>
    <t>Cuáŋuijuuvâš; Hukanulvomaoja</t>
  </si>
  <si>
    <t>Uccnjaargâš</t>
  </si>
  <si>
    <t>Uccnjaargâš; Ristenniemi</t>
  </si>
  <si>
    <t>Peltoniemi</t>
  </si>
  <si>
    <t>Muurahaissaari</t>
  </si>
  <si>
    <t>Ristenlampi</t>
  </si>
  <si>
    <t>Ristenlampi; Ristenluobâl</t>
  </si>
  <si>
    <t>Metsoniemi</t>
  </si>
  <si>
    <t>Metsoniemi; Čuhčánjargâ</t>
  </si>
  <si>
    <t>Puárisnjargâ; Vanhaniemi</t>
  </si>
  <si>
    <t>Kirkesnjargâ</t>
  </si>
  <si>
    <t>Kirkesnjargâ; Kirkasniemi</t>
  </si>
  <si>
    <t>Jalŋesluohtsuálui</t>
  </si>
  <si>
    <t>Jalŋesluohtsuálui; Kantolahdensaari</t>
  </si>
  <si>
    <t>feature too small; other label on top ; no space</t>
  </si>
  <si>
    <t>Yksipetäjäsaari</t>
  </si>
  <si>
    <t>Yksipetäjäsaari; Ohtpecláássáš</t>
  </si>
  <si>
    <t>No label found; no feature visible</t>
  </si>
  <si>
    <t>Kotasaari; Kuátisuálui</t>
  </si>
  <si>
    <t>Feature too small; no label found</t>
  </si>
  <si>
    <t>Heinämätäslaassa</t>
  </si>
  <si>
    <t>Heinämätäslaassa; Syeinimiehtláássáš</t>
  </si>
  <si>
    <t>feature too small; other label on top; no space</t>
  </si>
  <si>
    <t>Savzânjargâ</t>
  </si>
  <si>
    <t>Savzânjargâ; Lammasniemi</t>
  </si>
  <si>
    <t>Ruáhunjargâ</t>
  </si>
  <si>
    <t>Ruáhunjargâ; Ruohoniemi</t>
  </si>
  <si>
    <t>Valeoja</t>
  </si>
  <si>
    <t>Valeoja; Kielesjuuvâš</t>
  </si>
  <si>
    <t xml:space="preserve">labels displayed side to side; Finnish first </t>
  </si>
  <si>
    <t>Ratkomajärvi</t>
  </si>
  <si>
    <t>Jievjumluobâl</t>
  </si>
  <si>
    <t>Jievjumluobâl; Luppolompola</t>
  </si>
  <si>
    <t>Luppojärvi</t>
  </si>
  <si>
    <t>Luppojärvi; Jievjumjävri</t>
  </si>
  <si>
    <t>Tornilampi</t>
  </si>
  <si>
    <t>Kiäinujuuvâš</t>
  </si>
  <si>
    <t>Kiäinujuuvâš; Keinojoki</t>
  </si>
  <si>
    <t>Antin Hukkumasaari</t>
  </si>
  <si>
    <t>no label foundl ; feature small; unclear</t>
  </si>
  <si>
    <t>Isosaari</t>
  </si>
  <si>
    <t>Kenttäjärvi</t>
  </si>
  <si>
    <t>Avniičájádimjävri</t>
  </si>
  <si>
    <t>Avniičájádimjävri; Riituneksymäjärvi</t>
  </si>
  <si>
    <t>Heinäkaltiovaara</t>
  </si>
  <si>
    <t>Heinäkaltiovaara; Syeinikäldeevääri</t>
  </si>
  <si>
    <t>Ruohojärvi; Vyelebâš Kiäđhášjävri</t>
  </si>
  <si>
    <t>Ahmaoja</t>
  </si>
  <si>
    <t>Ahmaoja; Kiäđhášjuuvâš</t>
  </si>
  <si>
    <t xml:space="preserve">Labels shown side to side; Finnish first </t>
  </si>
  <si>
    <t>Hanhijärvi</t>
  </si>
  <si>
    <t>Hanhijärvi; Pajebâš Kiäđhášjävri</t>
  </si>
  <si>
    <t>Saarijärvi</t>
  </si>
  <si>
    <t>Saarijärvi; Suáluijáávráš</t>
  </si>
  <si>
    <t>Matikkalampi</t>
  </si>
  <si>
    <t>Lallavaara</t>
  </si>
  <si>
    <t>Huonâsjáávráš</t>
  </si>
  <si>
    <t>Huonâsjáávráš; Hanosjärvi</t>
  </si>
  <si>
    <t>Lallajärvi</t>
  </si>
  <si>
    <t>Lallajärvi; Lállájáávráš</t>
  </si>
  <si>
    <t>Piärtušmjävri</t>
  </si>
  <si>
    <t>Piärtušmjävri; Pertmusjärvi</t>
  </si>
  <si>
    <t>Tupesaijáávráš</t>
  </si>
  <si>
    <t>Tupesaijáávráš; Tupasijajärvi</t>
  </si>
  <si>
    <t>no label found; feature too small</t>
  </si>
  <si>
    <t>Lauttasaari</t>
  </si>
  <si>
    <t>Ruávinjargâ</t>
  </si>
  <si>
    <t>Ruávinjargâ; Paloniemi</t>
  </si>
  <si>
    <t>Mustikkasaari</t>
  </si>
  <si>
    <t>Mustikkasaari; Saresuálui</t>
  </si>
  <si>
    <t>Paloniemen Tyvijärvi</t>
  </si>
  <si>
    <t>Jaarasaari</t>
  </si>
  <si>
    <t>Jaarasaari; Vierccâsuálui</t>
  </si>
  <si>
    <t>Jänkäniemi</t>
  </si>
  <si>
    <t>Hauenkuivatussaari</t>
  </si>
  <si>
    <t>Kuusisaari</t>
  </si>
  <si>
    <t>Lammassaari; Sevásuálui</t>
  </si>
  <si>
    <t>Sivlosuálui</t>
  </si>
  <si>
    <t>Sivlosuálui; Siulasaari</t>
  </si>
  <si>
    <t>Sudesčuálmáásuálui; Sulasalmensaari</t>
  </si>
  <si>
    <t>Sivakkasaari</t>
  </si>
  <si>
    <t>Pisterinniemi</t>
  </si>
  <si>
    <t>Aittaniemi</t>
  </si>
  <si>
    <t>Erkinsaari</t>
  </si>
  <si>
    <t>Kalppimajärvi</t>
  </si>
  <si>
    <t>Ruohojärvi; Ruáhujáávráš</t>
  </si>
  <si>
    <t>Inkoo</t>
  </si>
  <si>
    <t>Inkoo; Ingå</t>
  </si>
  <si>
    <t>fin;swe</t>
  </si>
  <si>
    <t>Swedish label at top</t>
  </si>
  <si>
    <t>Part of city or town or population centre</t>
  </si>
  <si>
    <t>Katajanokka</t>
  </si>
  <si>
    <t>Katajanokka; Skatudden</t>
  </si>
  <si>
    <t>Bold; Swedish label in top</t>
  </si>
  <si>
    <t>Ritomten</t>
  </si>
  <si>
    <t>swe</t>
  </si>
  <si>
    <t>Bolden, bit emphasized</t>
  </si>
  <si>
    <t>Dal</t>
  </si>
  <si>
    <t>Bold; bit emphasized</t>
  </si>
  <si>
    <t>Lågnäs</t>
  </si>
  <si>
    <t>Tähtelä</t>
  </si>
  <si>
    <t>Tähtelä; Täkter</t>
  </si>
  <si>
    <t>Bold; bit emphasized ; Swedish label at top</t>
  </si>
  <si>
    <t>Ingarskila</t>
  </si>
  <si>
    <t>Smeds</t>
  </si>
  <si>
    <t>Bold</t>
  </si>
  <si>
    <t>Betesmarken</t>
  </si>
  <si>
    <t>Ålkila</t>
  </si>
  <si>
    <t>Bold; bit emphasized to surroundings</t>
  </si>
  <si>
    <t>Innanbäck</t>
  </si>
  <si>
    <t>Rådkila</t>
  </si>
  <si>
    <t>Halvdels</t>
  </si>
  <si>
    <t>Bold; bit emphasied to surroundings</t>
  </si>
  <si>
    <t>Stubböle</t>
  </si>
  <si>
    <t>Kämpbacka</t>
  </si>
  <si>
    <t>Fremböle</t>
  </si>
  <si>
    <t>Kärr</t>
  </si>
  <si>
    <t>Bastuudden</t>
  </si>
  <si>
    <t>Bastuudden; Saunaniemi</t>
  </si>
  <si>
    <t>swe;fin</t>
  </si>
  <si>
    <t>Finnish label at top; Bolden</t>
  </si>
  <si>
    <t>Harjukylä</t>
  </si>
  <si>
    <t>Upinniemi</t>
  </si>
  <si>
    <t>Upinniemi; Obbnäs</t>
  </si>
  <si>
    <t>Bolden; FInnish label on top</t>
  </si>
  <si>
    <t>Strömsby</t>
  </si>
  <si>
    <t>Kantvik</t>
  </si>
  <si>
    <t>Båtvik</t>
  </si>
  <si>
    <t>Pippurn</t>
  </si>
  <si>
    <t>Pippurn; Pippuri</t>
  </si>
  <si>
    <t>Bolden; Finnish label at the top</t>
  </si>
  <si>
    <t>Brissas</t>
  </si>
  <si>
    <t>Kärrby</t>
  </si>
  <si>
    <t>Horsbäck</t>
  </si>
  <si>
    <t>Baggård</t>
  </si>
  <si>
    <t>Total</t>
  </si>
  <si>
    <t>Köpböle</t>
  </si>
  <si>
    <t>Söderby</t>
  </si>
  <si>
    <t>Degerby</t>
  </si>
  <si>
    <t>Svedja</t>
  </si>
  <si>
    <t>Åsenby</t>
  </si>
  <si>
    <t>Gebbelby</t>
  </si>
  <si>
    <t>Repubacka</t>
  </si>
  <si>
    <t>Stenåker</t>
  </si>
  <si>
    <t>Köpskog</t>
  </si>
  <si>
    <t>Forsbyängen</t>
  </si>
  <si>
    <t>Sjösäng</t>
  </si>
  <si>
    <t>Starrböle</t>
  </si>
  <si>
    <t>Krogen</t>
  </si>
  <si>
    <t>Domargård</t>
  </si>
  <si>
    <t>Snappertuna</t>
  </si>
  <si>
    <t>Finby</t>
  </si>
  <si>
    <t>Berg</t>
  </si>
  <si>
    <t>Kudiby</t>
  </si>
  <si>
    <t>Fagernäs</t>
  </si>
  <si>
    <t>Antby</t>
  </si>
  <si>
    <t>Konungsböle</t>
  </si>
  <si>
    <t>Båsa</t>
  </si>
  <si>
    <t>Bredäng</t>
  </si>
  <si>
    <t>Hirdal</t>
  </si>
  <si>
    <t>Fagervik</t>
  </si>
  <si>
    <t>Lövkulla</t>
  </si>
  <si>
    <t>Djupbäck</t>
  </si>
  <si>
    <t>Pentby</t>
  </si>
  <si>
    <t>Pinjainen</t>
  </si>
  <si>
    <t>Pinjainen; Billnäs</t>
  </si>
  <si>
    <t>Swedish label at top; Bold; bit emphasized to surroundings</t>
  </si>
  <si>
    <t>Kiila</t>
  </si>
  <si>
    <t>Kiila; Kila</t>
  </si>
  <si>
    <t>Bold; bit emphasized to surroundings ; visual weight affeted by background</t>
  </si>
  <si>
    <t>Finnbacka</t>
  </si>
  <si>
    <t>Karis</t>
  </si>
  <si>
    <t>Karis; Karjaa</t>
  </si>
  <si>
    <t xml:space="preserve">Swedish label at top; Bolden; </t>
  </si>
  <si>
    <t>Fredriksstad</t>
  </si>
  <si>
    <t>Fredriksstad; Malmbacka</t>
  </si>
  <si>
    <t>swe;swe</t>
  </si>
  <si>
    <t>Both labels in Swedish; one on top and one on the bottom; bit emphasized to surroundings</t>
  </si>
  <si>
    <t>Bäljars</t>
  </si>
  <si>
    <t>Läpp</t>
  </si>
  <si>
    <t>Landsbro; Maasilta</t>
  </si>
  <si>
    <t>Bold; bit emphasized to surroundings ; visual weight affeted by background ; Swedish label at top</t>
  </si>
  <si>
    <t>Vallarsvedja</t>
  </si>
  <si>
    <t>Starkom</t>
  </si>
  <si>
    <t>Lillsannäs</t>
  </si>
  <si>
    <t>Barösund</t>
  </si>
  <si>
    <t>Långvik</t>
  </si>
  <si>
    <t>Finnpada</t>
  </si>
  <si>
    <t>Kvarnkärr</t>
  </si>
  <si>
    <t>Älgsjö</t>
  </si>
  <si>
    <t>Haga</t>
  </si>
  <si>
    <t>Rejböle</t>
  </si>
  <si>
    <t>Finnböle</t>
  </si>
  <si>
    <t>Svarvarböle</t>
  </si>
  <si>
    <t>Västerskogen</t>
  </si>
  <si>
    <t>Västankvarn</t>
  </si>
  <si>
    <t>Gumböle</t>
  </si>
  <si>
    <t>Siggböle</t>
  </si>
  <si>
    <t>Bredslätt</t>
  </si>
  <si>
    <t>Bollstad</t>
  </si>
  <si>
    <t>Nötterdalen</t>
  </si>
  <si>
    <t>Vars</t>
  </si>
  <si>
    <t>Tallbacka</t>
  </si>
  <si>
    <t>Trångsund</t>
  </si>
  <si>
    <t>Box</t>
  </si>
  <si>
    <t>Västra Rösund</t>
  </si>
  <si>
    <t>Rösund</t>
  </si>
  <si>
    <t>Långö sund</t>
  </si>
  <si>
    <t>Sandnäs udd</t>
  </si>
  <si>
    <t>Bjurs</t>
  </si>
  <si>
    <t>Kaunislahti</t>
  </si>
  <si>
    <t>Kaunislahti; Grundsjö</t>
  </si>
  <si>
    <t>Bold; bit emphasized to surroundings; Swedish label at top</t>
  </si>
  <si>
    <t>Ingå</t>
  </si>
  <si>
    <t>Ingå; Inkoo</t>
  </si>
  <si>
    <t>Swedish label at top; bold</t>
  </si>
  <si>
    <t>Störsvik</t>
  </si>
  <si>
    <t>Sepänkannas</t>
  </si>
  <si>
    <t>Sepänkannas; Smedsede</t>
  </si>
  <si>
    <t>no label found; enough space; uclear</t>
  </si>
  <si>
    <t>Länsirinne</t>
  </si>
  <si>
    <t>Länsirinne; Västerkulla</t>
  </si>
  <si>
    <t>Bold; bit emphasized ; visual weight affected by background; Swedish label at top</t>
  </si>
  <si>
    <t>Paroalho</t>
  </si>
  <si>
    <t>bold</t>
  </si>
  <si>
    <t>Lonsi</t>
  </si>
  <si>
    <t>Nummi</t>
  </si>
  <si>
    <t>bold ; visual weight affected by surrounding features</t>
  </si>
  <si>
    <t>Lensunkallio</t>
  </si>
  <si>
    <t>Kourujärvi</t>
  </si>
  <si>
    <t>Kortela</t>
  </si>
  <si>
    <t>bolden; emphasized in surroundings</t>
  </si>
  <si>
    <t>Sampaanala</t>
  </si>
  <si>
    <t>bolden; visual weight affected by surrounding features</t>
  </si>
  <si>
    <t>Ota</t>
  </si>
  <si>
    <t>Merirauma</t>
  </si>
  <si>
    <t>Pidesluoto</t>
  </si>
  <si>
    <t>Äyhö</t>
  </si>
  <si>
    <t>bolden; empasized in surroundings</t>
  </si>
  <si>
    <t>Kinno</t>
  </si>
  <si>
    <t>Pikku-Kinno</t>
  </si>
  <si>
    <t>Komppi</t>
  </si>
  <si>
    <t>Tarvonsaari</t>
  </si>
  <si>
    <t>Rauma</t>
  </si>
  <si>
    <t>Rauma; Raumo</t>
  </si>
  <si>
    <t>Kaaro</t>
  </si>
  <si>
    <t>Pyynpää</t>
  </si>
  <si>
    <t>Syvärauma</t>
  </si>
  <si>
    <t>Paloahde</t>
  </si>
  <si>
    <t>Puulunkulma</t>
  </si>
  <si>
    <t>bolded</t>
  </si>
  <si>
    <t>Järvenkulma</t>
  </si>
  <si>
    <t>Koivistonkulma</t>
  </si>
  <si>
    <t>Ilavainen</t>
  </si>
  <si>
    <t>Orjansaari</t>
  </si>
  <si>
    <t>Jaakolankulma</t>
  </si>
  <si>
    <t>Nikulanmäki</t>
  </si>
  <si>
    <t>Tarvola</t>
  </si>
  <si>
    <t>Kolla</t>
  </si>
  <si>
    <t>Kuivassuon teollisuusalue</t>
  </si>
  <si>
    <t>Uotila</t>
  </si>
  <si>
    <t>Luostarinkylä</t>
  </si>
  <si>
    <t>Sorkka</t>
  </si>
  <si>
    <t>bolden; bit emphasized in surroundings</t>
  </si>
  <si>
    <t>Hankkila</t>
  </si>
  <si>
    <t>Kaukenpieli</t>
  </si>
  <si>
    <t>Väkkärä</t>
  </si>
  <si>
    <t>Verkkokari</t>
  </si>
  <si>
    <t>Linnamaa</t>
  </si>
  <si>
    <t>label not found enough space</t>
  </si>
  <si>
    <t>Kivilahdenkulma</t>
  </si>
  <si>
    <t>Mäkelänkulma</t>
  </si>
  <si>
    <t>Rannankulma</t>
  </si>
  <si>
    <t>Kuivalahti</t>
  </si>
  <si>
    <t>Metsäkulma</t>
  </si>
  <si>
    <t>Pohirannankulma</t>
  </si>
  <si>
    <t>bolded ***</t>
  </si>
  <si>
    <t>Lajo</t>
  </si>
  <si>
    <t>Pomppunen</t>
  </si>
  <si>
    <t>Raumo</t>
  </si>
  <si>
    <t>Raumo; Rauma</t>
  </si>
  <si>
    <t>Pirttialho</t>
  </si>
  <si>
    <t>Susivuori</t>
  </si>
  <si>
    <t>Hylsylä</t>
  </si>
  <si>
    <t>Papinhaka</t>
  </si>
  <si>
    <t>Polari</t>
  </si>
  <si>
    <t>Kallio-Nikula</t>
  </si>
  <si>
    <t>label not found; reason unclear; suburban neighbourhood</t>
  </si>
  <si>
    <t>Perä-Nikula</t>
  </si>
  <si>
    <t>Tiilivuori</t>
  </si>
  <si>
    <t>Mäentausta</t>
  </si>
  <si>
    <t>Silikallio</t>
  </si>
  <si>
    <t>Vesiniittu</t>
  </si>
  <si>
    <t>Tuomoniemi</t>
  </si>
  <si>
    <t>Uusi-Lahti</t>
  </si>
  <si>
    <t>Haapasaari</t>
  </si>
  <si>
    <t>bolden; a abit emphasized in surroundings</t>
  </si>
  <si>
    <t>Tuulensuu</t>
  </si>
  <si>
    <t>no label found; unclear</t>
  </si>
  <si>
    <t>Sinisaari</t>
  </si>
  <si>
    <t>Vanha-Rauma</t>
  </si>
  <si>
    <t>Naulamäki</t>
  </si>
  <si>
    <t>Feature cluster; limited space</t>
  </si>
  <si>
    <t>Asevelikylä</t>
  </si>
  <si>
    <t>Nanu</t>
  </si>
  <si>
    <t>Ruutikellarinmäki</t>
  </si>
  <si>
    <t>YN</t>
  </si>
  <si>
    <t>BEV</t>
  </si>
  <si>
    <t>Y</t>
  </si>
  <si>
    <t>Size</t>
  </si>
  <si>
    <t>N/A</t>
  </si>
  <si>
    <t>N</t>
  </si>
  <si>
    <t>Value</t>
  </si>
  <si>
    <t>IGN</t>
  </si>
  <si>
    <t>Color</t>
  </si>
  <si>
    <t>Present (De-emphasized)</t>
  </si>
  <si>
    <t>Typographic weight</t>
  </si>
  <si>
    <t>Present (Differentiated)</t>
  </si>
  <si>
    <t>Position</t>
  </si>
  <si>
    <t>Control / Ordinary Area</t>
  </si>
  <si>
    <t>Line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</si>
</sst>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1F3864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u/>
      <sz val="11"/>
      <color theme="10"/>
      <name val="Calibri"/>
      <family val="2"/>
      <charset val="1"/>
    </font>
    <font>
      <sz val="10"/>
      <color rgb="FF0000FF"/>
      <name val="Arial"/>
      <family val="2"/>
      <charset val="1"/>
    </font>
    <font>
      <sz val="10"/>
      <color rgb="FF008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D9E2F3"/>
        <bgColor rgb="FFD6E4F0"/>
      </patternFill>
    </fill>
    <fill>
      <patternFill patternType="solid">
        <fgColor rgb="FFF2F2F2"/>
        <bgColor rgb="FFEBF1DE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3" tint="0.79989013336588644"/>
        <bgColor rgb="FFD6E4F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1" fillId="0" borderId="0"/>
  </cellStyleXfs>
  <cellXfs count="38"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2" borderId="2" xfId="0" applyFont="1" applyFill="1" applyBorder="1"/>
    <xf numFmtId="0" fontId="9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2" borderId="2" xfId="0" applyFont="1" applyFill="1" applyBorder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0" fontId="0" fillId="0" borderId="2" xfId="0" applyBorder="1"/>
    <xf numFmtId="0" fontId="11" fillId="0" borderId="2" xfId="1" applyBorder="1"/>
    <xf numFmtId="0" fontId="8" fillId="0" borderId="0" xfId="0" applyFont="1"/>
    <xf numFmtId="0" fontId="12" fillId="0" borderId="0" xfId="0" applyFont="1"/>
    <xf numFmtId="0" fontId="13" fillId="0" borderId="0" xfId="0" applyFont="1"/>
    <xf numFmtId="1" fontId="8" fillId="0" borderId="0" xfId="0" applyNumberFormat="1" applyFont="1"/>
    <xf numFmtId="0" fontId="11" fillId="0" borderId="0" xfId="1" applyAlignment="1">
      <alignment vertical="center" wrapText="1"/>
    </xf>
    <xf numFmtId="0" fontId="12" fillId="0" borderId="0" xfId="0" applyFont="1" applyAlignment="1">
      <alignment vertical="top" wrapText="1"/>
    </xf>
    <xf numFmtId="0" fontId="12" fillId="7" borderId="0" xfId="0" applyFont="1" applyFill="1"/>
    <xf numFmtId="0" fontId="0" fillId="7" borderId="0" xfId="0" applyFill="1"/>
    <xf numFmtId="0" fontId="8" fillId="8" borderId="0" xfId="0" applyFont="1" applyFill="1"/>
    <xf numFmtId="0" fontId="12" fillId="8" borderId="0" xfId="0" applyFont="1" applyFill="1"/>
    <xf numFmtId="0" fontId="13" fillId="8" borderId="0" xfId="0" applyFont="1" applyFill="1"/>
    <xf numFmtId="1" fontId="8" fillId="8" borderId="0" xfId="0" applyNumberFormat="1" applyFont="1" applyFill="1"/>
    <xf numFmtId="0" fontId="0" fillId="8" borderId="0" xfId="0" applyFill="1"/>
    <xf numFmtId="0" fontId="8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32"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EBF1DE"/>
      <rgbColor rgb="FFD6E4F0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2F3"/>
      <rgbColor rgb="FFFFE6CC"/>
      <rgbColor rgb="FFE1D5E7"/>
      <rgbColor rgb="FFFF99CC"/>
      <rgbColor rgb="FFCC99FF"/>
      <rgbColor rgb="FFF8CECC"/>
      <rgbColor rgb="FF4472C4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siointi.maanmittauslaitos.fi/karttapaikka/tiedostopalvelu/maastokartta_rasteri?lang=en" TargetMode="External"/><Relationship Id="rId2" Type="http://schemas.openxmlformats.org/officeDocument/2006/relationships/hyperlink" Target="https://asiointi.maanmittauslaitos.fi/karttapaikka/tiedostopalvelu/maastokartta_rasteri?lang=en" TargetMode="External"/><Relationship Id="rId1" Type="http://schemas.openxmlformats.org/officeDocument/2006/relationships/hyperlink" Target="https://asiointi.maanmittauslaitos.fi/karttapaikka/tiedostopalvelu/maastokartta_rasteri?lang=en" TargetMode="External"/><Relationship Id="rId4" Type="http://schemas.openxmlformats.org/officeDocument/2006/relationships/hyperlink" Target="https://asiointi.maanmittauslaitos.fi/karttapaikka/tiedostopalvelu/maastokartta_rasteri?lang=e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gaforsamling.fi/kyrkor-och-lokaler/degerby-kyrka" TargetMode="External"/><Relationship Id="rId1" Type="http://schemas.openxmlformats.org/officeDocument/2006/relationships/hyperlink" Target="https://www.inarinseurakunta.fi/kirkot-ja-tilat/inarin-saamelaiskirk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70" zoomScaleNormal="70" workbookViewId="0">
      <selection activeCell="G17" sqref="G17"/>
    </sheetView>
  </sheetViews>
  <sheetFormatPr defaultColWidth="8.6640625" defaultRowHeight="14.4" x14ac:dyDescent="0.3"/>
  <cols>
    <col min="1" max="1" width="22" customWidth="1"/>
    <col min="2" max="2" width="42" customWidth="1"/>
    <col min="3" max="3" width="70" customWidth="1"/>
    <col min="4" max="6" width="14" customWidth="1"/>
  </cols>
  <sheetData>
    <row r="1" spans="1:6" ht="16.5" customHeight="1" x14ac:dyDescent="0.3">
      <c r="A1" s="10" t="s">
        <v>35</v>
      </c>
    </row>
    <row r="3" spans="1:6" ht="27.75" customHeight="1" x14ac:dyDescent="0.3">
      <c r="A3" s="32" t="s">
        <v>36</v>
      </c>
      <c r="B3" s="32"/>
      <c r="C3" s="32"/>
      <c r="D3" s="32"/>
      <c r="E3" s="32"/>
      <c r="F3" s="32"/>
    </row>
    <row r="4" spans="1:6" ht="27.75" customHeight="1" x14ac:dyDescent="0.3">
      <c r="A4" s="32" t="s">
        <v>37</v>
      </c>
      <c r="B4" s="32"/>
      <c r="C4" s="32"/>
      <c r="D4" s="32"/>
      <c r="E4" s="32"/>
      <c r="F4" s="32"/>
    </row>
    <row r="5" spans="1:6" ht="27.75" customHeight="1" x14ac:dyDescent="0.3">
      <c r="A5" s="32" t="s">
        <v>38</v>
      </c>
      <c r="B5" s="32"/>
      <c r="C5" s="32"/>
      <c r="D5" s="32"/>
      <c r="E5" s="32"/>
      <c r="F5" s="32"/>
    </row>
    <row r="6" spans="1:6" ht="27.75" customHeight="1" x14ac:dyDescent="0.3">
      <c r="A6" s="32" t="s">
        <v>39</v>
      </c>
      <c r="B6" s="32"/>
      <c r="C6" s="32"/>
      <c r="D6" s="32"/>
      <c r="E6" s="32"/>
      <c r="F6" s="32"/>
    </row>
    <row r="7" spans="1:6" ht="27.75" customHeight="1" x14ac:dyDescent="0.3">
      <c r="A7" s="32" t="s">
        <v>40</v>
      </c>
      <c r="B7" s="32"/>
      <c r="C7" s="32"/>
      <c r="D7" s="32"/>
      <c r="E7" s="32"/>
      <c r="F7" s="32"/>
    </row>
    <row r="8" spans="1:6" ht="27.75" customHeight="1" x14ac:dyDescent="0.3">
      <c r="A8" s="32"/>
      <c r="B8" s="32"/>
      <c r="C8" s="32"/>
      <c r="D8" s="32"/>
      <c r="E8" s="32"/>
      <c r="F8" s="32"/>
    </row>
    <row r="9" spans="1:6" ht="27.75" customHeight="1" x14ac:dyDescent="0.3">
      <c r="A9" s="32"/>
      <c r="B9" s="32"/>
      <c r="C9" s="32"/>
      <c r="D9" s="32"/>
      <c r="E9" s="32"/>
      <c r="F9" s="32"/>
    </row>
    <row r="11" spans="1:6" x14ac:dyDescent="0.3">
      <c r="A11" s="11" t="s">
        <v>41</v>
      </c>
    </row>
    <row r="12" spans="1:6" x14ac:dyDescent="0.3">
      <c r="A12" s="12" t="s">
        <v>42</v>
      </c>
      <c r="B12" s="12" t="s">
        <v>43</v>
      </c>
      <c r="C12" s="12" t="s">
        <v>44</v>
      </c>
    </row>
    <row r="13" spans="1:6" ht="30" customHeight="1" x14ac:dyDescent="0.3">
      <c r="A13" s="13" t="s">
        <v>45</v>
      </c>
      <c r="B13" s="14" t="s">
        <v>46</v>
      </c>
      <c r="C13" s="14" t="s">
        <v>47</v>
      </c>
    </row>
    <row r="14" spans="1:6" ht="30" customHeight="1" x14ac:dyDescent="0.3">
      <c r="A14" s="13" t="s">
        <v>48</v>
      </c>
      <c r="B14" s="14" t="s">
        <v>49</v>
      </c>
      <c r="C14" s="14" t="s">
        <v>50</v>
      </c>
    </row>
    <row r="15" spans="1:6" ht="30" customHeight="1" x14ac:dyDescent="0.3">
      <c r="A15" s="13" t="s">
        <v>51</v>
      </c>
      <c r="B15" s="14" t="s">
        <v>52</v>
      </c>
      <c r="C15" s="14" t="s">
        <v>53</v>
      </c>
    </row>
    <row r="16" spans="1:6" ht="30" customHeight="1" x14ac:dyDescent="0.3">
      <c r="A16" s="13" t="s">
        <v>4</v>
      </c>
      <c r="B16" s="14" t="s">
        <v>54</v>
      </c>
      <c r="C16" s="14" t="s">
        <v>55</v>
      </c>
    </row>
    <row r="17" spans="1:3" ht="30" customHeight="1" x14ac:dyDescent="0.3">
      <c r="A17" s="13" t="s">
        <v>56</v>
      </c>
      <c r="B17" s="14" t="s">
        <v>57</v>
      </c>
      <c r="C17" s="14" t="s">
        <v>58</v>
      </c>
    </row>
    <row r="18" spans="1:3" ht="30" customHeight="1" x14ac:dyDescent="0.3">
      <c r="A18" s="13" t="s">
        <v>59</v>
      </c>
      <c r="B18" s="14" t="s">
        <v>60</v>
      </c>
      <c r="C18" s="14" t="s">
        <v>61</v>
      </c>
    </row>
    <row r="19" spans="1:3" ht="30" customHeight="1" x14ac:dyDescent="0.3">
      <c r="A19" s="13" t="s">
        <v>62</v>
      </c>
      <c r="B19" s="14" t="s">
        <v>63</v>
      </c>
      <c r="C19" s="14" t="s">
        <v>64</v>
      </c>
    </row>
    <row r="20" spans="1:3" ht="39.75" customHeight="1" x14ac:dyDescent="0.3">
      <c r="A20" s="13" t="s">
        <v>65</v>
      </c>
      <c r="B20" s="14" t="s">
        <v>66</v>
      </c>
      <c r="C20" s="14" t="s">
        <v>67</v>
      </c>
    </row>
    <row r="21" spans="1:3" ht="30" customHeight="1" x14ac:dyDescent="0.3">
      <c r="A21" s="13" t="s">
        <v>68</v>
      </c>
      <c r="B21" s="14" t="s">
        <v>66</v>
      </c>
      <c r="C21" s="14" t="s">
        <v>69</v>
      </c>
    </row>
    <row r="22" spans="1:3" ht="30" customHeight="1" x14ac:dyDescent="0.3">
      <c r="A22" s="13" t="s">
        <v>70</v>
      </c>
      <c r="B22" s="14" t="s">
        <v>71</v>
      </c>
      <c r="C22" s="14" t="s">
        <v>72</v>
      </c>
    </row>
    <row r="23" spans="1:3" ht="30" customHeight="1" x14ac:dyDescent="0.3">
      <c r="A23" s="13" t="s">
        <v>73</v>
      </c>
      <c r="B23" s="14" t="s">
        <v>74</v>
      </c>
      <c r="C23" s="14" t="s">
        <v>75</v>
      </c>
    </row>
    <row r="24" spans="1:3" ht="30" customHeight="1" x14ac:dyDescent="0.3">
      <c r="A24" s="13" t="s">
        <v>76</v>
      </c>
      <c r="B24" s="14" t="s">
        <v>77</v>
      </c>
      <c r="C24" s="14" t="s">
        <v>78</v>
      </c>
    </row>
    <row r="25" spans="1:3" ht="30" customHeight="1" x14ac:dyDescent="0.3">
      <c r="A25" s="13" t="s">
        <v>79</v>
      </c>
      <c r="B25" s="14" t="s">
        <v>80</v>
      </c>
      <c r="C25" s="14" t="s">
        <v>81</v>
      </c>
    </row>
  </sheetData>
  <mergeCells count="7">
    <mergeCell ref="A8:F8"/>
    <mergeCell ref="A9:F9"/>
    <mergeCell ref="A3:F3"/>
    <mergeCell ref="A4:F4"/>
    <mergeCell ref="A5:F5"/>
    <mergeCell ref="A6:F6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Normal="100" workbookViewId="0">
      <pane ySplit="1" topLeftCell="A2" activePane="bottomLeft" state="frozen"/>
      <selection pane="bottomLeft" activeCell="G12" sqref="G12"/>
    </sheetView>
  </sheetViews>
  <sheetFormatPr defaultColWidth="8.6640625" defaultRowHeight="14.4" x14ac:dyDescent="0.3"/>
  <cols>
    <col min="1" max="1" width="11" customWidth="1"/>
    <col min="2" max="2" width="9" customWidth="1"/>
    <col min="3" max="3" width="22" customWidth="1"/>
    <col min="4" max="4" width="46" customWidth="1"/>
    <col min="5" max="5" width="22" customWidth="1"/>
    <col min="6" max="6" width="14" customWidth="1"/>
    <col min="7" max="7" width="63.109375" customWidth="1"/>
  </cols>
  <sheetData>
    <row r="1" spans="1:7" x14ac:dyDescent="0.3">
      <c r="A1" s="15" t="s">
        <v>51</v>
      </c>
      <c r="B1" s="15" t="s">
        <v>48</v>
      </c>
      <c r="C1" s="15" t="s">
        <v>82</v>
      </c>
      <c r="D1" s="15" t="s">
        <v>28</v>
      </c>
      <c r="E1" s="15" t="s">
        <v>83</v>
      </c>
      <c r="F1" s="15" t="s">
        <v>84</v>
      </c>
      <c r="G1" s="15" t="s">
        <v>85</v>
      </c>
    </row>
    <row r="2" spans="1:7" ht="26.25" customHeight="1" x14ac:dyDescent="0.3">
      <c r="A2" s="16" t="s">
        <v>86</v>
      </c>
      <c r="B2" s="16" t="s">
        <v>87</v>
      </c>
      <c r="C2" s="16" t="s">
        <v>88</v>
      </c>
      <c r="D2" s="16" t="s">
        <v>89</v>
      </c>
      <c r="E2" s="17" t="s">
        <v>90</v>
      </c>
      <c r="F2" s="17" t="s">
        <v>91</v>
      </c>
      <c r="G2" s="18" t="s">
        <v>92</v>
      </c>
    </row>
    <row r="3" spans="1:7" x14ac:dyDescent="0.3">
      <c r="A3" s="16" t="s">
        <v>93</v>
      </c>
      <c r="B3" s="16" t="s">
        <v>87</v>
      </c>
      <c r="C3" s="16" t="s">
        <v>94</v>
      </c>
      <c r="D3" s="16" t="s">
        <v>95</v>
      </c>
      <c r="E3" s="17" t="s">
        <v>96</v>
      </c>
      <c r="F3" s="17" t="s">
        <v>91</v>
      </c>
      <c r="G3" s="18" t="s">
        <v>92</v>
      </c>
    </row>
    <row r="4" spans="1:7" x14ac:dyDescent="0.3">
      <c r="A4" s="16" t="s">
        <v>97</v>
      </c>
      <c r="B4" s="16" t="s">
        <v>87</v>
      </c>
      <c r="C4" s="16" t="s">
        <v>98</v>
      </c>
      <c r="D4" s="16" t="s">
        <v>99</v>
      </c>
      <c r="E4" s="17" t="s">
        <v>100</v>
      </c>
      <c r="F4" s="17" t="s">
        <v>101</v>
      </c>
      <c r="G4" s="18" t="s">
        <v>92</v>
      </c>
    </row>
    <row r="5" spans="1:7" x14ac:dyDescent="0.3">
      <c r="A5" s="16" t="s">
        <v>102</v>
      </c>
      <c r="B5" s="16" t="s">
        <v>87</v>
      </c>
      <c r="C5" s="16" t="s">
        <v>103</v>
      </c>
      <c r="D5" s="16" t="s">
        <v>104</v>
      </c>
      <c r="E5" s="17" t="s">
        <v>105</v>
      </c>
      <c r="F5" s="17" t="s">
        <v>101</v>
      </c>
      <c r="G5" s="18" t="s">
        <v>92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29"/>
  <sheetViews>
    <sheetView topLeftCell="G1" zoomScale="80" zoomScaleNormal="80" workbookViewId="0">
      <pane ySplit="1" topLeftCell="A2" activePane="bottomLeft" state="frozen"/>
      <selection activeCell="G1" sqref="G1"/>
      <selection pane="bottomLeft" activeCell="Q1" sqref="Q1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20" customWidth="1"/>
    <col min="5" max="6" width="11" customWidth="1"/>
    <col min="7" max="8" width="35" customWidth="1"/>
    <col min="9" max="9" width="22" customWidth="1"/>
    <col min="10" max="11" width="18" customWidth="1"/>
    <col min="12" max="12" width="64.44140625" customWidth="1"/>
    <col min="13" max="13" width="16" customWidth="1"/>
    <col min="14" max="14" width="12" customWidth="1"/>
    <col min="15" max="15" width="18" customWidth="1"/>
    <col min="16" max="16" width="28" customWidth="1"/>
  </cols>
  <sheetData>
    <row r="1" spans="1:16" ht="26.25" customHeight="1" x14ac:dyDescent="0.3">
      <c r="A1" s="15" t="s">
        <v>45</v>
      </c>
      <c r="B1" s="15" t="s">
        <v>48</v>
      </c>
      <c r="C1" s="15" t="s">
        <v>51</v>
      </c>
      <c r="D1" s="15" t="s">
        <v>106</v>
      </c>
      <c r="E1" s="15" t="s">
        <v>4</v>
      </c>
      <c r="F1" s="15" t="s">
        <v>107</v>
      </c>
      <c r="G1" s="15" t="s">
        <v>56</v>
      </c>
      <c r="H1" s="15" t="s">
        <v>108</v>
      </c>
      <c r="I1" s="15" t="s">
        <v>59</v>
      </c>
      <c r="J1" s="15" t="s">
        <v>109</v>
      </c>
      <c r="K1" s="15" t="s">
        <v>68</v>
      </c>
      <c r="L1" s="15" t="s">
        <v>70</v>
      </c>
      <c r="M1" s="15" t="s">
        <v>65</v>
      </c>
      <c r="N1" s="15" t="s">
        <v>73</v>
      </c>
      <c r="O1" s="15" t="s">
        <v>110</v>
      </c>
      <c r="P1" s="15" t="s">
        <v>79</v>
      </c>
    </row>
    <row r="2" spans="1:16" x14ac:dyDescent="0.3">
      <c r="A2" s="19">
        <f t="shared" ref="A2:A65" si="0">IF($B2="","",ROW()-1)</f>
        <v>1</v>
      </c>
      <c r="B2" s="20" t="s">
        <v>87</v>
      </c>
      <c r="C2" s="20" t="s">
        <v>93</v>
      </c>
      <c r="D2" s="21" t="str">
        <f>IF($C2="","",IFERROR(VLOOKUP($C2,Map_Register!$A$2:$C$5,3,FALSE()),""))</f>
        <v>Cultural Heritage Area</v>
      </c>
      <c r="E2" s="20" t="s">
        <v>111</v>
      </c>
      <c r="F2" s="22">
        <v>281</v>
      </c>
      <c r="G2" s="19" t="s">
        <v>112</v>
      </c>
      <c r="H2" s="19" t="s">
        <v>113</v>
      </c>
      <c r="I2" s="19" t="s">
        <v>8</v>
      </c>
      <c r="J2" s="19" t="s">
        <v>114</v>
      </c>
      <c r="K2" s="19" t="s">
        <v>114</v>
      </c>
      <c r="L2" s="19" t="s">
        <v>115</v>
      </c>
      <c r="M2" s="20" t="s">
        <v>116</v>
      </c>
      <c r="N2" s="20"/>
      <c r="O2" s="20"/>
      <c r="P2" s="20" t="s">
        <v>117</v>
      </c>
    </row>
    <row r="3" spans="1:16" x14ac:dyDescent="0.3">
      <c r="A3" s="19">
        <f t="shared" si="0"/>
        <v>2</v>
      </c>
      <c r="B3" s="20" t="s">
        <v>87</v>
      </c>
      <c r="C3" s="20" t="s">
        <v>93</v>
      </c>
      <c r="D3" s="21" t="str">
        <f>IF($C3="","",IFERROR(VLOOKUP($C3,Map_Register!$A$2:$C$5,3,FALSE()),""))</f>
        <v>Cultural Heritage Area</v>
      </c>
      <c r="E3" s="20" t="s">
        <v>111</v>
      </c>
      <c r="F3" s="22">
        <v>282</v>
      </c>
      <c r="G3" s="19" t="s">
        <v>112</v>
      </c>
      <c r="H3" s="19" t="s">
        <v>118</v>
      </c>
      <c r="I3" s="19" t="s">
        <v>8</v>
      </c>
      <c r="J3" s="19" t="s">
        <v>114</v>
      </c>
      <c r="K3" s="19" t="s">
        <v>114</v>
      </c>
      <c r="L3" s="19" t="s">
        <v>115</v>
      </c>
      <c r="M3" s="20" t="s">
        <v>116</v>
      </c>
      <c r="N3" s="20"/>
      <c r="O3" s="20"/>
      <c r="P3" s="20" t="s">
        <v>117</v>
      </c>
    </row>
    <row r="4" spans="1:16" x14ac:dyDescent="0.3">
      <c r="A4" s="19">
        <f t="shared" si="0"/>
        <v>3</v>
      </c>
      <c r="B4" s="20" t="s">
        <v>87</v>
      </c>
      <c r="C4" s="20" t="s">
        <v>93</v>
      </c>
      <c r="D4" s="21" t="str">
        <f>IF($C4="","",IFERROR(VLOOKUP($C4,Map_Register!$A$2:$C$5,3,FALSE()),""))</f>
        <v>Cultural Heritage Area</v>
      </c>
      <c r="E4" s="20" t="s">
        <v>111</v>
      </c>
      <c r="F4" s="22">
        <v>2221</v>
      </c>
      <c r="G4" s="19" t="s">
        <v>119</v>
      </c>
      <c r="H4" s="19" t="s">
        <v>120</v>
      </c>
      <c r="I4" s="19" t="s">
        <v>6</v>
      </c>
      <c r="J4" s="19"/>
      <c r="K4" s="19"/>
      <c r="L4" s="19" t="s">
        <v>121</v>
      </c>
      <c r="M4" s="20"/>
      <c r="N4" s="20"/>
      <c r="O4" s="20"/>
      <c r="P4" s="20" t="s">
        <v>117</v>
      </c>
    </row>
    <row r="5" spans="1:16" x14ac:dyDescent="0.3">
      <c r="A5" s="19">
        <f t="shared" si="0"/>
        <v>4</v>
      </c>
      <c r="B5" s="20" t="s">
        <v>87</v>
      </c>
      <c r="C5" s="20" t="s">
        <v>93</v>
      </c>
      <c r="D5" s="21" t="str">
        <f>IF($C5="","",IFERROR(VLOOKUP($C5,Map_Register!$A$2:$C$5,3,FALSE()),""))</f>
        <v>Cultural Heritage Area</v>
      </c>
      <c r="E5" s="20" t="s">
        <v>111</v>
      </c>
      <c r="F5" s="22">
        <v>3579</v>
      </c>
      <c r="G5" s="19" t="s">
        <v>112</v>
      </c>
      <c r="H5" s="19" t="s">
        <v>122</v>
      </c>
      <c r="I5" s="19" t="s">
        <v>8</v>
      </c>
      <c r="J5" s="19" t="s">
        <v>114</v>
      </c>
      <c r="K5" s="19" t="s">
        <v>114</v>
      </c>
      <c r="L5" s="19" t="s">
        <v>115</v>
      </c>
      <c r="M5" s="20" t="s">
        <v>116</v>
      </c>
      <c r="N5" s="20"/>
      <c r="O5" s="20"/>
      <c r="P5" s="20" t="s">
        <v>117</v>
      </c>
    </row>
    <row r="6" spans="1:16" x14ac:dyDescent="0.3">
      <c r="A6" s="19">
        <f t="shared" si="0"/>
        <v>5</v>
      </c>
      <c r="B6" s="20" t="s">
        <v>87</v>
      </c>
      <c r="C6" s="20" t="s">
        <v>93</v>
      </c>
      <c r="D6" s="21" t="str">
        <f>IF($C6="","",IFERROR(VLOOKUP($C6,Map_Register!$A$2:$C$5,3,FALSE()),""))</f>
        <v>Cultural Heritage Area</v>
      </c>
      <c r="E6" s="20" t="s">
        <v>111</v>
      </c>
      <c r="F6" s="22">
        <v>3693</v>
      </c>
      <c r="G6" s="19" t="s">
        <v>112</v>
      </c>
      <c r="H6" s="19" t="s">
        <v>123</v>
      </c>
      <c r="I6" s="19" t="s">
        <v>8</v>
      </c>
      <c r="J6" s="19" t="s">
        <v>114</v>
      </c>
      <c r="K6" s="19" t="s">
        <v>114</v>
      </c>
      <c r="L6" s="19" t="s">
        <v>115</v>
      </c>
      <c r="M6" s="20" t="s">
        <v>116</v>
      </c>
      <c r="N6" s="20"/>
      <c r="O6" s="20"/>
      <c r="P6" s="20" t="s">
        <v>117</v>
      </c>
    </row>
    <row r="7" spans="1:16" x14ac:dyDescent="0.3">
      <c r="A7" s="19">
        <f t="shared" si="0"/>
        <v>6</v>
      </c>
      <c r="B7" s="20" t="s">
        <v>87</v>
      </c>
      <c r="C7" s="20" t="s">
        <v>93</v>
      </c>
      <c r="D7" s="21" t="str">
        <f>IF($C7="","",IFERROR(VLOOKUP($C7,Map_Register!$A$2:$C$5,3,FALSE()),""))</f>
        <v>Cultural Heritage Area</v>
      </c>
      <c r="E7" s="20" t="s">
        <v>111</v>
      </c>
      <c r="F7" s="22">
        <v>3721</v>
      </c>
      <c r="G7" s="19" t="s">
        <v>112</v>
      </c>
      <c r="H7" s="19" t="s">
        <v>124</v>
      </c>
      <c r="I7" s="19" t="s">
        <v>8</v>
      </c>
      <c r="J7" s="19" t="s">
        <v>114</v>
      </c>
      <c r="K7" s="19" t="s">
        <v>114</v>
      </c>
      <c r="L7" s="19" t="s">
        <v>115</v>
      </c>
      <c r="M7" s="20" t="s">
        <v>116</v>
      </c>
      <c r="N7" s="20"/>
      <c r="O7" s="20"/>
      <c r="P7" s="20" t="s">
        <v>117</v>
      </c>
    </row>
    <row r="8" spans="1:16" x14ac:dyDescent="0.3">
      <c r="A8" s="19">
        <f t="shared" si="0"/>
        <v>7</v>
      </c>
      <c r="B8" s="20" t="s">
        <v>87</v>
      </c>
      <c r="C8" s="20" t="s">
        <v>93</v>
      </c>
      <c r="D8" s="21" t="str">
        <f>IF($C8="","",IFERROR(VLOOKUP($C8,Map_Register!$A$2:$C$5,3,FALSE()),""))</f>
        <v>Cultural Heritage Area</v>
      </c>
      <c r="E8" s="20" t="s">
        <v>111</v>
      </c>
      <c r="F8" s="22">
        <v>3724</v>
      </c>
      <c r="G8" s="19" t="s">
        <v>112</v>
      </c>
      <c r="H8" s="19" t="s">
        <v>125</v>
      </c>
      <c r="I8" s="19" t="s">
        <v>8</v>
      </c>
      <c r="J8" s="19" t="s">
        <v>114</v>
      </c>
      <c r="K8" s="19" t="s">
        <v>114</v>
      </c>
      <c r="L8" s="19" t="s">
        <v>115</v>
      </c>
      <c r="M8" s="20" t="s">
        <v>116</v>
      </c>
      <c r="N8" s="20"/>
      <c r="O8" s="20"/>
      <c r="P8" s="20" t="s">
        <v>117</v>
      </c>
    </row>
    <row r="9" spans="1:16" x14ac:dyDescent="0.3">
      <c r="A9" s="19">
        <f t="shared" si="0"/>
        <v>8</v>
      </c>
      <c r="B9" s="20" t="s">
        <v>87</v>
      </c>
      <c r="C9" s="20" t="s">
        <v>93</v>
      </c>
      <c r="D9" s="21" t="str">
        <f>IF($C9="","",IFERROR(VLOOKUP($C9,Map_Register!$A$2:$C$5,3,FALSE()),""))</f>
        <v>Cultural Heritage Area</v>
      </c>
      <c r="E9" s="20" t="s">
        <v>111</v>
      </c>
      <c r="F9" s="22">
        <v>4628</v>
      </c>
      <c r="G9" s="19" t="s">
        <v>112</v>
      </c>
      <c r="H9" s="19" t="s">
        <v>126</v>
      </c>
      <c r="I9" s="19" t="s">
        <v>8</v>
      </c>
      <c r="J9" s="19" t="s">
        <v>114</v>
      </c>
      <c r="K9" s="19" t="s">
        <v>114</v>
      </c>
      <c r="L9" s="19" t="s">
        <v>115</v>
      </c>
      <c r="M9" s="20" t="s">
        <v>116</v>
      </c>
      <c r="N9" s="20"/>
      <c r="O9" s="20"/>
      <c r="P9" s="20" t="s">
        <v>117</v>
      </c>
    </row>
    <row r="10" spans="1:16" x14ac:dyDescent="0.3">
      <c r="A10" s="19">
        <f t="shared" si="0"/>
        <v>9</v>
      </c>
      <c r="B10" s="20" t="s">
        <v>87</v>
      </c>
      <c r="C10" s="20" t="s">
        <v>93</v>
      </c>
      <c r="D10" s="21" t="str">
        <f>IF($C10="","",IFERROR(VLOOKUP($C10,Map_Register!$A$2:$C$5,3,FALSE()),""))</f>
        <v>Cultural Heritage Area</v>
      </c>
      <c r="E10" s="20" t="s">
        <v>111</v>
      </c>
      <c r="F10" s="22">
        <v>5954</v>
      </c>
      <c r="G10" s="19" t="s">
        <v>112</v>
      </c>
      <c r="H10" s="19" t="s">
        <v>127</v>
      </c>
      <c r="I10" s="19" t="s">
        <v>8</v>
      </c>
      <c r="J10" s="19" t="s">
        <v>114</v>
      </c>
      <c r="K10" s="19" t="s">
        <v>114</v>
      </c>
      <c r="L10" s="19" t="s">
        <v>115</v>
      </c>
      <c r="M10" s="20" t="s">
        <v>116</v>
      </c>
      <c r="N10" s="20"/>
      <c r="O10" s="20"/>
      <c r="P10" s="20" t="s">
        <v>117</v>
      </c>
    </row>
    <row r="11" spans="1:16" x14ac:dyDescent="0.3">
      <c r="A11" s="19">
        <f t="shared" si="0"/>
        <v>10</v>
      </c>
      <c r="B11" s="20" t="s">
        <v>87</v>
      </c>
      <c r="C11" s="20" t="s">
        <v>93</v>
      </c>
      <c r="D11" s="21" t="str">
        <f>IF($C11="","",IFERROR(VLOOKUP($C11,Map_Register!$A$2:$C$5,3,FALSE()),""))</f>
        <v>Cultural Heritage Area</v>
      </c>
      <c r="E11" s="20" t="s">
        <v>111</v>
      </c>
      <c r="F11" s="22">
        <v>5955</v>
      </c>
      <c r="G11" s="19" t="s">
        <v>112</v>
      </c>
      <c r="H11" s="19" t="s">
        <v>128</v>
      </c>
      <c r="I11" s="19" t="s">
        <v>8</v>
      </c>
      <c r="J11" s="19" t="s">
        <v>114</v>
      </c>
      <c r="K11" s="19" t="s">
        <v>114</v>
      </c>
      <c r="L11" s="19" t="s">
        <v>115</v>
      </c>
      <c r="M11" s="20" t="s">
        <v>116</v>
      </c>
      <c r="N11" s="20"/>
      <c r="O11" s="20"/>
      <c r="P11" s="20" t="s">
        <v>117</v>
      </c>
    </row>
    <row r="12" spans="1:16" x14ac:dyDescent="0.3">
      <c r="A12" s="19">
        <f t="shared" si="0"/>
        <v>11</v>
      </c>
      <c r="B12" s="20" t="s">
        <v>87</v>
      </c>
      <c r="C12" s="20" t="s">
        <v>93</v>
      </c>
      <c r="D12" s="21" t="str">
        <f>IF($C12="","",IFERROR(VLOOKUP($C12,Map_Register!$A$2:$C$5,3,FALSE()),""))</f>
        <v>Cultural Heritage Area</v>
      </c>
      <c r="E12" s="20" t="s">
        <v>111</v>
      </c>
      <c r="F12" s="22">
        <v>7962</v>
      </c>
      <c r="G12" s="19" t="s">
        <v>119</v>
      </c>
      <c r="H12" s="19" t="s">
        <v>129</v>
      </c>
      <c r="I12" s="19" t="s">
        <v>6</v>
      </c>
      <c r="J12" s="19"/>
      <c r="K12" s="19"/>
      <c r="L12" s="19" t="s">
        <v>130</v>
      </c>
      <c r="M12" s="20"/>
      <c r="N12" s="20"/>
      <c r="O12" s="20"/>
      <c r="P12" s="20" t="s">
        <v>117</v>
      </c>
    </row>
    <row r="13" spans="1:16" x14ac:dyDescent="0.3">
      <c r="A13" s="19">
        <f t="shared" si="0"/>
        <v>12</v>
      </c>
      <c r="B13" s="20" t="s">
        <v>87</v>
      </c>
      <c r="C13" s="20" t="s">
        <v>93</v>
      </c>
      <c r="D13" s="21" t="str">
        <f>IF($C13="","",IFERROR(VLOOKUP($C13,Map_Register!$A$2:$C$5,3,FALSE()),""))</f>
        <v>Cultural Heritage Area</v>
      </c>
      <c r="E13" s="20" t="s">
        <v>111</v>
      </c>
      <c r="F13" s="22">
        <v>8258</v>
      </c>
      <c r="G13" s="19" t="s">
        <v>112</v>
      </c>
      <c r="H13" s="19" t="s">
        <v>131</v>
      </c>
      <c r="I13" s="19" t="s">
        <v>8</v>
      </c>
      <c r="J13" s="19" t="s">
        <v>114</v>
      </c>
      <c r="K13" s="19" t="s">
        <v>114</v>
      </c>
      <c r="L13" s="19" t="s">
        <v>115</v>
      </c>
      <c r="M13" s="20" t="s">
        <v>116</v>
      </c>
      <c r="N13" s="20"/>
      <c r="O13" s="20"/>
      <c r="P13" s="20" t="s">
        <v>117</v>
      </c>
    </row>
    <row r="14" spans="1:16" x14ac:dyDescent="0.3">
      <c r="A14" s="19">
        <f t="shared" si="0"/>
        <v>13</v>
      </c>
      <c r="B14" s="20" t="s">
        <v>87</v>
      </c>
      <c r="C14" s="20" t="s">
        <v>93</v>
      </c>
      <c r="D14" s="21" t="str">
        <f>IF($C14="","",IFERROR(VLOOKUP($C14,Map_Register!$A$2:$C$5,3,FALSE()),""))</f>
        <v>Cultural Heritage Area</v>
      </c>
      <c r="E14" s="20" t="s">
        <v>111</v>
      </c>
      <c r="F14" s="22">
        <v>8355</v>
      </c>
      <c r="G14" s="19" t="s">
        <v>112</v>
      </c>
      <c r="H14" s="19" t="s">
        <v>132</v>
      </c>
      <c r="I14" s="19" t="s">
        <v>6</v>
      </c>
      <c r="J14" s="19"/>
      <c r="K14" s="19"/>
      <c r="L14" s="19" t="s">
        <v>133</v>
      </c>
      <c r="M14" s="20"/>
      <c r="N14" s="20"/>
      <c r="O14" s="20"/>
      <c r="P14" s="20" t="s">
        <v>117</v>
      </c>
    </row>
    <row r="15" spans="1:16" x14ac:dyDescent="0.3">
      <c r="A15" s="19">
        <f t="shared" si="0"/>
        <v>14</v>
      </c>
      <c r="B15" s="20" t="s">
        <v>87</v>
      </c>
      <c r="C15" s="20" t="s">
        <v>93</v>
      </c>
      <c r="D15" s="21" t="str">
        <f>IF($C15="","",IFERROR(VLOOKUP($C15,Map_Register!$A$2:$C$5,3,FALSE()),""))</f>
        <v>Cultural Heritage Area</v>
      </c>
      <c r="E15" s="20" t="s">
        <v>111</v>
      </c>
      <c r="F15" s="22">
        <v>8369</v>
      </c>
      <c r="G15" s="19" t="s">
        <v>112</v>
      </c>
      <c r="H15" s="19" t="s">
        <v>134</v>
      </c>
      <c r="I15" s="19" t="s">
        <v>8</v>
      </c>
      <c r="J15" s="19" t="s">
        <v>114</v>
      </c>
      <c r="K15" s="19" t="s">
        <v>114</v>
      </c>
      <c r="L15" s="19" t="s">
        <v>135</v>
      </c>
      <c r="M15" s="20" t="s">
        <v>116</v>
      </c>
      <c r="N15" s="20"/>
      <c r="O15" s="20"/>
      <c r="P15" s="20" t="s">
        <v>117</v>
      </c>
    </row>
    <row r="16" spans="1:16" x14ac:dyDescent="0.3">
      <c r="A16" s="19">
        <f t="shared" si="0"/>
        <v>15</v>
      </c>
      <c r="B16" s="20" t="s">
        <v>87</v>
      </c>
      <c r="C16" s="20" t="s">
        <v>93</v>
      </c>
      <c r="D16" s="21" t="str">
        <f>IF($C16="","",IFERROR(VLOOKUP($C16,Map_Register!$A$2:$C$5,3,FALSE()),""))</f>
        <v>Cultural Heritage Area</v>
      </c>
      <c r="E16" s="20" t="s">
        <v>111</v>
      </c>
      <c r="F16" s="22">
        <v>8375</v>
      </c>
      <c r="G16" s="19" t="s">
        <v>112</v>
      </c>
      <c r="H16" s="19" t="s">
        <v>136</v>
      </c>
      <c r="I16" s="19" t="s">
        <v>8</v>
      </c>
      <c r="J16" s="19" t="s">
        <v>114</v>
      </c>
      <c r="K16" t="s">
        <v>114</v>
      </c>
      <c r="L16" s="19" t="s">
        <v>137</v>
      </c>
      <c r="M16" s="20" t="s">
        <v>116</v>
      </c>
      <c r="N16" s="20"/>
      <c r="O16" s="20"/>
      <c r="P16" s="20" t="s">
        <v>117</v>
      </c>
    </row>
    <row r="17" spans="1:16" x14ac:dyDescent="0.3">
      <c r="A17" s="19">
        <f t="shared" si="0"/>
        <v>16</v>
      </c>
      <c r="B17" s="20" t="s">
        <v>87</v>
      </c>
      <c r="C17" s="20" t="s">
        <v>93</v>
      </c>
      <c r="D17" s="21" t="str">
        <f>IF($C17="","",IFERROR(VLOOKUP($C17,Map_Register!$A$2:$C$5,3,FALSE()),""))</f>
        <v>Cultural Heritage Area</v>
      </c>
      <c r="E17" s="20" t="s">
        <v>111</v>
      </c>
      <c r="F17" s="22">
        <v>8376</v>
      </c>
      <c r="G17" s="19" t="s">
        <v>119</v>
      </c>
      <c r="H17" s="19" t="s">
        <v>138</v>
      </c>
      <c r="I17" s="19" t="s">
        <v>6</v>
      </c>
      <c r="J17" s="19"/>
      <c r="K17" s="19"/>
      <c r="L17" s="19" t="s">
        <v>139</v>
      </c>
      <c r="M17" s="20"/>
      <c r="N17" s="20"/>
      <c r="O17" s="20"/>
      <c r="P17" s="20" t="s">
        <v>117</v>
      </c>
    </row>
    <row r="18" spans="1:16" x14ac:dyDescent="0.3">
      <c r="A18" s="19">
        <f t="shared" si="0"/>
        <v>17</v>
      </c>
      <c r="B18" s="20" t="s">
        <v>87</v>
      </c>
      <c r="C18" s="20" t="s">
        <v>93</v>
      </c>
      <c r="D18" s="21" t="str">
        <f>IF($C18="","",IFERROR(VLOOKUP($C18,Map_Register!$A$2:$C$5,3,FALSE()),""))</f>
        <v>Cultural Heritage Area</v>
      </c>
      <c r="E18" s="20" t="s">
        <v>111</v>
      </c>
      <c r="F18" s="22">
        <v>8377</v>
      </c>
      <c r="G18" s="19" t="s">
        <v>112</v>
      </c>
      <c r="H18" s="19" t="s">
        <v>140</v>
      </c>
      <c r="I18" s="19" t="s">
        <v>141</v>
      </c>
      <c r="J18" s="19"/>
      <c r="K18" s="19"/>
      <c r="L18" s="19" t="s">
        <v>141</v>
      </c>
      <c r="M18" s="20"/>
      <c r="N18" s="20"/>
      <c r="O18" s="20"/>
      <c r="P18" s="20" t="s">
        <v>117</v>
      </c>
    </row>
    <row r="19" spans="1:16" x14ac:dyDescent="0.3">
      <c r="A19" s="19">
        <f t="shared" si="0"/>
        <v>18</v>
      </c>
      <c r="B19" s="20" t="s">
        <v>87</v>
      </c>
      <c r="C19" s="20" t="s">
        <v>93</v>
      </c>
      <c r="D19" s="21" t="str">
        <f>IF($C19="","",IFERROR(VLOOKUP($C19,Map_Register!$A$2:$C$5,3,FALSE()),""))</f>
        <v>Cultural Heritage Area</v>
      </c>
      <c r="E19" s="20" t="s">
        <v>111</v>
      </c>
      <c r="F19" s="22">
        <v>8378</v>
      </c>
      <c r="G19" s="19" t="s">
        <v>112</v>
      </c>
      <c r="H19" s="19" t="s">
        <v>142</v>
      </c>
      <c r="I19" s="19" t="s">
        <v>8</v>
      </c>
      <c r="J19" s="19" t="s">
        <v>114</v>
      </c>
      <c r="K19" s="19" t="s">
        <v>114</v>
      </c>
      <c r="L19" s="19" t="s">
        <v>141</v>
      </c>
      <c r="M19" s="20" t="s">
        <v>116</v>
      </c>
      <c r="N19" s="20"/>
      <c r="O19" s="20"/>
      <c r="P19" s="20" t="s">
        <v>117</v>
      </c>
    </row>
    <row r="20" spans="1:16" x14ac:dyDescent="0.3">
      <c r="A20" s="19">
        <f t="shared" si="0"/>
        <v>19</v>
      </c>
      <c r="B20" s="20" t="s">
        <v>87</v>
      </c>
      <c r="C20" s="20" t="s">
        <v>93</v>
      </c>
      <c r="D20" s="21" t="str">
        <f>IF($C20="","",IFERROR(VLOOKUP($C20,Map_Register!$A$2:$C$5,3,FALSE()),""))</f>
        <v>Cultural Heritage Area</v>
      </c>
      <c r="E20" s="20" t="s">
        <v>111</v>
      </c>
      <c r="F20" s="22">
        <v>8379</v>
      </c>
      <c r="G20" s="19" t="s">
        <v>112</v>
      </c>
      <c r="H20" s="19" t="s">
        <v>143</v>
      </c>
      <c r="I20" s="19" t="s">
        <v>8</v>
      </c>
      <c r="J20" s="19" t="s">
        <v>114</v>
      </c>
      <c r="K20" s="19" t="s">
        <v>114</v>
      </c>
      <c r="L20" s="19" t="s">
        <v>141</v>
      </c>
      <c r="M20" s="20" t="s">
        <v>116</v>
      </c>
      <c r="N20" s="20"/>
      <c r="O20" s="20"/>
      <c r="P20" s="20" t="s">
        <v>117</v>
      </c>
    </row>
    <row r="21" spans="1:16" x14ac:dyDescent="0.3">
      <c r="A21" s="19">
        <f t="shared" si="0"/>
        <v>20</v>
      </c>
      <c r="B21" s="20" t="s">
        <v>87</v>
      </c>
      <c r="C21" s="20" t="s">
        <v>93</v>
      </c>
      <c r="D21" s="21" t="str">
        <f>IF($C21="","",IFERROR(VLOOKUP($C21,Map_Register!$A$2:$C$5,3,FALSE()),""))</f>
        <v>Cultural Heritage Area</v>
      </c>
      <c r="E21" s="20" t="s">
        <v>111</v>
      </c>
      <c r="F21" s="22">
        <v>8552</v>
      </c>
      <c r="G21" s="19" t="s">
        <v>112</v>
      </c>
      <c r="H21" s="19" t="s">
        <v>144</v>
      </c>
      <c r="I21" s="19" t="s">
        <v>6</v>
      </c>
      <c r="J21" s="19"/>
      <c r="K21" s="19"/>
      <c r="L21" s="19" t="s">
        <v>141</v>
      </c>
      <c r="M21" s="20"/>
      <c r="N21" s="20"/>
      <c r="O21" s="20"/>
      <c r="P21" s="20" t="s">
        <v>117</v>
      </c>
    </row>
    <row r="22" spans="1:16" x14ac:dyDescent="0.3">
      <c r="A22" s="19">
        <f t="shared" si="0"/>
        <v>21</v>
      </c>
      <c r="B22" s="20" t="s">
        <v>87</v>
      </c>
      <c r="C22" s="20" t="s">
        <v>93</v>
      </c>
      <c r="D22" s="21" t="str">
        <f>IF($C22="","",IFERROR(VLOOKUP($C22,Map_Register!$A$2:$C$5,3,FALSE()),""))</f>
        <v>Cultural Heritage Area</v>
      </c>
      <c r="E22" s="20" t="s">
        <v>111</v>
      </c>
      <c r="F22" s="22">
        <v>8622</v>
      </c>
      <c r="G22" s="19" t="s">
        <v>112</v>
      </c>
      <c r="H22" s="19" t="s">
        <v>145</v>
      </c>
      <c r="I22" s="19" t="s">
        <v>6</v>
      </c>
      <c r="J22" s="19"/>
      <c r="K22" s="19"/>
      <c r="L22" s="19" t="s">
        <v>141</v>
      </c>
      <c r="M22" s="20"/>
      <c r="N22" s="20"/>
      <c r="O22" s="20"/>
      <c r="P22" s="20" t="s">
        <v>117</v>
      </c>
    </row>
    <row r="23" spans="1:16" x14ac:dyDescent="0.3">
      <c r="A23" s="19">
        <f t="shared" si="0"/>
        <v>22</v>
      </c>
      <c r="B23" s="20" t="s">
        <v>87</v>
      </c>
      <c r="C23" s="20" t="s">
        <v>93</v>
      </c>
      <c r="D23" s="21" t="str">
        <f>IF($C23="","",IFERROR(VLOOKUP($C23,Map_Register!$A$2:$C$5,3,FALSE()),""))</f>
        <v>Cultural Heritage Area</v>
      </c>
      <c r="E23" s="20" t="s">
        <v>111</v>
      </c>
      <c r="F23" s="22">
        <v>8716</v>
      </c>
      <c r="G23" s="19" t="s">
        <v>112</v>
      </c>
      <c r="H23" s="19" t="s">
        <v>146</v>
      </c>
      <c r="I23" s="19" t="s">
        <v>8</v>
      </c>
      <c r="J23" s="19" t="s">
        <v>114</v>
      </c>
      <c r="K23" s="19" t="s">
        <v>114</v>
      </c>
      <c r="L23" s="19" t="s">
        <v>135</v>
      </c>
      <c r="M23" s="20" t="s">
        <v>116</v>
      </c>
      <c r="N23" s="20"/>
      <c r="O23" s="20"/>
      <c r="P23" s="20" t="s">
        <v>117</v>
      </c>
    </row>
    <row r="24" spans="1:16" x14ac:dyDescent="0.3">
      <c r="A24" s="19">
        <f t="shared" si="0"/>
        <v>23</v>
      </c>
      <c r="B24" s="20" t="s">
        <v>87</v>
      </c>
      <c r="C24" s="20" t="s">
        <v>93</v>
      </c>
      <c r="D24" s="21" t="str">
        <f>IF($C24="","",IFERROR(VLOOKUP($C24,Map_Register!$A$2:$C$5,3,FALSE()),""))</f>
        <v>Cultural Heritage Area</v>
      </c>
      <c r="E24" s="20" t="s">
        <v>111</v>
      </c>
      <c r="F24" s="22">
        <v>8908</v>
      </c>
      <c r="G24" s="19" t="s">
        <v>112</v>
      </c>
      <c r="H24" s="19" t="s">
        <v>147</v>
      </c>
      <c r="I24" s="19" t="s">
        <v>8</v>
      </c>
      <c r="J24" s="19" t="s">
        <v>114</v>
      </c>
      <c r="K24" t="s">
        <v>114</v>
      </c>
      <c r="L24" s="19" t="s">
        <v>148</v>
      </c>
      <c r="M24" s="20" t="s">
        <v>116</v>
      </c>
      <c r="N24" s="20"/>
      <c r="O24" s="20"/>
      <c r="P24" s="20" t="s">
        <v>117</v>
      </c>
    </row>
    <row r="25" spans="1:16" x14ac:dyDescent="0.3">
      <c r="A25" s="19">
        <f t="shared" si="0"/>
        <v>24</v>
      </c>
      <c r="B25" s="20" t="s">
        <v>87</v>
      </c>
      <c r="C25" s="20" t="s">
        <v>93</v>
      </c>
      <c r="D25" s="21" t="str">
        <f>IF($C25="","",IFERROR(VLOOKUP($C25,Map_Register!$A$2:$C$5,3,FALSE()),""))</f>
        <v>Cultural Heritage Area</v>
      </c>
      <c r="E25" s="20" t="s">
        <v>111</v>
      </c>
      <c r="F25" s="22">
        <v>10482</v>
      </c>
      <c r="G25" s="19" t="s">
        <v>112</v>
      </c>
      <c r="H25" s="19" t="s">
        <v>149</v>
      </c>
      <c r="I25" s="19" t="s">
        <v>8</v>
      </c>
      <c r="J25" s="19" t="s">
        <v>114</v>
      </c>
      <c r="K25" s="19" t="s">
        <v>114</v>
      </c>
      <c r="L25" s="19" t="s">
        <v>135</v>
      </c>
      <c r="M25" s="20" t="s">
        <v>116</v>
      </c>
      <c r="N25" s="20"/>
      <c r="O25" s="20"/>
      <c r="P25" s="20" t="s">
        <v>117</v>
      </c>
    </row>
    <row r="26" spans="1:16" x14ac:dyDescent="0.3">
      <c r="A26" s="19">
        <f t="shared" si="0"/>
        <v>25</v>
      </c>
      <c r="B26" s="20" t="s">
        <v>87</v>
      </c>
      <c r="C26" s="20" t="s">
        <v>93</v>
      </c>
      <c r="D26" s="21" t="str">
        <f>IF($C26="","",IFERROR(VLOOKUP($C26,Map_Register!$A$2:$C$5,3,FALSE()),""))</f>
        <v>Cultural Heritage Area</v>
      </c>
      <c r="E26" s="20" t="s">
        <v>111</v>
      </c>
      <c r="F26" s="22">
        <v>10483</v>
      </c>
      <c r="G26" s="19" t="s">
        <v>112</v>
      </c>
      <c r="H26" s="19" t="s">
        <v>150</v>
      </c>
      <c r="I26" s="19" t="s">
        <v>8</v>
      </c>
      <c r="J26" s="19" t="s">
        <v>114</v>
      </c>
      <c r="K26" s="19" t="s">
        <v>114</v>
      </c>
      <c r="L26" s="19" t="s">
        <v>151</v>
      </c>
      <c r="M26" s="20" t="s">
        <v>116</v>
      </c>
      <c r="N26" s="20"/>
      <c r="O26" s="20"/>
      <c r="P26" s="20" t="s">
        <v>117</v>
      </c>
    </row>
    <row r="27" spans="1:16" x14ac:dyDescent="0.3">
      <c r="A27" s="19">
        <f t="shared" si="0"/>
        <v>26</v>
      </c>
      <c r="B27" s="20" t="s">
        <v>87</v>
      </c>
      <c r="C27" s="20" t="s">
        <v>93</v>
      </c>
      <c r="D27" s="21" t="str">
        <f>IF($C27="","",IFERROR(VLOOKUP($C27,Map_Register!$A$2:$C$5,3,FALSE()),""))</f>
        <v>Cultural Heritage Area</v>
      </c>
      <c r="E27" s="20" t="s">
        <v>111</v>
      </c>
      <c r="F27" s="22">
        <v>10484</v>
      </c>
      <c r="G27" s="19" t="s">
        <v>112</v>
      </c>
      <c r="H27" s="19" t="s">
        <v>152</v>
      </c>
      <c r="I27" s="19" t="s">
        <v>8</v>
      </c>
      <c r="J27" s="19" t="s">
        <v>114</v>
      </c>
      <c r="K27" s="19" t="s">
        <v>114</v>
      </c>
      <c r="L27" s="19" t="s">
        <v>151</v>
      </c>
      <c r="M27" s="20" t="s">
        <v>116</v>
      </c>
      <c r="N27" s="20"/>
      <c r="O27" s="20"/>
      <c r="P27" s="20" t="s">
        <v>117</v>
      </c>
    </row>
    <row r="28" spans="1:16" x14ac:dyDescent="0.3">
      <c r="A28" s="19">
        <f t="shared" si="0"/>
        <v>27</v>
      </c>
      <c r="B28" s="20" t="s">
        <v>87</v>
      </c>
      <c r="C28" s="20" t="s">
        <v>93</v>
      </c>
      <c r="D28" s="21" t="str">
        <f>IF($C28="","",IFERROR(VLOOKUP($C28,Map_Register!$A$2:$C$5,3,FALSE()),""))</f>
        <v>Cultural Heritage Area</v>
      </c>
      <c r="E28" s="20" t="s">
        <v>111</v>
      </c>
      <c r="F28" s="22">
        <v>10962</v>
      </c>
      <c r="G28" s="19" t="s">
        <v>112</v>
      </c>
      <c r="H28" s="19" t="s">
        <v>153</v>
      </c>
      <c r="I28" s="19" t="s">
        <v>8</v>
      </c>
      <c r="J28" s="19" t="s">
        <v>114</v>
      </c>
      <c r="K28" t="s">
        <v>114</v>
      </c>
      <c r="L28" s="19" t="s">
        <v>154</v>
      </c>
      <c r="M28" s="20" t="s">
        <v>116</v>
      </c>
      <c r="N28" s="20"/>
      <c r="O28" s="20"/>
      <c r="P28" s="20" t="s">
        <v>117</v>
      </c>
    </row>
    <row r="29" spans="1:16" x14ac:dyDescent="0.3">
      <c r="A29" s="19">
        <f t="shared" si="0"/>
        <v>28</v>
      </c>
      <c r="B29" s="20" t="s">
        <v>87</v>
      </c>
      <c r="C29" s="20" t="s">
        <v>93</v>
      </c>
      <c r="D29" s="21" t="str">
        <f>IF($C29="","",IFERROR(VLOOKUP($C29,Map_Register!$A$2:$C$5,3,FALSE()),""))</f>
        <v>Cultural Heritage Area</v>
      </c>
      <c r="E29" s="20" t="s">
        <v>111</v>
      </c>
      <c r="F29" s="22">
        <v>10963</v>
      </c>
      <c r="G29" s="19" t="s">
        <v>112</v>
      </c>
      <c r="H29" s="19" t="s">
        <v>155</v>
      </c>
      <c r="I29" s="19" t="s">
        <v>8</v>
      </c>
      <c r="J29" s="19" t="s">
        <v>114</v>
      </c>
      <c r="K29" t="s">
        <v>114</v>
      </c>
      <c r="L29" s="19" t="s">
        <v>154</v>
      </c>
      <c r="M29" s="20" t="s">
        <v>116</v>
      </c>
      <c r="N29" s="20"/>
      <c r="O29" s="20"/>
      <c r="P29" s="20" t="s">
        <v>117</v>
      </c>
    </row>
    <row r="30" spans="1:16" x14ac:dyDescent="0.3">
      <c r="A30" s="19">
        <f t="shared" si="0"/>
        <v>29</v>
      </c>
      <c r="B30" s="20" t="s">
        <v>87</v>
      </c>
      <c r="C30" s="20" t="s">
        <v>93</v>
      </c>
      <c r="D30" s="21" t="str">
        <f>IF($C30="","",IFERROR(VLOOKUP($C30,Map_Register!$A$2:$C$5,3,FALSE()),""))</f>
        <v>Cultural Heritage Area</v>
      </c>
      <c r="E30" s="20" t="s">
        <v>111</v>
      </c>
      <c r="F30" s="22">
        <v>10964</v>
      </c>
      <c r="G30" s="19" t="s">
        <v>112</v>
      </c>
      <c r="H30" s="19" t="s">
        <v>156</v>
      </c>
      <c r="I30" s="19" t="s">
        <v>8</v>
      </c>
      <c r="J30" s="19" t="s">
        <v>114</v>
      </c>
      <c r="K30" t="s">
        <v>114</v>
      </c>
      <c r="L30" s="19" t="s">
        <v>157</v>
      </c>
      <c r="M30" s="20" t="s">
        <v>116</v>
      </c>
      <c r="N30" s="20"/>
      <c r="O30" s="20"/>
      <c r="P30" s="20" t="s">
        <v>117</v>
      </c>
    </row>
    <row r="31" spans="1:16" x14ac:dyDescent="0.3">
      <c r="A31" s="19">
        <f t="shared" si="0"/>
        <v>30</v>
      </c>
      <c r="B31" s="20" t="s">
        <v>87</v>
      </c>
      <c r="C31" s="20" t="s">
        <v>93</v>
      </c>
      <c r="D31" s="21" t="str">
        <f>IF($C31="","",IFERROR(VLOOKUP($C31,Map_Register!$A$2:$C$5,3,FALSE()),""))</f>
        <v>Cultural Heritage Area</v>
      </c>
      <c r="E31" s="20" t="s">
        <v>111</v>
      </c>
      <c r="F31" s="22">
        <v>10965</v>
      </c>
      <c r="G31" s="19" t="s">
        <v>112</v>
      </c>
      <c r="H31" s="19" t="s">
        <v>158</v>
      </c>
      <c r="I31" s="19" t="s">
        <v>8</v>
      </c>
      <c r="J31" s="19" t="s">
        <v>114</v>
      </c>
      <c r="K31" t="s">
        <v>114</v>
      </c>
      <c r="L31" s="19" t="s">
        <v>157</v>
      </c>
      <c r="M31" s="20" t="s">
        <v>116</v>
      </c>
      <c r="N31" s="20"/>
      <c r="O31" s="20"/>
      <c r="P31" s="20" t="s">
        <v>117</v>
      </c>
    </row>
    <row r="32" spans="1:16" x14ac:dyDescent="0.3">
      <c r="A32" s="19">
        <f t="shared" si="0"/>
        <v>31</v>
      </c>
      <c r="B32" s="20" t="s">
        <v>87</v>
      </c>
      <c r="C32" s="20" t="s">
        <v>93</v>
      </c>
      <c r="D32" s="21" t="str">
        <f>IF($C32="","",IFERROR(VLOOKUP($C32,Map_Register!$A$2:$C$5,3,FALSE()),""))</f>
        <v>Cultural Heritage Area</v>
      </c>
      <c r="E32" s="20" t="s">
        <v>111</v>
      </c>
      <c r="F32" s="22">
        <v>11127</v>
      </c>
      <c r="G32" s="19" t="s">
        <v>112</v>
      </c>
      <c r="H32" s="19" t="s">
        <v>159</v>
      </c>
      <c r="I32" s="19" t="s">
        <v>8</v>
      </c>
      <c r="J32" s="19" t="s">
        <v>114</v>
      </c>
      <c r="K32" s="19" t="s">
        <v>114</v>
      </c>
      <c r="L32" s="19" t="s">
        <v>151</v>
      </c>
      <c r="M32" s="20" t="s">
        <v>116</v>
      </c>
      <c r="N32" s="20"/>
      <c r="O32" s="20"/>
      <c r="P32" s="20" t="s">
        <v>117</v>
      </c>
    </row>
    <row r="33" spans="1:16" x14ac:dyDescent="0.3">
      <c r="A33" s="19">
        <f t="shared" si="0"/>
        <v>32</v>
      </c>
      <c r="B33" s="20" t="s">
        <v>87</v>
      </c>
      <c r="C33" s="20" t="s">
        <v>93</v>
      </c>
      <c r="D33" s="21" t="str">
        <f>IF($C33="","",IFERROR(VLOOKUP($C33,Map_Register!$A$2:$C$5,3,FALSE()),""))</f>
        <v>Cultural Heritage Area</v>
      </c>
      <c r="E33" s="20" t="s">
        <v>111</v>
      </c>
      <c r="F33" s="22">
        <v>11128</v>
      </c>
      <c r="G33" s="19" t="s">
        <v>112</v>
      </c>
      <c r="H33" s="19" t="s">
        <v>160</v>
      </c>
      <c r="I33" s="19" t="s">
        <v>8</v>
      </c>
      <c r="J33" s="19" t="s">
        <v>114</v>
      </c>
      <c r="K33" s="19" t="s">
        <v>114</v>
      </c>
      <c r="L33" s="19" t="s">
        <v>151</v>
      </c>
      <c r="M33" s="20" t="s">
        <v>116</v>
      </c>
      <c r="N33" s="20"/>
      <c r="O33" s="20"/>
      <c r="P33" s="20" t="s">
        <v>117</v>
      </c>
    </row>
    <row r="34" spans="1:16" x14ac:dyDescent="0.3">
      <c r="A34" s="19">
        <f t="shared" si="0"/>
        <v>33</v>
      </c>
      <c r="B34" s="20" t="s">
        <v>87</v>
      </c>
      <c r="C34" s="20" t="s">
        <v>93</v>
      </c>
      <c r="D34" s="21" t="str">
        <f>IF($C34="","",IFERROR(VLOOKUP($C34,Map_Register!$A$2:$C$5,3,FALSE()),""))</f>
        <v>Cultural Heritage Area</v>
      </c>
      <c r="E34" s="20" t="s">
        <v>111</v>
      </c>
      <c r="F34" s="22">
        <v>11129</v>
      </c>
      <c r="G34" s="19" t="s">
        <v>112</v>
      </c>
      <c r="H34" s="19" t="s">
        <v>161</v>
      </c>
      <c r="I34" s="19" t="s">
        <v>8</v>
      </c>
      <c r="J34" s="19" t="s">
        <v>114</v>
      </c>
      <c r="K34" t="s">
        <v>114</v>
      </c>
      <c r="L34" s="19" t="s">
        <v>162</v>
      </c>
      <c r="M34" s="20" t="s">
        <v>116</v>
      </c>
      <c r="N34" s="20"/>
      <c r="O34" s="20"/>
      <c r="P34" s="20" t="s">
        <v>117</v>
      </c>
    </row>
    <row r="35" spans="1:16" x14ac:dyDescent="0.3">
      <c r="A35" s="19">
        <f t="shared" si="0"/>
        <v>34</v>
      </c>
      <c r="B35" s="20" t="s">
        <v>87</v>
      </c>
      <c r="C35" s="20" t="s">
        <v>93</v>
      </c>
      <c r="D35" s="21" t="str">
        <f>IF($C35="","",IFERROR(VLOOKUP($C35,Map_Register!$A$2:$C$5,3,FALSE()),""))</f>
        <v>Cultural Heritage Area</v>
      </c>
      <c r="E35" s="20" t="s">
        <v>111</v>
      </c>
      <c r="F35" s="22">
        <v>11130</v>
      </c>
      <c r="G35" s="19" t="s">
        <v>119</v>
      </c>
      <c r="H35" s="19" t="s">
        <v>163</v>
      </c>
      <c r="I35" s="19" t="s">
        <v>6</v>
      </c>
      <c r="J35" s="19"/>
      <c r="K35" s="19"/>
      <c r="L35" s="19" t="s">
        <v>139</v>
      </c>
      <c r="M35" s="20"/>
      <c r="N35" s="20"/>
      <c r="O35" s="20"/>
      <c r="P35" s="20" t="s">
        <v>117</v>
      </c>
    </row>
    <row r="36" spans="1:16" x14ac:dyDescent="0.3">
      <c r="A36" s="19">
        <f t="shared" si="0"/>
        <v>35</v>
      </c>
      <c r="B36" s="20" t="s">
        <v>87</v>
      </c>
      <c r="C36" s="20" t="s">
        <v>93</v>
      </c>
      <c r="D36" s="21" t="str">
        <f>IF($C36="","",IFERROR(VLOOKUP($C36,Map_Register!$A$2:$C$5,3,FALSE()),""))</f>
        <v>Cultural Heritage Area</v>
      </c>
      <c r="E36" s="20" t="s">
        <v>111</v>
      </c>
      <c r="F36" s="22">
        <v>11131</v>
      </c>
      <c r="G36" s="19" t="s">
        <v>112</v>
      </c>
      <c r="H36" s="19" t="s">
        <v>164</v>
      </c>
      <c r="I36" s="19" t="s">
        <v>8</v>
      </c>
      <c r="J36" s="19" t="s">
        <v>114</v>
      </c>
      <c r="K36" t="s">
        <v>114</v>
      </c>
      <c r="L36" s="19" t="s">
        <v>165</v>
      </c>
      <c r="M36" s="20" t="s">
        <v>116</v>
      </c>
      <c r="N36" s="20"/>
      <c r="O36" s="20"/>
      <c r="P36" s="20" t="s">
        <v>117</v>
      </c>
    </row>
    <row r="37" spans="1:16" x14ac:dyDescent="0.3">
      <c r="A37" s="19">
        <f t="shared" si="0"/>
        <v>36</v>
      </c>
      <c r="B37" s="20" t="s">
        <v>87</v>
      </c>
      <c r="C37" s="20" t="s">
        <v>93</v>
      </c>
      <c r="D37" s="21" t="str">
        <f>IF($C37="","",IFERROR(VLOOKUP($C37,Map_Register!$A$2:$C$5,3,FALSE()),""))</f>
        <v>Cultural Heritage Area</v>
      </c>
      <c r="E37" s="20" t="s">
        <v>111</v>
      </c>
      <c r="F37" s="22">
        <v>11132</v>
      </c>
      <c r="G37" s="19" t="s">
        <v>112</v>
      </c>
      <c r="H37" s="19" t="s">
        <v>166</v>
      </c>
      <c r="I37" s="19" t="s">
        <v>8</v>
      </c>
      <c r="J37" s="19" t="s">
        <v>114</v>
      </c>
      <c r="K37" t="s">
        <v>114</v>
      </c>
      <c r="L37" s="19" t="s">
        <v>167</v>
      </c>
      <c r="M37" s="20" t="s">
        <v>116</v>
      </c>
      <c r="N37" s="20"/>
      <c r="O37" s="20"/>
      <c r="P37" s="20" t="s">
        <v>117</v>
      </c>
    </row>
    <row r="38" spans="1:16" x14ac:dyDescent="0.3">
      <c r="A38" s="19">
        <f t="shared" si="0"/>
        <v>37</v>
      </c>
      <c r="B38" s="20" t="s">
        <v>87</v>
      </c>
      <c r="C38" s="20" t="s">
        <v>93</v>
      </c>
      <c r="D38" s="21" t="str">
        <f>IF($C38="","",IFERROR(VLOOKUP($C38,Map_Register!$A$2:$C$5,3,FALSE()),""))</f>
        <v>Cultural Heritage Area</v>
      </c>
      <c r="E38" s="20" t="s">
        <v>111</v>
      </c>
      <c r="F38" s="22">
        <v>12395</v>
      </c>
      <c r="G38" s="19" t="s">
        <v>112</v>
      </c>
      <c r="H38" s="19" t="s">
        <v>168</v>
      </c>
      <c r="I38" s="19" t="s">
        <v>8</v>
      </c>
      <c r="J38" s="19" t="s">
        <v>114</v>
      </c>
      <c r="K38" t="s">
        <v>114</v>
      </c>
      <c r="L38" s="19" t="s">
        <v>154</v>
      </c>
      <c r="M38" s="20" t="s">
        <v>116</v>
      </c>
      <c r="N38" s="20"/>
      <c r="O38" s="20"/>
      <c r="P38" s="20" t="s">
        <v>117</v>
      </c>
    </row>
    <row r="39" spans="1:16" x14ac:dyDescent="0.3">
      <c r="A39" s="19">
        <f t="shared" si="0"/>
        <v>38</v>
      </c>
      <c r="B39" s="20" t="s">
        <v>87</v>
      </c>
      <c r="C39" s="20" t="s">
        <v>93</v>
      </c>
      <c r="D39" s="21" t="str">
        <f>IF($C39="","",IFERROR(VLOOKUP($C39,Map_Register!$A$2:$C$5,3,FALSE()),""))</f>
        <v>Cultural Heritage Area</v>
      </c>
      <c r="E39" s="20" t="s">
        <v>111</v>
      </c>
      <c r="F39" s="22">
        <v>12396</v>
      </c>
      <c r="G39" s="19" t="s">
        <v>112</v>
      </c>
      <c r="H39" s="19" t="s">
        <v>169</v>
      </c>
      <c r="I39" s="19" t="s">
        <v>6</v>
      </c>
      <c r="J39" s="19"/>
      <c r="K39" s="19"/>
      <c r="L39" s="19" t="s">
        <v>133</v>
      </c>
      <c r="M39" s="20"/>
      <c r="N39" s="20"/>
      <c r="O39" s="20"/>
      <c r="P39" s="20" t="s">
        <v>117</v>
      </c>
    </row>
    <row r="40" spans="1:16" x14ac:dyDescent="0.3">
      <c r="A40" s="19">
        <f t="shared" si="0"/>
        <v>39</v>
      </c>
      <c r="B40" s="20" t="s">
        <v>87</v>
      </c>
      <c r="C40" s="20" t="s">
        <v>93</v>
      </c>
      <c r="D40" s="21" t="str">
        <f>IF($C40="","",IFERROR(VLOOKUP($C40,Map_Register!$A$2:$C$5,3,FALSE()),""))</f>
        <v>Cultural Heritage Area</v>
      </c>
      <c r="E40" s="20" t="s">
        <v>111</v>
      </c>
      <c r="F40" s="22">
        <v>12486</v>
      </c>
      <c r="G40" s="19" t="s">
        <v>112</v>
      </c>
      <c r="H40" s="19" t="s">
        <v>170</v>
      </c>
      <c r="I40" s="19" t="s">
        <v>8</v>
      </c>
      <c r="J40" s="19" t="s">
        <v>114</v>
      </c>
      <c r="K40" s="19" t="s">
        <v>114</v>
      </c>
      <c r="L40" s="19" t="s">
        <v>151</v>
      </c>
      <c r="M40" s="20" t="s">
        <v>116</v>
      </c>
      <c r="N40" s="20"/>
      <c r="O40" s="20"/>
      <c r="P40" s="20" t="s">
        <v>117</v>
      </c>
    </row>
    <row r="41" spans="1:16" x14ac:dyDescent="0.3">
      <c r="A41" s="19">
        <f t="shared" si="0"/>
        <v>40</v>
      </c>
      <c r="B41" s="20" t="s">
        <v>87</v>
      </c>
      <c r="C41" s="20" t="s">
        <v>93</v>
      </c>
      <c r="D41" s="21" t="str">
        <f>IF($C41="","",IFERROR(VLOOKUP($C41,Map_Register!$A$2:$C$5,3,FALSE()),""))</f>
        <v>Cultural Heritage Area</v>
      </c>
      <c r="E41" s="20" t="s">
        <v>111</v>
      </c>
      <c r="F41" s="22">
        <v>12573</v>
      </c>
      <c r="G41" s="19" t="s">
        <v>112</v>
      </c>
      <c r="H41" s="19" t="s">
        <v>171</v>
      </c>
      <c r="I41" s="19" t="s">
        <v>8</v>
      </c>
      <c r="J41" s="19" t="s">
        <v>114</v>
      </c>
      <c r="K41" t="s">
        <v>114</v>
      </c>
      <c r="L41" s="19" t="s">
        <v>172</v>
      </c>
      <c r="M41" s="20" t="s">
        <v>116</v>
      </c>
      <c r="N41" s="20"/>
      <c r="O41" s="20"/>
      <c r="P41" s="20" t="s">
        <v>117</v>
      </c>
    </row>
    <row r="42" spans="1:16" x14ac:dyDescent="0.3">
      <c r="A42" s="19">
        <f t="shared" si="0"/>
        <v>41</v>
      </c>
      <c r="B42" s="20" t="s">
        <v>87</v>
      </c>
      <c r="C42" s="20" t="s">
        <v>93</v>
      </c>
      <c r="D42" s="21" t="str">
        <f>IF($C42="","",IFERROR(VLOOKUP($C42,Map_Register!$A$2:$C$5,3,FALSE()),""))</f>
        <v>Cultural Heritage Area</v>
      </c>
      <c r="E42" s="20" t="s">
        <v>111</v>
      </c>
      <c r="F42" s="22">
        <v>12659</v>
      </c>
      <c r="G42" s="19" t="s">
        <v>112</v>
      </c>
      <c r="H42" s="19" t="s">
        <v>173</v>
      </c>
      <c r="I42" s="19" t="s">
        <v>8</v>
      </c>
      <c r="J42" s="19" t="s">
        <v>114</v>
      </c>
      <c r="K42" t="s">
        <v>114</v>
      </c>
      <c r="L42" s="19" t="s">
        <v>174</v>
      </c>
      <c r="M42" s="20" t="s">
        <v>116</v>
      </c>
      <c r="N42" s="20"/>
      <c r="O42" s="20"/>
      <c r="P42" s="20" t="s">
        <v>117</v>
      </c>
    </row>
    <row r="43" spans="1:16" x14ac:dyDescent="0.3">
      <c r="A43" s="19">
        <f t="shared" si="0"/>
        <v>42</v>
      </c>
      <c r="B43" s="20" t="s">
        <v>87</v>
      </c>
      <c r="C43" s="20" t="s">
        <v>93</v>
      </c>
      <c r="D43" s="21" t="str">
        <f>IF($C43="","",IFERROR(VLOOKUP($C43,Map_Register!$A$2:$C$5,3,FALSE()),""))</f>
        <v>Cultural Heritage Area</v>
      </c>
      <c r="E43" s="20" t="s">
        <v>111</v>
      </c>
      <c r="F43" s="22">
        <v>12660</v>
      </c>
      <c r="G43" s="19" t="s">
        <v>112</v>
      </c>
      <c r="H43" s="19" t="s">
        <v>175</v>
      </c>
      <c r="I43" s="19" t="s">
        <v>8</v>
      </c>
      <c r="J43" s="19" t="s">
        <v>114</v>
      </c>
      <c r="K43" t="s">
        <v>114</v>
      </c>
      <c r="L43" s="19" t="s">
        <v>165</v>
      </c>
      <c r="M43" s="20" t="s">
        <v>116</v>
      </c>
      <c r="N43" s="20"/>
      <c r="O43" s="20"/>
      <c r="P43" s="20" t="s">
        <v>117</v>
      </c>
    </row>
    <row r="44" spans="1:16" x14ac:dyDescent="0.3">
      <c r="A44" s="19">
        <f t="shared" si="0"/>
        <v>43</v>
      </c>
      <c r="B44" s="20" t="s">
        <v>87</v>
      </c>
      <c r="C44" s="20" t="s">
        <v>93</v>
      </c>
      <c r="D44" s="21" t="str">
        <f>IF($C44="","",IFERROR(VLOOKUP($C44,Map_Register!$A$2:$C$5,3,FALSE()),""))</f>
        <v>Cultural Heritage Area</v>
      </c>
      <c r="E44" s="20" t="s">
        <v>111</v>
      </c>
      <c r="F44" s="22">
        <v>12661</v>
      </c>
      <c r="G44" s="19" t="s">
        <v>112</v>
      </c>
      <c r="H44" s="19" t="s">
        <v>176</v>
      </c>
      <c r="I44" s="19" t="s">
        <v>8</v>
      </c>
      <c r="J44" s="19" t="s">
        <v>114</v>
      </c>
      <c r="K44" s="19" t="s">
        <v>114</v>
      </c>
      <c r="L44" s="19" t="s">
        <v>135</v>
      </c>
      <c r="M44" s="20" t="s">
        <v>116</v>
      </c>
      <c r="N44" s="20"/>
      <c r="O44" s="20"/>
      <c r="P44" s="20" t="s">
        <v>117</v>
      </c>
    </row>
    <row r="45" spans="1:16" x14ac:dyDescent="0.3">
      <c r="A45" s="19">
        <f t="shared" si="0"/>
        <v>44</v>
      </c>
      <c r="B45" s="20" t="s">
        <v>87</v>
      </c>
      <c r="C45" s="20" t="s">
        <v>93</v>
      </c>
      <c r="D45" s="21" t="str">
        <f>IF($C45="","",IFERROR(VLOOKUP($C45,Map_Register!$A$2:$C$5,3,FALSE()),""))</f>
        <v>Cultural Heritage Area</v>
      </c>
      <c r="E45" s="20" t="s">
        <v>111</v>
      </c>
      <c r="F45" s="22">
        <v>12662</v>
      </c>
      <c r="G45" s="19" t="s">
        <v>112</v>
      </c>
      <c r="H45" s="19" t="s">
        <v>177</v>
      </c>
      <c r="I45" s="19" t="s">
        <v>8</v>
      </c>
      <c r="J45" s="19" t="s">
        <v>114</v>
      </c>
      <c r="K45" s="19" t="s">
        <v>114</v>
      </c>
      <c r="L45" s="19" t="s">
        <v>151</v>
      </c>
      <c r="M45" s="20" t="s">
        <v>116</v>
      </c>
      <c r="N45" s="20"/>
      <c r="O45" s="20"/>
      <c r="P45" s="20" t="s">
        <v>117</v>
      </c>
    </row>
    <row r="46" spans="1:16" x14ac:dyDescent="0.3">
      <c r="A46" s="19">
        <f t="shared" si="0"/>
        <v>45</v>
      </c>
      <c r="B46" s="20" t="s">
        <v>87</v>
      </c>
      <c r="C46" s="20" t="s">
        <v>93</v>
      </c>
      <c r="D46" s="21" t="str">
        <f>IF($C46="","",IFERROR(VLOOKUP($C46,Map_Register!$A$2:$C$5,3,FALSE()),""))</f>
        <v>Cultural Heritage Area</v>
      </c>
      <c r="E46" s="20" t="s">
        <v>111</v>
      </c>
      <c r="F46" s="22">
        <v>12663</v>
      </c>
      <c r="G46" s="19" t="s">
        <v>112</v>
      </c>
      <c r="H46" s="19" t="s">
        <v>178</v>
      </c>
      <c r="I46" s="19" t="s">
        <v>8</v>
      </c>
      <c r="J46" s="19" t="s">
        <v>114</v>
      </c>
      <c r="K46" s="19" t="s">
        <v>114</v>
      </c>
      <c r="L46" s="19" t="s">
        <v>151</v>
      </c>
      <c r="M46" s="20" t="s">
        <v>116</v>
      </c>
      <c r="N46" s="20"/>
      <c r="O46" s="20"/>
      <c r="P46" s="20" t="s">
        <v>117</v>
      </c>
    </row>
    <row r="47" spans="1:16" x14ac:dyDescent="0.3">
      <c r="A47" s="19">
        <f t="shared" si="0"/>
        <v>46</v>
      </c>
      <c r="B47" s="20" t="s">
        <v>87</v>
      </c>
      <c r="C47" s="20" t="s">
        <v>93</v>
      </c>
      <c r="D47" s="21" t="str">
        <f>IF($C47="","",IFERROR(VLOOKUP($C47,Map_Register!$A$2:$C$5,3,FALSE()),""))</f>
        <v>Cultural Heritage Area</v>
      </c>
      <c r="E47" s="20" t="s">
        <v>111</v>
      </c>
      <c r="F47" s="22">
        <v>12664</v>
      </c>
      <c r="G47" s="19" t="s">
        <v>112</v>
      </c>
      <c r="H47" s="19" t="s">
        <v>179</v>
      </c>
      <c r="I47" s="19" t="s">
        <v>8</v>
      </c>
      <c r="J47" s="19" t="s">
        <v>114</v>
      </c>
      <c r="K47" s="19" t="s">
        <v>114</v>
      </c>
      <c r="L47" s="19" t="s">
        <v>180</v>
      </c>
      <c r="M47" s="20" t="s">
        <v>116</v>
      </c>
      <c r="N47" s="20"/>
      <c r="O47" s="20"/>
      <c r="P47" s="20" t="s">
        <v>117</v>
      </c>
    </row>
    <row r="48" spans="1:16" x14ac:dyDescent="0.3">
      <c r="A48" s="19">
        <f t="shared" si="0"/>
        <v>47</v>
      </c>
      <c r="B48" s="20" t="s">
        <v>87</v>
      </c>
      <c r="C48" s="20" t="s">
        <v>93</v>
      </c>
      <c r="D48" s="21" t="str">
        <f>IF($C48="","",IFERROR(VLOOKUP($C48,Map_Register!$A$2:$C$5,3,FALSE()),""))</f>
        <v>Cultural Heritage Area</v>
      </c>
      <c r="E48" s="20" t="s">
        <v>111</v>
      </c>
      <c r="F48" s="22">
        <v>12665</v>
      </c>
      <c r="G48" s="19" t="s">
        <v>112</v>
      </c>
      <c r="H48" s="19" t="s">
        <v>181</v>
      </c>
      <c r="I48" s="19" t="s">
        <v>8</v>
      </c>
      <c r="J48" s="19" t="s">
        <v>114</v>
      </c>
      <c r="K48" s="19" t="s">
        <v>114</v>
      </c>
      <c r="L48" s="19" t="s">
        <v>151</v>
      </c>
      <c r="M48" s="20" t="s">
        <v>116</v>
      </c>
      <c r="N48" s="20"/>
      <c r="O48" s="20"/>
      <c r="P48" s="20" t="s">
        <v>117</v>
      </c>
    </row>
    <row r="49" spans="1:16" x14ac:dyDescent="0.3">
      <c r="A49" s="19">
        <f t="shared" si="0"/>
        <v>48</v>
      </c>
      <c r="B49" s="20" t="s">
        <v>87</v>
      </c>
      <c r="C49" s="20" t="s">
        <v>93</v>
      </c>
      <c r="D49" s="21" t="str">
        <f>IF($C49="","",IFERROR(VLOOKUP($C49,Map_Register!$A$2:$C$5,3,FALSE()),""))</f>
        <v>Cultural Heritage Area</v>
      </c>
      <c r="E49" s="20" t="s">
        <v>111</v>
      </c>
      <c r="F49" s="22">
        <v>14214</v>
      </c>
      <c r="G49" s="19" t="s">
        <v>112</v>
      </c>
      <c r="H49" s="19" t="s">
        <v>182</v>
      </c>
      <c r="I49" s="19" t="s">
        <v>8</v>
      </c>
      <c r="J49" s="19" t="s">
        <v>114</v>
      </c>
      <c r="K49" s="19" t="s">
        <v>114</v>
      </c>
      <c r="L49" s="19" t="s">
        <v>151</v>
      </c>
      <c r="M49" s="20" t="s">
        <v>116</v>
      </c>
      <c r="N49" s="20"/>
      <c r="O49" s="20"/>
      <c r="P49" s="20" t="s">
        <v>117</v>
      </c>
    </row>
    <row r="50" spans="1:16" x14ac:dyDescent="0.3">
      <c r="A50" s="19">
        <f t="shared" si="0"/>
        <v>49</v>
      </c>
      <c r="B50" s="20" t="s">
        <v>87</v>
      </c>
      <c r="C50" s="20" t="s">
        <v>93</v>
      </c>
      <c r="D50" s="21" t="str">
        <f>IF($C50="","",IFERROR(VLOOKUP($C50,Map_Register!$A$2:$C$5,3,FALSE()),""))</f>
        <v>Cultural Heritage Area</v>
      </c>
      <c r="E50" s="20" t="s">
        <v>111</v>
      </c>
      <c r="F50" s="22">
        <v>14795</v>
      </c>
      <c r="G50" s="19" t="s">
        <v>112</v>
      </c>
      <c r="H50" s="19" t="s">
        <v>183</v>
      </c>
      <c r="I50" s="19" t="s">
        <v>8</v>
      </c>
      <c r="J50" s="19" t="s">
        <v>114</v>
      </c>
      <c r="K50" s="19" t="s">
        <v>114</v>
      </c>
      <c r="L50" s="19" t="s">
        <v>151</v>
      </c>
      <c r="M50" s="20" t="s">
        <v>116</v>
      </c>
      <c r="N50" s="20"/>
      <c r="O50" s="20"/>
      <c r="P50" s="20" t="s">
        <v>117</v>
      </c>
    </row>
    <row r="51" spans="1:16" x14ac:dyDescent="0.3">
      <c r="A51" s="19">
        <f t="shared" si="0"/>
        <v>50</v>
      </c>
      <c r="B51" s="20" t="s">
        <v>87</v>
      </c>
      <c r="C51" s="20" t="s">
        <v>93</v>
      </c>
      <c r="D51" s="21" t="str">
        <f>IF($C51="","",IFERROR(VLOOKUP($C51,Map_Register!$A$2:$C$5,3,FALSE()),""))</f>
        <v>Cultural Heritage Area</v>
      </c>
      <c r="E51" s="20" t="s">
        <v>111</v>
      </c>
      <c r="F51" s="22">
        <v>14939</v>
      </c>
      <c r="G51" s="19" t="s">
        <v>112</v>
      </c>
      <c r="H51" s="19" t="s">
        <v>184</v>
      </c>
      <c r="I51" s="19" t="s">
        <v>8</v>
      </c>
      <c r="J51" s="19" t="s">
        <v>114</v>
      </c>
      <c r="K51" s="19" t="s">
        <v>114</v>
      </c>
      <c r="L51" s="19" t="s">
        <v>151</v>
      </c>
      <c r="M51" s="20" t="s">
        <v>116</v>
      </c>
      <c r="N51" s="20"/>
      <c r="O51" s="20"/>
      <c r="P51" s="20" t="s">
        <v>117</v>
      </c>
    </row>
    <row r="52" spans="1:16" x14ac:dyDescent="0.3">
      <c r="A52" s="19">
        <f t="shared" si="0"/>
        <v>51</v>
      </c>
      <c r="B52" s="20" t="s">
        <v>87</v>
      </c>
      <c r="C52" s="20" t="s">
        <v>93</v>
      </c>
      <c r="D52" s="21" t="str">
        <f>IF($C52="","",IFERROR(VLOOKUP($C52,Map_Register!$A$2:$C$5,3,FALSE()),""))</f>
        <v>Cultural Heritage Area</v>
      </c>
      <c r="E52" s="20" t="s">
        <v>111</v>
      </c>
      <c r="F52" s="22">
        <v>15052</v>
      </c>
      <c r="G52" s="19" t="s">
        <v>112</v>
      </c>
      <c r="H52" s="19" t="s">
        <v>185</v>
      </c>
      <c r="I52" s="19" t="s">
        <v>8</v>
      </c>
      <c r="J52" s="19" t="s">
        <v>114</v>
      </c>
      <c r="K52" s="19" t="s">
        <v>114</v>
      </c>
      <c r="L52" s="19" t="s">
        <v>165</v>
      </c>
      <c r="M52" s="20" t="s">
        <v>116</v>
      </c>
      <c r="N52" s="20"/>
      <c r="O52" s="20"/>
      <c r="P52" s="20" t="s">
        <v>117</v>
      </c>
    </row>
    <row r="53" spans="1:16" x14ac:dyDescent="0.3">
      <c r="A53" s="19">
        <f t="shared" si="0"/>
        <v>52</v>
      </c>
      <c r="B53" s="20" t="s">
        <v>87</v>
      </c>
      <c r="C53" s="20" t="s">
        <v>93</v>
      </c>
      <c r="D53" s="21" t="str">
        <f>IF($C53="","",IFERROR(VLOOKUP($C53,Map_Register!$A$2:$C$5,3,FALSE()),""))</f>
        <v>Cultural Heritage Area</v>
      </c>
      <c r="E53" s="20" t="s">
        <v>111</v>
      </c>
      <c r="F53" s="22">
        <v>15059</v>
      </c>
      <c r="G53" s="19" t="s">
        <v>119</v>
      </c>
      <c r="H53" s="19" t="s">
        <v>186</v>
      </c>
      <c r="I53" s="19" t="s">
        <v>6</v>
      </c>
      <c r="J53" s="19"/>
      <c r="K53" s="19"/>
      <c r="L53" s="19" t="s">
        <v>139</v>
      </c>
      <c r="M53" s="20"/>
      <c r="N53" s="20"/>
      <c r="O53" s="20"/>
      <c r="P53" s="20" t="s">
        <v>117</v>
      </c>
    </row>
    <row r="54" spans="1:16" x14ac:dyDescent="0.3">
      <c r="A54" s="19">
        <f t="shared" si="0"/>
        <v>53</v>
      </c>
      <c r="B54" s="20" t="s">
        <v>87</v>
      </c>
      <c r="C54" s="20" t="s">
        <v>93</v>
      </c>
      <c r="D54" s="21" t="str">
        <f>IF($C54="","",IFERROR(VLOOKUP($C54,Map_Register!$A$2:$C$5,3,FALSE()),""))</f>
        <v>Cultural Heritage Area</v>
      </c>
      <c r="E54" s="20" t="s">
        <v>111</v>
      </c>
      <c r="F54" s="22">
        <v>15074</v>
      </c>
      <c r="G54" s="19" t="s">
        <v>112</v>
      </c>
      <c r="H54" s="19" t="s">
        <v>187</v>
      </c>
      <c r="I54" s="19" t="s">
        <v>8</v>
      </c>
      <c r="J54" s="19" t="s">
        <v>114</v>
      </c>
      <c r="K54" s="19" t="s">
        <v>114</v>
      </c>
      <c r="L54" s="19" t="s">
        <v>151</v>
      </c>
      <c r="M54" s="20" t="s">
        <v>116</v>
      </c>
      <c r="N54" s="20"/>
      <c r="O54" s="20"/>
      <c r="P54" s="20" t="s">
        <v>117</v>
      </c>
    </row>
    <row r="55" spans="1:16" x14ac:dyDescent="0.3">
      <c r="A55" s="19">
        <f t="shared" si="0"/>
        <v>54</v>
      </c>
      <c r="B55" s="20" t="s">
        <v>87</v>
      </c>
      <c r="C55" s="20" t="s">
        <v>93</v>
      </c>
      <c r="D55" s="21" t="str">
        <f>IF($C55="","",IFERROR(VLOOKUP($C55,Map_Register!$A$2:$C$5,3,FALSE()),""))</f>
        <v>Cultural Heritage Area</v>
      </c>
      <c r="E55" s="20" t="s">
        <v>111</v>
      </c>
      <c r="F55" s="22">
        <v>15571</v>
      </c>
      <c r="G55" s="19" t="s">
        <v>112</v>
      </c>
      <c r="H55" s="19" t="s">
        <v>188</v>
      </c>
      <c r="I55" s="19" t="s">
        <v>8</v>
      </c>
      <c r="J55" s="19" t="s">
        <v>114</v>
      </c>
      <c r="K55" s="19" t="s">
        <v>114</v>
      </c>
      <c r="L55" s="19" t="s">
        <v>151</v>
      </c>
      <c r="M55" s="20" t="s">
        <v>116</v>
      </c>
      <c r="N55" s="20"/>
      <c r="O55" s="20"/>
      <c r="P55" s="20" t="s">
        <v>117</v>
      </c>
    </row>
    <row r="56" spans="1:16" x14ac:dyDescent="0.3">
      <c r="A56" s="19">
        <f t="shared" si="0"/>
        <v>55</v>
      </c>
      <c r="B56" s="20" t="s">
        <v>87</v>
      </c>
      <c r="C56" s="20" t="s">
        <v>93</v>
      </c>
      <c r="D56" s="21" t="str">
        <f>IF($C56="","",IFERROR(VLOOKUP($C56,Map_Register!$A$2:$C$5,3,FALSE()),""))</f>
        <v>Cultural Heritage Area</v>
      </c>
      <c r="E56" s="20" t="s">
        <v>111</v>
      </c>
      <c r="F56" s="22">
        <v>15972</v>
      </c>
      <c r="G56" s="19" t="s">
        <v>112</v>
      </c>
      <c r="H56" s="19" t="s">
        <v>189</v>
      </c>
      <c r="I56" s="19" t="s">
        <v>8</v>
      </c>
      <c r="J56" s="19" t="s">
        <v>114</v>
      </c>
      <c r="K56" s="19" t="s">
        <v>114</v>
      </c>
      <c r="L56" s="19" t="s">
        <v>151</v>
      </c>
      <c r="M56" s="20" t="s">
        <v>116</v>
      </c>
      <c r="N56" s="20"/>
      <c r="O56" s="20"/>
      <c r="P56" s="20" t="s">
        <v>117</v>
      </c>
    </row>
    <row r="57" spans="1:16" x14ac:dyDescent="0.3">
      <c r="A57" s="19">
        <f t="shared" si="0"/>
        <v>56</v>
      </c>
      <c r="B57" s="20" t="s">
        <v>87</v>
      </c>
      <c r="C57" s="20" t="s">
        <v>93</v>
      </c>
      <c r="D57" s="21" t="str">
        <f>IF($C57="","",IFERROR(VLOOKUP($C57,Map_Register!$A$2:$C$5,3,FALSE()),""))</f>
        <v>Cultural Heritage Area</v>
      </c>
      <c r="E57" s="20" t="s">
        <v>111</v>
      </c>
      <c r="F57" s="22">
        <v>16155</v>
      </c>
      <c r="G57" s="19" t="s">
        <v>112</v>
      </c>
      <c r="H57" s="19" t="s">
        <v>190</v>
      </c>
      <c r="I57" s="19" t="s">
        <v>8</v>
      </c>
      <c r="J57" s="19" t="s">
        <v>114</v>
      </c>
      <c r="K57" s="19" t="s">
        <v>114</v>
      </c>
      <c r="L57" s="19" t="s">
        <v>151</v>
      </c>
      <c r="M57" s="20" t="s">
        <v>116</v>
      </c>
      <c r="N57" s="20"/>
      <c r="O57" s="20"/>
      <c r="P57" s="20" t="s">
        <v>117</v>
      </c>
    </row>
    <row r="58" spans="1:16" x14ac:dyDescent="0.3">
      <c r="A58" s="19">
        <f t="shared" si="0"/>
        <v>57</v>
      </c>
      <c r="B58" s="20" t="s">
        <v>87</v>
      </c>
      <c r="C58" s="20" t="s">
        <v>93</v>
      </c>
      <c r="D58" s="21" t="str">
        <f>IF($C58="","",IFERROR(VLOOKUP($C58,Map_Register!$A$2:$C$5,3,FALSE()),""))</f>
        <v>Cultural Heritage Area</v>
      </c>
      <c r="E58" s="20" t="s">
        <v>111</v>
      </c>
      <c r="F58" s="22">
        <v>16162</v>
      </c>
      <c r="G58" s="19" t="s">
        <v>112</v>
      </c>
      <c r="H58" s="19" t="s">
        <v>191</v>
      </c>
      <c r="I58" s="19" t="s">
        <v>8</v>
      </c>
      <c r="J58" s="19" t="s">
        <v>114</v>
      </c>
      <c r="K58" s="19" t="s">
        <v>114</v>
      </c>
      <c r="L58" s="19" t="s">
        <v>151</v>
      </c>
      <c r="M58" s="20" t="s">
        <v>116</v>
      </c>
      <c r="N58" s="20"/>
      <c r="O58" s="20"/>
      <c r="P58" s="20" t="s">
        <v>117</v>
      </c>
    </row>
    <row r="59" spans="1:16" x14ac:dyDescent="0.3">
      <c r="A59" s="19">
        <f t="shared" si="0"/>
        <v>58</v>
      </c>
      <c r="B59" s="20" t="s">
        <v>87</v>
      </c>
      <c r="C59" s="20" t="s">
        <v>93</v>
      </c>
      <c r="D59" s="21" t="str">
        <f>IF($C59="","",IFERROR(VLOOKUP($C59,Map_Register!$A$2:$C$5,3,FALSE()),""))</f>
        <v>Cultural Heritage Area</v>
      </c>
      <c r="E59" s="20" t="s">
        <v>111</v>
      </c>
      <c r="F59" s="22">
        <v>16244</v>
      </c>
      <c r="G59" s="19" t="s">
        <v>112</v>
      </c>
      <c r="H59" s="19" t="s">
        <v>192</v>
      </c>
      <c r="I59" s="19" t="s">
        <v>8</v>
      </c>
      <c r="J59" s="19" t="s">
        <v>114</v>
      </c>
      <c r="K59" s="19" t="s">
        <v>114</v>
      </c>
      <c r="L59" s="19" t="s">
        <v>135</v>
      </c>
      <c r="M59" s="20" t="s">
        <v>116</v>
      </c>
      <c r="N59" s="20"/>
      <c r="O59" s="20"/>
      <c r="P59" s="20" t="s">
        <v>117</v>
      </c>
    </row>
    <row r="60" spans="1:16" x14ac:dyDescent="0.3">
      <c r="A60" s="19">
        <f t="shared" si="0"/>
        <v>59</v>
      </c>
      <c r="B60" s="20" t="s">
        <v>87</v>
      </c>
      <c r="C60" s="20" t="s">
        <v>93</v>
      </c>
      <c r="D60" s="21" t="str">
        <f>IF($C60="","",IFERROR(VLOOKUP($C60,Map_Register!$A$2:$C$5,3,FALSE()),""))</f>
        <v>Cultural Heritage Area</v>
      </c>
      <c r="E60" s="20" t="s">
        <v>111</v>
      </c>
      <c r="F60" s="22">
        <v>16498</v>
      </c>
      <c r="G60" s="19" t="s">
        <v>119</v>
      </c>
      <c r="H60" s="19" t="s">
        <v>193</v>
      </c>
      <c r="I60" s="19" t="s">
        <v>6</v>
      </c>
      <c r="J60" s="19"/>
      <c r="K60" s="19"/>
      <c r="L60" s="19" t="s">
        <v>139</v>
      </c>
      <c r="M60" s="20"/>
      <c r="N60" s="20"/>
      <c r="O60" s="20"/>
      <c r="P60" s="20" t="s">
        <v>117</v>
      </c>
    </row>
    <row r="61" spans="1:16" x14ac:dyDescent="0.3">
      <c r="A61" s="19">
        <f t="shared" si="0"/>
        <v>60</v>
      </c>
      <c r="B61" s="20" t="s">
        <v>87</v>
      </c>
      <c r="C61" s="20" t="s">
        <v>93</v>
      </c>
      <c r="D61" s="21" t="str">
        <f>IF($C61="","",IFERROR(VLOOKUP($C61,Map_Register!$A$2:$C$5,3,FALSE()),""))</f>
        <v>Cultural Heritage Area</v>
      </c>
      <c r="E61" s="20" t="s">
        <v>111</v>
      </c>
      <c r="F61" s="22">
        <v>18644</v>
      </c>
      <c r="G61" s="19" t="s">
        <v>112</v>
      </c>
      <c r="H61" s="19" t="s">
        <v>194</v>
      </c>
      <c r="I61" s="19" t="s">
        <v>8</v>
      </c>
      <c r="J61" s="19" t="s">
        <v>114</v>
      </c>
      <c r="K61" s="19" t="s">
        <v>114</v>
      </c>
      <c r="L61" s="19" t="s">
        <v>151</v>
      </c>
      <c r="M61" s="20" t="s">
        <v>116</v>
      </c>
      <c r="N61" s="20"/>
      <c r="O61" s="20"/>
      <c r="P61" s="20" t="s">
        <v>117</v>
      </c>
    </row>
    <row r="62" spans="1:16" x14ac:dyDescent="0.3">
      <c r="A62" s="19">
        <f t="shared" si="0"/>
        <v>61</v>
      </c>
      <c r="B62" s="20" t="s">
        <v>87</v>
      </c>
      <c r="C62" s="20" t="s">
        <v>93</v>
      </c>
      <c r="D62" s="21" t="str">
        <f>IF($C62="","",IFERROR(VLOOKUP($C62,Map_Register!$A$2:$C$5,3,FALSE()),""))</f>
        <v>Cultural Heritage Area</v>
      </c>
      <c r="E62" s="20" t="s">
        <v>111</v>
      </c>
      <c r="F62" s="22">
        <v>20951</v>
      </c>
      <c r="G62" s="19" t="s">
        <v>112</v>
      </c>
      <c r="H62" s="19" t="s">
        <v>195</v>
      </c>
      <c r="I62" s="19" t="s">
        <v>6</v>
      </c>
      <c r="J62" s="19"/>
      <c r="K62" s="19"/>
      <c r="L62" s="19" t="s">
        <v>196</v>
      </c>
      <c r="M62" s="20"/>
      <c r="N62" s="20"/>
      <c r="O62" s="20"/>
      <c r="P62" s="20" t="s">
        <v>117</v>
      </c>
    </row>
    <row r="63" spans="1:16" x14ac:dyDescent="0.3">
      <c r="A63" s="19">
        <f t="shared" si="0"/>
        <v>62</v>
      </c>
      <c r="B63" s="20" t="s">
        <v>87</v>
      </c>
      <c r="C63" s="20" t="s">
        <v>93</v>
      </c>
      <c r="D63" s="21" t="str">
        <f>IF($C63="","",IFERROR(VLOOKUP($C63,Map_Register!$A$2:$C$5,3,FALSE()),""))</f>
        <v>Cultural Heritage Area</v>
      </c>
      <c r="E63" s="20" t="s">
        <v>111</v>
      </c>
      <c r="F63" s="22">
        <v>21157</v>
      </c>
      <c r="G63" s="19" t="s">
        <v>112</v>
      </c>
      <c r="H63" s="19" t="s">
        <v>197</v>
      </c>
      <c r="I63" s="19" t="s">
        <v>8</v>
      </c>
      <c r="J63" s="19" t="s">
        <v>114</v>
      </c>
      <c r="K63" t="s">
        <v>114</v>
      </c>
      <c r="L63" s="19" t="s">
        <v>154</v>
      </c>
      <c r="M63" s="20" t="s">
        <v>116</v>
      </c>
      <c r="N63" s="20"/>
      <c r="O63" s="20"/>
      <c r="P63" s="20" t="s">
        <v>117</v>
      </c>
    </row>
    <row r="64" spans="1:16" x14ac:dyDescent="0.3">
      <c r="A64" s="19">
        <f t="shared" si="0"/>
        <v>63</v>
      </c>
      <c r="B64" s="20" t="s">
        <v>87</v>
      </c>
      <c r="C64" s="20" t="s">
        <v>93</v>
      </c>
      <c r="D64" s="21" t="str">
        <f>IF($C64="","",IFERROR(VLOOKUP($C64,Map_Register!$A$2:$C$5,3,FALSE()),""))</f>
        <v>Cultural Heritage Area</v>
      </c>
      <c r="E64" s="20" t="s">
        <v>111</v>
      </c>
      <c r="F64" s="22">
        <v>21158</v>
      </c>
      <c r="G64" s="19" t="s">
        <v>112</v>
      </c>
      <c r="H64" s="19" t="s">
        <v>198</v>
      </c>
      <c r="I64" s="19" t="s">
        <v>8</v>
      </c>
      <c r="J64" s="19" t="s">
        <v>114</v>
      </c>
      <c r="K64" t="s">
        <v>114</v>
      </c>
      <c r="L64" s="19" t="s">
        <v>154</v>
      </c>
      <c r="M64" s="20" t="s">
        <v>116</v>
      </c>
      <c r="N64" s="20"/>
      <c r="O64" s="20"/>
      <c r="P64" s="20" t="s">
        <v>117</v>
      </c>
    </row>
    <row r="65" spans="1:16" x14ac:dyDescent="0.3">
      <c r="A65" s="19">
        <f t="shared" si="0"/>
        <v>64</v>
      </c>
      <c r="B65" s="20" t="s">
        <v>87</v>
      </c>
      <c r="C65" s="20" t="s">
        <v>93</v>
      </c>
      <c r="D65" s="21" t="str">
        <f>IF($C65="","",IFERROR(VLOOKUP($C65,Map_Register!$A$2:$C$5,3,FALSE()),""))</f>
        <v>Cultural Heritage Area</v>
      </c>
      <c r="E65" s="20" t="s">
        <v>111</v>
      </c>
      <c r="F65" s="22">
        <v>21159</v>
      </c>
      <c r="G65" s="19" t="s">
        <v>112</v>
      </c>
      <c r="H65" s="19" t="s">
        <v>199</v>
      </c>
      <c r="I65" s="19" t="s">
        <v>8</v>
      </c>
      <c r="J65" s="19" t="s">
        <v>114</v>
      </c>
      <c r="K65" t="s">
        <v>114</v>
      </c>
      <c r="L65" s="19" t="s">
        <v>154</v>
      </c>
      <c r="M65" s="20" t="s">
        <v>116</v>
      </c>
      <c r="N65" s="20"/>
      <c r="O65" s="20"/>
      <c r="P65" s="20" t="s">
        <v>117</v>
      </c>
    </row>
    <row r="66" spans="1:16" x14ac:dyDescent="0.3">
      <c r="A66" s="19">
        <f t="shared" ref="A66:A129" si="1">IF($B66="","",ROW()-1)</f>
        <v>65</v>
      </c>
      <c r="B66" s="20" t="s">
        <v>87</v>
      </c>
      <c r="C66" s="20" t="s">
        <v>93</v>
      </c>
      <c r="D66" s="21" t="str">
        <f>IF($C66="","",IFERROR(VLOOKUP($C66,Map_Register!$A$2:$C$5,3,FALSE()),""))</f>
        <v>Cultural Heritage Area</v>
      </c>
      <c r="E66" s="20" t="s">
        <v>111</v>
      </c>
      <c r="F66" s="22">
        <v>21160</v>
      </c>
      <c r="G66" s="19" t="s">
        <v>112</v>
      </c>
      <c r="H66" s="19" t="s">
        <v>200</v>
      </c>
      <c r="I66" s="19" t="s">
        <v>8</v>
      </c>
      <c r="J66" s="19" t="s">
        <v>114</v>
      </c>
      <c r="K66" s="19" t="s">
        <v>114</v>
      </c>
      <c r="L66" s="19" t="s">
        <v>151</v>
      </c>
      <c r="M66" s="20" t="s">
        <v>116</v>
      </c>
      <c r="N66" s="20"/>
      <c r="O66" s="20"/>
      <c r="P66" s="20" t="s">
        <v>117</v>
      </c>
    </row>
    <row r="67" spans="1:16" x14ac:dyDescent="0.3">
      <c r="A67" s="19">
        <f t="shared" si="1"/>
        <v>66</v>
      </c>
      <c r="B67" s="20" t="s">
        <v>87</v>
      </c>
      <c r="C67" s="20" t="s">
        <v>93</v>
      </c>
      <c r="D67" s="21" t="str">
        <f>IF($C67="","",IFERROR(VLOOKUP($C67,Map_Register!$A$2:$C$5,3,FALSE()),""))</f>
        <v>Cultural Heritage Area</v>
      </c>
      <c r="E67" s="20" t="s">
        <v>111</v>
      </c>
      <c r="F67" s="22">
        <v>21580</v>
      </c>
      <c r="G67" s="19" t="s">
        <v>112</v>
      </c>
      <c r="H67" s="19" t="s">
        <v>201</v>
      </c>
      <c r="I67" s="19" t="s">
        <v>8</v>
      </c>
      <c r="J67" s="19" t="s">
        <v>114</v>
      </c>
      <c r="K67" s="19" t="s">
        <v>114</v>
      </c>
      <c r="L67" s="19" t="s">
        <v>151</v>
      </c>
      <c r="M67" s="20" t="s">
        <v>116</v>
      </c>
      <c r="N67" s="20"/>
      <c r="O67" s="20"/>
      <c r="P67" s="20" t="s">
        <v>117</v>
      </c>
    </row>
    <row r="68" spans="1:16" x14ac:dyDescent="0.3">
      <c r="A68" s="19">
        <f t="shared" si="1"/>
        <v>67</v>
      </c>
      <c r="B68" s="20" t="s">
        <v>87</v>
      </c>
      <c r="C68" s="20" t="s">
        <v>93</v>
      </c>
      <c r="D68" s="21" t="str">
        <f>IF($C68="","",IFERROR(VLOOKUP($C68,Map_Register!$A$2:$C$5,3,FALSE()),""))</f>
        <v>Cultural Heritage Area</v>
      </c>
      <c r="E68" s="20" t="s">
        <v>111</v>
      </c>
      <c r="F68" s="22">
        <v>21581</v>
      </c>
      <c r="G68" s="19" t="s">
        <v>112</v>
      </c>
      <c r="H68" s="19" t="s">
        <v>202</v>
      </c>
      <c r="I68" s="19" t="s">
        <v>8</v>
      </c>
      <c r="J68" s="19" t="s">
        <v>114</v>
      </c>
      <c r="K68" s="19" t="s">
        <v>114</v>
      </c>
      <c r="L68" s="19" t="s">
        <v>151</v>
      </c>
      <c r="M68" s="20" t="s">
        <v>116</v>
      </c>
      <c r="N68" s="20"/>
      <c r="O68" s="20"/>
      <c r="P68" s="20" t="s">
        <v>117</v>
      </c>
    </row>
    <row r="69" spans="1:16" x14ac:dyDescent="0.3">
      <c r="A69" s="19">
        <f t="shared" si="1"/>
        <v>68</v>
      </c>
      <c r="B69" s="20" t="s">
        <v>87</v>
      </c>
      <c r="C69" s="20" t="s">
        <v>93</v>
      </c>
      <c r="D69" s="21" t="str">
        <f>IF($C69="","",IFERROR(VLOOKUP($C69,Map_Register!$A$2:$C$5,3,FALSE()),""))</f>
        <v>Cultural Heritage Area</v>
      </c>
      <c r="E69" s="20" t="s">
        <v>111</v>
      </c>
      <c r="F69" s="22">
        <v>21582</v>
      </c>
      <c r="G69" s="19" t="s">
        <v>112</v>
      </c>
      <c r="H69" s="19" t="s">
        <v>203</v>
      </c>
      <c r="I69" s="19" t="s">
        <v>8</v>
      </c>
      <c r="J69" s="19" t="s">
        <v>114</v>
      </c>
      <c r="K69" s="19" t="s">
        <v>114</v>
      </c>
      <c r="L69" s="19" t="s">
        <v>204</v>
      </c>
      <c r="M69" s="20" t="s">
        <v>116</v>
      </c>
      <c r="N69" s="20"/>
      <c r="O69" s="20"/>
      <c r="P69" s="20" t="s">
        <v>117</v>
      </c>
    </row>
    <row r="70" spans="1:16" x14ac:dyDescent="0.3">
      <c r="A70" s="19">
        <f t="shared" si="1"/>
        <v>69</v>
      </c>
      <c r="B70" s="20" t="s">
        <v>87</v>
      </c>
      <c r="C70" s="20" t="s">
        <v>93</v>
      </c>
      <c r="D70" s="21" t="str">
        <f>IF($C70="","",IFERROR(VLOOKUP($C70,Map_Register!$A$2:$C$5,3,FALSE()),""))</f>
        <v>Cultural Heritage Area</v>
      </c>
      <c r="E70" s="20" t="s">
        <v>111</v>
      </c>
      <c r="F70" s="22">
        <v>23852</v>
      </c>
      <c r="G70" s="19" t="s">
        <v>112</v>
      </c>
      <c r="H70" s="19" t="s">
        <v>205</v>
      </c>
      <c r="I70" s="19" t="s">
        <v>8</v>
      </c>
      <c r="J70" s="19" t="s">
        <v>114</v>
      </c>
      <c r="K70" s="19" t="s">
        <v>114</v>
      </c>
      <c r="L70" s="19" t="s">
        <v>135</v>
      </c>
      <c r="M70" s="20" t="s">
        <v>116</v>
      </c>
      <c r="N70" s="20"/>
      <c r="O70" s="20"/>
      <c r="P70" s="20" t="s">
        <v>117</v>
      </c>
    </row>
    <row r="71" spans="1:16" x14ac:dyDescent="0.3">
      <c r="A71" s="19">
        <f t="shared" si="1"/>
        <v>70</v>
      </c>
      <c r="B71" s="20" t="s">
        <v>87</v>
      </c>
      <c r="C71" s="20" t="s">
        <v>93</v>
      </c>
      <c r="D71" s="21" t="str">
        <f>IF($C71="","",IFERROR(VLOOKUP($C71,Map_Register!$A$2:$C$5,3,FALSE()),""))</f>
        <v>Cultural Heritage Area</v>
      </c>
      <c r="E71" s="20" t="s">
        <v>111</v>
      </c>
      <c r="F71" s="22">
        <v>23853</v>
      </c>
      <c r="G71" s="19" t="s">
        <v>112</v>
      </c>
      <c r="H71" s="19" t="s">
        <v>206</v>
      </c>
      <c r="I71" s="19" t="s">
        <v>8</v>
      </c>
      <c r="J71" s="19" t="s">
        <v>114</v>
      </c>
      <c r="K71" s="19" t="s">
        <v>114</v>
      </c>
      <c r="L71" s="19" t="s">
        <v>151</v>
      </c>
      <c r="M71" s="20" t="s">
        <v>116</v>
      </c>
      <c r="N71" s="20"/>
      <c r="O71" s="20"/>
      <c r="P71" s="20" t="s">
        <v>117</v>
      </c>
    </row>
    <row r="72" spans="1:16" x14ac:dyDescent="0.3">
      <c r="A72" s="19">
        <f t="shared" si="1"/>
        <v>71</v>
      </c>
      <c r="B72" s="20" t="s">
        <v>87</v>
      </c>
      <c r="C72" s="20" t="s">
        <v>93</v>
      </c>
      <c r="D72" s="21" t="str">
        <f>IF($C72="","",IFERROR(VLOOKUP($C72,Map_Register!$A$2:$C$5,3,FALSE()),""))</f>
        <v>Cultural Heritage Area</v>
      </c>
      <c r="E72" s="20" t="s">
        <v>111</v>
      </c>
      <c r="F72" s="22">
        <v>23854</v>
      </c>
      <c r="G72" s="19" t="s">
        <v>112</v>
      </c>
      <c r="H72" s="19" t="s">
        <v>207</v>
      </c>
      <c r="I72" s="19" t="s">
        <v>8</v>
      </c>
      <c r="J72" s="19" t="s">
        <v>114</v>
      </c>
      <c r="K72" s="19" t="s">
        <v>114</v>
      </c>
      <c r="L72" s="19" t="s">
        <v>208</v>
      </c>
      <c r="M72" s="20" t="s">
        <v>116</v>
      </c>
      <c r="N72" s="20"/>
      <c r="O72" s="20"/>
      <c r="P72" s="20" t="s">
        <v>117</v>
      </c>
    </row>
    <row r="73" spans="1:16" x14ac:dyDescent="0.3">
      <c r="A73" s="19">
        <f t="shared" si="1"/>
        <v>72</v>
      </c>
      <c r="B73" s="20" t="s">
        <v>87</v>
      </c>
      <c r="C73" s="20" t="s">
        <v>93</v>
      </c>
      <c r="D73" s="21" t="str">
        <f>IF($C73="","",IFERROR(VLOOKUP($C73,Map_Register!$A$2:$C$5,3,FALSE()),""))</f>
        <v>Cultural Heritage Area</v>
      </c>
      <c r="E73" s="20" t="s">
        <v>111</v>
      </c>
      <c r="F73" s="22">
        <v>23855</v>
      </c>
      <c r="G73" s="19" t="s">
        <v>112</v>
      </c>
      <c r="H73" s="19" t="s">
        <v>209</v>
      </c>
      <c r="I73" s="19" t="s">
        <v>8</v>
      </c>
      <c r="J73" s="19" t="s">
        <v>114</v>
      </c>
      <c r="K73" s="19" t="s">
        <v>114</v>
      </c>
      <c r="L73" s="19" t="s">
        <v>151</v>
      </c>
      <c r="M73" s="20" t="s">
        <v>116</v>
      </c>
      <c r="N73" s="20"/>
      <c r="O73" s="20"/>
      <c r="P73" s="20" t="s">
        <v>117</v>
      </c>
    </row>
    <row r="74" spans="1:16" x14ac:dyDescent="0.3">
      <c r="A74" s="19">
        <f t="shared" si="1"/>
        <v>73</v>
      </c>
      <c r="B74" s="20" t="s">
        <v>87</v>
      </c>
      <c r="C74" s="20" t="s">
        <v>93</v>
      </c>
      <c r="D74" s="21" t="str">
        <f>IF($C74="","",IFERROR(VLOOKUP($C74,Map_Register!$A$2:$C$5,3,FALSE()),""))</f>
        <v>Cultural Heritage Area</v>
      </c>
      <c r="E74" s="20" t="s">
        <v>111</v>
      </c>
      <c r="F74" s="22">
        <v>23857</v>
      </c>
      <c r="G74" s="19" t="s">
        <v>112</v>
      </c>
      <c r="H74" s="19" t="s">
        <v>210</v>
      </c>
      <c r="I74" s="19" t="s">
        <v>8</v>
      </c>
      <c r="J74" s="19" t="s">
        <v>114</v>
      </c>
      <c r="K74" s="19" t="s">
        <v>114</v>
      </c>
      <c r="L74" s="19" t="s">
        <v>151</v>
      </c>
      <c r="M74" s="20" t="s">
        <v>116</v>
      </c>
      <c r="N74" s="20"/>
      <c r="O74" s="20"/>
      <c r="P74" s="20" t="s">
        <v>117</v>
      </c>
    </row>
    <row r="75" spans="1:16" x14ac:dyDescent="0.3">
      <c r="A75" s="19">
        <f t="shared" si="1"/>
        <v>74</v>
      </c>
      <c r="B75" s="20" t="s">
        <v>87</v>
      </c>
      <c r="C75" s="20" t="s">
        <v>93</v>
      </c>
      <c r="D75" s="21" t="str">
        <f>IF($C75="","",IFERROR(VLOOKUP($C75,Map_Register!$A$2:$C$5,3,FALSE()),""))</f>
        <v>Cultural Heritage Area</v>
      </c>
      <c r="E75" s="20" t="s">
        <v>111</v>
      </c>
      <c r="F75" s="22">
        <v>23858</v>
      </c>
      <c r="G75" s="19" t="s">
        <v>112</v>
      </c>
      <c r="H75" s="19" t="s">
        <v>211</v>
      </c>
      <c r="I75" s="19" t="s">
        <v>8</v>
      </c>
      <c r="J75" s="19" t="s">
        <v>114</v>
      </c>
      <c r="K75" s="19" t="s">
        <v>114</v>
      </c>
      <c r="L75" s="19" t="s">
        <v>151</v>
      </c>
      <c r="M75" s="20" t="s">
        <v>116</v>
      </c>
      <c r="N75" s="20"/>
      <c r="O75" s="20"/>
      <c r="P75" s="20" t="s">
        <v>117</v>
      </c>
    </row>
    <row r="76" spans="1:16" x14ac:dyDescent="0.3">
      <c r="A76" s="19">
        <f t="shared" si="1"/>
        <v>75</v>
      </c>
      <c r="B76" s="20" t="s">
        <v>87</v>
      </c>
      <c r="C76" s="20" t="s">
        <v>93</v>
      </c>
      <c r="D76" s="21" t="str">
        <f>IF($C76="","",IFERROR(VLOOKUP($C76,Map_Register!$A$2:$C$5,3,FALSE()),""))</f>
        <v>Cultural Heritage Area</v>
      </c>
      <c r="E76" s="20" t="s">
        <v>111</v>
      </c>
      <c r="F76" s="22">
        <v>23859</v>
      </c>
      <c r="G76" s="19" t="s">
        <v>112</v>
      </c>
      <c r="H76" s="19" t="s">
        <v>212</v>
      </c>
      <c r="I76" s="19" t="s">
        <v>8</v>
      </c>
      <c r="J76" s="19" t="s">
        <v>114</v>
      </c>
      <c r="K76" s="19" t="s">
        <v>114</v>
      </c>
      <c r="L76" s="19" t="s">
        <v>213</v>
      </c>
      <c r="M76" s="20" t="s">
        <v>116</v>
      </c>
      <c r="N76" s="20"/>
      <c r="O76" s="20"/>
      <c r="P76" s="20" t="s">
        <v>117</v>
      </c>
    </row>
    <row r="77" spans="1:16" x14ac:dyDescent="0.3">
      <c r="A77" s="19">
        <f t="shared" si="1"/>
        <v>76</v>
      </c>
      <c r="B77" s="20" t="s">
        <v>87</v>
      </c>
      <c r="C77" s="20" t="s">
        <v>93</v>
      </c>
      <c r="D77" s="21" t="str">
        <f>IF($C77="","",IFERROR(VLOOKUP($C77,Map_Register!$A$2:$C$5,3,FALSE()),""))</f>
        <v>Cultural Heritage Area</v>
      </c>
      <c r="E77" s="20" t="s">
        <v>111</v>
      </c>
      <c r="F77" s="22">
        <v>23909</v>
      </c>
      <c r="G77" s="19" t="s">
        <v>112</v>
      </c>
      <c r="H77" s="19" t="s">
        <v>214</v>
      </c>
      <c r="I77" s="19" t="s">
        <v>6</v>
      </c>
      <c r="J77" s="19"/>
      <c r="K77" s="19"/>
      <c r="L77" s="19" t="s">
        <v>139</v>
      </c>
      <c r="M77" s="20"/>
      <c r="N77" s="20"/>
      <c r="O77" s="20"/>
      <c r="P77" s="20" t="s">
        <v>117</v>
      </c>
    </row>
    <row r="78" spans="1:16" x14ac:dyDescent="0.3">
      <c r="A78" s="19">
        <f t="shared" si="1"/>
        <v>77</v>
      </c>
      <c r="B78" s="20" t="s">
        <v>87</v>
      </c>
      <c r="C78" s="20" t="s">
        <v>93</v>
      </c>
      <c r="D78" s="21" t="str">
        <f>IF($C78="","",IFERROR(VLOOKUP($C78,Map_Register!$A$2:$C$5,3,FALSE()),""))</f>
        <v>Cultural Heritage Area</v>
      </c>
      <c r="E78" s="20" t="s">
        <v>111</v>
      </c>
      <c r="F78" s="22">
        <v>23918</v>
      </c>
      <c r="G78" s="19" t="s">
        <v>112</v>
      </c>
      <c r="H78" s="19" t="s">
        <v>215</v>
      </c>
      <c r="I78" s="19" t="s">
        <v>8</v>
      </c>
      <c r="J78" s="19" t="s">
        <v>114</v>
      </c>
      <c r="K78" s="19" t="s">
        <v>114</v>
      </c>
      <c r="L78" s="19" t="s">
        <v>151</v>
      </c>
      <c r="M78" s="20" t="s">
        <v>116</v>
      </c>
      <c r="N78" s="20"/>
      <c r="O78" s="20"/>
      <c r="P78" s="20" t="s">
        <v>117</v>
      </c>
    </row>
    <row r="79" spans="1:16" x14ac:dyDescent="0.3">
      <c r="A79" s="19">
        <f t="shared" si="1"/>
        <v>78</v>
      </c>
      <c r="B79" s="20" t="s">
        <v>87</v>
      </c>
      <c r="C79" s="20" t="s">
        <v>93</v>
      </c>
      <c r="D79" s="21" t="str">
        <f>IF($C79="","",IFERROR(VLOOKUP($C79,Map_Register!$A$2:$C$5,3,FALSE()),""))</f>
        <v>Cultural Heritage Area</v>
      </c>
      <c r="E79" s="20" t="s">
        <v>111</v>
      </c>
      <c r="F79" s="22">
        <v>25827</v>
      </c>
      <c r="G79" s="19" t="s">
        <v>112</v>
      </c>
      <c r="H79" s="19" t="s">
        <v>216</v>
      </c>
      <c r="I79" s="19" t="s">
        <v>8</v>
      </c>
      <c r="J79" s="19" t="s">
        <v>114</v>
      </c>
      <c r="K79" s="19" t="s">
        <v>114</v>
      </c>
      <c r="L79" s="19" t="s">
        <v>151</v>
      </c>
      <c r="M79" s="20" t="s">
        <v>116</v>
      </c>
      <c r="N79" s="20"/>
      <c r="O79" s="20"/>
      <c r="P79" s="20" t="s">
        <v>117</v>
      </c>
    </row>
    <row r="80" spans="1:16" x14ac:dyDescent="0.3">
      <c r="A80" s="19">
        <f t="shared" si="1"/>
        <v>79</v>
      </c>
      <c r="B80" s="20" t="s">
        <v>87</v>
      </c>
      <c r="C80" s="20" t="s">
        <v>93</v>
      </c>
      <c r="D80" s="21" t="str">
        <f>IF($C80="","",IFERROR(VLOOKUP($C80,Map_Register!$A$2:$C$5,3,FALSE()),""))</f>
        <v>Cultural Heritage Area</v>
      </c>
      <c r="E80" s="20" t="s">
        <v>111</v>
      </c>
      <c r="F80" s="22">
        <v>25832</v>
      </c>
      <c r="G80" s="19" t="s">
        <v>112</v>
      </c>
      <c r="H80" s="19" t="s">
        <v>217</v>
      </c>
      <c r="I80" s="19" t="s">
        <v>8</v>
      </c>
      <c r="J80" s="19" t="s">
        <v>114</v>
      </c>
      <c r="K80" s="19" t="s">
        <v>114</v>
      </c>
      <c r="L80" s="19" t="s">
        <v>151</v>
      </c>
      <c r="M80" s="20" t="s">
        <v>116</v>
      </c>
      <c r="N80" s="20"/>
      <c r="O80" s="20"/>
      <c r="P80" s="20" t="s">
        <v>117</v>
      </c>
    </row>
    <row r="81" spans="1:16" x14ac:dyDescent="0.3">
      <c r="A81" s="19">
        <f t="shared" si="1"/>
        <v>80</v>
      </c>
      <c r="B81" s="20" t="s">
        <v>87</v>
      </c>
      <c r="C81" s="20" t="s">
        <v>93</v>
      </c>
      <c r="D81" s="21" t="str">
        <f>IF($C81="","",IFERROR(VLOOKUP($C81,Map_Register!$A$2:$C$5,3,FALSE()),""))</f>
        <v>Cultural Heritage Area</v>
      </c>
      <c r="E81" s="20" t="s">
        <v>111</v>
      </c>
      <c r="F81" s="22">
        <v>25833</v>
      </c>
      <c r="G81" s="19" t="s">
        <v>112</v>
      </c>
      <c r="H81" s="19" t="s">
        <v>218</v>
      </c>
      <c r="I81" s="19" t="s">
        <v>8</v>
      </c>
      <c r="J81" s="19" t="s">
        <v>114</v>
      </c>
      <c r="K81" s="19" t="s">
        <v>114</v>
      </c>
      <c r="L81" s="19" t="s">
        <v>151</v>
      </c>
      <c r="M81" s="20" t="s">
        <v>116</v>
      </c>
      <c r="N81" s="20"/>
      <c r="O81" s="20"/>
      <c r="P81" s="20" t="s">
        <v>117</v>
      </c>
    </row>
    <row r="82" spans="1:16" x14ac:dyDescent="0.3">
      <c r="A82" s="19">
        <f t="shared" si="1"/>
        <v>81</v>
      </c>
      <c r="B82" s="20" t="s">
        <v>87</v>
      </c>
      <c r="C82" s="20" t="s">
        <v>93</v>
      </c>
      <c r="D82" s="21" t="str">
        <f>IF($C82="","",IFERROR(VLOOKUP($C82,Map_Register!$A$2:$C$5,3,FALSE()),""))</f>
        <v>Cultural Heritage Area</v>
      </c>
      <c r="E82" s="20" t="s">
        <v>111</v>
      </c>
      <c r="F82" s="22">
        <v>28266</v>
      </c>
      <c r="G82" s="19" t="s">
        <v>112</v>
      </c>
      <c r="H82" s="19" t="s">
        <v>219</v>
      </c>
      <c r="I82" s="19" t="s">
        <v>8</v>
      </c>
      <c r="J82" s="19" t="s">
        <v>114</v>
      </c>
      <c r="K82" s="19" t="s">
        <v>114</v>
      </c>
      <c r="L82" s="19" t="s">
        <v>220</v>
      </c>
      <c r="M82" s="20" t="s">
        <v>116</v>
      </c>
      <c r="N82" s="20"/>
      <c r="O82" s="20"/>
      <c r="P82" s="20" t="s">
        <v>117</v>
      </c>
    </row>
    <row r="83" spans="1:16" x14ac:dyDescent="0.3">
      <c r="A83" s="19">
        <f t="shared" si="1"/>
        <v>82</v>
      </c>
      <c r="B83" s="20" t="s">
        <v>87</v>
      </c>
      <c r="C83" s="20" t="s">
        <v>93</v>
      </c>
      <c r="D83" s="21" t="str">
        <f>IF($C83="","",IFERROR(VLOOKUP($C83,Map_Register!$A$2:$C$5,3,FALSE()),""))</f>
        <v>Cultural Heritage Area</v>
      </c>
      <c r="E83" s="20" t="s">
        <v>111</v>
      </c>
      <c r="F83" s="22">
        <v>28268</v>
      </c>
      <c r="G83" s="19" t="s">
        <v>112</v>
      </c>
      <c r="H83" s="19" t="s">
        <v>221</v>
      </c>
      <c r="I83" s="19" t="s">
        <v>8</v>
      </c>
      <c r="J83" s="19" t="s">
        <v>114</v>
      </c>
      <c r="K83" s="19" t="s">
        <v>114</v>
      </c>
      <c r="L83" s="19" t="s">
        <v>165</v>
      </c>
      <c r="M83" s="20" t="s">
        <v>116</v>
      </c>
      <c r="N83" s="20"/>
      <c r="O83" s="20"/>
      <c r="P83" s="20" t="s">
        <v>117</v>
      </c>
    </row>
    <row r="84" spans="1:16" x14ac:dyDescent="0.3">
      <c r="A84" s="19">
        <f t="shared" si="1"/>
        <v>83</v>
      </c>
      <c r="B84" s="20" t="s">
        <v>87</v>
      </c>
      <c r="C84" s="20" t="s">
        <v>93</v>
      </c>
      <c r="D84" s="21" t="str">
        <f>IF($C84="","",IFERROR(VLOOKUP($C84,Map_Register!$A$2:$C$5,3,FALSE()),""))</f>
        <v>Cultural Heritage Area</v>
      </c>
      <c r="E84" s="20" t="s">
        <v>111</v>
      </c>
      <c r="F84" s="22">
        <v>28310</v>
      </c>
      <c r="G84" s="19" t="s">
        <v>112</v>
      </c>
      <c r="H84" s="19" t="s">
        <v>222</v>
      </c>
      <c r="I84" s="19" t="s">
        <v>8</v>
      </c>
      <c r="J84" s="19" t="s">
        <v>114</v>
      </c>
      <c r="K84" s="19" t="s">
        <v>114</v>
      </c>
      <c r="L84" s="19" t="s">
        <v>151</v>
      </c>
      <c r="M84" s="20" t="s">
        <v>116</v>
      </c>
      <c r="N84" s="20"/>
      <c r="O84" s="20"/>
      <c r="P84" s="20" t="s">
        <v>117</v>
      </c>
    </row>
    <row r="85" spans="1:16" x14ac:dyDescent="0.3">
      <c r="A85" s="19">
        <f t="shared" si="1"/>
        <v>84</v>
      </c>
      <c r="B85" s="20" t="s">
        <v>87</v>
      </c>
      <c r="C85" s="20" t="s">
        <v>93</v>
      </c>
      <c r="D85" s="21" t="str">
        <f>IF($C85="","",IFERROR(VLOOKUP($C85,Map_Register!$A$2:$C$5,3,FALSE()),""))</f>
        <v>Cultural Heritage Area</v>
      </c>
      <c r="E85" s="20" t="s">
        <v>111</v>
      </c>
      <c r="F85" s="22">
        <v>32136</v>
      </c>
      <c r="G85" s="19" t="s">
        <v>112</v>
      </c>
      <c r="H85" s="19" t="s">
        <v>223</v>
      </c>
      <c r="I85" s="19" t="s">
        <v>8</v>
      </c>
      <c r="J85" s="19" t="s">
        <v>114</v>
      </c>
      <c r="K85" s="19" t="s">
        <v>114</v>
      </c>
      <c r="L85" s="19" t="s">
        <v>151</v>
      </c>
      <c r="M85" s="20" t="s">
        <v>116</v>
      </c>
      <c r="N85" s="20"/>
      <c r="O85" s="20"/>
      <c r="P85" s="20" t="s">
        <v>117</v>
      </c>
    </row>
    <row r="86" spans="1:16" x14ac:dyDescent="0.3">
      <c r="A86" s="19">
        <f t="shared" si="1"/>
        <v>85</v>
      </c>
      <c r="B86" s="20" t="s">
        <v>87</v>
      </c>
      <c r="C86" s="20" t="s">
        <v>93</v>
      </c>
      <c r="D86" s="21" t="str">
        <f>IF($C86="","",IFERROR(VLOOKUP($C86,Map_Register!$A$2:$C$5,3,FALSE()),""))</f>
        <v>Cultural Heritage Area</v>
      </c>
      <c r="E86" s="20" t="s">
        <v>111</v>
      </c>
      <c r="F86" s="22">
        <v>33850</v>
      </c>
      <c r="G86" s="19" t="s">
        <v>112</v>
      </c>
      <c r="H86" s="19" t="s">
        <v>224</v>
      </c>
      <c r="I86" s="19" t="s">
        <v>6</v>
      </c>
      <c r="J86" s="19"/>
      <c r="K86" s="19"/>
      <c r="L86" s="19" t="s">
        <v>225</v>
      </c>
      <c r="M86" s="20"/>
      <c r="N86" s="20"/>
      <c r="O86" s="20"/>
      <c r="P86" s="20" t="s">
        <v>117</v>
      </c>
    </row>
    <row r="87" spans="1:16" x14ac:dyDescent="0.3">
      <c r="A87" s="19">
        <f t="shared" si="1"/>
        <v>86</v>
      </c>
      <c r="B87" s="20" t="s">
        <v>87</v>
      </c>
      <c r="C87" s="20" t="s">
        <v>93</v>
      </c>
      <c r="D87" s="21" t="str">
        <f>IF($C87="","",IFERROR(VLOOKUP($C87,Map_Register!$A$2:$C$5,3,FALSE()),""))</f>
        <v>Cultural Heritage Area</v>
      </c>
      <c r="E87" s="20" t="s">
        <v>111</v>
      </c>
      <c r="F87" s="22">
        <v>33851</v>
      </c>
      <c r="G87" s="19" t="s">
        <v>112</v>
      </c>
      <c r="H87" s="19" t="s">
        <v>226</v>
      </c>
      <c r="I87" s="19" t="s">
        <v>6</v>
      </c>
      <c r="J87" s="19"/>
      <c r="K87" s="19"/>
      <c r="L87" s="19" t="s">
        <v>227</v>
      </c>
      <c r="M87" s="20"/>
      <c r="N87" s="20"/>
      <c r="O87" s="20"/>
      <c r="P87" s="20" t="s">
        <v>117</v>
      </c>
    </row>
    <row r="88" spans="1:16" x14ac:dyDescent="0.3">
      <c r="A88" s="19">
        <f t="shared" si="1"/>
        <v>87</v>
      </c>
      <c r="B88" s="20" t="s">
        <v>87</v>
      </c>
      <c r="C88" s="20" t="s">
        <v>93</v>
      </c>
      <c r="D88" s="21" t="str">
        <f>IF($C88="","",IFERROR(VLOOKUP($C88,Map_Register!$A$2:$C$5,3,FALSE()),""))</f>
        <v>Cultural Heritage Area</v>
      </c>
      <c r="E88" s="20" t="s">
        <v>111</v>
      </c>
      <c r="F88" s="22">
        <v>33852</v>
      </c>
      <c r="G88" s="19" t="s">
        <v>112</v>
      </c>
      <c r="H88" s="19" t="s">
        <v>228</v>
      </c>
      <c r="I88" s="19" t="s">
        <v>141</v>
      </c>
      <c r="J88" s="19"/>
      <c r="K88" s="19"/>
      <c r="L88" s="19" t="s">
        <v>141</v>
      </c>
      <c r="M88" s="20"/>
      <c r="N88" s="20"/>
      <c r="O88" s="20"/>
      <c r="P88" s="20" t="s">
        <v>117</v>
      </c>
    </row>
    <row r="89" spans="1:16" x14ac:dyDescent="0.3">
      <c r="A89" s="19">
        <f t="shared" si="1"/>
        <v>88</v>
      </c>
      <c r="B89" s="20" t="s">
        <v>87</v>
      </c>
      <c r="C89" s="20" t="s">
        <v>93</v>
      </c>
      <c r="D89" s="21" t="str">
        <f>IF($C89="","",IFERROR(VLOOKUP($C89,Map_Register!$A$2:$C$5,3,FALSE()),""))</f>
        <v>Cultural Heritage Area</v>
      </c>
      <c r="E89" s="20" t="s">
        <v>111</v>
      </c>
      <c r="F89" s="22">
        <v>33855</v>
      </c>
      <c r="G89" s="19" t="s">
        <v>112</v>
      </c>
      <c r="H89" s="19" t="s">
        <v>229</v>
      </c>
      <c r="I89" s="19" t="s">
        <v>6</v>
      </c>
      <c r="J89" s="19"/>
      <c r="K89" s="19"/>
      <c r="L89" s="19" t="s">
        <v>141</v>
      </c>
      <c r="M89" s="20"/>
      <c r="N89" s="20"/>
      <c r="O89" s="20"/>
      <c r="P89" s="20" t="s">
        <v>117</v>
      </c>
    </row>
    <row r="90" spans="1:16" x14ac:dyDescent="0.3">
      <c r="A90" s="19">
        <f t="shared" si="1"/>
        <v>89</v>
      </c>
      <c r="B90" s="20" t="s">
        <v>87</v>
      </c>
      <c r="C90" s="20" t="s">
        <v>93</v>
      </c>
      <c r="D90" s="21" t="str">
        <f>IF($C90="","",IFERROR(VLOOKUP($C90,Map_Register!$A$2:$C$5,3,FALSE()),""))</f>
        <v>Cultural Heritage Area</v>
      </c>
      <c r="E90" s="20" t="s">
        <v>111</v>
      </c>
      <c r="F90" s="22">
        <v>36581</v>
      </c>
      <c r="G90" s="19" t="s">
        <v>112</v>
      </c>
      <c r="H90" s="19" t="s">
        <v>230</v>
      </c>
      <c r="I90" s="19" t="s">
        <v>8</v>
      </c>
      <c r="J90" s="19" t="s">
        <v>114</v>
      </c>
      <c r="K90" s="19" t="s">
        <v>114</v>
      </c>
      <c r="L90" s="19" t="s">
        <v>141</v>
      </c>
      <c r="M90" s="20" t="s">
        <v>116</v>
      </c>
      <c r="N90" s="20"/>
      <c r="O90" s="20"/>
      <c r="P90" s="20" t="s">
        <v>117</v>
      </c>
    </row>
    <row r="91" spans="1:16" x14ac:dyDescent="0.3">
      <c r="A91" s="19">
        <f t="shared" si="1"/>
        <v>90</v>
      </c>
      <c r="B91" s="20" t="s">
        <v>87</v>
      </c>
      <c r="C91" s="20" t="s">
        <v>93</v>
      </c>
      <c r="D91" s="21" t="str">
        <f>IF($C91="","",IFERROR(VLOOKUP($C91,Map_Register!$A$2:$C$5,3,FALSE()),""))</f>
        <v>Cultural Heritage Area</v>
      </c>
      <c r="E91" s="20" t="s">
        <v>111</v>
      </c>
      <c r="F91" s="22">
        <v>36582</v>
      </c>
      <c r="G91" s="19" t="s">
        <v>112</v>
      </c>
      <c r="H91" s="19" t="s">
        <v>231</v>
      </c>
      <c r="I91" s="19" t="s">
        <v>6</v>
      </c>
      <c r="J91" s="19"/>
      <c r="L91" s="19" t="s">
        <v>141</v>
      </c>
      <c r="M91" s="20"/>
      <c r="N91" s="20"/>
      <c r="O91" s="20"/>
      <c r="P91" s="20" t="s">
        <v>117</v>
      </c>
    </row>
    <row r="92" spans="1:16" x14ac:dyDescent="0.3">
      <c r="A92" s="19">
        <f t="shared" si="1"/>
        <v>91</v>
      </c>
      <c r="B92" s="20" t="s">
        <v>87</v>
      </c>
      <c r="C92" s="20" t="s">
        <v>93</v>
      </c>
      <c r="D92" s="21" t="str">
        <f>IF($C92="","",IFERROR(VLOOKUP($C92,Map_Register!$A$2:$C$5,3,FALSE()),""))</f>
        <v>Cultural Heritage Area</v>
      </c>
      <c r="E92" s="20" t="s">
        <v>111</v>
      </c>
      <c r="F92" s="22">
        <v>36592</v>
      </c>
      <c r="G92" s="19" t="s">
        <v>112</v>
      </c>
      <c r="H92" s="19" t="s">
        <v>232</v>
      </c>
      <c r="I92" s="19" t="s">
        <v>8</v>
      </c>
      <c r="J92" s="19" t="s">
        <v>114</v>
      </c>
      <c r="K92" s="19" t="s">
        <v>114</v>
      </c>
      <c r="L92" s="19" t="s">
        <v>141</v>
      </c>
      <c r="M92" s="20" t="s">
        <v>116</v>
      </c>
      <c r="N92" s="20"/>
      <c r="O92" s="20"/>
      <c r="P92" s="20" t="s">
        <v>117</v>
      </c>
    </row>
    <row r="93" spans="1:16" x14ac:dyDescent="0.3">
      <c r="A93" s="19">
        <f t="shared" si="1"/>
        <v>92</v>
      </c>
      <c r="B93" s="20" t="s">
        <v>87</v>
      </c>
      <c r="C93" s="20" t="s">
        <v>93</v>
      </c>
      <c r="D93" s="21" t="str">
        <f>IF($C93="","",IFERROR(VLOOKUP($C93,Map_Register!$A$2:$C$5,3,FALSE()),""))</f>
        <v>Cultural Heritage Area</v>
      </c>
      <c r="E93" s="20" t="s">
        <v>111</v>
      </c>
      <c r="F93" s="22">
        <v>36595</v>
      </c>
      <c r="G93" s="19" t="s">
        <v>112</v>
      </c>
      <c r="H93" s="19" t="s">
        <v>233</v>
      </c>
      <c r="I93" s="19" t="s">
        <v>6</v>
      </c>
      <c r="J93" s="19"/>
      <c r="K93" s="19"/>
      <c r="L93" s="19" t="s">
        <v>227</v>
      </c>
      <c r="M93" s="20"/>
      <c r="N93" s="20"/>
      <c r="O93" s="20"/>
      <c r="P93" s="20" t="s">
        <v>117</v>
      </c>
    </row>
    <row r="94" spans="1:16" x14ac:dyDescent="0.3">
      <c r="A94" s="19">
        <f t="shared" si="1"/>
        <v>93</v>
      </c>
      <c r="B94" s="20" t="s">
        <v>87</v>
      </c>
      <c r="C94" s="20" t="s">
        <v>93</v>
      </c>
      <c r="D94" s="21" t="str">
        <f>IF($C94="","",IFERROR(VLOOKUP($C94,Map_Register!$A$2:$C$5,3,FALSE()),""))</f>
        <v>Cultural Heritage Area</v>
      </c>
      <c r="E94" s="20" t="s">
        <v>111</v>
      </c>
      <c r="F94" s="22">
        <v>36596</v>
      </c>
      <c r="G94" s="19" t="s">
        <v>112</v>
      </c>
      <c r="H94" s="19" t="s">
        <v>234</v>
      </c>
      <c r="I94" s="19" t="s">
        <v>6</v>
      </c>
      <c r="J94" s="19"/>
      <c r="K94" s="19"/>
      <c r="L94" s="19" t="s">
        <v>133</v>
      </c>
      <c r="M94" s="20"/>
      <c r="N94" s="20"/>
      <c r="O94" s="20"/>
      <c r="P94" s="20" t="s">
        <v>117</v>
      </c>
    </row>
    <row r="95" spans="1:16" x14ac:dyDescent="0.3">
      <c r="A95" s="19">
        <f t="shared" si="1"/>
        <v>94</v>
      </c>
      <c r="B95" s="20" t="s">
        <v>87</v>
      </c>
      <c r="C95" s="20" t="s">
        <v>93</v>
      </c>
      <c r="D95" s="21" t="str">
        <f>IF($C95="","",IFERROR(VLOOKUP($C95,Map_Register!$A$2:$C$5,3,FALSE()),""))</f>
        <v>Cultural Heritage Area</v>
      </c>
      <c r="E95" s="20" t="s">
        <v>111</v>
      </c>
      <c r="F95" s="22">
        <v>36597</v>
      </c>
      <c r="G95" s="19" t="s">
        <v>112</v>
      </c>
      <c r="H95" s="19" t="s">
        <v>235</v>
      </c>
      <c r="I95" s="19" t="s">
        <v>6</v>
      </c>
      <c r="J95" s="19"/>
      <c r="K95" s="19"/>
      <c r="L95" s="19" t="s">
        <v>227</v>
      </c>
      <c r="M95" s="20"/>
      <c r="N95" s="20"/>
      <c r="O95" s="20"/>
      <c r="P95" s="20" t="s">
        <v>117</v>
      </c>
    </row>
    <row r="96" spans="1:16" x14ac:dyDescent="0.3">
      <c r="A96" s="19">
        <f t="shared" si="1"/>
        <v>95</v>
      </c>
      <c r="B96" s="20" t="s">
        <v>87</v>
      </c>
      <c r="C96" s="20" t="s">
        <v>93</v>
      </c>
      <c r="D96" s="21" t="str">
        <f>IF($C96="","",IFERROR(VLOOKUP($C96,Map_Register!$A$2:$C$5,3,FALSE()),""))</f>
        <v>Cultural Heritage Area</v>
      </c>
      <c r="E96" s="20" t="s">
        <v>111</v>
      </c>
      <c r="F96" s="22">
        <v>36598</v>
      </c>
      <c r="G96" s="19" t="s">
        <v>112</v>
      </c>
      <c r="H96" s="19" t="s">
        <v>236</v>
      </c>
      <c r="I96" s="19" t="s">
        <v>6</v>
      </c>
      <c r="J96" s="19"/>
      <c r="K96" s="19"/>
      <c r="L96" s="19" t="s">
        <v>227</v>
      </c>
      <c r="M96" s="20"/>
      <c r="N96" s="20"/>
      <c r="O96" s="20"/>
      <c r="P96" s="20" t="s">
        <v>117</v>
      </c>
    </row>
    <row r="97" spans="1:16" x14ac:dyDescent="0.3">
      <c r="A97" s="19">
        <f t="shared" si="1"/>
        <v>96</v>
      </c>
      <c r="B97" s="20" t="s">
        <v>87</v>
      </c>
      <c r="C97" s="20" t="s">
        <v>93</v>
      </c>
      <c r="D97" s="21" t="str">
        <f>IF($C97="","",IFERROR(VLOOKUP($C97,Map_Register!$A$2:$C$5,3,FALSE()),""))</f>
        <v>Cultural Heritage Area</v>
      </c>
      <c r="E97" s="20" t="s">
        <v>111</v>
      </c>
      <c r="F97" s="22">
        <v>36600</v>
      </c>
      <c r="G97" s="19" t="s">
        <v>112</v>
      </c>
      <c r="H97" s="19" t="s">
        <v>237</v>
      </c>
      <c r="I97" s="19" t="s">
        <v>6</v>
      </c>
      <c r="J97" s="19"/>
      <c r="K97" s="19"/>
      <c r="L97" s="19" t="s">
        <v>227</v>
      </c>
      <c r="M97" s="20"/>
      <c r="N97" s="20"/>
      <c r="O97" s="20"/>
      <c r="P97" s="20" t="s">
        <v>117</v>
      </c>
    </row>
    <row r="98" spans="1:16" x14ac:dyDescent="0.3">
      <c r="A98" s="19">
        <f t="shared" si="1"/>
        <v>97</v>
      </c>
      <c r="B98" s="20" t="s">
        <v>87</v>
      </c>
      <c r="C98" s="20" t="s">
        <v>93</v>
      </c>
      <c r="D98" s="21" t="str">
        <f>IF($C98="","",IFERROR(VLOOKUP($C98,Map_Register!$A$2:$C$5,3,FALSE()),""))</f>
        <v>Cultural Heritage Area</v>
      </c>
      <c r="E98" s="20" t="s">
        <v>111</v>
      </c>
      <c r="F98" s="22">
        <v>36602</v>
      </c>
      <c r="G98" s="19" t="s">
        <v>112</v>
      </c>
      <c r="H98" s="19" t="s">
        <v>238</v>
      </c>
      <c r="I98" s="19" t="s">
        <v>6</v>
      </c>
      <c r="J98" s="19"/>
      <c r="K98" s="19"/>
      <c r="L98" s="19" t="s">
        <v>227</v>
      </c>
      <c r="M98" s="20"/>
      <c r="N98" s="20"/>
      <c r="O98" s="20"/>
      <c r="P98" s="20" t="s">
        <v>117</v>
      </c>
    </row>
    <row r="99" spans="1:16" x14ac:dyDescent="0.3">
      <c r="A99" s="19">
        <f t="shared" si="1"/>
        <v>98</v>
      </c>
      <c r="B99" s="20" t="s">
        <v>87</v>
      </c>
      <c r="C99" s="20" t="s">
        <v>93</v>
      </c>
      <c r="D99" s="21" t="str">
        <f>IF($C99="","",IFERROR(VLOOKUP($C99,Map_Register!$A$2:$C$5,3,FALSE()),""))</f>
        <v>Cultural Heritage Area</v>
      </c>
      <c r="E99" s="20" t="s">
        <v>111</v>
      </c>
      <c r="F99" s="22">
        <v>36629</v>
      </c>
      <c r="G99" s="19" t="s">
        <v>112</v>
      </c>
      <c r="H99" s="19" t="s">
        <v>239</v>
      </c>
      <c r="I99" s="19" t="s">
        <v>6</v>
      </c>
      <c r="J99" s="19"/>
      <c r="K99" s="19"/>
      <c r="L99" s="19" t="s">
        <v>227</v>
      </c>
      <c r="M99" s="20"/>
      <c r="N99" s="20"/>
      <c r="O99" s="20"/>
      <c r="P99" s="20" t="s">
        <v>117</v>
      </c>
    </row>
    <row r="100" spans="1:16" x14ac:dyDescent="0.3">
      <c r="A100" s="19">
        <f t="shared" si="1"/>
        <v>99</v>
      </c>
      <c r="B100" s="20" t="s">
        <v>87</v>
      </c>
      <c r="C100" s="20" t="s">
        <v>93</v>
      </c>
      <c r="D100" s="21" t="str">
        <f>IF($C100="","",IFERROR(VLOOKUP($C100,Map_Register!$A$2:$C$5,3,FALSE()),""))</f>
        <v>Cultural Heritage Area</v>
      </c>
      <c r="E100" s="20" t="s">
        <v>111</v>
      </c>
      <c r="F100" s="22">
        <v>36633</v>
      </c>
      <c r="G100" s="19" t="s">
        <v>112</v>
      </c>
      <c r="H100" s="19" t="s">
        <v>240</v>
      </c>
      <c r="I100" s="19" t="s">
        <v>8</v>
      </c>
      <c r="J100" s="19" t="s">
        <v>114</v>
      </c>
      <c r="K100" s="19" t="s">
        <v>114</v>
      </c>
      <c r="L100" s="19" t="s">
        <v>241</v>
      </c>
      <c r="M100" s="20" t="s">
        <v>116</v>
      </c>
      <c r="N100" s="20"/>
      <c r="O100" s="20"/>
      <c r="P100" s="20" t="s">
        <v>117</v>
      </c>
    </row>
    <row r="101" spans="1:16" x14ac:dyDescent="0.3">
      <c r="A101" s="19">
        <f t="shared" si="1"/>
        <v>100</v>
      </c>
      <c r="B101" s="20" t="s">
        <v>87</v>
      </c>
      <c r="C101" s="20" t="s">
        <v>93</v>
      </c>
      <c r="D101" s="21" t="str">
        <f>IF($C101="","",IFERROR(VLOOKUP($C101,Map_Register!$A$2:$C$5,3,FALSE()),""))</f>
        <v>Cultural Heritage Area</v>
      </c>
      <c r="E101" s="20" t="s">
        <v>111</v>
      </c>
      <c r="F101" s="22">
        <v>36634</v>
      </c>
      <c r="G101" s="19" t="s">
        <v>112</v>
      </c>
      <c r="H101" s="19" t="s">
        <v>242</v>
      </c>
      <c r="I101" s="19" t="s">
        <v>6</v>
      </c>
      <c r="J101" s="19"/>
      <c r="K101" s="19"/>
      <c r="L101" s="19" t="s">
        <v>227</v>
      </c>
      <c r="M101" s="20"/>
      <c r="N101" s="20"/>
      <c r="O101" s="20"/>
      <c r="P101" s="20" t="s">
        <v>117</v>
      </c>
    </row>
    <row r="102" spans="1:16" x14ac:dyDescent="0.3">
      <c r="A102" s="19">
        <f t="shared" si="1"/>
        <v>101</v>
      </c>
      <c r="B102" s="20" t="s">
        <v>87</v>
      </c>
      <c r="C102" s="20" t="s">
        <v>93</v>
      </c>
      <c r="D102" s="21" t="str">
        <f>IF($C102="","",IFERROR(VLOOKUP($C102,Map_Register!$A$2:$C$5,3,FALSE()),""))</f>
        <v>Cultural Heritage Area</v>
      </c>
      <c r="E102" s="20" t="s">
        <v>111</v>
      </c>
      <c r="F102" s="22">
        <v>36636</v>
      </c>
      <c r="G102" s="19" t="s">
        <v>112</v>
      </c>
      <c r="H102" s="19" t="s">
        <v>243</v>
      </c>
      <c r="I102" s="19" t="s">
        <v>8</v>
      </c>
      <c r="J102" s="19" t="s">
        <v>114</v>
      </c>
      <c r="K102" s="19" t="s">
        <v>114</v>
      </c>
      <c r="L102" s="19" t="s">
        <v>151</v>
      </c>
      <c r="M102" s="20" t="s">
        <v>116</v>
      </c>
      <c r="N102" s="20"/>
      <c r="O102" s="20"/>
      <c r="P102" s="20" t="s">
        <v>117</v>
      </c>
    </row>
    <row r="103" spans="1:16" x14ac:dyDescent="0.3">
      <c r="A103" s="19">
        <f t="shared" si="1"/>
        <v>102</v>
      </c>
      <c r="B103" s="20" t="s">
        <v>87</v>
      </c>
      <c r="C103" s="20" t="s">
        <v>93</v>
      </c>
      <c r="D103" s="21" t="str">
        <f>IF($C103="","",IFERROR(VLOOKUP($C103,Map_Register!$A$2:$C$5,3,FALSE()),""))</f>
        <v>Cultural Heritage Area</v>
      </c>
      <c r="E103" s="20" t="s">
        <v>111</v>
      </c>
      <c r="F103" s="22">
        <v>36664</v>
      </c>
      <c r="G103" s="19" t="s">
        <v>112</v>
      </c>
      <c r="H103" s="19" t="s">
        <v>244</v>
      </c>
      <c r="I103" s="19" t="s">
        <v>8</v>
      </c>
      <c r="J103" s="19" t="s">
        <v>114</v>
      </c>
      <c r="K103" s="19" t="s">
        <v>114</v>
      </c>
      <c r="L103" s="19" t="s">
        <v>151</v>
      </c>
      <c r="M103" s="20" t="s">
        <v>116</v>
      </c>
      <c r="N103" s="20"/>
      <c r="O103" s="20"/>
      <c r="P103" s="20" t="s">
        <v>117</v>
      </c>
    </row>
    <row r="104" spans="1:16" x14ac:dyDescent="0.3">
      <c r="A104" s="19">
        <f t="shared" si="1"/>
        <v>103</v>
      </c>
      <c r="B104" s="20" t="s">
        <v>87</v>
      </c>
      <c r="C104" s="20" t="s">
        <v>93</v>
      </c>
      <c r="D104" s="21" t="str">
        <f>IF($C104="","",IFERROR(VLOOKUP($C104,Map_Register!$A$2:$C$5,3,FALSE()),""))</f>
        <v>Cultural Heritage Area</v>
      </c>
      <c r="E104" s="20" t="s">
        <v>111</v>
      </c>
      <c r="F104" s="22">
        <v>36669</v>
      </c>
      <c r="G104" s="19" t="s">
        <v>112</v>
      </c>
      <c r="H104" s="19" t="s">
        <v>245</v>
      </c>
      <c r="I104" s="19" t="s">
        <v>8</v>
      </c>
      <c r="J104" s="19" t="s">
        <v>114</v>
      </c>
      <c r="K104" s="19" t="s">
        <v>114</v>
      </c>
      <c r="L104" s="19" t="s">
        <v>151</v>
      </c>
      <c r="M104" s="20" t="s">
        <v>116</v>
      </c>
      <c r="N104" s="20"/>
      <c r="O104" s="20"/>
      <c r="P104" s="20" t="s">
        <v>117</v>
      </c>
    </row>
    <row r="105" spans="1:16" x14ac:dyDescent="0.3">
      <c r="A105" s="19">
        <f t="shared" si="1"/>
        <v>104</v>
      </c>
      <c r="B105" s="20" t="s">
        <v>87</v>
      </c>
      <c r="C105" s="20" t="s">
        <v>93</v>
      </c>
      <c r="D105" s="21" t="str">
        <f>IF($C105="","",IFERROR(VLOOKUP($C105,Map_Register!$A$2:$C$5,3,FALSE()),""))</f>
        <v>Cultural Heritage Area</v>
      </c>
      <c r="E105" s="20" t="s">
        <v>111</v>
      </c>
      <c r="F105" s="22">
        <v>36670</v>
      </c>
      <c r="G105" s="19" t="s">
        <v>112</v>
      </c>
      <c r="H105" s="19" t="s">
        <v>246</v>
      </c>
      <c r="I105" s="19" t="s">
        <v>6</v>
      </c>
      <c r="J105" s="19"/>
      <c r="K105" s="19"/>
      <c r="L105" s="19" t="s">
        <v>133</v>
      </c>
      <c r="M105" s="20"/>
      <c r="N105" s="20"/>
      <c r="O105" s="20"/>
      <c r="P105" s="20" t="s">
        <v>117</v>
      </c>
    </row>
    <row r="106" spans="1:16" x14ac:dyDescent="0.3">
      <c r="A106" s="19">
        <f t="shared" si="1"/>
        <v>105</v>
      </c>
      <c r="B106" s="20" t="s">
        <v>87</v>
      </c>
      <c r="C106" s="20" t="s">
        <v>93</v>
      </c>
      <c r="D106" s="21" t="str">
        <f>IF($C106="","",IFERROR(VLOOKUP($C106,Map_Register!$A$2:$C$5,3,FALSE()),""))</f>
        <v>Cultural Heritage Area</v>
      </c>
      <c r="E106" s="20" t="s">
        <v>111</v>
      </c>
      <c r="F106" s="22">
        <v>36679</v>
      </c>
      <c r="G106" s="19" t="s">
        <v>112</v>
      </c>
      <c r="H106" s="19" t="s">
        <v>247</v>
      </c>
      <c r="I106" s="19" t="s">
        <v>8</v>
      </c>
      <c r="J106" s="19" t="s">
        <v>114</v>
      </c>
      <c r="K106" s="19" t="s">
        <v>114</v>
      </c>
      <c r="L106" s="19" t="s">
        <v>151</v>
      </c>
      <c r="M106" s="20" t="s">
        <v>116</v>
      </c>
      <c r="N106" s="20"/>
      <c r="O106" s="20"/>
      <c r="P106" s="20" t="s">
        <v>117</v>
      </c>
    </row>
    <row r="107" spans="1:16" x14ac:dyDescent="0.3">
      <c r="A107" s="19">
        <f t="shared" si="1"/>
        <v>106</v>
      </c>
      <c r="B107" s="20" t="s">
        <v>87</v>
      </c>
      <c r="C107" s="20" t="s">
        <v>93</v>
      </c>
      <c r="D107" s="21" t="str">
        <f>IF($C107="","",IFERROR(VLOOKUP($C107,Map_Register!$A$2:$C$5,3,FALSE()),""))</f>
        <v>Cultural Heritage Area</v>
      </c>
      <c r="E107" s="20" t="s">
        <v>111</v>
      </c>
      <c r="F107" s="22">
        <v>36688</v>
      </c>
      <c r="G107" s="19" t="s">
        <v>112</v>
      </c>
      <c r="H107" s="19" t="s">
        <v>248</v>
      </c>
      <c r="I107" s="19" t="s">
        <v>8</v>
      </c>
      <c r="J107" s="19" t="s">
        <v>114</v>
      </c>
      <c r="K107" s="19" t="s">
        <v>114</v>
      </c>
      <c r="L107" s="19" t="s">
        <v>151</v>
      </c>
      <c r="M107" s="20" t="s">
        <v>116</v>
      </c>
      <c r="N107" s="20"/>
      <c r="O107" s="20"/>
      <c r="P107" s="20" t="s">
        <v>117</v>
      </c>
    </row>
    <row r="108" spans="1:16" x14ac:dyDescent="0.3">
      <c r="A108" s="19">
        <f t="shared" si="1"/>
        <v>107</v>
      </c>
      <c r="B108" s="20" t="s">
        <v>87</v>
      </c>
      <c r="C108" s="20" t="s">
        <v>93</v>
      </c>
      <c r="D108" s="21" t="str">
        <f>IF($C108="","",IFERROR(VLOOKUP($C108,Map_Register!$A$2:$C$5,3,FALSE()),""))</f>
        <v>Cultural Heritage Area</v>
      </c>
      <c r="E108" s="20" t="s">
        <v>111</v>
      </c>
      <c r="F108" s="22">
        <v>36689</v>
      </c>
      <c r="G108" s="19" t="s">
        <v>112</v>
      </c>
      <c r="H108" s="19" t="s">
        <v>249</v>
      </c>
      <c r="I108" s="19" t="s">
        <v>8</v>
      </c>
      <c r="J108" s="19" t="s">
        <v>114</v>
      </c>
      <c r="K108" s="19" t="s">
        <v>114</v>
      </c>
      <c r="L108" s="19" t="s">
        <v>135</v>
      </c>
      <c r="M108" s="20" t="s">
        <v>116</v>
      </c>
      <c r="N108" s="20"/>
      <c r="O108" s="20"/>
      <c r="P108" s="20" t="s">
        <v>117</v>
      </c>
    </row>
    <row r="109" spans="1:16" x14ac:dyDescent="0.3">
      <c r="A109" s="19">
        <f t="shared" si="1"/>
        <v>108</v>
      </c>
      <c r="B109" s="20" t="s">
        <v>87</v>
      </c>
      <c r="C109" s="20" t="s">
        <v>93</v>
      </c>
      <c r="D109" s="21" t="str">
        <f>IF($C109="","",IFERROR(VLOOKUP($C109,Map_Register!$A$2:$C$5,3,FALSE()),""))</f>
        <v>Cultural Heritage Area</v>
      </c>
      <c r="E109" s="20" t="s">
        <v>111</v>
      </c>
      <c r="F109" s="22">
        <v>36690</v>
      </c>
      <c r="G109" s="19" t="s">
        <v>112</v>
      </c>
      <c r="H109" s="19" t="s">
        <v>250</v>
      </c>
      <c r="I109" s="19" t="s">
        <v>8</v>
      </c>
      <c r="J109" s="19" t="s">
        <v>114</v>
      </c>
      <c r="K109" s="19" t="s">
        <v>114</v>
      </c>
      <c r="L109" s="19" t="s">
        <v>151</v>
      </c>
      <c r="M109" s="20" t="s">
        <v>116</v>
      </c>
      <c r="N109" s="20"/>
      <c r="O109" s="20"/>
      <c r="P109" s="20" t="s">
        <v>117</v>
      </c>
    </row>
    <row r="110" spans="1:16" x14ac:dyDescent="0.3">
      <c r="A110" s="19">
        <f t="shared" si="1"/>
        <v>109</v>
      </c>
      <c r="B110" s="20" t="s">
        <v>87</v>
      </c>
      <c r="C110" s="20" t="s">
        <v>93</v>
      </c>
      <c r="D110" s="21" t="str">
        <f>IF($C110="","",IFERROR(VLOOKUP($C110,Map_Register!$A$2:$C$5,3,FALSE()),""))</f>
        <v>Cultural Heritage Area</v>
      </c>
      <c r="E110" s="20" t="s">
        <v>111</v>
      </c>
      <c r="F110" s="22">
        <v>36691</v>
      </c>
      <c r="G110" s="19" t="s">
        <v>112</v>
      </c>
      <c r="H110" s="19" t="s">
        <v>251</v>
      </c>
      <c r="I110" s="19" t="s">
        <v>8</v>
      </c>
      <c r="J110" s="19" t="s">
        <v>114</v>
      </c>
      <c r="K110" s="19" t="s">
        <v>114</v>
      </c>
      <c r="L110" s="19" t="s">
        <v>252</v>
      </c>
      <c r="M110" s="20" t="s">
        <v>116</v>
      </c>
      <c r="N110" s="20"/>
      <c r="O110" s="20"/>
      <c r="P110" s="20" t="s">
        <v>117</v>
      </c>
    </row>
    <row r="111" spans="1:16" x14ac:dyDescent="0.3">
      <c r="A111" s="19">
        <f t="shared" si="1"/>
        <v>110</v>
      </c>
      <c r="B111" s="20" t="s">
        <v>87</v>
      </c>
      <c r="C111" s="20" t="s">
        <v>93</v>
      </c>
      <c r="D111" s="21" t="str">
        <f>IF($C111="","",IFERROR(VLOOKUP($C111,Map_Register!$A$2:$C$5,3,FALSE()),""))</f>
        <v>Cultural Heritage Area</v>
      </c>
      <c r="E111" s="20" t="s">
        <v>111</v>
      </c>
      <c r="F111" s="22">
        <v>36692</v>
      </c>
      <c r="G111" s="19" t="s">
        <v>112</v>
      </c>
      <c r="H111" s="19" t="s">
        <v>253</v>
      </c>
      <c r="I111" s="19" t="s">
        <v>8</v>
      </c>
      <c r="J111" s="19" t="s">
        <v>114</v>
      </c>
      <c r="K111" s="19" t="s">
        <v>114</v>
      </c>
      <c r="L111" s="19" t="s">
        <v>151</v>
      </c>
      <c r="M111" s="20" t="s">
        <v>116</v>
      </c>
      <c r="N111" s="20"/>
      <c r="O111" s="20"/>
      <c r="P111" s="20" t="s">
        <v>117</v>
      </c>
    </row>
    <row r="112" spans="1:16" x14ac:dyDescent="0.3">
      <c r="A112" s="19">
        <f t="shared" si="1"/>
        <v>111</v>
      </c>
      <c r="B112" s="20" t="s">
        <v>87</v>
      </c>
      <c r="C112" s="20" t="s">
        <v>93</v>
      </c>
      <c r="D112" s="21" t="str">
        <f>IF($C112="","",IFERROR(VLOOKUP($C112,Map_Register!$A$2:$C$5,3,FALSE()),""))</f>
        <v>Cultural Heritage Area</v>
      </c>
      <c r="E112" s="20" t="s">
        <v>111</v>
      </c>
      <c r="F112" s="22">
        <v>36693</v>
      </c>
      <c r="G112" s="19" t="s">
        <v>112</v>
      </c>
      <c r="H112" s="19" t="s">
        <v>254</v>
      </c>
      <c r="I112" s="19" t="s">
        <v>8</v>
      </c>
      <c r="J112" s="19" t="s">
        <v>114</v>
      </c>
      <c r="K112" s="19" t="s">
        <v>114</v>
      </c>
      <c r="L112" s="19" t="s">
        <v>151</v>
      </c>
      <c r="M112" s="20" t="s">
        <v>116</v>
      </c>
      <c r="N112" s="20"/>
      <c r="O112" s="20"/>
      <c r="P112" s="20" t="s">
        <v>117</v>
      </c>
    </row>
    <row r="113" spans="1:16" x14ac:dyDescent="0.3">
      <c r="A113" s="19">
        <f t="shared" si="1"/>
        <v>112</v>
      </c>
      <c r="B113" s="20" t="s">
        <v>87</v>
      </c>
      <c r="C113" s="20" t="s">
        <v>93</v>
      </c>
      <c r="D113" s="21" t="str">
        <f>IF($C113="","",IFERROR(VLOOKUP($C113,Map_Register!$A$2:$C$5,3,FALSE()),""))</f>
        <v>Cultural Heritage Area</v>
      </c>
      <c r="E113" s="20" t="s">
        <v>111</v>
      </c>
      <c r="F113" s="22">
        <v>36694</v>
      </c>
      <c r="G113" s="19" t="s">
        <v>112</v>
      </c>
      <c r="H113" s="19" t="s">
        <v>255</v>
      </c>
      <c r="I113" s="19" t="s">
        <v>8</v>
      </c>
      <c r="J113" s="19" t="s">
        <v>114</v>
      </c>
      <c r="K113" s="19" t="s">
        <v>114</v>
      </c>
      <c r="L113" s="19" t="s">
        <v>151</v>
      </c>
      <c r="M113" s="20" t="s">
        <v>116</v>
      </c>
      <c r="N113" s="20"/>
      <c r="O113" s="20"/>
      <c r="P113" s="20" t="s">
        <v>117</v>
      </c>
    </row>
    <row r="114" spans="1:16" x14ac:dyDescent="0.3">
      <c r="A114" s="19">
        <f t="shared" si="1"/>
        <v>113</v>
      </c>
      <c r="B114" s="20" t="s">
        <v>87</v>
      </c>
      <c r="C114" s="20" t="s">
        <v>93</v>
      </c>
      <c r="D114" s="21" t="str">
        <f>IF($C114="","",IFERROR(VLOOKUP($C114,Map_Register!$A$2:$C$5,3,FALSE()),""))</f>
        <v>Cultural Heritage Area</v>
      </c>
      <c r="E114" s="20" t="s">
        <v>111</v>
      </c>
      <c r="F114" s="22">
        <v>36695</v>
      </c>
      <c r="G114" s="19" t="s">
        <v>112</v>
      </c>
      <c r="H114" s="19" t="s">
        <v>256</v>
      </c>
      <c r="I114" s="19" t="s">
        <v>8</v>
      </c>
      <c r="J114" s="19" t="s">
        <v>114</v>
      </c>
      <c r="K114" s="19" t="s">
        <v>114</v>
      </c>
      <c r="L114" s="19" t="s">
        <v>151</v>
      </c>
      <c r="M114" s="20" t="s">
        <v>116</v>
      </c>
      <c r="N114" s="20"/>
      <c r="O114" s="20"/>
      <c r="P114" s="20" t="s">
        <v>117</v>
      </c>
    </row>
    <row r="115" spans="1:16" x14ac:dyDescent="0.3">
      <c r="A115" s="19">
        <f t="shared" si="1"/>
        <v>114</v>
      </c>
      <c r="B115" s="20" t="s">
        <v>87</v>
      </c>
      <c r="C115" s="20" t="s">
        <v>93</v>
      </c>
      <c r="D115" s="21" t="str">
        <f>IF($C115="","",IFERROR(VLOOKUP($C115,Map_Register!$A$2:$C$5,3,FALSE()),""))</f>
        <v>Cultural Heritage Area</v>
      </c>
      <c r="E115" s="20" t="s">
        <v>111</v>
      </c>
      <c r="F115" s="22">
        <v>36696</v>
      </c>
      <c r="G115" s="19" t="s">
        <v>112</v>
      </c>
      <c r="H115" s="19" t="s">
        <v>257</v>
      </c>
      <c r="I115" s="19" t="s">
        <v>8</v>
      </c>
      <c r="J115" s="19" t="s">
        <v>114</v>
      </c>
      <c r="K115" s="19" t="s">
        <v>114</v>
      </c>
      <c r="L115" s="19" t="s">
        <v>151</v>
      </c>
      <c r="M115" s="20" t="s">
        <v>116</v>
      </c>
      <c r="N115" s="20"/>
      <c r="O115" s="20"/>
      <c r="P115" s="20" t="s">
        <v>117</v>
      </c>
    </row>
    <row r="116" spans="1:16" x14ac:dyDescent="0.3">
      <c r="A116" s="19">
        <f t="shared" si="1"/>
        <v>115</v>
      </c>
      <c r="B116" s="20" t="s">
        <v>87</v>
      </c>
      <c r="C116" s="20" t="s">
        <v>93</v>
      </c>
      <c r="D116" s="21" t="str">
        <f>IF($C116="","",IFERROR(VLOOKUP($C116,Map_Register!$A$2:$C$5,3,FALSE()),""))</f>
        <v>Cultural Heritage Area</v>
      </c>
      <c r="E116" s="20" t="s">
        <v>111</v>
      </c>
      <c r="F116" s="22">
        <v>36697</v>
      </c>
      <c r="G116" s="19" t="s">
        <v>112</v>
      </c>
      <c r="H116" s="19" t="s">
        <v>258</v>
      </c>
      <c r="I116" s="19" t="s">
        <v>8</v>
      </c>
      <c r="J116" s="19" t="s">
        <v>114</v>
      </c>
      <c r="K116" s="19" t="s">
        <v>114</v>
      </c>
      <c r="L116" s="19" t="s">
        <v>151</v>
      </c>
      <c r="M116" s="20" t="s">
        <v>116</v>
      </c>
      <c r="N116" s="20"/>
      <c r="O116" s="20"/>
      <c r="P116" s="20" t="s">
        <v>117</v>
      </c>
    </row>
    <row r="117" spans="1:16" x14ac:dyDescent="0.3">
      <c r="A117" s="19">
        <f t="shared" si="1"/>
        <v>116</v>
      </c>
      <c r="B117" s="20" t="s">
        <v>87</v>
      </c>
      <c r="C117" s="20" t="s">
        <v>93</v>
      </c>
      <c r="D117" s="21" t="str">
        <f>IF($C117="","",IFERROR(VLOOKUP($C117,Map_Register!$A$2:$C$5,3,FALSE()),""))</f>
        <v>Cultural Heritage Area</v>
      </c>
      <c r="E117" s="20" t="s">
        <v>111</v>
      </c>
      <c r="F117" s="22">
        <v>36698</v>
      </c>
      <c r="G117" s="19" t="s">
        <v>112</v>
      </c>
      <c r="H117" s="19" t="s">
        <v>259</v>
      </c>
      <c r="I117" s="19" t="s">
        <v>6</v>
      </c>
      <c r="J117" s="19"/>
      <c r="K117" s="19"/>
      <c r="L117" s="19" t="s">
        <v>133</v>
      </c>
      <c r="M117" s="20"/>
      <c r="N117" s="20"/>
      <c r="O117" s="20"/>
      <c r="P117" s="20" t="s">
        <v>117</v>
      </c>
    </row>
    <row r="118" spans="1:16" x14ac:dyDescent="0.3">
      <c r="A118" s="19">
        <f t="shared" si="1"/>
        <v>117</v>
      </c>
      <c r="B118" s="20" t="s">
        <v>87</v>
      </c>
      <c r="C118" s="20" t="s">
        <v>93</v>
      </c>
      <c r="D118" s="21" t="str">
        <f>IF($C118="","",IFERROR(VLOOKUP($C118,Map_Register!$A$2:$C$5,3,FALSE()),""))</f>
        <v>Cultural Heritage Area</v>
      </c>
      <c r="E118" s="20" t="s">
        <v>111</v>
      </c>
      <c r="F118" s="22">
        <v>36699</v>
      </c>
      <c r="G118" s="19" t="s">
        <v>112</v>
      </c>
      <c r="H118" s="19" t="s">
        <v>260</v>
      </c>
      <c r="I118" s="19" t="s">
        <v>8</v>
      </c>
      <c r="J118" s="19" t="s">
        <v>114</v>
      </c>
      <c r="K118" s="19" t="s">
        <v>114</v>
      </c>
      <c r="L118" s="19" t="s">
        <v>151</v>
      </c>
      <c r="M118" s="20" t="s">
        <v>116</v>
      </c>
      <c r="N118" s="20"/>
      <c r="O118" s="20"/>
      <c r="P118" s="20" t="s">
        <v>117</v>
      </c>
    </row>
    <row r="119" spans="1:16" x14ac:dyDescent="0.3">
      <c r="A119" s="19">
        <f t="shared" si="1"/>
        <v>118</v>
      </c>
      <c r="B119" s="20" t="s">
        <v>87</v>
      </c>
      <c r="C119" s="20" t="s">
        <v>93</v>
      </c>
      <c r="D119" s="21" t="str">
        <f>IF($C119="","",IFERROR(VLOOKUP($C119,Map_Register!$A$2:$C$5,3,FALSE()),""))</f>
        <v>Cultural Heritage Area</v>
      </c>
      <c r="E119" s="20" t="s">
        <v>111</v>
      </c>
      <c r="F119" s="22">
        <v>36700</v>
      </c>
      <c r="G119" s="19" t="s">
        <v>112</v>
      </c>
      <c r="H119" s="19" t="s">
        <v>261</v>
      </c>
      <c r="I119" s="19" t="s">
        <v>8</v>
      </c>
      <c r="J119" s="19" t="s">
        <v>114</v>
      </c>
      <c r="K119" s="19" t="s">
        <v>114</v>
      </c>
      <c r="L119" s="19" t="s">
        <v>151</v>
      </c>
      <c r="M119" s="20" t="s">
        <v>116</v>
      </c>
      <c r="N119" s="20"/>
      <c r="O119" s="20"/>
      <c r="P119" s="20" t="s">
        <v>117</v>
      </c>
    </row>
    <row r="120" spans="1:16" x14ac:dyDescent="0.3">
      <c r="A120" s="19">
        <f t="shared" si="1"/>
        <v>119</v>
      </c>
      <c r="B120" s="20" t="s">
        <v>87</v>
      </c>
      <c r="C120" s="20" t="s">
        <v>93</v>
      </c>
      <c r="D120" s="21" t="str">
        <f>IF($C120="","",IFERROR(VLOOKUP($C120,Map_Register!$A$2:$C$5,3,FALSE()),""))</f>
        <v>Cultural Heritage Area</v>
      </c>
      <c r="E120" s="20" t="s">
        <v>111</v>
      </c>
      <c r="F120" s="22">
        <v>36701</v>
      </c>
      <c r="G120" s="19" t="s">
        <v>112</v>
      </c>
      <c r="H120" s="19" t="s">
        <v>262</v>
      </c>
      <c r="I120" s="19" t="s">
        <v>8</v>
      </c>
      <c r="J120" s="19" t="s">
        <v>114</v>
      </c>
      <c r="K120" s="19" t="s">
        <v>114</v>
      </c>
      <c r="L120" s="19" t="s">
        <v>151</v>
      </c>
      <c r="M120" s="20" t="s">
        <v>116</v>
      </c>
      <c r="N120" s="20"/>
      <c r="O120" s="20"/>
      <c r="P120" s="20" t="s">
        <v>117</v>
      </c>
    </row>
    <row r="121" spans="1:16" x14ac:dyDescent="0.3">
      <c r="A121" s="19">
        <f t="shared" si="1"/>
        <v>120</v>
      </c>
      <c r="B121" s="20" t="s">
        <v>87</v>
      </c>
      <c r="C121" s="20" t="s">
        <v>93</v>
      </c>
      <c r="D121" s="21" t="str">
        <f>IF($C121="","",IFERROR(VLOOKUP($C121,Map_Register!$A$2:$C$5,3,FALSE()),""))</f>
        <v>Cultural Heritage Area</v>
      </c>
      <c r="E121" s="20" t="s">
        <v>111</v>
      </c>
      <c r="F121" s="22">
        <v>36702</v>
      </c>
      <c r="G121" s="19" t="s">
        <v>112</v>
      </c>
      <c r="H121" s="19" t="s">
        <v>263</v>
      </c>
      <c r="I121" s="19" t="s">
        <v>8</v>
      </c>
      <c r="J121" s="19" t="s">
        <v>114</v>
      </c>
      <c r="K121" s="19" t="s">
        <v>114</v>
      </c>
      <c r="L121" s="19" t="s">
        <v>151</v>
      </c>
      <c r="M121" s="20" t="s">
        <v>116</v>
      </c>
      <c r="N121" s="20"/>
      <c r="O121" s="20"/>
      <c r="P121" s="20" t="s">
        <v>117</v>
      </c>
    </row>
    <row r="122" spans="1:16" x14ac:dyDescent="0.3">
      <c r="A122" s="19">
        <f t="shared" si="1"/>
        <v>121</v>
      </c>
      <c r="B122" s="20" t="s">
        <v>87</v>
      </c>
      <c r="C122" s="20" t="s">
        <v>93</v>
      </c>
      <c r="D122" s="21" t="str">
        <f>IF($C122="","",IFERROR(VLOOKUP($C122,Map_Register!$A$2:$C$5,3,FALSE()),""))</f>
        <v>Cultural Heritage Area</v>
      </c>
      <c r="E122" s="20" t="s">
        <v>111</v>
      </c>
      <c r="F122" s="22">
        <v>36705</v>
      </c>
      <c r="G122" s="19" t="s">
        <v>112</v>
      </c>
      <c r="H122" s="19" t="s">
        <v>264</v>
      </c>
      <c r="I122" s="19" t="s">
        <v>8</v>
      </c>
      <c r="J122" s="19" t="s">
        <v>114</v>
      </c>
      <c r="K122" s="19" t="s">
        <v>114</v>
      </c>
      <c r="L122" s="19" t="s">
        <v>265</v>
      </c>
      <c r="M122" s="20" t="s">
        <v>116</v>
      </c>
      <c r="N122" s="20"/>
      <c r="O122" s="20"/>
      <c r="P122" s="20" t="s">
        <v>117</v>
      </c>
    </row>
    <row r="123" spans="1:16" x14ac:dyDescent="0.3">
      <c r="A123" s="19">
        <f t="shared" si="1"/>
        <v>122</v>
      </c>
      <c r="B123" s="20" t="s">
        <v>87</v>
      </c>
      <c r="C123" s="20" t="s">
        <v>93</v>
      </c>
      <c r="D123" s="21" t="str">
        <f>IF($C123="","",IFERROR(VLOOKUP($C123,Map_Register!$A$2:$C$5,3,FALSE()),""))</f>
        <v>Cultural Heritage Area</v>
      </c>
      <c r="E123" s="20" t="s">
        <v>111</v>
      </c>
      <c r="F123" s="22">
        <v>36708</v>
      </c>
      <c r="G123" s="19" t="s">
        <v>119</v>
      </c>
      <c r="H123" s="19" t="s">
        <v>266</v>
      </c>
      <c r="I123" s="19" t="s">
        <v>6</v>
      </c>
      <c r="J123" s="19"/>
      <c r="K123" s="19"/>
      <c r="L123" s="19" t="s">
        <v>139</v>
      </c>
      <c r="M123" s="20"/>
      <c r="N123" s="20"/>
      <c r="O123" s="20"/>
      <c r="P123" s="20" t="s">
        <v>117</v>
      </c>
    </row>
    <row r="124" spans="1:16" x14ac:dyDescent="0.3">
      <c r="A124" s="19">
        <f t="shared" si="1"/>
        <v>123</v>
      </c>
      <c r="B124" s="20" t="s">
        <v>87</v>
      </c>
      <c r="C124" s="20" t="s">
        <v>97</v>
      </c>
      <c r="D124" s="21" t="str">
        <f>IF($C124="","",IFERROR(VLOOKUP($C124,Map_Register!$A$2:$C$5,3,FALSE()),""))</f>
        <v>Military Zone</v>
      </c>
      <c r="E124" s="20" t="s">
        <v>111</v>
      </c>
      <c r="F124" s="22">
        <v>36</v>
      </c>
      <c r="G124" s="19" t="s">
        <v>112</v>
      </c>
      <c r="H124" s="19" t="s">
        <v>267</v>
      </c>
      <c r="I124" s="19" t="s">
        <v>8</v>
      </c>
      <c r="J124" s="19" t="s">
        <v>114</v>
      </c>
      <c r="K124" s="19" t="s">
        <v>114</v>
      </c>
      <c r="L124" s="19" t="s">
        <v>151</v>
      </c>
      <c r="M124" s="20" t="s">
        <v>116</v>
      </c>
      <c r="N124" s="20"/>
      <c r="O124" s="20"/>
      <c r="P124" s="20" t="s">
        <v>117</v>
      </c>
    </row>
    <row r="125" spans="1:16" x14ac:dyDescent="0.3">
      <c r="A125" s="19">
        <f t="shared" si="1"/>
        <v>124</v>
      </c>
      <c r="B125" s="20" t="s">
        <v>87</v>
      </c>
      <c r="C125" s="20" t="s">
        <v>97</v>
      </c>
      <c r="D125" s="21" t="str">
        <f>IF($C125="","",IFERROR(VLOOKUP($C125,Map_Register!$A$2:$C$5,3,FALSE()),""))</f>
        <v>Military Zone</v>
      </c>
      <c r="E125" s="20" t="s">
        <v>111</v>
      </c>
      <c r="F125" s="22">
        <v>39</v>
      </c>
      <c r="G125" s="19" t="s">
        <v>112</v>
      </c>
      <c r="H125" s="19" t="s">
        <v>268</v>
      </c>
      <c r="I125" s="19" t="s">
        <v>8</v>
      </c>
      <c r="J125" s="19" t="s">
        <v>114</v>
      </c>
      <c r="K125" s="19" t="s">
        <v>114</v>
      </c>
      <c r="L125" s="19" t="s">
        <v>151</v>
      </c>
      <c r="M125" s="20" t="s">
        <v>116</v>
      </c>
      <c r="N125" s="20"/>
      <c r="O125" s="20"/>
      <c r="P125" s="20" t="s">
        <v>117</v>
      </c>
    </row>
    <row r="126" spans="1:16" x14ac:dyDescent="0.3">
      <c r="A126" s="19">
        <f t="shared" si="1"/>
        <v>125</v>
      </c>
      <c r="B126" s="20" t="s">
        <v>87</v>
      </c>
      <c r="C126" s="20" t="s">
        <v>97</v>
      </c>
      <c r="D126" s="21" t="str">
        <f>IF($C126="","",IFERROR(VLOOKUP($C126,Map_Register!$A$2:$C$5,3,FALSE()),""))</f>
        <v>Military Zone</v>
      </c>
      <c r="E126" s="20" t="s">
        <v>111</v>
      </c>
      <c r="F126" s="22">
        <v>230</v>
      </c>
      <c r="G126" s="19" t="s">
        <v>112</v>
      </c>
      <c r="H126" s="19" t="s">
        <v>269</v>
      </c>
      <c r="I126" s="19" t="s">
        <v>8</v>
      </c>
      <c r="J126" s="19" t="s">
        <v>114</v>
      </c>
      <c r="K126" t="s">
        <v>114</v>
      </c>
      <c r="L126" s="19" t="s">
        <v>165</v>
      </c>
      <c r="M126" s="20" t="s">
        <v>116</v>
      </c>
      <c r="N126" s="20"/>
      <c r="O126" s="20"/>
      <c r="P126" s="20" t="s">
        <v>117</v>
      </c>
    </row>
    <row r="127" spans="1:16" x14ac:dyDescent="0.3">
      <c r="A127" s="19">
        <f t="shared" si="1"/>
        <v>126</v>
      </c>
      <c r="B127" s="20" t="s">
        <v>87</v>
      </c>
      <c r="C127" s="20" t="s">
        <v>97</v>
      </c>
      <c r="D127" s="21" t="str">
        <f>IF($C127="","",IFERROR(VLOOKUP($C127,Map_Register!$A$2:$C$5,3,FALSE()),""))</f>
        <v>Military Zone</v>
      </c>
      <c r="E127" s="20" t="s">
        <v>111</v>
      </c>
      <c r="F127" s="22">
        <v>1006</v>
      </c>
      <c r="G127" s="19" t="s">
        <v>112</v>
      </c>
      <c r="H127" s="19" t="s">
        <v>270</v>
      </c>
      <c r="I127" s="19" t="s">
        <v>8</v>
      </c>
      <c r="J127" s="19" t="s">
        <v>114</v>
      </c>
      <c r="K127" s="19" t="s">
        <v>114</v>
      </c>
      <c r="L127" s="19" t="s">
        <v>151</v>
      </c>
      <c r="M127" s="20" t="s">
        <v>116</v>
      </c>
      <c r="N127" s="20"/>
      <c r="O127" s="20"/>
      <c r="P127" s="20" t="s">
        <v>117</v>
      </c>
    </row>
    <row r="128" spans="1:16" x14ac:dyDescent="0.3">
      <c r="A128" s="19">
        <f t="shared" si="1"/>
        <v>127</v>
      </c>
      <c r="B128" s="20" t="s">
        <v>87</v>
      </c>
      <c r="C128" s="20" t="s">
        <v>97</v>
      </c>
      <c r="D128" s="21" t="str">
        <f>IF($C128="","",IFERROR(VLOOKUP($C128,Map_Register!$A$2:$C$5,3,FALSE()),""))</f>
        <v>Military Zone</v>
      </c>
      <c r="E128" s="20" t="s">
        <v>111</v>
      </c>
      <c r="F128" s="22">
        <v>1007</v>
      </c>
      <c r="G128" s="19" t="s">
        <v>112</v>
      </c>
      <c r="H128" s="19" t="s">
        <v>271</v>
      </c>
      <c r="I128" s="19" t="s">
        <v>8</v>
      </c>
      <c r="J128" s="19" t="s">
        <v>114</v>
      </c>
      <c r="K128" s="19" t="s">
        <v>114</v>
      </c>
      <c r="L128" s="19" t="s">
        <v>151</v>
      </c>
      <c r="M128" s="20" t="s">
        <v>116</v>
      </c>
      <c r="N128" s="20"/>
      <c r="O128" s="20"/>
      <c r="P128" s="20" t="s">
        <v>117</v>
      </c>
    </row>
    <row r="129" spans="1:16" x14ac:dyDescent="0.3">
      <c r="A129" s="19">
        <f t="shared" si="1"/>
        <v>128</v>
      </c>
      <c r="B129" s="20" t="s">
        <v>87</v>
      </c>
      <c r="C129" s="20" t="s">
        <v>97</v>
      </c>
      <c r="D129" s="21" t="str">
        <f>IF($C129="","",IFERROR(VLOOKUP($C129,Map_Register!$A$2:$C$5,3,FALSE()),""))</f>
        <v>Military Zone</v>
      </c>
      <c r="E129" s="20" t="s">
        <v>111</v>
      </c>
      <c r="F129" s="22">
        <v>1597</v>
      </c>
      <c r="G129" s="19" t="s">
        <v>112</v>
      </c>
      <c r="H129" s="19" t="s">
        <v>272</v>
      </c>
      <c r="I129" s="19" t="s">
        <v>8</v>
      </c>
      <c r="J129" s="19" t="s">
        <v>114</v>
      </c>
      <c r="K129" s="19" t="s">
        <v>114</v>
      </c>
      <c r="L129" s="19" t="s">
        <v>151</v>
      </c>
      <c r="M129" s="20" t="s">
        <v>116</v>
      </c>
      <c r="N129" s="20"/>
      <c r="O129" s="20"/>
      <c r="P129" s="20" t="s">
        <v>117</v>
      </c>
    </row>
    <row r="130" spans="1:16" x14ac:dyDescent="0.3">
      <c r="A130" s="19">
        <f t="shared" ref="A130:A193" si="2">IF($B130="","",ROW()-1)</f>
        <v>129</v>
      </c>
      <c r="B130" s="20" t="s">
        <v>87</v>
      </c>
      <c r="C130" s="20" t="s">
        <v>97</v>
      </c>
      <c r="D130" s="21" t="str">
        <f>IF($C130="","",IFERROR(VLOOKUP($C130,Map_Register!$A$2:$C$5,3,FALSE()),""))</f>
        <v>Military Zone</v>
      </c>
      <c r="E130" s="20" t="s">
        <v>111</v>
      </c>
      <c r="F130" s="22">
        <v>1656</v>
      </c>
      <c r="G130" s="19" t="s">
        <v>112</v>
      </c>
      <c r="H130" s="19" t="s">
        <v>273</v>
      </c>
      <c r="I130" s="19" t="s">
        <v>8</v>
      </c>
      <c r="J130" s="19" t="s">
        <v>114</v>
      </c>
      <c r="K130" t="s">
        <v>114</v>
      </c>
      <c r="L130" s="19" t="s">
        <v>165</v>
      </c>
      <c r="M130" s="20" t="s">
        <v>116</v>
      </c>
      <c r="N130" s="20"/>
      <c r="O130" s="20"/>
      <c r="P130" s="20" t="s">
        <v>117</v>
      </c>
    </row>
    <row r="131" spans="1:16" x14ac:dyDescent="0.3">
      <c r="A131" s="19">
        <f t="shared" si="2"/>
        <v>130</v>
      </c>
      <c r="B131" s="20" t="s">
        <v>87</v>
      </c>
      <c r="C131" s="20" t="s">
        <v>97</v>
      </c>
      <c r="D131" s="21" t="str">
        <f>IF($C131="","",IFERROR(VLOOKUP($C131,Map_Register!$A$2:$C$5,3,FALSE()),""))</f>
        <v>Military Zone</v>
      </c>
      <c r="E131" s="20" t="s">
        <v>111</v>
      </c>
      <c r="F131" s="22">
        <v>1841</v>
      </c>
      <c r="G131" s="19" t="s">
        <v>112</v>
      </c>
      <c r="H131" s="19" t="s">
        <v>274</v>
      </c>
      <c r="I131" s="19" t="s">
        <v>8</v>
      </c>
      <c r="J131" s="19" t="s">
        <v>114</v>
      </c>
      <c r="K131" s="19" t="s">
        <v>114</v>
      </c>
      <c r="L131" s="19" t="s">
        <v>151</v>
      </c>
      <c r="M131" s="20" t="s">
        <v>116</v>
      </c>
      <c r="N131" s="20"/>
      <c r="O131" s="20"/>
      <c r="P131" s="20" t="s">
        <v>117</v>
      </c>
    </row>
    <row r="132" spans="1:16" x14ac:dyDescent="0.3">
      <c r="A132" s="19">
        <f t="shared" si="2"/>
        <v>131</v>
      </c>
      <c r="B132" s="20" t="s">
        <v>87</v>
      </c>
      <c r="C132" s="20" t="s">
        <v>97</v>
      </c>
      <c r="D132" s="21" t="str">
        <f>IF($C132="","",IFERROR(VLOOKUP($C132,Map_Register!$A$2:$C$5,3,FALSE()),""))</f>
        <v>Military Zone</v>
      </c>
      <c r="E132" s="20" t="s">
        <v>111</v>
      </c>
      <c r="F132" s="22">
        <v>1844</v>
      </c>
      <c r="G132" s="19" t="s">
        <v>112</v>
      </c>
      <c r="H132" s="19" t="s">
        <v>275</v>
      </c>
      <c r="I132" s="19" t="s">
        <v>6</v>
      </c>
      <c r="J132" s="19"/>
      <c r="K132" s="19"/>
      <c r="L132" s="19" t="s">
        <v>276</v>
      </c>
      <c r="M132" s="20"/>
      <c r="N132" s="20"/>
      <c r="O132" s="20"/>
      <c r="P132" s="20" t="s">
        <v>117</v>
      </c>
    </row>
    <row r="133" spans="1:16" x14ac:dyDescent="0.3">
      <c r="A133" s="19">
        <f t="shared" si="2"/>
        <v>132</v>
      </c>
      <c r="B133" s="20" t="s">
        <v>87</v>
      </c>
      <c r="C133" s="20" t="s">
        <v>97</v>
      </c>
      <c r="D133" s="21" t="str">
        <f>IF($C133="","",IFERROR(VLOOKUP($C133,Map_Register!$A$2:$C$5,3,FALSE()),""))</f>
        <v>Military Zone</v>
      </c>
      <c r="E133" s="20" t="s">
        <v>111</v>
      </c>
      <c r="F133" s="22">
        <v>1845</v>
      </c>
      <c r="G133" s="19" t="s">
        <v>112</v>
      </c>
      <c r="H133" s="19" t="s">
        <v>277</v>
      </c>
      <c r="I133" s="19" t="s">
        <v>8</v>
      </c>
      <c r="J133" s="19" t="s">
        <v>114</v>
      </c>
      <c r="K133" s="19" t="s">
        <v>114</v>
      </c>
      <c r="L133" s="19" t="s">
        <v>278</v>
      </c>
      <c r="M133" s="20" t="s">
        <v>116</v>
      </c>
      <c r="N133" s="20"/>
      <c r="O133" s="20"/>
      <c r="P133" s="20" t="s">
        <v>117</v>
      </c>
    </row>
    <row r="134" spans="1:16" x14ac:dyDescent="0.3">
      <c r="A134" s="19">
        <f t="shared" si="2"/>
        <v>133</v>
      </c>
      <c r="B134" s="20" t="s">
        <v>87</v>
      </c>
      <c r="C134" s="20" t="s">
        <v>97</v>
      </c>
      <c r="D134" s="21" t="str">
        <f>IF($C134="","",IFERROR(VLOOKUP($C134,Map_Register!$A$2:$C$5,3,FALSE()),""))</f>
        <v>Military Zone</v>
      </c>
      <c r="E134" s="20" t="s">
        <v>111</v>
      </c>
      <c r="F134" s="22">
        <v>1849</v>
      </c>
      <c r="G134" s="19" t="s">
        <v>112</v>
      </c>
      <c r="H134" s="19" t="s">
        <v>279</v>
      </c>
      <c r="I134" s="19" t="s">
        <v>6</v>
      </c>
      <c r="J134" s="19"/>
      <c r="K134" s="19"/>
      <c r="L134" s="19" t="s">
        <v>227</v>
      </c>
      <c r="M134" s="20"/>
      <c r="N134" s="20"/>
      <c r="O134" s="20"/>
      <c r="P134" s="20" t="s">
        <v>117</v>
      </c>
    </row>
    <row r="135" spans="1:16" x14ac:dyDescent="0.3">
      <c r="A135" s="19">
        <f t="shared" si="2"/>
        <v>134</v>
      </c>
      <c r="B135" s="20" t="s">
        <v>87</v>
      </c>
      <c r="C135" s="20" t="s">
        <v>97</v>
      </c>
      <c r="D135" s="21" t="str">
        <f>IF($C135="","",IFERROR(VLOOKUP($C135,Map_Register!$A$2:$C$5,3,FALSE()),""))</f>
        <v>Military Zone</v>
      </c>
      <c r="E135" s="20" t="s">
        <v>111</v>
      </c>
      <c r="F135" s="22">
        <v>1853</v>
      </c>
      <c r="G135" s="19" t="s">
        <v>112</v>
      </c>
      <c r="H135" s="19" t="s">
        <v>280</v>
      </c>
      <c r="I135" s="19" t="s">
        <v>6</v>
      </c>
      <c r="J135" s="19"/>
      <c r="K135" s="19"/>
      <c r="L135" s="19" t="s">
        <v>281</v>
      </c>
      <c r="M135" s="20"/>
      <c r="N135" s="20"/>
      <c r="O135" s="20"/>
      <c r="P135" s="20" t="s">
        <v>117</v>
      </c>
    </row>
    <row r="136" spans="1:16" x14ac:dyDescent="0.3">
      <c r="A136" s="19">
        <f t="shared" si="2"/>
        <v>135</v>
      </c>
      <c r="B136" s="20" t="s">
        <v>87</v>
      </c>
      <c r="C136" s="20" t="s">
        <v>97</v>
      </c>
      <c r="D136" s="21" t="str">
        <f>IF($C136="","",IFERROR(VLOOKUP($C136,Map_Register!$A$2:$C$5,3,FALSE()),""))</f>
        <v>Military Zone</v>
      </c>
      <c r="E136" s="20" t="s">
        <v>111</v>
      </c>
      <c r="F136" s="22">
        <v>1854</v>
      </c>
      <c r="G136" s="19" t="s">
        <v>112</v>
      </c>
      <c r="H136" s="19" t="s">
        <v>282</v>
      </c>
      <c r="I136" s="19" t="s">
        <v>8</v>
      </c>
      <c r="J136" s="19" t="s">
        <v>114</v>
      </c>
      <c r="K136" s="19" t="s">
        <v>114</v>
      </c>
      <c r="L136" s="19" t="s">
        <v>151</v>
      </c>
      <c r="M136" s="20" t="s">
        <v>116</v>
      </c>
      <c r="N136" s="20"/>
      <c r="O136" s="20"/>
      <c r="P136" s="20" t="s">
        <v>117</v>
      </c>
    </row>
    <row r="137" spans="1:16" x14ac:dyDescent="0.3">
      <c r="A137" s="19">
        <f t="shared" si="2"/>
        <v>136</v>
      </c>
      <c r="B137" s="20" t="s">
        <v>87</v>
      </c>
      <c r="C137" s="20" t="s">
        <v>97</v>
      </c>
      <c r="D137" s="21" t="str">
        <f>IF($C137="","",IFERROR(VLOOKUP($C137,Map_Register!$A$2:$C$5,3,FALSE()),""))</f>
        <v>Military Zone</v>
      </c>
      <c r="E137" s="20" t="s">
        <v>111</v>
      </c>
      <c r="F137" s="22">
        <v>1855</v>
      </c>
      <c r="G137" s="19" t="s">
        <v>112</v>
      </c>
      <c r="H137" s="19" t="s">
        <v>283</v>
      </c>
      <c r="I137" s="19" t="s">
        <v>6</v>
      </c>
      <c r="J137" s="19"/>
      <c r="K137" s="19"/>
      <c r="L137" s="19" t="s">
        <v>284</v>
      </c>
      <c r="M137" s="20"/>
      <c r="N137" s="20"/>
      <c r="O137" s="20"/>
      <c r="P137" s="20" t="s">
        <v>117</v>
      </c>
    </row>
    <row r="138" spans="1:16" x14ac:dyDescent="0.3">
      <c r="A138" s="19">
        <f t="shared" si="2"/>
        <v>137</v>
      </c>
      <c r="B138" s="20" t="s">
        <v>87</v>
      </c>
      <c r="C138" s="20" t="s">
        <v>97</v>
      </c>
      <c r="D138" s="21" t="str">
        <f>IF($C138="","",IFERROR(VLOOKUP($C138,Map_Register!$A$2:$C$5,3,FALSE()),""))</f>
        <v>Military Zone</v>
      </c>
      <c r="E138" s="20" t="s">
        <v>111</v>
      </c>
      <c r="F138" s="22">
        <v>1856</v>
      </c>
      <c r="G138" s="19" t="s">
        <v>112</v>
      </c>
      <c r="H138" s="19" t="s">
        <v>285</v>
      </c>
      <c r="I138" s="19" t="s">
        <v>6</v>
      </c>
      <c r="J138" s="19"/>
      <c r="K138" s="19"/>
      <c r="L138" s="19" t="s">
        <v>227</v>
      </c>
      <c r="M138" s="20"/>
      <c r="N138" s="20"/>
      <c r="O138" s="20"/>
      <c r="P138" s="20" t="s">
        <v>117</v>
      </c>
    </row>
    <row r="139" spans="1:16" x14ac:dyDescent="0.3">
      <c r="A139" s="19">
        <f t="shared" si="2"/>
        <v>138</v>
      </c>
      <c r="B139" s="20" t="s">
        <v>87</v>
      </c>
      <c r="C139" s="20" t="s">
        <v>97</v>
      </c>
      <c r="D139" s="21" t="str">
        <f>IF($C139="","",IFERROR(VLOOKUP($C139,Map_Register!$A$2:$C$5,3,FALSE()),""))</f>
        <v>Military Zone</v>
      </c>
      <c r="E139" s="20" t="s">
        <v>111</v>
      </c>
      <c r="F139" s="22">
        <v>1999</v>
      </c>
      <c r="G139" s="19" t="s">
        <v>112</v>
      </c>
      <c r="H139" s="19" t="s">
        <v>286</v>
      </c>
      <c r="I139" s="19" t="s">
        <v>6</v>
      </c>
      <c r="J139" s="19"/>
      <c r="K139" s="19"/>
      <c r="L139" s="19" t="s">
        <v>227</v>
      </c>
      <c r="M139" s="20"/>
      <c r="N139" s="20"/>
      <c r="O139" s="20"/>
      <c r="P139" s="20" t="s">
        <v>117</v>
      </c>
    </row>
    <row r="140" spans="1:16" x14ac:dyDescent="0.3">
      <c r="A140" s="19">
        <f t="shared" si="2"/>
        <v>139</v>
      </c>
      <c r="B140" s="20" t="s">
        <v>87</v>
      </c>
      <c r="C140" s="20" t="s">
        <v>97</v>
      </c>
      <c r="D140" s="21" t="str">
        <f>IF($C140="","",IFERROR(VLOOKUP($C140,Map_Register!$A$2:$C$5,3,FALSE()),""))</f>
        <v>Military Zone</v>
      </c>
      <c r="E140" s="20" t="s">
        <v>111</v>
      </c>
      <c r="F140" s="22">
        <v>2000</v>
      </c>
      <c r="G140" s="19" t="s">
        <v>112</v>
      </c>
      <c r="H140" s="19" t="s">
        <v>287</v>
      </c>
      <c r="I140" s="19" t="s">
        <v>8</v>
      </c>
      <c r="J140" s="19" t="s">
        <v>114</v>
      </c>
      <c r="K140" s="19" t="s">
        <v>114</v>
      </c>
      <c r="L140" s="19" t="s">
        <v>151</v>
      </c>
      <c r="M140" s="20" t="s">
        <v>116</v>
      </c>
      <c r="N140" s="20"/>
      <c r="O140" s="20"/>
      <c r="P140" s="20" t="s">
        <v>117</v>
      </c>
    </row>
    <row r="141" spans="1:16" x14ac:dyDescent="0.3">
      <c r="A141" s="19">
        <f t="shared" si="2"/>
        <v>140</v>
      </c>
      <c r="B141" s="20" t="s">
        <v>87</v>
      </c>
      <c r="C141" s="20" t="s">
        <v>97</v>
      </c>
      <c r="D141" s="21" t="str">
        <f>IF($C141="","",IFERROR(VLOOKUP($C141,Map_Register!$A$2:$C$5,3,FALSE()),""))</f>
        <v>Military Zone</v>
      </c>
      <c r="E141" s="20" t="s">
        <v>111</v>
      </c>
      <c r="F141" s="22">
        <v>2001</v>
      </c>
      <c r="G141" s="19" t="s">
        <v>112</v>
      </c>
      <c r="H141" s="19" t="s">
        <v>288</v>
      </c>
      <c r="I141" s="19" t="s">
        <v>8</v>
      </c>
      <c r="J141" s="19" t="s">
        <v>114</v>
      </c>
      <c r="K141" s="19" t="s">
        <v>114</v>
      </c>
      <c r="L141" s="19" t="s">
        <v>151</v>
      </c>
      <c r="M141" s="20" t="s">
        <v>116</v>
      </c>
      <c r="N141" s="20"/>
      <c r="O141" s="20"/>
      <c r="P141" s="20" t="s">
        <v>117</v>
      </c>
    </row>
    <row r="142" spans="1:16" x14ac:dyDescent="0.3">
      <c r="A142" s="19">
        <f t="shared" si="2"/>
        <v>141</v>
      </c>
      <c r="B142" s="20" t="s">
        <v>87</v>
      </c>
      <c r="C142" s="20" t="s">
        <v>97</v>
      </c>
      <c r="D142" s="21" t="str">
        <f>IF($C142="","",IFERROR(VLOOKUP($C142,Map_Register!$A$2:$C$5,3,FALSE()),""))</f>
        <v>Military Zone</v>
      </c>
      <c r="E142" s="20" t="s">
        <v>111</v>
      </c>
      <c r="F142" s="22">
        <v>2274</v>
      </c>
      <c r="G142" s="19" t="s">
        <v>112</v>
      </c>
      <c r="H142" s="19" t="s">
        <v>289</v>
      </c>
      <c r="I142" s="19" t="s">
        <v>8</v>
      </c>
      <c r="J142" s="19" t="s">
        <v>114</v>
      </c>
      <c r="K142" t="s">
        <v>114</v>
      </c>
      <c r="L142" s="19" t="s">
        <v>165</v>
      </c>
      <c r="M142" s="20" t="s">
        <v>116</v>
      </c>
      <c r="N142" s="20"/>
      <c r="O142" s="20"/>
      <c r="P142" s="20" t="s">
        <v>117</v>
      </c>
    </row>
    <row r="143" spans="1:16" x14ac:dyDescent="0.3">
      <c r="A143" s="19">
        <f t="shared" si="2"/>
        <v>142</v>
      </c>
      <c r="B143" s="20" t="s">
        <v>87</v>
      </c>
      <c r="C143" s="20" t="s">
        <v>97</v>
      </c>
      <c r="D143" s="21" t="str">
        <f>IF($C143="","",IFERROR(VLOOKUP($C143,Map_Register!$A$2:$C$5,3,FALSE()),""))</f>
        <v>Military Zone</v>
      </c>
      <c r="E143" s="20" t="s">
        <v>111</v>
      </c>
      <c r="F143" s="22">
        <v>2477</v>
      </c>
      <c r="G143" s="19" t="s">
        <v>112</v>
      </c>
      <c r="H143" s="19" t="s">
        <v>290</v>
      </c>
      <c r="I143" s="19" t="s">
        <v>8</v>
      </c>
      <c r="J143" s="19" t="s">
        <v>114</v>
      </c>
      <c r="K143" s="19" t="s">
        <v>114</v>
      </c>
      <c r="L143" s="19" t="s">
        <v>151</v>
      </c>
      <c r="M143" s="20" t="s">
        <v>116</v>
      </c>
      <c r="N143" s="20"/>
      <c r="O143" s="20"/>
      <c r="P143" s="20" t="s">
        <v>117</v>
      </c>
    </row>
    <row r="144" spans="1:16" x14ac:dyDescent="0.3">
      <c r="A144" s="19">
        <f t="shared" si="2"/>
        <v>143</v>
      </c>
      <c r="B144" s="20" t="s">
        <v>87</v>
      </c>
      <c r="C144" s="20" t="s">
        <v>97</v>
      </c>
      <c r="D144" s="21" t="str">
        <f>IF($C144="","",IFERROR(VLOOKUP($C144,Map_Register!$A$2:$C$5,3,FALSE()),""))</f>
        <v>Military Zone</v>
      </c>
      <c r="E144" s="20" t="s">
        <v>111</v>
      </c>
      <c r="F144" s="22">
        <v>2479</v>
      </c>
      <c r="G144" s="19" t="s">
        <v>112</v>
      </c>
      <c r="H144" s="19" t="s">
        <v>291</v>
      </c>
      <c r="I144" s="19" t="s">
        <v>6</v>
      </c>
      <c r="J144" s="19"/>
      <c r="K144" s="19"/>
      <c r="L144" s="19" t="s">
        <v>292</v>
      </c>
      <c r="M144" s="20"/>
      <c r="N144" s="20"/>
      <c r="O144" s="20"/>
      <c r="P144" s="20" t="s">
        <v>117</v>
      </c>
    </row>
    <row r="145" spans="1:16" x14ac:dyDescent="0.3">
      <c r="A145" s="19">
        <f t="shared" si="2"/>
        <v>144</v>
      </c>
      <c r="B145" s="20" t="s">
        <v>87</v>
      </c>
      <c r="C145" s="20" t="s">
        <v>97</v>
      </c>
      <c r="D145" s="21" t="str">
        <f>IF($C145="","",IFERROR(VLOOKUP($C145,Map_Register!$A$2:$C$5,3,FALSE()),""))</f>
        <v>Military Zone</v>
      </c>
      <c r="E145" s="20" t="s">
        <v>111</v>
      </c>
      <c r="F145" s="22">
        <v>2617</v>
      </c>
      <c r="G145" s="19" t="s">
        <v>112</v>
      </c>
      <c r="H145" s="19" t="s">
        <v>293</v>
      </c>
      <c r="I145" s="19" t="s">
        <v>8</v>
      </c>
      <c r="J145" s="19" t="s">
        <v>114</v>
      </c>
      <c r="K145" s="19" t="s">
        <v>114</v>
      </c>
      <c r="L145" s="19" t="s">
        <v>151</v>
      </c>
      <c r="M145" s="20" t="s">
        <v>116</v>
      </c>
      <c r="N145" s="20"/>
      <c r="O145" s="20"/>
      <c r="P145" s="20" t="s">
        <v>117</v>
      </c>
    </row>
    <row r="146" spans="1:16" x14ac:dyDescent="0.3">
      <c r="A146" s="19">
        <f t="shared" si="2"/>
        <v>145</v>
      </c>
      <c r="B146" s="20" t="s">
        <v>87</v>
      </c>
      <c r="C146" s="20" t="s">
        <v>97</v>
      </c>
      <c r="D146" s="21" t="str">
        <f>IF($C146="","",IFERROR(VLOOKUP($C146,Map_Register!$A$2:$C$5,3,FALSE()),""))</f>
        <v>Military Zone</v>
      </c>
      <c r="E146" s="20" t="s">
        <v>111</v>
      </c>
      <c r="F146" s="22">
        <v>2640</v>
      </c>
      <c r="G146" s="19" t="s">
        <v>112</v>
      </c>
      <c r="H146" s="19" t="s">
        <v>294</v>
      </c>
      <c r="I146" s="19" t="s">
        <v>8</v>
      </c>
      <c r="J146" s="19" t="s">
        <v>114</v>
      </c>
      <c r="K146" s="19" t="s">
        <v>114</v>
      </c>
      <c r="L146" s="19" t="s">
        <v>151</v>
      </c>
      <c r="M146" s="20" t="s">
        <v>116</v>
      </c>
      <c r="N146" s="20"/>
      <c r="O146" s="20"/>
      <c r="P146" s="20" t="s">
        <v>117</v>
      </c>
    </row>
    <row r="147" spans="1:16" x14ac:dyDescent="0.3">
      <c r="A147" s="19">
        <f t="shared" si="2"/>
        <v>146</v>
      </c>
      <c r="B147" s="20" t="s">
        <v>87</v>
      </c>
      <c r="C147" s="20" t="s">
        <v>97</v>
      </c>
      <c r="D147" s="21" t="str">
        <f>IF($C147="","",IFERROR(VLOOKUP($C147,Map_Register!$A$2:$C$5,3,FALSE()),""))</f>
        <v>Military Zone</v>
      </c>
      <c r="E147" s="20" t="s">
        <v>111</v>
      </c>
      <c r="F147" s="22">
        <v>3496</v>
      </c>
      <c r="G147" s="19" t="s">
        <v>112</v>
      </c>
      <c r="H147" s="19" t="s">
        <v>295</v>
      </c>
      <c r="I147" s="19" t="s">
        <v>8</v>
      </c>
      <c r="J147" s="19" t="s">
        <v>114</v>
      </c>
      <c r="K147" s="19" t="s">
        <v>114</v>
      </c>
      <c r="L147" s="19" t="s">
        <v>151</v>
      </c>
      <c r="M147" s="20" t="s">
        <v>116</v>
      </c>
      <c r="N147" s="20"/>
      <c r="O147" s="20"/>
      <c r="P147" s="20" t="s">
        <v>117</v>
      </c>
    </row>
    <row r="148" spans="1:16" x14ac:dyDescent="0.3">
      <c r="A148" s="19">
        <f t="shared" si="2"/>
        <v>147</v>
      </c>
      <c r="B148" s="20" t="s">
        <v>87</v>
      </c>
      <c r="C148" s="20" t="s">
        <v>97</v>
      </c>
      <c r="D148" s="21" t="str">
        <f>IF($C148="","",IFERROR(VLOOKUP($C148,Map_Register!$A$2:$C$5,3,FALSE()),""))</f>
        <v>Military Zone</v>
      </c>
      <c r="E148" s="20" t="s">
        <v>111</v>
      </c>
      <c r="F148" s="22">
        <v>3497</v>
      </c>
      <c r="G148" s="19" t="s">
        <v>112</v>
      </c>
      <c r="H148" s="19" t="s">
        <v>296</v>
      </c>
      <c r="I148" s="19" t="s">
        <v>8</v>
      </c>
      <c r="J148" s="19" t="s">
        <v>114</v>
      </c>
      <c r="K148" s="19" t="s">
        <v>114</v>
      </c>
      <c r="L148" s="19" t="s">
        <v>151</v>
      </c>
      <c r="M148" s="20" t="s">
        <v>116</v>
      </c>
      <c r="N148" s="20"/>
      <c r="O148" s="20"/>
      <c r="P148" s="20" t="s">
        <v>117</v>
      </c>
    </row>
    <row r="149" spans="1:16" x14ac:dyDescent="0.3">
      <c r="A149" s="19">
        <f t="shared" si="2"/>
        <v>148</v>
      </c>
      <c r="B149" s="20" t="s">
        <v>87</v>
      </c>
      <c r="C149" s="20" t="s">
        <v>97</v>
      </c>
      <c r="D149" s="21" t="str">
        <f>IF($C149="","",IFERROR(VLOOKUP($C149,Map_Register!$A$2:$C$5,3,FALSE()),""))</f>
        <v>Military Zone</v>
      </c>
      <c r="E149" s="20" t="s">
        <v>111</v>
      </c>
      <c r="F149" s="22">
        <v>3536</v>
      </c>
      <c r="G149" s="19" t="s">
        <v>112</v>
      </c>
      <c r="H149" s="19" t="s">
        <v>297</v>
      </c>
      <c r="I149" s="19" t="s">
        <v>8</v>
      </c>
      <c r="J149" s="19" t="s">
        <v>114</v>
      </c>
      <c r="K149" s="19" t="s">
        <v>114</v>
      </c>
      <c r="L149" s="19" t="s">
        <v>151</v>
      </c>
      <c r="M149" s="20" t="s">
        <v>116</v>
      </c>
      <c r="N149" s="20"/>
      <c r="O149" s="20"/>
      <c r="P149" s="20" t="s">
        <v>117</v>
      </c>
    </row>
    <row r="150" spans="1:16" x14ac:dyDescent="0.3">
      <c r="A150" s="19">
        <f t="shared" si="2"/>
        <v>149</v>
      </c>
      <c r="B150" s="20" t="s">
        <v>87</v>
      </c>
      <c r="C150" s="20" t="s">
        <v>97</v>
      </c>
      <c r="D150" s="21" t="str">
        <f>IF($C150="","",IFERROR(VLOOKUP($C150,Map_Register!$A$2:$C$5,3,FALSE()),""))</f>
        <v>Military Zone</v>
      </c>
      <c r="E150" s="20" t="s">
        <v>111</v>
      </c>
      <c r="F150" s="22">
        <v>3572</v>
      </c>
      <c r="G150" s="19" t="s">
        <v>112</v>
      </c>
      <c r="H150" s="19" t="s">
        <v>298</v>
      </c>
      <c r="I150" s="19" t="s">
        <v>8</v>
      </c>
      <c r="J150" s="19" t="s">
        <v>114</v>
      </c>
      <c r="K150" s="19" t="s">
        <v>114</v>
      </c>
      <c r="L150" s="19" t="s">
        <v>151</v>
      </c>
      <c r="M150" s="20" t="s">
        <v>116</v>
      </c>
      <c r="N150" s="20"/>
      <c r="O150" s="20"/>
      <c r="P150" s="20" t="s">
        <v>117</v>
      </c>
    </row>
    <row r="151" spans="1:16" x14ac:dyDescent="0.3">
      <c r="A151" s="19">
        <f t="shared" si="2"/>
        <v>150</v>
      </c>
      <c r="B151" s="20" t="s">
        <v>87</v>
      </c>
      <c r="C151" s="20" t="s">
        <v>97</v>
      </c>
      <c r="D151" s="21" t="str">
        <f>IF($C151="","",IFERROR(VLOOKUP($C151,Map_Register!$A$2:$C$5,3,FALSE()),""))</f>
        <v>Military Zone</v>
      </c>
      <c r="E151" s="20" t="s">
        <v>111</v>
      </c>
      <c r="F151" s="22">
        <v>4128</v>
      </c>
      <c r="G151" s="19" t="s">
        <v>112</v>
      </c>
      <c r="H151" s="19" t="s">
        <v>299</v>
      </c>
      <c r="I151" s="19" t="s">
        <v>8</v>
      </c>
      <c r="J151" s="19" t="s">
        <v>114</v>
      </c>
      <c r="K151" s="19" t="s">
        <v>114</v>
      </c>
      <c r="L151" s="19" t="s">
        <v>151</v>
      </c>
      <c r="M151" s="20" t="s">
        <v>116</v>
      </c>
      <c r="N151" s="20"/>
      <c r="O151" s="20"/>
      <c r="P151" s="20" t="s">
        <v>117</v>
      </c>
    </row>
    <row r="152" spans="1:16" x14ac:dyDescent="0.3">
      <c r="A152" s="19">
        <f t="shared" si="2"/>
        <v>151</v>
      </c>
      <c r="B152" s="20" t="s">
        <v>87</v>
      </c>
      <c r="C152" s="20" t="s">
        <v>97</v>
      </c>
      <c r="D152" s="21" t="str">
        <f>IF($C152="","",IFERROR(VLOOKUP($C152,Map_Register!$A$2:$C$5,3,FALSE()),""))</f>
        <v>Military Zone</v>
      </c>
      <c r="E152" s="20" t="s">
        <v>111</v>
      </c>
      <c r="F152" s="22">
        <v>4129</v>
      </c>
      <c r="G152" s="19" t="s">
        <v>112</v>
      </c>
      <c r="H152" s="19" t="s">
        <v>300</v>
      </c>
      <c r="I152" s="19" t="s">
        <v>8</v>
      </c>
      <c r="J152" s="19" t="s">
        <v>114</v>
      </c>
      <c r="K152" s="19" t="s">
        <v>114</v>
      </c>
      <c r="L152" s="19" t="s">
        <v>151</v>
      </c>
      <c r="M152" s="20" t="s">
        <v>116</v>
      </c>
      <c r="N152" s="20"/>
      <c r="O152" s="20"/>
      <c r="P152" s="20" t="s">
        <v>117</v>
      </c>
    </row>
    <row r="153" spans="1:16" x14ac:dyDescent="0.3">
      <c r="A153" s="19">
        <f t="shared" si="2"/>
        <v>152</v>
      </c>
      <c r="B153" s="20" t="s">
        <v>87</v>
      </c>
      <c r="C153" s="20" t="s">
        <v>97</v>
      </c>
      <c r="D153" s="21" t="str">
        <f>IF($C153="","",IFERROR(VLOOKUP($C153,Map_Register!$A$2:$C$5,3,FALSE()),""))</f>
        <v>Military Zone</v>
      </c>
      <c r="E153" s="20" t="s">
        <v>111</v>
      </c>
      <c r="F153" s="22">
        <v>4219</v>
      </c>
      <c r="G153" s="19" t="s">
        <v>112</v>
      </c>
      <c r="H153" s="19" t="s">
        <v>301</v>
      </c>
      <c r="I153" s="19" t="s">
        <v>8</v>
      </c>
      <c r="J153" s="19" t="s">
        <v>114</v>
      </c>
      <c r="K153" s="19" t="s">
        <v>114</v>
      </c>
      <c r="L153" s="19" t="s">
        <v>151</v>
      </c>
      <c r="M153" s="20" t="s">
        <v>116</v>
      </c>
      <c r="N153" s="20"/>
      <c r="O153" s="20"/>
      <c r="P153" s="20" t="s">
        <v>117</v>
      </c>
    </row>
    <row r="154" spans="1:16" x14ac:dyDescent="0.3">
      <c r="A154" s="19">
        <f t="shared" si="2"/>
        <v>153</v>
      </c>
      <c r="B154" s="20" t="s">
        <v>87</v>
      </c>
      <c r="C154" s="20" t="s">
        <v>97</v>
      </c>
      <c r="D154" s="21" t="str">
        <f>IF($C154="","",IFERROR(VLOOKUP($C154,Map_Register!$A$2:$C$5,3,FALSE()),""))</f>
        <v>Military Zone</v>
      </c>
      <c r="E154" s="20" t="s">
        <v>111</v>
      </c>
      <c r="F154" s="22">
        <v>4220</v>
      </c>
      <c r="G154" s="19" t="s">
        <v>112</v>
      </c>
      <c r="H154" s="19" t="s">
        <v>302</v>
      </c>
      <c r="I154" s="19" t="s">
        <v>8</v>
      </c>
      <c r="J154" s="19" t="s">
        <v>114</v>
      </c>
      <c r="K154" s="19" t="s">
        <v>114</v>
      </c>
      <c r="L154" s="19" t="s">
        <v>151</v>
      </c>
      <c r="M154" s="20" t="s">
        <v>116</v>
      </c>
      <c r="N154" s="20"/>
      <c r="O154" s="20"/>
      <c r="P154" s="20" t="s">
        <v>117</v>
      </c>
    </row>
    <row r="155" spans="1:16" x14ac:dyDescent="0.3">
      <c r="A155" s="19">
        <f t="shared" si="2"/>
        <v>154</v>
      </c>
      <c r="B155" s="20" t="s">
        <v>87</v>
      </c>
      <c r="C155" s="20" t="s">
        <v>97</v>
      </c>
      <c r="D155" s="21" t="str">
        <f>IF($C155="","",IFERROR(VLOOKUP($C155,Map_Register!$A$2:$C$5,3,FALSE()),""))</f>
        <v>Military Zone</v>
      </c>
      <c r="E155" s="20" t="s">
        <v>111</v>
      </c>
      <c r="F155" s="22">
        <v>4227</v>
      </c>
      <c r="G155" s="19" t="s">
        <v>112</v>
      </c>
      <c r="H155" s="19" t="s">
        <v>303</v>
      </c>
      <c r="I155" s="19" t="s">
        <v>8</v>
      </c>
      <c r="J155" s="19" t="s">
        <v>114</v>
      </c>
      <c r="K155" s="19" t="s">
        <v>114</v>
      </c>
      <c r="L155" s="19" t="s">
        <v>151</v>
      </c>
      <c r="M155" s="20" t="s">
        <v>116</v>
      </c>
      <c r="N155" s="20"/>
      <c r="O155" s="20"/>
      <c r="P155" s="20" t="s">
        <v>117</v>
      </c>
    </row>
    <row r="156" spans="1:16" x14ac:dyDescent="0.3">
      <c r="A156" s="19">
        <f t="shared" si="2"/>
        <v>155</v>
      </c>
      <c r="B156" s="20" t="s">
        <v>87</v>
      </c>
      <c r="C156" s="20" t="s">
        <v>97</v>
      </c>
      <c r="D156" s="21" t="str">
        <f>IF($C156="","",IFERROR(VLOOKUP($C156,Map_Register!$A$2:$C$5,3,FALSE()),""))</f>
        <v>Military Zone</v>
      </c>
      <c r="E156" s="20" t="s">
        <v>111</v>
      </c>
      <c r="F156" s="22">
        <v>4233</v>
      </c>
      <c r="G156" s="19" t="s">
        <v>112</v>
      </c>
      <c r="H156" s="19" t="s">
        <v>304</v>
      </c>
      <c r="I156" s="19" t="s">
        <v>8</v>
      </c>
      <c r="J156" s="19" t="s">
        <v>114</v>
      </c>
      <c r="K156" s="19" t="s">
        <v>114</v>
      </c>
      <c r="L156" s="19" t="s">
        <v>151</v>
      </c>
      <c r="M156" s="20" t="s">
        <v>116</v>
      </c>
      <c r="N156" s="20"/>
      <c r="O156" s="20"/>
      <c r="P156" s="20" t="s">
        <v>117</v>
      </c>
    </row>
    <row r="157" spans="1:16" x14ac:dyDescent="0.3">
      <c r="A157" s="19">
        <f t="shared" si="2"/>
        <v>156</v>
      </c>
      <c r="B157" s="20" t="s">
        <v>87</v>
      </c>
      <c r="C157" s="20" t="s">
        <v>97</v>
      </c>
      <c r="D157" s="21" t="str">
        <f>IF($C157="","",IFERROR(VLOOKUP($C157,Map_Register!$A$2:$C$5,3,FALSE()),""))</f>
        <v>Military Zone</v>
      </c>
      <c r="E157" s="20" t="s">
        <v>111</v>
      </c>
      <c r="F157" s="22">
        <v>4234</v>
      </c>
      <c r="G157" s="19" t="s">
        <v>112</v>
      </c>
      <c r="H157" s="19" t="s">
        <v>305</v>
      </c>
      <c r="I157" s="19" t="s">
        <v>8</v>
      </c>
      <c r="J157" s="19" t="s">
        <v>114</v>
      </c>
      <c r="K157" s="19" t="s">
        <v>114</v>
      </c>
      <c r="L157" s="19" t="s">
        <v>151</v>
      </c>
      <c r="M157" s="20" t="s">
        <v>116</v>
      </c>
      <c r="N157" s="20"/>
      <c r="O157" s="20"/>
      <c r="P157" s="20" t="s">
        <v>117</v>
      </c>
    </row>
    <row r="158" spans="1:16" x14ac:dyDescent="0.3">
      <c r="A158" s="19">
        <f t="shared" si="2"/>
        <v>157</v>
      </c>
      <c r="B158" s="20" t="s">
        <v>87</v>
      </c>
      <c r="C158" s="20" t="s">
        <v>97</v>
      </c>
      <c r="D158" s="21" t="str">
        <f>IF($C158="","",IFERROR(VLOOKUP($C158,Map_Register!$A$2:$C$5,3,FALSE()),""))</f>
        <v>Military Zone</v>
      </c>
      <c r="E158" s="20" t="s">
        <v>111</v>
      </c>
      <c r="F158" s="22">
        <v>4235</v>
      </c>
      <c r="G158" s="19" t="s">
        <v>112</v>
      </c>
      <c r="H158" s="19" t="s">
        <v>306</v>
      </c>
      <c r="I158" s="19" t="s">
        <v>8</v>
      </c>
      <c r="J158" s="19" t="s">
        <v>114</v>
      </c>
      <c r="K158" s="19" t="s">
        <v>114</v>
      </c>
      <c r="L158" s="19" t="s">
        <v>151</v>
      </c>
      <c r="M158" s="20" t="s">
        <v>116</v>
      </c>
      <c r="N158" s="20"/>
      <c r="O158" s="20"/>
      <c r="P158" s="20" t="s">
        <v>117</v>
      </c>
    </row>
    <row r="159" spans="1:16" x14ac:dyDescent="0.3">
      <c r="A159" s="19">
        <f t="shared" si="2"/>
        <v>158</v>
      </c>
      <c r="B159" s="20" t="s">
        <v>87</v>
      </c>
      <c r="C159" s="20" t="s">
        <v>97</v>
      </c>
      <c r="D159" s="21" t="str">
        <f>IF($C159="","",IFERROR(VLOOKUP($C159,Map_Register!$A$2:$C$5,3,FALSE()),""))</f>
        <v>Military Zone</v>
      </c>
      <c r="E159" s="20" t="s">
        <v>111</v>
      </c>
      <c r="F159" s="22">
        <v>4236</v>
      </c>
      <c r="G159" s="19" t="s">
        <v>112</v>
      </c>
      <c r="H159" s="19" t="s">
        <v>307</v>
      </c>
      <c r="I159" s="19" t="s">
        <v>8</v>
      </c>
      <c r="J159" s="19" t="s">
        <v>114</v>
      </c>
      <c r="K159" s="19" t="s">
        <v>114</v>
      </c>
      <c r="L159" s="19" t="s">
        <v>151</v>
      </c>
      <c r="M159" s="20" t="s">
        <v>116</v>
      </c>
      <c r="N159" s="20"/>
      <c r="O159" s="20"/>
      <c r="P159" s="20" t="s">
        <v>117</v>
      </c>
    </row>
    <row r="160" spans="1:16" x14ac:dyDescent="0.3">
      <c r="A160" s="19">
        <f t="shared" si="2"/>
        <v>159</v>
      </c>
      <c r="B160" s="20" t="s">
        <v>87</v>
      </c>
      <c r="C160" s="20" t="s">
        <v>97</v>
      </c>
      <c r="D160" s="21" t="str">
        <f>IF($C160="","",IFERROR(VLOOKUP($C160,Map_Register!$A$2:$C$5,3,FALSE()),""))</f>
        <v>Military Zone</v>
      </c>
      <c r="E160" s="20" t="s">
        <v>111</v>
      </c>
      <c r="F160" s="22">
        <v>4271</v>
      </c>
      <c r="G160" s="19" t="s">
        <v>112</v>
      </c>
      <c r="H160" s="19" t="s">
        <v>308</v>
      </c>
      <c r="I160" s="19" t="s">
        <v>8</v>
      </c>
      <c r="J160" s="19" t="s">
        <v>114</v>
      </c>
      <c r="K160" s="19" t="s">
        <v>114</v>
      </c>
      <c r="L160" s="19" t="s">
        <v>151</v>
      </c>
      <c r="M160" s="20" t="s">
        <v>116</v>
      </c>
      <c r="N160" s="20"/>
      <c r="O160" s="20"/>
      <c r="P160" s="20" t="s">
        <v>117</v>
      </c>
    </row>
    <row r="161" spans="1:16" x14ac:dyDescent="0.3">
      <c r="A161" s="19">
        <f t="shared" si="2"/>
        <v>160</v>
      </c>
      <c r="B161" s="20" t="s">
        <v>87</v>
      </c>
      <c r="C161" s="20" t="s">
        <v>97</v>
      </c>
      <c r="D161" s="21" t="str">
        <f>IF($C161="","",IFERROR(VLOOKUP($C161,Map_Register!$A$2:$C$5,3,FALSE()),""))</f>
        <v>Military Zone</v>
      </c>
      <c r="E161" s="20" t="s">
        <v>111</v>
      </c>
      <c r="F161" s="22">
        <v>4318</v>
      </c>
      <c r="G161" s="19" t="s">
        <v>112</v>
      </c>
      <c r="H161" s="19" t="s">
        <v>309</v>
      </c>
      <c r="I161" s="19" t="s">
        <v>6</v>
      </c>
      <c r="J161" s="19"/>
      <c r="K161" s="19"/>
      <c r="L161" s="19" t="s">
        <v>310</v>
      </c>
      <c r="M161" s="20"/>
      <c r="N161" s="20"/>
      <c r="O161" s="20"/>
      <c r="P161" s="20" t="s">
        <v>117</v>
      </c>
    </row>
    <row r="162" spans="1:16" x14ac:dyDescent="0.3">
      <c r="A162" s="19">
        <f t="shared" si="2"/>
        <v>161</v>
      </c>
      <c r="B162" s="20" t="s">
        <v>87</v>
      </c>
      <c r="C162" s="20" t="s">
        <v>97</v>
      </c>
      <c r="D162" s="21" t="str">
        <f>IF($C162="","",IFERROR(VLOOKUP($C162,Map_Register!$A$2:$C$5,3,FALSE()),""))</f>
        <v>Military Zone</v>
      </c>
      <c r="E162" s="20" t="s">
        <v>111</v>
      </c>
      <c r="F162" s="22">
        <v>4605</v>
      </c>
      <c r="G162" s="19" t="s">
        <v>112</v>
      </c>
      <c r="H162" s="19" t="s">
        <v>311</v>
      </c>
      <c r="I162" s="19" t="s">
        <v>6</v>
      </c>
      <c r="J162" s="19"/>
      <c r="K162" s="19"/>
      <c r="L162" s="19" t="s">
        <v>312</v>
      </c>
      <c r="M162" s="20"/>
      <c r="N162" s="20"/>
      <c r="O162" s="20"/>
      <c r="P162" s="20" t="s">
        <v>117</v>
      </c>
    </row>
    <row r="163" spans="1:16" x14ac:dyDescent="0.3">
      <c r="A163" s="19">
        <f t="shared" si="2"/>
        <v>162</v>
      </c>
      <c r="B163" s="20" t="s">
        <v>87</v>
      </c>
      <c r="C163" s="20" t="s">
        <v>97</v>
      </c>
      <c r="D163" s="21" t="str">
        <f>IF($C163="","",IFERROR(VLOOKUP($C163,Map_Register!$A$2:$C$5,3,FALSE()),""))</f>
        <v>Military Zone</v>
      </c>
      <c r="E163" s="20" t="s">
        <v>111</v>
      </c>
      <c r="F163" s="22">
        <v>4857</v>
      </c>
      <c r="G163" s="19" t="s">
        <v>112</v>
      </c>
      <c r="H163" s="19" t="s">
        <v>313</v>
      </c>
      <c r="I163" s="19" t="s">
        <v>8</v>
      </c>
      <c r="J163" s="19" t="s">
        <v>114</v>
      </c>
      <c r="K163" t="s">
        <v>114</v>
      </c>
      <c r="L163" s="19" t="s">
        <v>314</v>
      </c>
      <c r="M163" s="20" t="s">
        <v>116</v>
      </c>
      <c r="N163" s="20"/>
      <c r="O163" s="20"/>
      <c r="P163" s="20" t="s">
        <v>117</v>
      </c>
    </row>
    <row r="164" spans="1:16" x14ac:dyDescent="0.3">
      <c r="A164" s="19">
        <f t="shared" si="2"/>
        <v>163</v>
      </c>
      <c r="B164" s="20" t="s">
        <v>87</v>
      </c>
      <c r="C164" s="20" t="s">
        <v>97</v>
      </c>
      <c r="D164" s="21" t="str">
        <f>IF($C164="","",IFERROR(VLOOKUP($C164,Map_Register!$A$2:$C$5,3,FALSE()),""))</f>
        <v>Military Zone</v>
      </c>
      <c r="E164" s="20" t="s">
        <v>111</v>
      </c>
      <c r="F164" s="22">
        <v>4868</v>
      </c>
      <c r="G164" s="19" t="s">
        <v>112</v>
      </c>
      <c r="H164" s="19" t="s">
        <v>315</v>
      </c>
      <c r="I164" s="19" t="s">
        <v>8</v>
      </c>
      <c r="J164" s="19" t="s">
        <v>114</v>
      </c>
      <c r="K164" s="19" t="s">
        <v>114</v>
      </c>
      <c r="L164" s="19" t="s">
        <v>151</v>
      </c>
      <c r="M164" s="20" t="s">
        <v>116</v>
      </c>
      <c r="N164" s="20"/>
      <c r="O164" s="20"/>
      <c r="P164" s="20" t="s">
        <v>117</v>
      </c>
    </row>
    <row r="165" spans="1:16" x14ac:dyDescent="0.3">
      <c r="A165" s="19">
        <f t="shared" si="2"/>
        <v>164</v>
      </c>
      <c r="B165" s="20" t="s">
        <v>87</v>
      </c>
      <c r="C165" s="20" t="s">
        <v>97</v>
      </c>
      <c r="D165" s="21" t="str">
        <f>IF($C165="","",IFERROR(VLOOKUP($C165,Map_Register!$A$2:$C$5,3,FALSE()),""))</f>
        <v>Military Zone</v>
      </c>
      <c r="E165" s="20" t="s">
        <v>111</v>
      </c>
      <c r="F165" s="22">
        <v>4869</v>
      </c>
      <c r="G165" s="19" t="s">
        <v>112</v>
      </c>
      <c r="H165" s="19" t="s">
        <v>316</v>
      </c>
      <c r="I165" s="19" t="s">
        <v>8</v>
      </c>
      <c r="J165" s="19" t="s">
        <v>114</v>
      </c>
      <c r="K165" s="19" t="s">
        <v>114</v>
      </c>
      <c r="L165" s="19" t="s">
        <v>151</v>
      </c>
      <c r="M165" s="20" t="s">
        <v>116</v>
      </c>
      <c r="N165" s="20"/>
      <c r="O165" s="20"/>
      <c r="P165" s="20" t="s">
        <v>117</v>
      </c>
    </row>
    <row r="166" spans="1:16" x14ac:dyDescent="0.3">
      <c r="A166" s="19">
        <f t="shared" si="2"/>
        <v>165</v>
      </c>
      <c r="B166" s="20" t="s">
        <v>87</v>
      </c>
      <c r="C166" s="20" t="s">
        <v>97</v>
      </c>
      <c r="D166" s="21" t="str">
        <f>IF($C166="","",IFERROR(VLOOKUP($C166,Map_Register!$A$2:$C$5,3,FALSE()),""))</f>
        <v>Military Zone</v>
      </c>
      <c r="E166" s="20" t="s">
        <v>111</v>
      </c>
      <c r="F166" s="22">
        <v>4890</v>
      </c>
      <c r="G166" s="19" t="s">
        <v>112</v>
      </c>
      <c r="H166" s="19" t="s">
        <v>317</v>
      </c>
      <c r="I166" s="19" t="s">
        <v>8</v>
      </c>
      <c r="J166" s="19" t="s">
        <v>114</v>
      </c>
      <c r="K166" s="19" t="s">
        <v>114</v>
      </c>
      <c r="L166" s="19" t="s">
        <v>318</v>
      </c>
      <c r="M166" s="20" t="s">
        <v>116</v>
      </c>
      <c r="N166" s="20"/>
      <c r="O166" s="20"/>
      <c r="P166" s="20" t="s">
        <v>117</v>
      </c>
    </row>
    <row r="167" spans="1:16" x14ac:dyDescent="0.3">
      <c r="A167" s="19">
        <f t="shared" si="2"/>
        <v>166</v>
      </c>
      <c r="B167" s="20" t="s">
        <v>87</v>
      </c>
      <c r="C167" s="20" t="s">
        <v>97</v>
      </c>
      <c r="D167" s="21" t="str">
        <f>IF($C167="","",IFERROR(VLOOKUP($C167,Map_Register!$A$2:$C$5,3,FALSE()),""))</f>
        <v>Military Zone</v>
      </c>
      <c r="E167" s="20" t="s">
        <v>111</v>
      </c>
      <c r="F167" s="22">
        <v>4892</v>
      </c>
      <c r="G167" s="19" t="s">
        <v>112</v>
      </c>
      <c r="H167" s="19" t="s">
        <v>319</v>
      </c>
      <c r="I167" s="19" t="s">
        <v>8</v>
      </c>
      <c r="J167" s="19" t="s">
        <v>114</v>
      </c>
      <c r="K167" s="19" t="s">
        <v>114</v>
      </c>
      <c r="L167" s="19" t="s">
        <v>320</v>
      </c>
      <c r="M167" s="20" t="s">
        <v>116</v>
      </c>
      <c r="N167" s="20"/>
      <c r="O167" s="20"/>
      <c r="P167" s="20" t="s">
        <v>117</v>
      </c>
    </row>
    <row r="168" spans="1:16" x14ac:dyDescent="0.3">
      <c r="A168" s="19">
        <f t="shared" si="2"/>
        <v>167</v>
      </c>
      <c r="B168" s="20" t="s">
        <v>87</v>
      </c>
      <c r="C168" s="20" t="s">
        <v>97</v>
      </c>
      <c r="D168" s="21" t="str">
        <f>IF($C168="","",IFERROR(VLOOKUP($C168,Map_Register!$A$2:$C$5,3,FALSE()),""))</f>
        <v>Military Zone</v>
      </c>
      <c r="E168" s="20" t="s">
        <v>111</v>
      </c>
      <c r="F168" s="22">
        <v>5116</v>
      </c>
      <c r="G168" s="19" t="s">
        <v>112</v>
      </c>
      <c r="H168" s="19" t="s">
        <v>321</v>
      </c>
      <c r="I168" s="19" t="s">
        <v>6</v>
      </c>
      <c r="J168" s="19"/>
      <c r="K168" s="19"/>
      <c r="L168" s="19" t="s">
        <v>225</v>
      </c>
      <c r="M168" s="20"/>
      <c r="N168" s="20"/>
      <c r="O168" s="20"/>
      <c r="P168" s="20" t="s">
        <v>117</v>
      </c>
    </row>
    <row r="169" spans="1:16" x14ac:dyDescent="0.3">
      <c r="A169" s="19">
        <f t="shared" si="2"/>
        <v>168</v>
      </c>
      <c r="B169" s="20" t="s">
        <v>87</v>
      </c>
      <c r="C169" s="20" t="s">
        <v>97</v>
      </c>
      <c r="D169" s="21" t="str">
        <f>IF($C169="","",IFERROR(VLOOKUP($C169,Map_Register!$A$2:$C$5,3,FALSE()),""))</f>
        <v>Military Zone</v>
      </c>
      <c r="E169" s="20" t="s">
        <v>111</v>
      </c>
      <c r="F169" s="22">
        <v>5259</v>
      </c>
      <c r="G169" s="19" t="s">
        <v>112</v>
      </c>
      <c r="H169" s="19" t="s">
        <v>322</v>
      </c>
      <c r="I169" s="19" t="s">
        <v>8</v>
      </c>
      <c r="J169" s="19" t="s">
        <v>114</v>
      </c>
      <c r="K169" s="19" t="s">
        <v>114</v>
      </c>
      <c r="L169" s="19" t="s">
        <v>323</v>
      </c>
      <c r="M169" s="20" t="s">
        <v>116</v>
      </c>
      <c r="N169" s="20"/>
      <c r="O169" s="20"/>
      <c r="P169" s="20" t="s">
        <v>117</v>
      </c>
    </row>
    <row r="170" spans="1:16" x14ac:dyDescent="0.3">
      <c r="A170" s="19">
        <f t="shared" si="2"/>
        <v>169</v>
      </c>
      <c r="B170" s="20" t="s">
        <v>87</v>
      </c>
      <c r="C170" s="20" t="s">
        <v>97</v>
      </c>
      <c r="D170" s="21" t="str">
        <f>IF($C170="","",IFERROR(VLOOKUP($C170,Map_Register!$A$2:$C$5,3,FALSE()),""))</f>
        <v>Military Zone</v>
      </c>
      <c r="E170" s="20" t="s">
        <v>111</v>
      </c>
      <c r="F170" s="22">
        <v>5556</v>
      </c>
      <c r="G170" s="19" t="s">
        <v>112</v>
      </c>
      <c r="H170" s="19" t="s">
        <v>324</v>
      </c>
      <c r="I170" s="19" t="s">
        <v>8</v>
      </c>
      <c r="J170" s="19" t="s">
        <v>114</v>
      </c>
      <c r="K170" s="19" t="s">
        <v>114</v>
      </c>
      <c r="L170" s="19" t="s">
        <v>151</v>
      </c>
      <c r="M170" s="20" t="s">
        <v>116</v>
      </c>
      <c r="N170" s="20"/>
      <c r="O170" s="20"/>
      <c r="P170" s="20" t="s">
        <v>117</v>
      </c>
    </row>
    <row r="171" spans="1:16" x14ac:dyDescent="0.3">
      <c r="A171" s="19">
        <f t="shared" si="2"/>
        <v>170</v>
      </c>
      <c r="B171" s="20" t="s">
        <v>87</v>
      </c>
      <c r="C171" s="20" t="s">
        <v>97</v>
      </c>
      <c r="D171" s="21" t="str">
        <f>IF($C171="","",IFERROR(VLOOKUP($C171,Map_Register!$A$2:$C$5,3,FALSE()),""))</f>
        <v>Military Zone</v>
      </c>
      <c r="E171" s="20" t="s">
        <v>111</v>
      </c>
      <c r="F171" s="22">
        <v>5749</v>
      </c>
      <c r="G171" s="19" t="s">
        <v>112</v>
      </c>
      <c r="H171" s="19" t="s">
        <v>325</v>
      </c>
      <c r="I171" s="19" t="s">
        <v>8</v>
      </c>
      <c r="J171" s="19" t="s">
        <v>114</v>
      </c>
      <c r="K171" s="19" t="s">
        <v>114</v>
      </c>
      <c r="L171" s="19" t="s">
        <v>326</v>
      </c>
      <c r="M171" s="20" t="s">
        <v>116</v>
      </c>
      <c r="N171" s="20"/>
      <c r="O171" s="20"/>
      <c r="P171" s="20" t="s">
        <v>117</v>
      </c>
    </row>
    <row r="172" spans="1:16" x14ac:dyDescent="0.3">
      <c r="A172" s="19">
        <f t="shared" si="2"/>
        <v>171</v>
      </c>
      <c r="B172" s="20" t="s">
        <v>87</v>
      </c>
      <c r="C172" s="20" t="s">
        <v>97</v>
      </c>
      <c r="D172" s="21" t="str">
        <f>IF($C172="","",IFERROR(VLOOKUP($C172,Map_Register!$A$2:$C$5,3,FALSE()),""))</f>
        <v>Military Zone</v>
      </c>
      <c r="E172" s="20" t="s">
        <v>111</v>
      </c>
      <c r="F172" s="22">
        <v>5751</v>
      </c>
      <c r="G172" s="19" t="s">
        <v>112</v>
      </c>
      <c r="H172" s="19" t="s">
        <v>327</v>
      </c>
      <c r="I172" s="19" t="s">
        <v>8</v>
      </c>
      <c r="J172" s="19" t="s">
        <v>114</v>
      </c>
      <c r="K172" s="19" t="s">
        <v>114</v>
      </c>
      <c r="L172" s="19" t="s">
        <v>326</v>
      </c>
      <c r="M172" s="20" t="s">
        <v>116</v>
      </c>
      <c r="N172" s="20"/>
      <c r="O172" s="20"/>
      <c r="P172" s="20" t="s">
        <v>117</v>
      </c>
    </row>
    <row r="173" spans="1:16" x14ac:dyDescent="0.3">
      <c r="A173" s="19">
        <f t="shared" si="2"/>
        <v>172</v>
      </c>
      <c r="B173" s="20" t="s">
        <v>87</v>
      </c>
      <c r="C173" s="20" t="s">
        <v>97</v>
      </c>
      <c r="D173" s="21" t="str">
        <f>IF($C173="","",IFERROR(VLOOKUP($C173,Map_Register!$A$2:$C$5,3,FALSE()),""))</f>
        <v>Military Zone</v>
      </c>
      <c r="E173" s="20" t="s">
        <v>111</v>
      </c>
      <c r="F173" s="22">
        <v>6583</v>
      </c>
      <c r="G173" s="19" t="s">
        <v>112</v>
      </c>
      <c r="H173" s="19" t="s">
        <v>328</v>
      </c>
      <c r="I173" s="19" t="s">
        <v>8</v>
      </c>
      <c r="J173" s="19" t="s">
        <v>114</v>
      </c>
      <c r="K173" t="s">
        <v>114</v>
      </c>
      <c r="L173" s="19" t="s">
        <v>154</v>
      </c>
      <c r="M173" s="20" t="s">
        <v>116</v>
      </c>
      <c r="N173" s="20"/>
      <c r="O173" s="20"/>
      <c r="P173" s="20" t="s">
        <v>117</v>
      </c>
    </row>
    <row r="174" spans="1:16" x14ac:dyDescent="0.3">
      <c r="A174" s="19">
        <f t="shared" si="2"/>
        <v>173</v>
      </c>
      <c r="B174" s="20" t="s">
        <v>87</v>
      </c>
      <c r="C174" s="20" t="s">
        <v>97</v>
      </c>
      <c r="D174" s="21" t="str">
        <f>IF($C174="","",IFERROR(VLOOKUP($C174,Map_Register!$A$2:$C$5,3,FALSE()),""))</f>
        <v>Military Zone</v>
      </c>
      <c r="E174" s="20" t="s">
        <v>111</v>
      </c>
      <c r="F174" s="22">
        <v>6712</v>
      </c>
      <c r="G174" s="19" t="s">
        <v>112</v>
      </c>
      <c r="H174" s="19" t="s">
        <v>329</v>
      </c>
      <c r="I174" s="19" t="s">
        <v>8</v>
      </c>
      <c r="J174" s="19" t="s">
        <v>114</v>
      </c>
      <c r="K174" t="s">
        <v>114</v>
      </c>
      <c r="L174" s="19" t="s">
        <v>241</v>
      </c>
      <c r="M174" s="20" t="s">
        <v>116</v>
      </c>
      <c r="N174" s="20"/>
      <c r="O174" s="20"/>
      <c r="P174" s="20" t="s">
        <v>117</v>
      </c>
    </row>
    <row r="175" spans="1:16" x14ac:dyDescent="0.3">
      <c r="A175" s="19">
        <f t="shared" si="2"/>
        <v>174</v>
      </c>
      <c r="B175" s="20" t="s">
        <v>87</v>
      </c>
      <c r="C175" s="20" t="s">
        <v>97</v>
      </c>
      <c r="D175" s="21" t="str">
        <f>IF($C175="","",IFERROR(VLOOKUP($C175,Map_Register!$A$2:$C$5,3,FALSE()),""))</f>
        <v>Military Zone</v>
      </c>
      <c r="E175" s="20" t="s">
        <v>111</v>
      </c>
      <c r="F175" s="22">
        <v>6823</v>
      </c>
      <c r="G175" s="19" t="s">
        <v>112</v>
      </c>
      <c r="H175" s="19" t="s">
        <v>330</v>
      </c>
      <c r="I175" s="19" t="s">
        <v>8</v>
      </c>
      <c r="J175" s="19" t="s">
        <v>114</v>
      </c>
      <c r="K175" s="19" t="s">
        <v>114</v>
      </c>
      <c r="L175" s="19" t="s">
        <v>151</v>
      </c>
      <c r="M175" s="20" t="s">
        <v>116</v>
      </c>
      <c r="N175" s="20"/>
      <c r="O175" s="20"/>
      <c r="P175" s="20" t="s">
        <v>117</v>
      </c>
    </row>
    <row r="176" spans="1:16" x14ac:dyDescent="0.3">
      <c r="A176" s="19">
        <f t="shared" si="2"/>
        <v>175</v>
      </c>
      <c r="B176" s="20" t="s">
        <v>87</v>
      </c>
      <c r="C176" s="20" t="s">
        <v>97</v>
      </c>
      <c r="D176" s="21" t="str">
        <f>IF($C176="","",IFERROR(VLOOKUP($C176,Map_Register!$A$2:$C$5,3,FALSE()),""))</f>
        <v>Military Zone</v>
      </c>
      <c r="E176" s="20" t="s">
        <v>111</v>
      </c>
      <c r="F176" s="22">
        <v>6877</v>
      </c>
      <c r="G176" s="19" t="s">
        <v>112</v>
      </c>
      <c r="H176" s="19" t="s">
        <v>331</v>
      </c>
      <c r="I176" s="19" t="s">
        <v>6</v>
      </c>
      <c r="J176" s="19"/>
      <c r="K176" s="19"/>
      <c r="L176" s="19" t="s">
        <v>227</v>
      </c>
      <c r="M176" s="20"/>
      <c r="N176" s="20"/>
      <c r="O176" s="20"/>
      <c r="P176" s="20" t="s">
        <v>117</v>
      </c>
    </row>
    <row r="177" spans="1:16" x14ac:dyDescent="0.3">
      <c r="A177" s="19">
        <f t="shared" si="2"/>
        <v>176</v>
      </c>
      <c r="B177" s="20" t="s">
        <v>87</v>
      </c>
      <c r="C177" s="20" t="s">
        <v>97</v>
      </c>
      <c r="D177" s="21" t="str">
        <f>IF($C177="","",IFERROR(VLOOKUP($C177,Map_Register!$A$2:$C$5,3,FALSE()),""))</f>
        <v>Military Zone</v>
      </c>
      <c r="E177" s="20" t="s">
        <v>111</v>
      </c>
      <c r="F177" s="22">
        <v>6882</v>
      </c>
      <c r="G177" s="19" t="s">
        <v>112</v>
      </c>
      <c r="H177" s="19" t="s">
        <v>332</v>
      </c>
      <c r="I177" s="19" t="s">
        <v>8</v>
      </c>
      <c r="J177" s="19" t="s">
        <v>114</v>
      </c>
      <c r="K177" t="s">
        <v>114</v>
      </c>
      <c r="L177" s="19" t="s">
        <v>333</v>
      </c>
      <c r="M177" s="20" t="s">
        <v>116</v>
      </c>
      <c r="N177" s="20"/>
      <c r="O177" s="20"/>
      <c r="P177" s="20" t="s">
        <v>117</v>
      </c>
    </row>
    <row r="178" spans="1:16" x14ac:dyDescent="0.3">
      <c r="A178" s="19">
        <f t="shared" si="2"/>
        <v>177</v>
      </c>
      <c r="B178" s="20" t="s">
        <v>87</v>
      </c>
      <c r="C178" s="20" t="s">
        <v>97</v>
      </c>
      <c r="D178" s="21" t="str">
        <f>IF($C178="","",IFERROR(VLOOKUP($C178,Map_Register!$A$2:$C$5,3,FALSE()),""))</f>
        <v>Military Zone</v>
      </c>
      <c r="E178" s="20" t="s">
        <v>111</v>
      </c>
      <c r="F178" s="22">
        <v>6887</v>
      </c>
      <c r="G178" s="19" t="s">
        <v>112</v>
      </c>
      <c r="H178" s="19" t="s">
        <v>334</v>
      </c>
      <c r="I178" s="19" t="s">
        <v>8</v>
      </c>
      <c r="J178" s="19" t="s">
        <v>114</v>
      </c>
      <c r="K178" s="19" t="s">
        <v>114</v>
      </c>
      <c r="L178" s="19" t="s">
        <v>151</v>
      </c>
      <c r="M178" s="20" t="s">
        <v>116</v>
      </c>
      <c r="N178" s="20"/>
      <c r="O178" s="20"/>
      <c r="P178" s="20" t="s">
        <v>117</v>
      </c>
    </row>
    <row r="179" spans="1:16" x14ac:dyDescent="0.3">
      <c r="A179" s="19">
        <f t="shared" si="2"/>
        <v>178</v>
      </c>
      <c r="B179" s="20" t="s">
        <v>87</v>
      </c>
      <c r="C179" s="20" t="s">
        <v>97</v>
      </c>
      <c r="D179" s="21" t="str">
        <f>IF($C179="","",IFERROR(VLOOKUP($C179,Map_Register!$A$2:$C$5,3,FALSE()),""))</f>
        <v>Military Zone</v>
      </c>
      <c r="E179" s="20" t="s">
        <v>111</v>
      </c>
      <c r="F179" s="22">
        <v>6994</v>
      </c>
      <c r="G179" s="19" t="s">
        <v>112</v>
      </c>
      <c r="H179" s="19" t="s">
        <v>335</v>
      </c>
      <c r="I179" s="19" t="s">
        <v>8</v>
      </c>
      <c r="J179" s="19" t="s">
        <v>114</v>
      </c>
      <c r="K179" s="19" t="s">
        <v>114</v>
      </c>
      <c r="L179" s="19" t="s">
        <v>336</v>
      </c>
      <c r="M179" s="20" t="s">
        <v>116</v>
      </c>
      <c r="N179" s="20"/>
      <c r="O179" s="20"/>
      <c r="P179" s="20" t="s">
        <v>117</v>
      </c>
    </row>
    <row r="180" spans="1:16" x14ac:dyDescent="0.3">
      <c r="A180" s="19">
        <f t="shared" si="2"/>
        <v>179</v>
      </c>
      <c r="B180" s="20" t="s">
        <v>87</v>
      </c>
      <c r="C180" s="20" t="s">
        <v>97</v>
      </c>
      <c r="D180" s="21" t="str">
        <f>IF($C180="","",IFERROR(VLOOKUP($C180,Map_Register!$A$2:$C$5,3,FALSE()),""))</f>
        <v>Military Zone</v>
      </c>
      <c r="E180" s="20" t="s">
        <v>111</v>
      </c>
      <c r="F180" s="22">
        <v>7029</v>
      </c>
      <c r="G180" s="19" t="s">
        <v>112</v>
      </c>
      <c r="H180" s="19" t="s">
        <v>337</v>
      </c>
      <c r="I180" s="19" t="s">
        <v>6</v>
      </c>
      <c r="J180" s="19"/>
      <c r="K180" s="19"/>
      <c r="L180" s="19" t="s">
        <v>227</v>
      </c>
      <c r="M180" s="20"/>
      <c r="N180" s="20"/>
      <c r="O180" s="20"/>
      <c r="P180" s="20" t="s">
        <v>117</v>
      </c>
    </row>
    <row r="181" spans="1:16" x14ac:dyDescent="0.3">
      <c r="A181" s="19">
        <f t="shared" si="2"/>
        <v>180</v>
      </c>
      <c r="B181" s="20" t="s">
        <v>87</v>
      </c>
      <c r="C181" s="20" t="s">
        <v>97</v>
      </c>
      <c r="D181" s="21" t="str">
        <f>IF($C181="","",IFERROR(VLOOKUP($C181,Map_Register!$A$2:$C$5,3,FALSE()),""))</f>
        <v>Military Zone</v>
      </c>
      <c r="E181" s="20" t="s">
        <v>111</v>
      </c>
      <c r="F181" s="22">
        <v>7030</v>
      </c>
      <c r="G181" s="19" t="s">
        <v>112</v>
      </c>
      <c r="H181" s="19" t="s">
        <v>338</v>
      </c>
      <c r="I181" s="19" t="s">
        <v>8</v>
      </c>
      <c r="J181" s="19" t="s">
        <v>114</v>
      </c>
      <c r="K181" s="19" t="s">
        <v>114</v>
      </c>
      <c r="L181" s="19" t="s">
        <v>151</v>
      </c>
      <c r="M181" s="20" t="s">
        <v>116</v>
      </c>
      <c r="N181" s="20"/>
      <c r="O181" s="20"/>
      <c r="P181" s="20" t="s">
        <v>117</v>
      </c>
    </row>
    <row r="182" spans="1:16" x14ac:dyDescent="0.3">
      <c r="A182" s="19">
        <f t="shared" si="2"/>
        <v>181</v>
      </c>
      <c r="B182" s="20" t="s">
        <v>87</v>
      </c>
      <c r="C182" s="20" t="s">
        <v>97</v>
      </c>
      <c r="D182" s="21" t="str">
        <f>IF($C182="","",IFERROR(VLOOKUP($C182,Map_Register!$A$2:$C$5,3,FALSE()),""))</f>
        <v>Military Zone</v>
      </c>
      <c r="E182" s="20" t="s">
        <v>111</v>
      </c>
      <c r="F182" s="22">
        <v>7032</v>
      </c>
      <c r="G182" s="19" t="s">
        <v>112</v>
      </c>
      <c r="H182" s="19" t="s">
        <v>339</v>
      </c>
      <c r="I182" s="19" t="s">
        <v>8</v>
      </c>
      <c r="J182" s="19" t="s">
        <v>114</v>
      </c>
      <c r="K182" s="19" t="s">
        <v>114</v>
      </c>
      <c r="L182" s="19" t="s">
        <v>151</v>
      </c>
      <c r="M182" s="20" t="s">
        <v>116</v>
      </c>
      <c r="N182" s="20"/>
      <c r="O182" s="20"/>
      <c r="P182" s="20" t="s">
        <v>117</v>
      </c>
    </row>
    <row r="183" spans="1:16" x14ac:dyDescent="0.3">
      <c r="A183" s="19">
        <f t="shared" si="2"/>
        <v>182</v>
      </c>
      <c r="B183" s="20" t="s">
        <v>87</v>
      </c>
      <c r="C183" s="20" t="s">
        <v>97</v>
      </c>
      <c r="D183" s="21" t="str">
        <f>IF($C183="","",IFERROR(VLOOKUP($C183,Map_Register!$A$2:$C$5,3,FALSE()),""))</f>
        <v>Military Zone</v>
      </c>
      <c r="E183" s="20" t="s">
        <v>111</v>
      </c>
      <c r="F183" s="22">
        <v>7033</v>
      </c>
      <c r="G183" s="19" t="s">
        <v>112</v>
      </c>
      <c r="H183" s="19" t="s">
        <v>340</v>
      </c>
      <c r="I183" s="19" t="s">
        <v>8</v>
      </c>
      <c r="J183" s="19" t="s">
        <v>114</v>
      </c>
      <c r="K183" s="19" t="s">
        <v>114</v>
      </c>
      <c r="L183" s="19" t="s">
        <v>151</v>
      </c>
      <c r="M183" s="20" t="s">
        <v>116</v>
      </c>
      <c r="N183" s="20"/>
      <c r="O183" s="20"/>
      <c r="P183" s="20" t="s">
        <v>117</v>
      </c>
    </row>
    <row r="184" spans="1:16" x14ac:dyDescent="0.3">
      <c r="A184" s="19">
        <f t="shared" si="2"/>
        <v>183</v>
      </c>
      <c r="B184" s="20" t="s">
        <v>87</v>
      </c>
      <c r="C184" s="20" t="s">
        <v>97</v>
      </c>
      <c r="D184" s="21" t="str">
        <f>IF($C184="","",IFERROR(VLOOKUP($C184,Map_Register!$A$2:$C$5,3,FALSE()),""))</f>
        <v>Military Zone</v>
      </c>
      <c r="E184" s="20" t="s">
        <v>111</v>
      </c>
      <c r="F184" s="22">
        <v>7037</v>
      </c>
      <c r="G184" s="19" t="s">
        <v>112</v>
      </c>
      <c r="H184" s="19" t="s">
        <v>341</v>
      </c>
      <c r="I184" s="19" t="s">
        <v>8</v>
      </c>
      <c r="J184" s="19" t="s">
        <v>114</v>
      </c>
      <c r="K184" t="s">
        <v>114</v>
      </c>
      <c r="L184" s="19" t="s">
        <v>333</v>
      </c>
      <c r="M184" s="20" t="s">
        <v>116</v>
      </c>
      <c r="N184" s="20"/>
      <c r="O184" s="20"/>
      <c r="P184" s="20" t="s">
        <v>117</v>
      </c>
    </row>
    <row r="185" spans="1:16" x14ac:dyDescent="0.3">
      <c r="A185" s="19">
        <f t="shared" si="2"/>
        <v>184</v>
      </c>
      <c r="B185" s="20" t="s">
        <v>87</v>
      </c>
      <c r="C185" s="20" t="s">
        <v>97</v>
      </c>
      <c r="D185" s="21" t="str">
        <f>IF($C185="","",IFERROR(VLOOKUP($C185,Map_Register!$A$2:$C$5,3,FALSE()),""))</f>
        <v>Military Zone</v>
      </c>
      <c r="E185" s="20" t="s">
        <v>111</v>
      </c>
      <c r="F185" s="22">
        <v>7038</v>
      </c>
      <c r="G185" s="19" t="s">
        <v>112</v>
      </c>
      <c r="H185" s="19" t="s">
        <v>342</v>
      </c>
      <c r="I185" s="19" t="s">
        <v>8</v>
      </c>
      <c r="J185" s="19" t="s">
        <v>114</v>
      </c>
      <c r="K185" s="19" t="s">
        <v>114</v>
      </c>
      <c r="L185" s="19" t="s">
        <v>151</v>
      </c>
      <c r="M185" s="20" t="s">
        <v>116</v>
      </c>
      <c r="N185" s="20"/>
      <c r="O185" s="20"/>
      <c r="P185" s="20" t="s">
        <v>117</v>
      </c>
    </row>
    <row r="186" spans="1:16" x14ac:dyDescent="0.3">
      <c r="A186" s="19">
        <f t="shared" si="2"/>
        <v>185</v>
      </c>
      <c r="B186" s="20" t="s">
        <v>87</v>
      </c>
      <c r="C186" s="20" t="s">
        <v>97</v>
      </c>
      <c r="D186" s="21" t="str">
        <f>IF($C186="","",IFERROR(VLOOKUP($C186,Map_Register!$A$2:$C$5,3,FALSE()),""))</f>
        <v>Military Zone</v>
      </c>
      <c r="E186" s="20" t="s">
        <v>111</v>
      </c>
      <c r="F186" s="22">
        <v>7039</v>
      </c>
      <c r="G186" s="19" t="s">
        <v>112</v>
      </c>
      <c r="H186" s="19" t="s">
        <v>343</v>
      </c>
      <c r="I186" s="19" t="s">
        <v>8</v>
      </c>
      <c r="J186" s="19" t="s">
        <v>114</v>
      </c>
      <c r="K186" s="19" t="s">
        <v>114</v>
      </c>
      <c r="L186" s="19" t="s">
        <v>336</v>
      </c>
      <c r="M186" s="20" t="s">
        <v>116</v>
      </c>
      <c r="N186" s="20"/>
      <c r="O186" s="20"/>
      <c r="P186" s="20" t="s">
        <v>117</v>
      </c>
    </row>
    <row r="187" spans="1:16" x14ac:dyDescent="0.3">
      <c r="A187" s="19">
        <f t="shared" si="2"/>
        <v>186</v>
      </c>
      <c r="B187" s="20" t="s">
        <v>87</v>
      </c>
      <c r="C187" s="20" t="s">
        <v>97</v>
      </c>
      <c r="D187" s="21" t="str">
        <f>IF($C187="","",IFERROR(VLOOKUP($C187,Map_Register!$A$2:$C$5,3,FALSE()),""))</f>
        <v>Military Zone</v>
      </c>
      <c r="E187" s="20" t="s">
        <v>111</v>
      </c>
      <c r="F187" s="22">
        <v>7040</v>
      </c>
      <c r="G187" s="19" t="s">
        <v>112</v>
      </c>
      <c r="H187" s="19" t="s">
        <v>344</v>
      </c>
      <c r="I187" s="19" t="s">
        <v>6</v>
      </c>
      <c r="J187" s="19"/>
      <c r="K187" s="19"/>
      <c r="L187" s="19" t="s">
        <v>345</v>
      </c>
      <c r="M187" s="20"/>
      <c r="N187" s="20"/>
      <c r="O187" s="20"/>
      <c r="P187" s="20" t="s">
        <v>117</v>
      </c>
    </row>
    <row r="188" spans="1:16" x14ac:dyDescent="0.3">
      <c r="A188" s="19">
        <f t="shared" si="2"/>
        <v>187</v>
      </c>
      <c r="B188" s="20" t="s">
        <v>87</v>
      </c>
      <c r="C188" s="20" t="s">
        <v>97</v>
      </c>
      <c r="D188" s="21" t="str">
        <f>IF($C188="","",IFERROR(VLOOKUP($C188,Map_Register!$A$2:$C$5,3,FALSE()),""))</f>
        <v>Military Zone</v>
      </c>
      <c r="E188" s="20" t="s">
        <v>111</v>
      </c>
      <c r="F188" s="22">
        <v>7043</v>
      </c>
      <c r="G188" s="19" t="s">
        <v>112</v>
      </c>
      <c r="H188" s="19" t="s">
        <v>346</v>
      </c>
      <c r="I188" s="19" t="s">
        <v>8</v>
      </c>
      <c r="J188" s="19" t="s">
        <v>114</v>
      </c>
      <c r="K188" s="19" t="s">
        <v>114</v>
      </c>
      <c r="L188" s="19" t="s">
        <v>151</v>
      </c>
      <c r="M188" s="20" t="s">
        <v>116</v>
      </c>
      <c r="N188" s="20"/>
      <c r="O188" s="20"/>
      <c r="P188" s="20" t="s">
        <v>117</v>
      </c>
    </row>
    <row r="189" spans="1:16" x14ac:dyDescent="0.3">
      <c r="A189" s="19">
        <f t="shared" si="2"/>
        <v>188</v>
      </c>
      <c r="B189" s="20" t="s">
        <v>87</v>
      </c>
      <c r="C189" s="20" t="s">
        <v>97</v>
      </c>
      <c r="D189" s="21" t="str">
        <f>IF($C189="","",IFERROR(VLOOKUP($C189,Map_Register!$A$2:$C$5,3,FALSE()),""))</f>
        <v>Military Zone</v>
      </c>
      <c r="E189" s="20" t="s">
        <v>111</v>
      </c>
      <c r="F189" s="22">
        <v>7044</v>
      </c>
      <c r="G189" s="19" t="s">
        <v>112</v>
      </c>
      <c r="H189" s="19" t="s">
        <v>347</v>
      </c>
      <c r="I189" s="19" t="s">
        <v>6</v>
      </c>
      <c r="J189" s="19"/>
      <c r="K189" s="19"/>
      <c r="L189" s="19" t="s">
        <v>345</v>
      </c>
      <c r="M189" s="20"/>
      <c r="N189" s="20"/>
      <c r="O189" s="20"/>
      <c r="P189" s="20" t="s">
        <v>117</v>
      </c>
    </row>
    <row r="190" spans="1:16" x14ac:dyDescent="0.3">
      <c r="A190" s="19">
        <f t="shared" si="2"/>
        <v>189</v>
      </c>
      <c r="B190" s="20" t="s">
        <v>87</v>
      </c>
      <c r="C190" s="20" t="s">
        <v>97</v>
      </c>
      <c r="D190" s="21" t="str">
        <f>IF($C190="","",IFERROR(VLOOKUP($C190,Map_Register!$A$2:$C$5,3,FALSE()),""))</f>
        <v>Military Zone</v>
      </c>
      <c r="E190" s="20" t="s">
        <v>111</v>
      </c>
      <c r="F190" s="22">
        <v>7048</v>
      </c>
      <c r="G190" s="19" t="s">
        <v>112</v>
      </c>
      <c r="H190" s="19" t="s">
        <v>348</v>
      </c>
      <c r="I190" s="19" t="s">
        <v>8</v>
      </c>
      <c r="J190" s="19" t="s">
        <v>114</v>
      </c>
      <c r="K190" s="19" t="s">
        <v>114</v>
      </c>
      <c r="L190" s="19" t="s">
        <v>151</v>
      </c>
      <c r="M190" s="20" t="s">
        <v>116</v>
      </c>
      <c r="N190" s="20"/>
      <c r="O190" s="20"/>
      <c r="P190" s="20" t="s">
        <v>117</v>
      </c>
    </row>
    <row r="191" spans="1:16" x14ac:dyDescent="0.3">
      <c r="A191" s="19">
        <f t="shared" si="2"/>
        <v>190</v>
      </c>
      <c r="B191" s="20" t="s">
        <v>87</v>
      </c>
      <c r="C191" s="20" t="s">
        <v>97</v>
      </c>
      <c r="D191" s="21" t="str">
        <f>IF($C191="","",IFERROR(VLOOKUP($C191,Map_Register!$A$2:$C$5,3,FALSE()),""))</f>
        <v>Military Zone</v>
      </c>
      <c r="E191" s="20" t="s">
        <v>111</v>
      </c>
      <c r="F191" s="22">
        <v>7049</v>
      </c>
      <c r="G191" s="19" t="s">
        <v>112</v>
      </c>
      <c r="H191" s="19" t="s">
        <v>349</v>
      </c>
      <c r="I191" s="19" t="s">
        <v>8</v>
      </c>
      <c r="J191" s="19" t="s">
        <v>114</v>
      </c>
      <c r="K191" s="19" t="s">
        <v>114</v>
      </c>
      <c r="L191" s="19" t="s">
        <v>151</v>
      </c>
      <c r="M191" s="20" t="s">
        <v>116</v>
      </c>
      <c r="N191" s="20"/>
      <c r="O191" s="20"/>
      <c r="P191" s="20" t="s">
        <v>117</v>
      </c>
    </row>
    <row r="192" spans="1:16" x14ac:dyDescent="0.3">
      <c r="A192" s="19">
        <f t="shared" si="2"/>
        <v>191</v>
      </c>
      <c r="B192" s="20" t="s">
        <v>87</v>
      </c>
      <c r="C192" s="20" t="s">
        <v>97</v>
      </c>
      <c r="D192" s="21" t="str">
        <f>IF($C192="","",IFERROR(VLOOKUP($C192,Map_Register!$A$2:$C$5,3,FALSE()),""))</f>
        <v>Military Zone</v>
      </c>
      <c r="E192" s="20" t="s">
        <v>111</v>
      </c>
      <c r="F192" s="22">
        <v>7054</v>
      </c>
      <c r="G192" s="19" t="s">
        <v>112</v>
      </c>
      <c r="H192" s="19" t="s">
        <v>350</v>
      </c>
      <c r="I192" s="19" t="s">
        <v>8</v>
      </c>
      <c r="J192" s="19" t="s">
        <v>114</v>
      </c>
      <c r="K192" s="19" t="s">
        <v>114</v>
      </c>
      <c r="L192" s="19" t="s">
        <v>151</v>
      </c>
      <c r="M192" s="20" t="s">
        <v>116</v>
      </c>
      <c r="N192" s="20"/>
      <c r="O192" s="20"/>
      <c r="P192" s="20" t="s">
        <v>117</v>
      </c>
    </row>
    <row r="193" spans="1:16" x14ac:dyDescent="0.3">
      <c r="A193" s="19">
        <f t="shared" si="2"/>
        <v>192</v>
      </c>
      <c r="B193" s="20" t="s">
        <v>87</v>
      </c>
      <c r="C193" s="20" t="s">
        <v>97</v>
      </c>
      <c r="D193" s="21" t="str">
        <f>IF($C193="","",IFERROR(VLOOKUP($C193,Map_Register!$A$2:$C$5,3,FALSE()),""))</f>
        <v>Military Zone</v>
      </c>
      <c r="E193" s="20" t="s">
        <v>111</v>
      </c>
      <c r="F193" s="22">
        <v>7056</v>
      </c>
      <c r="G193" s="19" t="s">
        <v>112</v>
      </c>
      <c r="H193" s="19" t="s">
        <v>351</v>
      </c>
      <c r="I193" s="19" t="s">
        <v>6</v>
      </c>
      <c r="J193" s="19"/>
      <c r="K193" s="19"/>
      <c r="L193" s="19" t="s">
        <v>345</v>
      </c>
      <c r="M193" s="20"/>
      <c r="N193" s="20"/>
      <c r="O193" s="20"/>
      <c r="P193" s="20" t="s">
        <v>117</v>
      </c>
    </row>
    <row r="194" spans="1:16" x14ac:dyDescent="0.3">
      <c r="A194" s="19">
        <f t="shared" ref="A194:A257" si="3">IF($B194="","",ROW()-1)</f>
        <v>193</v>
      </c>
      <c r="B194" s="20" t="s">
        <v>87</v>
      </c>
      <c r="C194" s="20" t="s">
        <v>97</v>
      </c>
      <c r="D194" s="21" t="str">
        <f>IF($C194="","",IFERROR(VLOOKUP($C194,Map_Register!$A$2:$C$5,3,FALSE()),""))</f>
        <v>Military Zone</v>
      </c>
      <c r="E194" s="20" t="s">
        <v>111</v>
      </c>
      <c r="F194" s="22">
        <v>7059</v>
      </c>
      <c r="G194" s="19" t="s">
        <v>112</v>
      </c>
      <c r="H194" s="19" t="s">
        <v>352</v>
      </c>
      <c r="I194" s="19" t="s">
        <v>8</v>
      </c>
      <c r="J194" s="19" t="s">
        <v>114</v>
      </c>
      <c r="K194" s="19" t="s">
        <v>114</v>
      </c>
      <c r="L194" s="19" t="s">
        <v>151</v>
      </c>
      <c r="M194" s="20" t="s">
        <v>116</v>
      </c>
      <c r="N194" s="20"/>
      <c r="O194" s="20"/>
      <c r="P194" s="20" t="s">
        <v>117</v>
      </c>
    </row>
    <row r="195" spans="1:16" x14ac:dyDescent="0.3">
      <c r="A195" s="19">
        <f t="shared" si="3"/>
        <v>194</v>
      </c>
      <c r="B195" s="20" t="s">
        <v>87</v>
      </c>
      <c r="C195" s="20" t="s">
        <v>97</v>
      </c>
      <c r="D195" s="21" t="str">
        <f>IF($C195="","",IFERROR(VLOOKUP($C195,Map_Register!$A$2:$C$5,3,FALSE()),""))</f>
        <v>Military Zone</v>
      </c>
      <c r="E195" s="20" t="s">
        <v>111</v>
      </c>
      <c r="F195" s="22">
        <v>7060</v>
      </c>
      <c r="G195" s="19" t="s">
        <v>112</v>
      </c>
      <c r="H195" s="19" t="s">
        <v>353</v>
      </c>
      <c r="I195" s="19" t="s">
        <v>8</v>
      </c>
      <c r="J195" s="19" t="s">
        <v>114</v>
      </c>
      <c r="K195" s="19" t="s">
        <v>114</v>
      </c>
      <c r="L195" s="19" t="s">
        <v>151</v>
      </c>
      <c r="M195" s="20" t="s">
        <v>116</v>
      </c>
      <c r="N195" s="20"/>
      <c r="O195" s="20"/>
      <c r="P195" s="20" t="s">
        <v>117</v>
      </c>
    </row>
    <row r="196" spans="1:16" x14ac:dyDescent="0.3">
      <c r="A196" s="19">
        <f t="shared" si="3"/>
        <v>195</v>
      </c>
      <c r="B196" s="20" t="s">
        <v>87</v>
      </c>
      <c r="C196" s="20" t="s">
        <v>97</v>
      </c>
      <c r="D196" s="21" t="str">
        <f>IF($C196="","",IFERROR(VLOOKUP($C196,Map_Register!$A$2:$C$5,3,FALSE()),""))</f>
        <v>Military Zone</v>
      </c>
      <c r="E196" s="20" t="s">
        <v>111</v>
      </c>
      <c r="F196" s="22">
        <v>7079</v>
      </c>
      <c r="G196" s="19" t="s">
        <v>112</v>
      </c>
      <c r="H196" s="19" t="s">
        <v>354</v>
      </c>
      <c r="I196" s="19" t="s">
        <v>6</v>
      </c>
      <c r="J196" s="19"/>
      <c r="K196" s="19"/>
      <c r="L196" s="19" t="s">
        <v>225</v>
      </c>
      <c r="M196" s="20"/>
      <c r="N196" s="20"/>
      <c r="O196" s="20"/>
      <c r="P196" s="20" t="s">
        <v>117</v>
      </c>
    </row>
    <row r="197" spans="1:16" x14ac:dyDescent="0.3">
      <c r="A197" s="19">
        <f t="shared" si="3"/>
        <v>196</v>
      </c>
      <c r="B197" s="20" t="s">
        <v>87</v>
      </c>
      <c r="C197" s="20" t="s">
        <v>97</v>
      </c>
      <c r="D197" s="21" t="str">
        <f>IF($C197="","",IFERROR(VLOOKUP($C197,Map_Register!$A$2:$C$5,3,FALSE()),""))</f>
        <v>Military Zone</v>
      </c>
      <c r="E197" s="20" t="s">
        <v>111</v>
      </c>
      <c r="F197" s="22">
        <v>7246</v>
      </c>
      <c r="G197" s="19" t="s">
        <v>112</v>
      </c>
      <c r="H197" s="19" t="s">
        <v>355</v>
      </c>
      <c r="I197" s="19" t="s">
        <v>8</v>
      </c>
      <c r="J197" s="19" t="s">
        <v>114</v>
      </c>
      <c r="K197" s="19" t="s">
        <v>114</v>
      </c>
      <c r="L197" s="19" t="s">
        <v>151</v>
      </c>
      <c r="M197" s="20" t="s">
        <v>116</v>
      </c>
      <c r="N197" s="20"/>
      <c r="O197" s="20"/>
      <c r="P197" s="20" t="s">
        <v>117</v>
      </c>
    </row>
    <row r="198" spans="1:16" x14ac:dyDescent="0.3">
      <c r="A198" s="19">
        <f t="shared" si="3"/>
        <v>197</v>
      </c>
      <c r="B198" s="20" t="s">
        <v>87</v>
      </c>
      <c r="C198" s="20" t="s">
        <v>97</v>
      </c>
      <c r="D198" s="21" t="str">
        <f>IF($C198="","",IFERROR(VLOOKUP($C198,Map_Register!$A$2:$C$5,3,FALSE()),""))</f>
        <v>Military Zone</v>
      </c>
      <c r="E198" s="20" t="s">
        <v>111</v>
      </c>
      <c r="F198" s="22">
        <v>7329</v>
      </c>
      <c r="G198" s="19" t="s">
        <v>112</v>
      </c>
      <c r="H198" s="19" t="s">
        <v>356</v>
      </c>
      <c r="I198" s="19" t="s">
        <v>8</v>
      </c>
      <c r="J198" s="19" t="s">
        <v>114</v>
      </c>
      <c r="K198" s="19" t="s">
        <v>114</v>
      </c>
      <c r="L198" s="19" t="s">
        <v>151</v>
      </c>
      <c r="M198" s="20" t="s">
        <v>116</v>
      </c>
      <c r="N198" s="20"/>
      <c r="O198" s="20"/>
      <c r="P198" s="20" t="s">
        <v>117</v>
      </c>
    </row>
    <row r="199" spans="1:16" x14ac:dyDescent="0.3">
      <c r="A199" s="19">
        <f t="shared" si="3"/>
        <v>198</v>
      </c>
      <c r="B199" s="20" t="s">
        <v>87</v>
      </c>
      <c r="C199" s="20" t="s">
        <v>97</v>
      </c>
      <c r="D199" s="21" t="str">
        <f>IF($C199="","",IFERROR(VLOOKUP($C199,Map_Register!$A$2:$C$5,3,FALSE()),""))</f>
        <v>Military Zone</v>
      </c>
      <c r="E199" s="20" t="s">
        <v>111</v>
      </c>
      <c r="F199" s="22">
        <v>7396</v>
      </c>
      <c r="G199" s="19" t="s">
        <v>112</v>
      </c>
      <c r="H199" s="19" t="s">
        <v>357</v>
      </c>
      <c r="I199" s="19" t="s">
        <v>8</v>
      </c>
      <c r="J199" s="19" t="s">
        <v>114</v>
      </c>
      <c r="K199" s="19" t="s">
        <v>114</v>
      </c>
      <c r="L199" s="19" t="s">
        <v>151</v>
      </c>
      <c r="M199" s="20" t="s">
        <v>116</v>
      </c>
      <c r="N199" s="20"/>
      <c r="O199" s="20"/>
      <c r="P199" s="20" t="s">
        <v>117</v>
      </c>
    </row>
    <row r="200" spans="1:16" x14ac:dyDescent="0.3">
      <c r="A200" s="19">
        <f t="shared" si="3"/>
        <v>199</v>
      </c>
      <c r="B200" s="20" t="s">
        <v>87</v>
      </c>
      <c r="C200" s="20" t="s">
        <v>97</v>
      </c>
      <c r="D200" s="21" t="str">
        <f>IF($C200="","",IFERROR(VLOOKUP($C200,Map_Register!$A$2:$C$5,3,FALSE()),""))</f>
        <v>Military Zone</v>
      </c>
      <c r="E200" s="20" t="s">
        <v>111</v>
      </c>
      <c r="F200" s="22">
        <v>7398</v>
      </c>
      <c r="G200" s="19" t="s">
        <v>112</v>
      </c>
      <c r="H200" s="19" t="s">
        <v>358</v>
      </c>
      <c r="I200" s="19" t="s">
        <v>8</v>
      </c>
      <c r="J200" s="19" t="s">
        <v>114</v>
      </c>
      <c r="K200" s="19" t="s">
        <v>114</v>
      </c>
      <c r="L200" s="19" t="s">
        <v>151</v>
      </c>
      <c r="M200" s="20" t="s">
        <v>116</v>
      </c>
      <c r="N200" s="20"/>
      <c r="O200" s="20"/>
      <c r="P200" s="20" t="s">
        <v>117</v>
      </c>
    </row>
    <row r="201" spans="1:16" x14ac:dyDescent="0.3">
      <c r="A201" s="19">
        <f t="shared" si="3"/>
        <v>200</v>
      </c>
      <c r="B201" s="20" t="s">
        <v>87</v>
      </c>
      <c r="C201" s="20" t="s">
        <v>97</v>
      </c>
      <c r="D201" s="21" t="str">
        <f>IF($C201="","",IFERROR(VLOOKUP($C201,Map_Register!$A$2:$C$5,3,FALSE()),""))</f>
        <v>Military Zone</v>
      </c>
      <c r="E201" s="20" t="s">
        <v>111</v>
      </c>
      <c r="F201" s="22">
        <v>7399</v>
      </c>
      <c r="G201" s="19" t="s">
        <v>112</v>
      </c>
      <c r="H201" s="19" t="s">
        <v>359</v>
      </c>
      <c r="I201" s="19" t="s">
        <v>8</v>
      </c>
      <c r="J201" s="19" t="s">
        <v>114</v>
      </c>
      <c r="K201" s="19" t="s">
        <v>114</v>
      </c>
      <c r="L201" s="19" t="s">
        <v>151</v>
      </c>
      <c r="M201" s="20" t="s">
        <v>116</v>
      </c>
      <c r="N201" s="20"/>
      <c r="O201" s="20"/>
      <c r="P201" s="20" t="s">
        <v>117</v>
      </c>
    </row>
    <row r="202" spans="1:16" x14ac:dyDescent="0.3">
      <c r="A202" s="19">
        <f t="shared" si="3"/>
        <v>201</v>
      </c>
      <c r="B202" s="20" t="s">
        <v>87</v>
      </c>
      <c r="C202" s="20" t="s">
        <v>97</v>
      </c>
      <c r="D202" s="21" t="str">
        <f>IF($C202="","",IFERROR(VLOOKUP($C202,Map_Register!$A$2:$C$5,3,FALSE()),""))</f>
        <v>Military Zone</v>
      </c>
      <c r="E202" s="20" t="s">
        <v>111</v>
      </c>
      <c r="F202" s="22">
        <v>7403</v>
      </c>
      <c r="G202" s="19" t="s">
        <v>112</v>
      </c>
      <c r="H202" s="19" t="s">
        <v>360</v>
      </c>
      <c r="I202" s="19" t="s">
        <v>8</v>
      </c>
      <c r="J202" s="19" t="s">
        <v>114</v>
      </c>
      <c r="K202" s="19" t="s">
        <v>114</v>
      </c>
      <c r="L202" s="19" t="s">
        <v>151</v>
      </c>
      <c r="M202" s="20" t="s">
        <v>116</v>
      </c>
      <c r="N202" s="20"/>
      <c r="O202" s="20"/>
      <c r="P202" s="20" t="s">
        <v>117</v>
      </c>
    </row>
    <row r="203" spans="1:16" x14ac:dyDescent="0.3">
      <c r="A203" s="19">
        <f t="shared" si="3"/>
        <v>202</v>
      </c>
      <c r="B203" s="20" t="s">
        <v>87</v>
      </c>
      <c r="C203" s="20" t="s">
        <v>97</v>
      </c>
      <c r="D203" s="21" t="str">
        <f>IF($C203="","",IFERROR(VLOOKUP($C203,Map_Register!$A$2:$C$5,3,FALSE()),""))</f>
        <v>Military Zone</v>
      </c>
      <c r="E203" s="20" t="s">
        <v>111</v>
      </c>
      <c r="F203" s="22">
        <v>7408</v>
      </c>
      <c r="G203" s="19" t="s">
        <v>112</v>
      </c>
      <c r="H203" s="19" t="s">
        <v>301</v>
      </c>
      <c r="I203" s="19" t="s">
        <v>8</v>
      </c>
      <c r="J203" s="19" t="s">
        <v>114</v>
      </c>
      <c r="K203" s="19" t="s">
        <v>114</v>
      </c>
      <c r="L203" s="19" t="s">
        <v>151</v>
      </c>
      <c r="M203" s="20" t="s">
        <v>116</v>
      </c>
      <c r="N203" s="20"/>
      <c r="O203" s="20"/>
      <c r="P203" s="20" t="s">
        <v>117</v>
      </c>
    </row>
    <row r="204" spans="1:16" x14ac:dyDescent="0.3">
      <c r="A204" s="19">
        <f t="shared" si="3"/>
        <v>203</v>
      </c>
      <c r="B204" s="20" t="s">
        <v>87</v>
      </c>
      <c r="C204" s="20" t="s">
        <v>97</v>
      </c>
      <c r="D204" s="21" t="str">
        <f>IF($C204="","",IFERROR(VLOOKUP($C204,Map_Register!$A$2:$C$5,3,FALSE()),""))</f>
        <v>Military Zone</v>
      </c>
      <c r="E204" s="20" t="s">
        <v>111</v>
      </c>
      <c r="F204" s="22">
        <v>7413</v>
      </c>
      <c r="G204" s="19" t="s">
        <v>112</v>
      </c>
      <c r="H204" s="19" t="s">
        <v>361</v>
      </c>
      <c r="I204" s="19" t="s">
        <v>6</v>
      </c>
      <c r="J204" s="19"/>
      <c r="K204" s="19"/>
      <c r="L204" s="19" t="s">
        <v>284</v>
      </c>
      <c r="M204" s="20"/>
      <c r="N204" s="20"/>
      <c r="O204" s="20"/>
      <c r="P204" s="20" t="s">
        <v>117</v>
      </c>
    </row>
    <row r="205" spans="1:16" x14ac:dyDescent="0.3">
      <c r="A205" s="19">
        <f t="shared" si="3"/>
        <v>204</v>
      </c>
      <c r="B205" s="20" t="s">
        <v>87</v>
      </c>
      <c r="C205" s="20" t="s">
        <v>97</v>
      </c>
      <c r="D205" s="21" t="str">
        <f>IF($C205="","",IFERROR(VLOOKUP($C205,Map_Register!$A$2:$C$5,3,FALSE()),""))</f>
        <v>Military Zone</v>
      </c>
      <c r="E205" s="20" t="s">
        <v>111</v>
      </c>
      <c r="F205" s="22">
        <v>7429</v>
      </c>
      <c r="G205" s="19" t="s">
        <v>112</v>
      </c>
      <c r="H205" s="19" t="s">
        <v>362</v>
      </c>
      <c r="I205" s="19" t="s">
        <v>8</v>
      </c>
      <c r="J205" s="19" t="s">
        <v>114</v>
      </c>
      <c r="K205" s="19" t="s">
        <v>114</v>
      </c>
      <c r="L205" s="19" t="s">
        <v>151</v>
      </c>
      <c r="M205" s="20" t="s">
        <v>116</v>
      </c>
      <c r="N205" s="20"/>
      <c r="O205" s="20"/>
      <c r="P205" s="20" t="s">
        <v>117</v>
      </c>
    </row>
    <row r="206" spans="1:16" x14ac:dyDescent="0.3">
      <c r="A206" s="19">
        <f t="shared" si="3"/>
        <v>205</v>
      </c>
      <c r="B206" s="20" t="s">
        <v>87</v>
      </c>
      <c r="C206" s="20" t="s">
        <v>97</v>
      </c>
      <c r="D206" s="21" t="str">
        <f>IF($C206="","",IFERROR(VLOOKUP($C206,Map_Register!$A$2:$C$5,3,FALSE()),""))</f>
        <v>Military Zone</v>
      </c>
      <c r="E206" s="20" t="s">
        <v>111</v>
      </c>
      <c r="F206" s="22">
        <v>7433</v>
      </c>
      <c r="G206" s="19" t="s">
        <v>112</v>
      </c>
      <c r="H206" s="19" t="s">
        <v>363</v>
      </c>
      <c r="I206" s="19" t="s">
        <v>8</v>
      </c>
      <c r="J206" s="19" t="s">
        <v>114</v>
      </c>
      <c r="K206" s="19" t="s">
        <v>114</v>
      </c>
      <c r="L206" s="19" t="s">
        <v>151</v>
      </c>
      <c r="M206" s="20" t="s">
        <v>116</v>
      </c>
      <c r="N206" s="20"/>
      <c r="O206" s="20"/>
      <c r="P206" s="20" t="s">
        <v>117</v>
      </c>
    </row>
    <row r="207" spans="1:16" x14ac:dyDescent="0.3">
      <c r="A207" s="19">
        <f t="shared" si="3"/>
        <v>206</v>
      </c>
      <c r="B207" s="20" t="s">
        <v>87</v>
      </c>
      <c r="C207" s="20" t="s">
        <v>97</v>
      </c>
      <c r="D207" s="21" t="str">
        <f>IF($C207="","",IFERROR(VLOOKUP($C207,Map_Register!$A$2:$C$5,3,FALSE()),""))</f>
        <v>Military Zone</v>
      </c>
      <c r="E207" s="20" t="s">
        <v>111</v>
      </c>
      <c r="F207" s="22">
        <v>7461</v>
      </c>
      <c r="G207" s="19" t="s">
        <v>112</v>
      </c>
      <c r="H207" s="19" t="s">
        <v>364</v>
      </c>
      <c r="I207" s="19" t="s">
        <v>8</v>
      </c>
      <c r="J207" s="19" t="s">
        <v>114</v>
      </c>
      <c r="K207" s="19" t="s">
        <v>114</v>
      </c>
      <c r="L207" s="19" t="s">
        <v>151</v>
      </c>
      <c r="M207" s="20" t="s">
        <v>116</v>
      </c>
      <c r="N207" s="20"/>
      <c r="O207" s="20"/>
      <c r="P207" s="20" t="s">
        <v>117</v>
      </c>
    </row>
    <row r="208" spans="1:16" x14ac:dyDescent="0.3">
      <c r="A208" s="19">
        <f t="shared" si="3"/>
        <v>207</v>
      </c>
      <c r="B208" s="20" t="s">
        <v>87</v>
      </c>
      <c r="C208" s="20" t="s">
        <v>97</v>
      </c>
      <c r="D208" s="21" t="str">
        <f>IF($C208="","",IFERROR(VLOOKUP($C208,Map_Register!$A$2:$C$5,3,FALSE()),""))</f>
        <v>Military Zone</v>
      </c>
      <c r="E208" s="20" t="s">
        <v>111</v>
      </c>
      <c r="F208" s="22">
        <v>7464</v>
      </c>
      <c r="G208" s="19" t="s">
        <v>112</v>
      </c>
      <c r="H208" s="19" t="s">
        <v>365</v>
      </c>
      <c r="I208" s="19" t="s">
        <v>8</v>
      </c>
      <c r="J208" s="19" t="s">
        <v>114</v>
      </c>
      <c r="K208" t="s">
        <v>114</v>
      </c>
      <c r="L208" s="19" t="s">
        <v>154</v>
      </c>
      <c r="M208" s="20" t="s">
        <v>116</v>
      </c>
      <c r="N208" s="20"/>
      <c r="O208" s="20"/>
      <c r="P208" s="20" t="s">
        <v>117</v>
      </c>
    </row>
    <row r="209" spans="1:16" x14ac:dyDescent="0.3">
      <c r="A209" s="19">
        <f t="shared" si="3"/>
        <v>208</v>
      </c>
      <c r="B209" s="20" t="s">
        <v>87</v>
      </c>
      <c r="C209" s="20" t="s">
        <v>97</v>
      </c>
      <c r="D209" s="21" t="str">
        <f>IF($C209="","",IFERROR(VLOOKUP($C209,Map_Register!$A$2:$C$5,3,FALSE()),""))</f>
        <v>Military Zone</v>
      </c>
      <c r="E209" s="20" t="s">
        <v>111</v>
      </c>
      <c r="F209" s="22">
        <v>7468</v>
      </c>
      <c r="G209" s="19" t="s">
        <v>112</v>
      </c>
      <c r="H209" s="19" t="s">
        <v>366</v>
      </c>
      <c r="I209" s="19" t="s">
        <v>8</v>
      </c>
      <c r="J209" s="19" t="s">
        <v>114</v>
      </c>
      <c r="K209" s="19" t="s">
        <v>114</v>
      </c>
      <c r="L209" s="19" t="s">
        <v>151</v>
      </c>
      <c r="M209" s="20" t="s">
        <v>116</v>
      </c>
      <c r="N209" s="20"/>
      <c r="O209" s="20"/>
      <c r="P209" s="20" t="s">
        <v>117</v>
      </c>
    </row>
    <row r="210" spans="1:16" x14ac:dyDescent="0.3">
      <c r="A210" s="19">
        <f t="shared" si="3"/>
        <v>209</v>
      </c>
      <c r="B210" s="20" t="s">
        <v>87</v>
      </c>
      <c r="C210" s="20" t="s">
        <v>97</v>
      </c>
      <c r="D210" s="21" t="str">
        <f>IF($C210="","",IFERROR(VLOOKUP($C210,Map_Register!$A$2:$C$5,3,FALSE()),""))</f>
        <v>Military Zone</v>
      </c>
      <c r="E210" s="20" t="s">
        <v>111</v>
      </c>
      <c r="F210" s="22">
        <v>7510</v>
      </c>
      <c r="G210" s="19" t="s">
        <v>112</v>
      </c>
      <c r="H210" s="19" t="s">
        <v>367</v>
      </c>
      <c r="I210" s="19" t="s">
        <v>8</v>
      </c>
      <c r="J210" s="19" t="s">
        <v>114</v>
      </c>
      <c r="K210" s="19" t="s">
        <v>114</v>
      </c>
      <c r="L210" s="19" t="s">
        <v>151</v>
      </c>
      <c r="M210" s="20" t="s">
        <v>116</v>
      </c>
      <c r="N210" s="20"/>
      <c r="O210" s="20"/>
      <c r="P210" s="20" t="s">
        <v>117</v>
      </c>
    </row>
    <row r="211" spans="1:16" x14ac:dyDescent="0.3">
      <c r="A211" s="19">
        <f t="shared" si="3"/>
        <v>210</v>
      </c>
      <c r="B211" s="20" t="s">
        <v>87</v>
      </c>
      <c r="C211" s="20" t="s">
        <v>97</v>
      </c>
      <c r="D211" s="21" t="str">
        <f>IF($C211="","",IFERROR(VLOOKUP($C211,Map_Register!$A$2:$C$5,3,FALSE()),""))</f>
        <v>Military Zone</v>
      </c>
      <c r="E211" s="20" t="s">
        <v>111</v>
      </c>
      <c r="F211" s="22">
        <v>7568</v>
      </c>
      <c r="G211" s="19" t="s">
        <v>112</v>
      </c>
      <c r="H211" s="19" t="s">
        <v>368</v>
      </c>
      <c r="I211" s="19" t="s">
        <v>8</v>
      </c>
      <c r="J211" s="19" t="s">
        <v>114</v>
      </c>
      <c r="K211" s="19" t="s">
        <v>114</v>
      </c>
      <c r="L211" s="19" t="s">
        <v>151</v>
      </c>
      <c r="M211" s="20" t="s">
        <v>116</v>
      </c>
      <c r="N211" s="20"/>
      <c r="O211" s="20"/>
      <c r="P211" s="20" t="s">
        <v>117</v>
      </c>
    </row>
    <row r="212" spans="1:16" x14ac:dyDescent="0.3">
      <c r="A212" s="19">
        <f t="shared" si="3"/>
        <v>211</v>
      </c>
      <c r="B212" s="20" t="s">
        <v>87</v>
      </c>
      <c r="C212" s="20" t="s">
        <v>97</v>
      </c>
      <c r="D212" s="21" t="str">
        <f>IF($C212="","",IFERROR(VLOOKUP($C212,Map_Register!$A$2:$C$5,3,FALSE()),""))</f>
        <v>Military Zone</v>
      </c>
      <c r="E212" s="20" t="s">
        <v>111</v>
      </c>
      <c r="F212" s="22">
        <v>7569</v>
      </c>
      <c r="G212" s="19" t="s">
        <v>112</v>
      </c>
      <c r="H212" s="19" t="s">
        <v>369</v>
      </c>
      <c r="I212" s="19" t="s">
        <v>8</v>
      </c>
      <c r="J212" s="19" t="s">
        <v>114</v>
      </c>
      <c r="K212" s="19" t="s">
        <v>114</v>
      </c>
      <c r="L212" s="19" t="s">
        <v>151</v>
      </c>
      <c r="M212" s="20" t="s">
        <v>116</v>
      </c>
      <c r="N212" s="20"/>
      <c r="O212" s="20"/>
      <c r="P212" s="20" t="s">
        <v>117</v>
      </c>
    </row>
    <row r="213" spans="1:16" x14ac:dyDescent="0.3">
      <c r="A213" s="19">
        <f t="shared" si="3"/>
        <v>212</v>
      </c>
      <c r="B213" s="20" t="s">
        <v>87</v>
      </c>
      <c r="C213" s="20" t="s">
        <v>97</v>
      </c>
      <c r="D213" s="21" t="str">
        <f>IF($C213="","",IFERROR(VLOOKUP($C213,Map_Register!$A$2:$C$5,3,FALSE()),""))</f>
        <v>Military Zone</v>
      </c>
      <c r="E213" s="20" t="s">
        <v>111</v>
      </c>
      <c r="F213" s="22">
        <v>7583</v>
      </c>
      <c r="G213" s="19" t="s">
        <v>112</v>
      </c>
      <c r="H213" s="19" t="s">
        <v>370</v>
      </c>
      <c r="I213" s="19" t="s">
        <v>8</v>
      </c>
      <c r="J213" s="19" t="s">
        <v>114</v>
      </c>
      <c r="K213" s="19" t="s">
        <v>114</v>
      </c>
      <c r="L213" s="19" t="s">
        <v>151</v>
      </c>
      <c r="M213" s="20" t="s">
        <v>116</v>
      </c>
      <c r="N213" s="20"/>
      <c r="O213" s="20"/>
      <c r="P213" s="20" t="s">
        <v>117</v>
      </c>
    </row>
    <row r="214" spans="1:16" x14ac:dyDescent="0.3">
      <c r="A214" s="19">
        <f t="shared" si="3"/>
        <v>213</v>
      </c>
      <c r="B214" s="20" t="s">
        <v>87</v>
      </c>
      <c r="C214" s="20" t="s">
        <v>97</v>
      </c>
      <c r="D214" s="21" t="str">
        <f>IF($C214="","",IFERROR(VLOOKUP($C214,Map_Register!$A$2:$C$5,3,FALSE()),""))</f>
        <v>Military Zone</v>
      </c>
      <c r="E214" s="20" t="s">
        <v>111</v>
      </c>
      <c r="F214" s="22">
        <v>7584</v>
      </c>
      <c r="G214" s="19" t="s">
        <v>112</v>
      </c>
      <c r="H214" s="19" t="s">
        <v>371</v>
      </c>
      <c r="I214" s="19" t="s">
        <v>8</v>
      </c>
      <c r="J214" s="19" t="s">
        <v>114</v>
      </c>
      <c r="K214" s="19" t="s">
        <v>114</v>
      </c>
      <c r="L214" s="19" t="s">
        <v>151</v>
      </c>
      <c r="M214" s="20" t="s">
        <v>116</v>
      </c>
      <c r="N214" s="20"/>
      <c r="O214" s="20"/>
      <c r="P214" s="20" t="s">
        <v>117</v>
      </c>
    </row>
    <row r="215" spans="1:16" x14ac:dyDescent="0.3">
      <c r="A215" s="19">
        <f t="shared" si="3"/>
        <v>214</v>
      </c>
      <c r="B215" s="20" t="s">
        <v>87</v>
      </c>
      <c r="C215" s="20" t="s">
        <v>97</v>
      </c>
      <c r="D215" s="21" t="str">
        <f>IF($C215="","",IFERROR(VLOOKUP($C215,Map_Register!$A$2:$C$5,3,FALSE()),""))</f>
        <v>Military Zone</v>
      </c>
      <c r="E215" s="20" t="s">
        <v>111</v>
      </c>
      <c r="F215" s="22">
        <v>7585</v>
      </c>
      <c r="G215" s="19" t="s">
        <v>112</v>
      </c>
      <c r="H215" s="19" t="s">
        <v>372</v>
      </c>
      <c r="I215" s="19" t="s">
        <v>8</v>
      </c>
      <c r="J215" s="19" t="s">
        <v>114</v>
      </c>
      <c r="K215" s="19" t="s">
        <v>114</v>
      </c>
      <c r="L215" s="19" t="s">
        <v>151</v>
      </c>
      <c r="M215" s="20" t="s">
        <v>116</v>
      </c>
      <c r="N215" s="20"/>
      <c r="O215" s="20"/>
      <c r="P215" s="20" t="s">
        <v>117</v>
      </c>
    </row>
    <row r="216" spans="1:16" x14ac:dyDescent="0.3">
      <c r="A216" s="19">
        <f t="shared" si="3"/>
        <v>215</v>
      </c>
      <c r="B216" s="20" t="s">
        <v>87</v>
      </c>
      <c r="C216" s="20" t="s">
        <v>97</v>
      </c>
      <c r="D216" s="21" t="str">
        <f>IF($C216="","",IFERROR(VLOOKUP($C216,Map_Register!$A$2:$C$5,3,FALSE()),""))</f>
        <v>Military Zone</v>
      </c>
      <c r="E216" s="20" t="s">
        <v>111</v>
      </c>
      <c r="F216" s="22">
        <v>7586</v>
      </c>
      <c r="G216" s="19" t="s">
        <v>112</v>
      </c>
      <c r="H216" s="19" t="s">
        <v>373</v>
      </c>
      <c r="I216" s="19" t="s">
        <v>6</v>
      </c>
      <c r="J216" s="19"/>
      <c r="K216" s="19"/>
      <c r="L216" s="19" t="s">
        <v>225</v>
      </c>
      <c r="M216" s="20"/>
      <c r="N216" s="20"/>
      <c r="O216" s="20"/>
      <c r="P216" s="20" t="s">
        <v>117</v>
      </c>
    </row>
    <row r="217" spans="1:16" x14ac:dyDescent="0.3">
      <c r="A217" s="19">
        <f t="shared" si="3"/>
        <v>216</v>
      </c>
      <c r="B217" s="20" t="s">
        <v>87</v>
      </c>
      <c r="C217" s="20" t="s">
        <v>97</v>
      </c>
      <c r="D217" s="21" t="str">
        <f>IF($C217="","",IFERROR(VLOOKUP($C217,Map_Register!$A$2:$C$5,3,FALSE()),""))</f>
        <v>Military Zone</v>
      </c>
      <c r="E217" s="20" t="s">
        <v>111</v>
      </c>
      <c r="F217" s="22">
        <v>7699</v>
      </c>
      <c r="G217" s="19" t="s">
        <v>112</v>
      </c>
      <c r="H217" s="19" t="s">
        <v>374</v>
      </c>
      <c r="I217" s="19" t="s">
        <v>8</v>
      </c>
      <c r="J217" s="19" t="s">
        <v>114</v>
      </c>
      <c r="K217" s="19" t="s">
        <v>114</v>
      </c>
      <c r="L217" s="19" t="s">
        <v>151</v>
      </c>
      <c r="M217" s="20" t="s">
        <v>116</v>
      </c>
      <c r="N217" s="20"/>
      <c r="O217" s="20"/>
      <c r="P217" s="20" t="s">
        <v>117</v>
      </c>
    </row>
    <row r="218" spans="1:16" x14ac:dyDescent="0.3">
      <c r="A218" s="19">
        <f t="shared" si="3"/>
        <v>217</v>
      </c>
      <c r="B218" s="20" t="s">
        <v>87</v>
      </c>
      <c r="C218" s="20" t="s">
        <v>97</v>
      </c>
      <c r="D218" s="21" t="str">
        <f>IF($C218="","",IFERROR(VLOOKUP($C218,Map_Register!$A$2:$C$5,3,FALSE()),""))</f>
        <v>Military Zone</v>
      </c>
      <c r="E218" s="20" t="s">
        <v>111</v>
      </c>
      <c r="F218" s="22">
        <v>7700</v>
      </c>
      <c r="G218" s="19" t="s">
        <v>112</v>
      </c>
      <c r="H218" s="19" t="s">
        <v>375</v>
      </c>
      <c r="I218" s="19" t="s">
        <v>8</v>
      </c>
      <c r="J218" s="19" t="s">
        <v>114</v>
      </c>
      <c r="K218" s="19" t="s">
        <v>114</v>
      </c>
      <c r="L218" s="19" t="s">
        <v>135</v>
      </c>
      <c r="M218" s="20" t="s">
        <v>116</v>
      </c>
      <c r="N218" s="20"/>
      <c r="O218" s="20"/>
      <c r="P218" s="20" t="s">
        <v>117</v>
      </c>
    </row>
    <row r="219" spans="1:16" x14ac:dyDescent="0.3">
      <c r="A219" s="19">
        <f t="shared" si="3"/>
        <v>218</v>
      </c>
      <c r="B219" s="20" t="s">
        <v>87</v>
      </c>
      <c r="C219" s="20" t="s">
        <v>97</v>
      </c>
      <c r="D219" s="21" t="str">
        <f>IF($C219="","",IFERROR(VLOOKUP($C219,Map_Register!$A$2:$C$5,3,FALSE()),""))</f>
        <v>Military Zone</v>
      </c>
      <c r="E219" s="20" t="s">
        <v>111</v>
      </c>
      <c r="F219" s="22">
        <v>7737</v>
      </c>
      <c r="G219" s="19" t="s">
        <v>112</v>
      </c>
      <c r="H219" s="19" t="s">
        <v>376</v>
      </c>
      <c r="I219" s="19" t="s">
        <v>8</v>
      </c>
      <c r="J219" s="19" t="s">
        <v>114</v>
      </c>
      <c r="K219" s="19" t="s">
        <v>114</v>
      </c>
      <c r="L219" s="19" t="s">
        <v>135</v>
      </c>
      <c r="M219" s="20" t="s">
        <v>116</v>
      </c>
      <c r="N219" s="20"/>
      <c r="O219" s="20"/>
      <c r="P219" s="20" t="s">
        <v>117</v>
      </c>
    </row>
    <row r="220" spans="1:16" x14ac:dyDescent="0.3">
      <c r="A220" s="19">
        <f t="shared" si="3"/>
        <v>219</v>
      </c>
      <c r="B220" s="20" t="s">
        <v>87</v>
      </c>
      <c r="C220" s="20" t="s">
        <v>97</v>
      </c>
      <c r="D220" s="21" t="str">
        <f>IF($C220="","",IFERROR(VLOOKUP($C220,Map_Register!$A$2:$C$5,3,FALSE()),""))</f>
        <v>Military Zone</v>
      </c>
      <c r="E220" s="20" t="s">
        <v>111</v>
      </c>
      <c r="F220" s="22">
        <v>8563</v>
      </c>
      <c r="G220" s="19" t="s">
        <v>377</v>
      </c>
      <c r="H220" s="19" t="s">
        <v>378</v>
      </c>
      <c r="I220" s="19" t="s">
        <v>6</v>
      </c>
      <c r="J220" s="19"/>
      <c r="K220" s="19"/>
      <c r="L220" s="19" t="s">
        <v>312</v>
      </c>
      <c r="M220" s="20"/>
      <c r="N220" s="20"/>
      <c r="O220" s="20"/>
      <c r="P220" s="20" t="s">
        <v>117</v>
      </c>
    </row>
    <row r="221" spans="1:16" x14ac:dyDescent="0.3">
      <c r="A221" s="19">
        <f t="shared" si="3"/>
        <v>220</v>
      </c>
      <c r="B221" s="20" t="s">
        <v>87</v>
      </c>
      <c r="C221" s="20" t="s">
        <v>97</v>
      </c>
      <c r="D221" s="21" t="str">
        <f>IF($C221="","",IFERROR(VLOOKUP($C221,Map_Register!$A$2:$C$5,3,FALSE()),""))</f>
        <v>Military Zone</v>
      </c>
      <c r="E221" s="20" t="s">
        <v>111</v>
      </c>
      <c r="F221" s="22">
        <v>8564</v>
      </c>
      <c r="G221" s="19" t="s">
        <v>379</v>
      </c>
      <c r="H221" s="19" t="s">
        <v>380</v>
      </c>
      <c r="I221" s="19" t="s">
        <v>6</v>
      </c>
      <c r="J221" s="19"/>
      <c r="K221" s="19"/>
      <c r="L221" s="19" t="s">
        <v>381</v>
      </c>
      <c r="M221" s="20"/>
      <c r="N221" s="20"/>
      <c r="O221" s="20"/>
      <c r="P221" s="20" t="s">
        <v>117</v>
      </c>
    </row>
    <row r="222" spans="1:16" x14ac:dyDescent="0.3">
      <c r="A222" s="19">
        <f t="shared" si="3"/>
        <v>221</v>
      </c>
      <c r="B222" s="20" t="s">
        <v>87</v>
      </c>
      <c r="C222" s="20" t="s">
        <v>97</v>
      </c>
      <c r="D222" s="21" t="str">
        <f>IF($C222="","",IFERROR(VLOOKUP($C222,Map_Register!$A$2:$C$5,3,FALSE()),""))</f>
        <v>Military Zone</v>
      </c>
      <c r="E222" s="20" t="s">
        <v>111</v>
      </c>
      <c r="F222" s="22">
        <v>8717</v>
      </c>
      <c r="G222" s="19" t="s">
        <v>112</v>
      </c>
      <c r="H222" s="19" t="s">
        <v>382</v>
      </c>
      <c r="I222" s="19" t="s">
        <v>8</v>
      </c>
      <c r="J222" s="19" t="s">
        <v>114</v>
      </c>
      <c r="K222" s="19" t="s">
        <v>114</v>
      </c>
      <c r="L222" s="19" t="s">
        <v>151</v>
      </c>
      <c r="M222" s="20" t="s">
        <v>116</v>
      </c>
      <c r="N222" s="20"/>
      <c r="O222" s="20"/>
      <c r="P222" s="20" t="s">
        <v>117</v>
      </c>
    </row>
    <row r="223" spans="1:16" x14ac:dyDescent="0.3">
      <c r="A223" s="19">
        <f t="shared" si="3"/>
        <v>222</v>
      </c>
      <c r="B223" s="20" t="s">
        <v>87</v>
      </c>
      <c r="C223" s="20" t="s">
        <v>97</v>
      </c>
      <c r="D223" s="21" t="str">
        <f>IF($C223="","",IFERROR(VLOOKUP($C223,Map_Register!$A$2:$C$5,3,FALSE()),""))</f>
        <v>Military Zone</v>
      </c>
      <c r="E223" s="20" t="s">
        <v>111</v>
      </c>
      <c r="F223" s="22">
        <v>8718</v>
      </c>
      <c r="G223" s="19" t="s">
        <v>112</v>
      </c>
      <c r="H223" s="19" t="s">
        <v>383</v>
      </c>
      <c r="I223" s="19" t="s">
        <v>8</v>
      </c>
      <c r="J223" s="19" t="s">
        <v>114</v>
      </c>
      <c r="K223" s="19" t="s">
        <v>114</v>
      </c>
      <c r="L223" s="19" t="s">
        <v>151</v>
      </c>
      <c r="M223" s="20" t="s">
        <v>116</v>
      </c>
      <c r="N223" s="20"/>
      <c r="O223" s="20"/>
      <c r="P223" s="20" t="s">
        <v>117</v>
      </c>
    </row>
    <row r="224" spans="1:16" x14ac:dyDescent="0.3">
      <c r="A224" s="19">
        <f t="shared" si="3"/>
        <v>223</v>
      </c>
      <c r="B224" s="20" t="s">
        <v>87</v>
      </c>
      <c r="C224" s="20" t="s">
        <v>97</v>
      </c>
      <c r="D224" s="21" t="str">
        <f>IF($C224="","",IFERROR(VLOOKUP($C224,Map_Register!$A$2:$C$5,3,FALSE()),""))</f>
        <v>Military Zone</v>
      </c>
      <c r="E224" s="20" t="s">
        <v>111</v>
      </c>
      <c r="F224" s="22">
        <v>8750</v>
      </c>
      <c r="G224" s="19" t="s">
        <v>112</v>
      </c>
      <c r="H224" s="19" t="s">
        <v>384</v>
      </c>
      <c r="I224" s="19" t="s">
        <v>8</v>
      </c>
      <c r="J224" s="19" t="s">
        <v>114</v>
      </c>
      <c r="K224" s="19" t="s">
        <v>114</v>
      </c>
      <c r="L224" s="19" t="s">
        <v>151</v>
      </c>
      <c r="M224" s="20" t="s">
        <v>116</v>
      </c>
      <c r="N224" s="20"/>
      <c r="O224" s="20"/>
      <c r="P224" s="20" t="s">
        <v>117</v>
      </c>
    </row>
    <row r="225" spans="1:16" x14ac:dyDescent="0.3">
      <c r="A225" s="19">
        <f t="shared" si="3"/>
        <v>224</v>
      </c>
      <c r="B225" s="20" t="s">
        <v>87</v>
      </c>
      <c r="C225" s="20" t="s">
        <v>97</v>
      </c>
      <c r="D225" s="21" t="str">
        <f>IF($C225="","",IFERROR(VLOOKUP($C225,Map_Register!$A$2:$C$5,3,FALSE()),""))</f>
        <v>Military Zone</v>
      </c>
      <c r="E225" s="20" t="s">
        <v>111</v>
      </c>
      <c r="F225" s="22">
        <v>8885</v>
      </c>
      <c r="G225" s="19" t="s">
        <v>112</v>
      </c>
      <c r="H225" s="19" t="s">
        <v>385</v>
      </c>
      <c r="I225" s="19" t="s">
        <v>8</v>
      </c>
      <c r="J225" s="19" t="s">
        <v>114</v>
      </c>
      <c r="K225" s="19" t="s">
        <v>114</v>
      </c>
      <c r="L225" s="19" t="s">
        <v>151</v>
      </c>
      <c r="M225" s="20" t="s">
        <v>116</v>
      </c>
      <c r="N225" s="20"/>
      <c r="O225" s="20"/>
      <c r="P225" s="20" t="s">
        <v>117</v>
      </c>
    </row>
    <row r="226" spans="1:16" x14ac:dyDescent="0.3">
      <c r="A226" s="19">
        <f t="shared" si="3"/>
        <v>225</v>
      </c>
      <c r="B226" s="20" t="s">
        <v>87</v>
      </c>
      <c r="C226" s="20" t="s">
        <v>97</v>
      </c>
      <c r="D226" s="21" t="str">
        <f>IF($C226="","",IFERROR(VLOOKUP($C226,Map_Register!$A$2:$C$5,3,FALSE()),""))</f>
        <v>Military Zone</v>
      </c>
      <c r="E226" s="20" t="s">
        <v>111</v>
      </c>
      <c r="F226" s="22">
        <v>8933</v>
      </c>
      <c r="G226" s="19" t="s">
        <v>112</v>
      </c>
      <c r="H226" s="19" t="s">
        <v>386</v>
      </c>
      <c r="I226" s="19" t="s">
        <v>8</v>
      </c>
      <c r="J226" s="19" t="s">
        <v>114</v>
      </c>
      <c r="K226" t="s">
        <v>114</v>
      </c>
      <c r="L226" s="19" t="s">
        <v>241</v>
      </c>
      <c r="M226" s="20" t="s">
        <v>116</v>
      </c>
      <c r="N226" s="20"/>
      <c r="O226" s="20"/>
      <c r="P226" s="20" t="s">
        <v>117</v>
      </c>
    </row>
    <row r="227" spans="1:16" x14ac:dyDescent="0.3">
      <c r="A227" s="19">
        <f t="shared" si="3"/>
        <v>226</v>
      </c>
      <c r="B227" s="20" t="s">
        <v>87</v>
      </c>
      <c r="C227" s="20" t="s">
        <v>97</v>
      </c>
      <c r="D227" s="21" t="str">
        <f>IF($C227="","",IFERROR(VLOOKUP($C227,Map_Register!$A$2:$C$5,3,FALSE()),""))</f>
        <v>Military Zone</v>
      </c>
      <c r="E227" s="20" t="s">
        <v>111</v>
      </c>
      <c r="F227" s="22">
        <v>8936</v>
      </c>
      <c r="G227" s="19" t="s">
        <v>112</v>
      </c>
      <c r="H227" s="19" t="s">
        <v>387</v>
      </c>
      <c r="I227" s="19" t="s">
        <v>8</v>
      </c>
      <c r="J227" s="19" t="s">
        <v>114</v>
      </c>
      <c r="K227" s="19" t="s">
        <v>114</v>
      </c>
      <c r="L227" s="19" t="s">
        <v>151</v>
      </c>
      <c r="M227" s="20" t="s">
        <v>116</v>
      </c>
      <c r="N227" s="20"/>
      <c r="O227" s="20"/>
      <c r="P227" s="20" t="s">
        <v>117</v>
      </c>
    </row>
    <row r="228" spans="1:16" x14ac:dyDescent="0.3">
      <c r="A228" s="19">
        <f t="shared" si="3"/>
        <v>227</v>
      </c>
      <c r="B228" s="20" t="s">
        <v>87</v>
      </c>
      <c r="C228" s="20" t="s">
        <v>97</v>
      </c>
      <c r="D228" s="21" t="str">
        <f>IF($C228="","",IFERROR(VLOOKUP($C228,Map_Register!$A$2:$C$5,3,FALSE()),""))</f>
        <v>Military Zone</v>
      </c>
      <c r="E228" s="20" t="s">
        <v>111</v>
      </c>
      <c r="F228" s="22">
        <v>9106</v>
      </c>
      <c r="G228" s="19" t="s">
        <v>112</v>
      </c>
      <c r="H228" s="19" t="s">
        <v>388</v>
      </c>
      <c r="I228" s="19" t="s">
        <v>8</v>
      </c>
      <c r="J228" s="19" t="s">
        <v>114</v>
      </c>
      <c r="K228" t="s">
        <v>114</v>
      </c>
      <c r="L228" s="19" t="s">
        <v>165</v>
      </c>
      <c r="M228" s="20" t="s">
        <v>116</v>
      </c>
      <c r="N228" s="20"/>
      <c r="O228" s="20"/>
      <c r="P228" s="20" t="s">
        <v>117</v>
      </c>
    </row>
    <row r="229" spans="1:16" x14ac:dyDescent="0.3">
      <c r="A229" s="19">
        <f t="shared" si="3"/>
        <v>228</v>
      </c>
      <c r="B229" s="20" t="s">
        <v>87</v>
      </c>
      <c r="C229" s="20" t="s">
        <v>97</v>
      </c>
      <c r="D229" s="21" t="str">
        <f>IF($C229="","",IFERROR(VLOOKUP($C229,Map_Register!$A$2:$C$5,3,FALSE()),""))</f>
        <v>Military Zone</v>
      </c>
      <c r="E229" s="20" t="s">
        <v>111</v>
      </c>
      <c r="F229" s="22">
        <v>9107</v>
      </c>
      <c r="G229" s="19" t="s">
        <v>112</v>
      </c>
      <c r="H229" s="19" t="s">
        <v>389</v>
      </c>
      <c r="I229" s="19" t="s">
        <v>8</v>
      </c>
      <c r="J229" s="19" t="s">
        <v>114</v>
      </c>
      <c r="K229" t="s">
        <v>114</v>
      </c>
      <c r="L229" s="19" t="s">
        <v>165</v>
      </c>
      <c r="M229" s="20" t="s">
        <v>116</v>
      </c>
      <c r="N229" s="20"/>
      <c r="O229" s="20"/>
      <c r="P229" s="20" t="s">
        <v>117</v>
      </c>
    </row>
    <row r="230" spans="1:16" x14ac:dyDescent="0.3">
      <c r="A230" s="19">
        <f t="shared" si="3"/>
        <v>229</v>
      </c>
      <c r="B230" s="20" t="s">
        <v>87</v>
      </c>
      <c r="C230" s="20" t="s">
        <v>97</v>
      </c>
      <c r="D230" s="21" t="str">
        <f>IF($C230="","",IFERROR(VLOOKUP($C230,Map_Register!$A$2:$C$5,3,FALSE()),""))</f>
        <v>Military Zone</v>
      </c>
      <c r="E230" s="20" t="s">
        <v>111</v>
      </c>
      <c r="F230" s="22">
        <v>9108</v>
      </c>
      <c r="G230" s="19" t="s">
        <v>112</v>
      </c>
      <c r="H230" s="19" t="s">
        <v>390</v>
      </c>
      <c r="I230" s="19" t="s">
        <v>8</v>
      </c>
      <c r="J230" s="19" t="s">
        <v>114</v>
      </c>
      <c r="K230" t="s">
        <v>114</v>
      </c>
      <c r="L230" s="19" t="s">
        <v>165</v>
      </c>
      <c r="M230" s="20" t="s">
        <v>116</v>
      </c>
      <c r="N230" s="20"/>
      <c r="O230" s="20"/>
      <c r="P230" s="20" t="s">
        <v>117</v>
      </c>
    </row>
    <row r="231" spans="1:16" x14ac:dyDescent="0.3">
      <c r="A231" s="19">
        <f t="shared" si="3"/>
        <v>230</v>
      </c>
      <c r="B231" s="20" t="s">
        <v>87</v>
      </c>
      <c r="C231" s="20" t="s">
        <v>97</v>
      </c>
      <c r="D231" s="21" t="str">
        <f>IF($C231="","",IFERROR(VLOOKUP($C231,Map_Register!$A$2:$C$5,3,FALSE()),""))</f>
        <v>Military Zone</v>
      </c>
      <c r="E231" s="20" t="s">
        <v>111</v>
      </c>
      <c r="F231" s="22">
        <v>9109</v>
      </c>
      <c r="G231" s="19" t="s">
        <v>112</v>
      </c>
      <c r="H231" s="19" t="s">
        <v>391</v>
      </c>
      <c r="I231" s="19" t="s">
        <v>6</v>
      </c>
      <c r="J231" s="19"/>
      <c r="K231" s="19"/>
      <c r="L231" s="19" t="s">
        <v>284</v>
      </c>
      <c r="M231" s="20"/>
      <c r="N231" s="20"/>
      <c r="O231" s="20"/>
      <c r="P231" s="20" t="s">
        <v>117</v>
      </c>
    </row>
    <row r="232" spans="1:16" x14ac:dyDescent="0.3">
      <c r="A232" s="19">
        <f t="shared" si="3"/>
        <v>231</v>
      </c>
      <c r="B232" s="20" t="s">
        <v>87</v>
      </c>
      <c r="C232" s="20" t="s">
        <v>97</v>
      </c>
      <c r="D232" s="21" t="str">
        <f>IF($C232="","",IFERROR(VLOOKUP($C232,Map_Register!$A$2:$C$5,3,FALSE()),""))</f>
        <v>Military Zone</v>
      </c>
      <c r="E232" s="20" t="s">
        <v>111</v>
      </c>
      <c r="F232" s="22">
        <v>9110</v>
      </c>
      <c r="G232" s="19" t="s">
        <v>112</v>
      </c>
      <c r="H232" s="19" t="s">
        <v>392</v>
      </c>
      <c r="I232" s="19" t="s">
        <v>8</v>
      </c>
      <c r="J232" s="19" t="s">
        <v>114</v>
      </c>
      <c r="K232" s="19" t="s">
        <v>114</v>
      </c>
      <c r="L232" s="19" t="s">
        <v>151</v>
      </c>
      <c r="M232" s="20" t="s">
        <v>116</v>
      </c>
      <c r="N232" s="20"/>
      <c r="O232" s="20"/>
      <c r="P232" s="20" t="s">
        <v>117</v>
      </c>
    </row>
    <row r="233" spans="1:16" x14ac:dyDescent="0.3">
      <c r="A233" s="19">
        <f t="shared" si="3"/>
        <v>232</v>
      </c>
      <c r="B233" s="20" t="s">
        <v>87</v>
      </c>
      <c r="C233" s="20" t="s">
        <v>97</v>
      </c>
      <c r="D233" s="21" t="str">
        <f>IF($C233="","",IFERROR(VLOOKUP($C233,Map_Register!$A$2:$C$5,3,FALSE()),""))</f>
        <v>Military Zone</v>
      </c>
      <c r="E233" s="20" t="s">
        <v>111</v>
      </c>
      <c r="F233" s="22">
        <v>9111</v>
      </c>
      <c r="G233" s="19" t="s">
        <v>112</v>
      </c>
      <c r="H233" s="19" t="s">
        <v>393</v>
      </c>
      <c r="I233" s="19" t="s">
        <v>8</v>
      </c>
      <c r="J233" s="19" t="s">
        <v>114</v>
      </c>
      <c r="K233" s="19" t="s">
        <v>114</v>
      </c>
      <c r="L233" s="19" t="s">
        <v>151</v>
      </c>
      <c r="M233" s="20" t="s">
        <v>116</v>
      </c>
      <c r="N233" s="20"/>
      <c r="O233" s="20"/>
      <c r="P233" s="20" t="s">
        <v>117</v>
      </c>
    </row>
    <row r="234" spans="1:16" x14ac:dyDescent="0.3">
      <c r="A234" s="19">
        <f t="shared" si="3"/>
        <v>233</v>
      </c>
      <c r="B234" s="20" t="s">
        <v>87</v>
      </c>
      <c r="C234" s="20" t="s">
        <v>97</v>
      </c>
      <c r="D234" s="21" t="str">
        <f>IF($C234="","",IFERROR(VLOOKUP($C234,Map_Register!$A$2:$C$5,3,FALSE()),""))</f>
        <v>Military Zone</v>
      </c>
      <c r="E234" s="20" t="s">
        <v>111</v>
      </c>
      <c r="F234" s="22">
        <v>9112</v>
      </c>
      <c r="G234" s="19" t="s">
        <v>112</v>
      </c>
      <c r="H234" s="19" t="s">
        <v>394</v>
      </c>
      <c r="I234" s="19" t="s">
        <v>8</v>
      </c>
      <c r="J234" s="19" t="s">
        <v>114</v>
      </c>
      <c r="K234" s="19" t="s">
        <v>114</v>
      </c>
      <c r="L234" s="19" t="s">
        <v>151</v>
      </c>
      <c r="M234" s="20" t="s">
        <v>116</v>
      </c>
      <c r="N234" s="20"/>
      <c r="O234" s="20"/>
      <c r="P234" s="20" t="s">
        <v>117</v>
      </c>
    </row>
    <row r="235" spans="1:16" x14ac:dyDescent="0.3">
      <c r="A235" s="19">
        <f t="shared" si="3"/>
        <v>234</v>
      </c>
      <c r="B235" s="20" t="s">
        <v>87</v>
      </c>
      <c r="C235" s="20" t="s">
        <v>97</v>
      </c>
      <c r="D235" s="21" t="str">
        <f>IF($C235="","",IFERROR(VLOOKUP($C235,Map_Register!$A$2:$C$5,3,FALSE()),""))</f>
        <v>Military Zone</v>
      </c>
      <c r="E235" s="20" t="s">
        <v>111</v>
      </c>
      <c r="F235" s="22">
        <v>9113</v>
      </c>
      <c r="G235" s="19" t="s">
        <v>112</v>
      </c>
      <c r="H235" s="19" t="s">
        <v>395</v>
      </c>
      <c r="I235" s="19" t="s">
        <v>8</v>
      </c>
      <c r="J235" s="19" t="s">
        <v>114</v>
      </c>
      <c r="K235" s="19" t="s">
        <v>114</v>
      </c>
      <c r="L235" s="19" t="s">
        <v>151</v>
      </c>
      <c r="M235" s="20" t="s">
        <v>116</v>
      </c>
      <c r="N235" s="20"/>
      <c r="O235" s="20"/>
      <c r="P235" s="20" t="s">
        <v>117</v>
      </c>
    </row>
    <row r="236" spans="1:16" x14ac:dyDescent="0.3">
      <c r="A236" s="19">
        <f t="shared" si="3"/>
        <v>235</v>
      </c>
      <c r="B236" s="20" t="s">
        <v>87</v>
      </c>
      <c r="C236" s="20" t="s">
        <v>97</v>
      </c>
      <c r="D236" s="21" t="str">
        <f>IF($C236="","",IFERROR(VLOOKUP($C236,Map_Register!$A$2:$C$5,3,FALSE()),""))</f>
        <v>Military Zone</v>
      </c>
      <c r="E236" s="20" t="s">
        <v>111</v>
      </c>
      <c r="F236" s="22">
        <v>9114</v>
      </c>
      <c r="G236" s="19" t="s">
        <v>112</v>
      </c>
      <c r="H236" s="19" t="s">
        <v>396</v>
      </c>
      <c r="I236" s="19" t="s">
        <v>8</v>
      </c>
      <c r="J236" s="19" t="s">
        <v>114</v>
      </c>
      <c r="K236" s="19" t="s">
        <v>114</v>
      </c>
      <c r="L236" s="19" t="s">
        <v>151</v>
      </c>
      <c r="M236" s="20" t="s">
        <v>116</v>
      </c>
      <c r="N236" s="20"/>
      <c r="O236" s="20"/>
      <c r="P236" s="20" t="s">
        <v>117</v>
      </c>
    </row>
    <row r="237" spans="1:16" x14ac:dyDescent="0.3">
      <c r="A237" s="19">
        <f t="shared" si="3"/>
        <v>236</v>
      </c>
      <c r="B237" s="20" t="s">
        <v>87</v>
      </c>
      <c r="C237" s="20" t="s">
        <v>97</v>
      </c>
      <c r="D237" s="21" t="str">
        <f>IF($C237="","",IFERROR(VLOOKUP($C237,Map_Register!$A$2:$C$5,3,FALSE()),""))</f>
        <v>Military Zone</v>
      </c>
      <c r="E237" s="20" t="s">
        <v>111</v>
      </c>
      <c r="F237" s="22">
        <v>9194</v>
      </c>
      <c r="G237" s="19" t="s">
        <v>112</v>
      </c>
      <c r="H237" s="19" t="s">
        <v>397</v>
      </c>
      <c r="I237" s="19" t="s">
        <v>6</v>
      </c>
      <c r="J237" s="19"/>
      <c r="K237" s="19"/>
      <c r="L237" s="19" t="s">
        <v>398</v>
      </c>
      <c r="M237" s="20"/>
      <c r="N237" s="20"/>
      <c r="O237" s="20"/>
      <c r="P237" s="20" t="s">
        <v>117</v>
      </c>
    </row>
    <row r="238" spans="1:16" x14ac:dyDescent="0.3">
      <c r="A238" s="19">
        <f t="shared" si="3"/>
        <v>237</v>
      </c>
      <c r="B238" s="20" t="s">
        <v>87</v>
      </c>
      <c r="C238" s="20" t="s">
        <v>97</v>
      </c>
      <c r="D238" s="21" t="str">
        <f>IF($C238="","",IFERROR(VLOOKUP($C238,Map_Register!$A$2:$C$5,3,FALSE()),""))</f>
        <v>Military Zone</v>
      </c>
      <c r="E238" s="20" t="s">
        <v>111</v>
      </c>
      <c r="F238" s="22">
        <v>9195</v>
      </c>
      <c r="G238" s="19" t="s">
        <v>112</v>
      </c>
      <c r="H238" s="19" t="s">
        <v>399</v>
      </c>
      <c r="I238" s="19" t="s">
        <v>8</v>
      </c>
      <c r="J238" s="19" t="s">
        <v>114</v>
      </c>
      <c r="K238" s="19" t="s">
        <v>114</v>
      </c>
      <c r="L238" s="19" t="s">
        <v>151</v>
      </c>
      <c r="M238" s="20" t="s">
        <v>116</v>
      </c>
      <c r="N238" s="20"/>
      <c r="O238" s="20"/>
      <c r="P238" s="20" t="s">
        <v>117</v>
      </c>
    </row>
    <row r="239" spans="1:16" x14ac:dyDescent="0.3">
      <c r="A239" s="19">
        <f t="shared" si="3"/>
        <v>238</v>
      </c>
      <c r="B239" s="20" t="s">
        <v>87</v>
      </c>
      <c r="C239" s="20" t="s">
        <v>97</v>
      </c>
      <c r="D239" s="21" t="str">
        <f>IF($C239="","",IFERROR(VLOOKUP($C239,Map_Register!$A$2:$C$5,3,FALSE()),""))</f>
        <v>Military Zone</v>
      </c>
      <c r="E239" s="20" t="s">
        <v>111</v>
      </c>
      <c r="F239" s="22">
        <v>9198</v>
      </c>
      <c r="G239" s="19" t="s">
        <v>112</v>
      </c>
      <c r="H239" s="19" t="s">
        <v>400</v>
      </c>
      <c r="I239" s="19" t="s">
        <v>8</v>
      </c>
      <c r="J239" s="19" t="s">
        <v>114</v>
      </c>
      <c r="K239" s="19" t="s">
        <v>114</v>
      </c>
      <c r="L239" s="19" t="s">
        <v>151</v>
      </c>
      <c r="M239" s="20" t="s">
        <v>116</v>
      </c>
      <c r="N239" s="20"/>
      <c r="O239" s="20"/>
      <c r="P239" s="20" t="s">
        <v>117</v>
      </c>
    </row>
    <row r="240" spans="1:16" x14ac:dyDescent="0.3">
      <c r="A240" s="19">
        <f t="shared" si="3"/>
        <v>239</v>
      </c>
      <c r="B240" s="20" t="s">
        <v>87</v>
      </c>
      <c r="C240" s="20" t="s">
        <v>97</v>
      </c>
      <c r="D240" s="21" t="str">
        <f>IF($C240="","",IFERROR(VLOOKUP($C240,Map_Register!$A$2:$C$5,3,FALSE()),""))</f>
        <v>Military Zone</v>
      </c>
      <c r="E240" s="20" t="s">
        <v>111</v>
      </c>
      <c r="F240" s="22">
        <v>9748</v>
      </c>
      <c r="G240" s="19" t="s">
        <v>112</v>
      </c>
      <c r="H240" s="19" t="s">
        <v>401</v>
      </c>
      <c r="I240" s="19" t="s">
        <v>6</v>
      </c>
      <c r="J240" s="19"/>
      <c r="K240" s="19"/>
      <c r="L240" s="19" t="s">
        <v>284</v>
      </c>
      <c r="M240" s="20"/>
      <c r="N240" s="20"/>
      <c r="O240" s="20"/>
      <c r="P240" s="20" t="s">
        <v>117</v>
      </c>
    </row>
    <row r="241" spans="1:16" x14ac:dyDescent="0.3">
      <c r="A241" s="19">
        <f t="shared" si="3"/>
        <v>240</v>
      </c>
      <c r="B241" s="20" t="s">
        <v>87</v>
      </c>
      <c r="C241" s="20" t="s">
        <v>97</v>
      </c>
      <c r="D241" s="21" t="str">
        <f>IF($C241="","",IFERROR(VLOOKUP($C241,Map_Register!$A$2:$C$5,3,FALSE()),""))</f>
        <v>Military Zone</v>
      </c>
      <c r="E241" s="20" t="s">
        <v>111</v>
      </c>
      <c r="F241" s="22">
        <v>10265</v>
      </c>
      <c r="G241" s="19" t="s">
        <v>112</v>
      </c>
      <c r="H241" s="19" t="s">
        <v>402</v>
      </c>
      <c r="I241" s="19" t="s">
        <v>8</v>
      </c>
      <c r="J241" s="19" t="s">
        <v>114</v>
      </c>
      <c r="K241" s="19" t="s">
        <v>114</v>
      </c>
      <c r="L241" s="19" t="s">
        <v>151</v>
      </c>
      <c r="M241" s="20" t="s">
        <v>116</v>
      </c>
      <c r="N241" s="20"/>
      <c r="O241" s="20"/>
      <c r="P241" s="20" t="s">
        <v>117</v>
      </c>
    </row>
    <row r="242" spans="1:16" x14ac:dyDescent="0.3">
      <c r="A242" s="19">
        <f t="shared" si="3"/>
        <v>241</v>
      </c>
      <c r="B242" s="20" t="s">
        <v>87</v>
      </c>
      <c r="C242" s="20" t="s">
        <v>97</v>
      </c>
      <c r="D242" s="21" t="str">
        <f>IF($C242="","",IFERROR(VLOOKUP($C242,Map_Register!$A$2:$C$5,3,FALSE()),""))</f>
        <v>Military Zone</v>
      </c>
      <c r="E242" s="20" t="s">
        <v>111</v>
      </c>
      <c r="F242" s="22">
        <v>10373</v>
      </c>
      <c r="G242" s="19" t="s">
        <v>112</v>
      </c>
      <c r="H242" s="19" t="s">
        <v>403</v>
      </c>
      <c r="I242" s="19" t="s">
        <v>8</v>
      </c>
      <c r="J242" s="19" t="s">
        <v>114</v>
      </c>
      <c r="K242" t="s">
        <v>114</v>
      </c>
      <c r="L242" s="19" t="s">
        <v>241</v>
      </c>
      <c r="M242" s="20" t="s">
        <v>116</v>
      </c>
      <c r="N242" s="20"/>
      <c r="O242" s="20"/>
      <c r="P242" s="20" t="s">
        <v>117</v>
      </c>
    </row>
    <row r="243" spans="1:16" x14ac:dyDescent="0.3">
      <c r="A243" s="19">
        <f t="shared" si="3"/>
        <v>242</v>
      </c>
      <c r="B243" s="20" t="s">
        <v>87</v>
      </c>
      <c r="C243" s="20" t="s">
        <v>97</v>
      </c>
      <c r="D243" s="21" t="str">
        <f>IF($C243="","",IFERROR(VLOOKUP($C243,Map_Register!$A$2:$C$5,3,FALSE()),""))</f>
        <v>Military Zone</v>
      </c>
      <c r="E243" s="20" t="s">
        <v>111</v>
      </c>
      <c r="F243" s="22">
        <v>10481</v>
      </c>
      <c r="G243" s="19" t="s">
        <v>112</v>
      </c>
      <c r="H243" s="19" t="s">
        <v>404</v>
      </c>
      <c r="I243" s="19" t="s">
        <v>8</v>
      </c>
      <c r="J243" s="19" t="s">
        <v>114</v>
      </c>
      <c r="K243" s="19" t="s">
        <v>114</v>
      </c>
      <c r="L243" s="19" t="s">
        <v>151</v>
      </c>
      <c r="M243" s="20" t="s">
        <v>116</v>
      </c>
      <c r="N243" s="20"/>
      <c r="O243" s="20"/>
      <c r="P243" s="20" t="s">
        <v>117</v>
      </c>
    </row>
    <row r="244" spans="1:16" x14ac:dyDescent="0.3">
      <c r="A244" s="19">
        <f t="shared" si="3"/>
        <v>243</v>
      </c>
      <c r="B244" s="20" t="s">
        <v>87</v>
      </c>
      <c r="C244" s="20" t="s">
        <v>97</v>
      </c>
      <c r="D244" s="21" t="str">
        <f>IF($C244="","",IFERROR(VLOOKUP($C244,Map_Register!$A$2:$C$5,3,FALSE()),""))</f>
        <v>Military Zone</v>
      </c>
      <c r="E244" s="20" t="s">
        <v>111</v>
      </c>
      <c r="F244" s="22">
        <v>10759</v>
      </c>
      <c r="G244" s="19" t="s">
        <v>112</v>
      </c>
      <c r="H244" s="19" t="s">
        <v>405</v>
      </c>
      <c r="I244" s="19" t="s">
        <v>8</v>
      </c>
      <c r="J244" s="19" t="s">
        <v>114</v>
      </c>
      <c r="K244" t="s">
        <v>114</v>
      </c>
      <c r="L244" s="19" t="s">
        <v>241</v>
      </c>
      <c r="M244" s="20" t="s">
        <v>116</v>
      </c>
      <c r="N244" s="20"/>
      <c r="O244" s="20"/>
      <c r="P244" s="20" t="s">
        <v>117</v>
      </c>
    </row>
    <row r="245" spans="1:16" x14ac:dyDescent="0.3">
      <c r="A245" s="19">
        <f t="shared" si="3"/>
        <v>244</v>
      </c>
      <c r="B245" s="20" t="s">
        <v>87</v>
      </c>
      <c r="C245" s="20" t="s">
        <v>97</v>
      </c>
      <c r="D245" s="21" t="str">
        <f>IF($C245="","",IFERROR(VLOOKUP($C245,Map_Register!$A$2:$C$5,3,FALSE()),""))</f>
        <v>Military Zone</v>
      </c>
      <c r="E245" s="20" t="s">
        <v>111</v>
      </c>
      <c r="F245" s="22">
        <v>10761</v>
      </c>
      <c r="G245" s="19" t="s">
        <v>112</v>
      </c>
      <c r="H245" s="19" t="s">
        <v>406</v>
      </c>
      <c r="I245" s="19" t="s">
        <v>6</v>
      </c>
      <c r="J245" s="19"/>
      <c r="K245" s="19"/>
      <c r="L245" s="19" t="s">
        <v>407</v>
      </c>
      <c r="M245" s="20"/>
      <c r="N245" s="20"/>
      <c r="O245" s="20"/>
      <c r="P245" s="20" t="s">
        <v>117</v>
      </c>
    </row>
    <row r="246" spans="1:16" x14ac:dyDescent="0.3">
      <c r="A246" s="19">
        <f t="shared" si="3"/>
        <v>245</v>
      </c>
      <c r="B246" s="20" t="s">
        <v>87</v>
      </c>
      <c r="C246" s="20" t="s">
        <v>97</v>
      </c>
      <c r="D246" s="21" t="str">
        <f>IF($C246="","",IFERROR(VLOOKUP($C246,Map_Register!$A$2:$C$5,3,FALSE()),""))</f>
        <v>Military Zone</v>
      </c>
      <c r="E246" s="20" t="s">
        <v>111</v>
      </c>
      <c r="F246" s="22">
        <v>11314</v>
      </c>
      <c r="G246" s="19" t="s">
        <v>112</v>
      </c>
      <c r="H246" s="19" t="s">
        <v>408</v>
      </c>
      <c r="I246" s="19" t="s">
        <v>8</v>
      </c>
      <c r="J246" s="19" t="s">
        <v>114</v>
      </c>
      <c r="K246" s="19" t="s">
        <v>114</v>
      </c>
      <c r="L246" s="19" t="s">
        <v>336</v>
      </c>
      <c r="M246" s="20" t="s">
        <v>116</v>
      </c>
      <c r="N246" s="20"/>
      <c r="O246" s="20"/>
      <c r="P246" s="20" t="s">
        <v>117</v>
      </c>
    </row>
    <row r="247" spans="1:16" x14ac:dyDescent="0.3">
      <c r="A247" s="19">
        <f t="shared" si="3"/>
        <v>246</v>
      </c>
      <c r="B247" s="20" t="s">
        <v>87</v>
      </c>
      <c r="C247" s="20" t="s">
        <v>97</v>
      </c>
      <c r="D247" s="21" t="str">
        <f>IF($C247="","",IFERROR(VLOOKUP($C247,Map_Register!$A$2:$C$5,3,FALSE()),""))</f>
        <v>Military Zone</v>
      </c>
      <c r="E247" s="20" t="s">
        <v>111</v>
      </c>
      <c r="F247" s="22">
        <v>11763</v>
      </c>
      <c r="G247" s="19" t="s">
        <v>112</v>
      </c>
      <c r="H247" s="19" t="s">
        <v>409</v>
      </c>
      <c r="I247" s="19" t="s">
        <v>6</v>
      </c>
      <c r="J247" s="19"/>
      <c r="L247" s="19" t="s">
        <v>410</v>
      </c>
      <c r="M247" s="20"/>
      <c r="N247" s="20"/>
      <c r="O247" s="20"/>
      <c r="P247" s="20" t="s">
        <v>117</v>
      </c>
    </row>
    <row r="248" spans="1:16" x14ac:dyDescent="0.3">
      <c r="A248" s="19">
        <f t="shared" si="3"/>
        <v>247</v>
      </c>
      <c r="B248" s="20" t="s">
        <v>87</v>
      </c>
      <c r="C248" s="20" t="s">
        <v>97</v>
      </c>
      <c r="D248" s="21" t="str">
        <f>IF($C248="","",IFERROR(VLOOKUP($C248,Map_Register!$A$2:$C$5,3,FALSE()),""))</f>
        <v>Military Zone</v>
      </c>
      <c r="E248" s="20" t="s">
        <v>111</v>
      </c>
      <c r="F248" s="22">
        <v>11765</v>
      </c>
      <c r="G248" s="19" t="s">
        <v>112</v>
      </c>
      <c r="H248" s="19" t="s">
        <v>411</v>
      </c>
      <c r="I248" s="19" t="s">
        <v>8</v>
      </c>
      <c r="J248" s="19" t="s">
        <v>114</v>
      </c>
      <c r="K248" s="19" t="s">
        <v>114</v>
      </c>
      <c r="L248" s="19" t="s">
        <v>410</v>
      </c>
      <c r="M248" s="20" t="s">
        <v>116</v>
      </c>
      <c r="N248" s="20"/>
      <c r="O248" s="20"/>
      <c r="P248" s="20" t="s">
        <v>117</v>
      </c>
    </row>
    <row r="249" spans="1:16" x14ac:dyDescent="0.3">
      <c r="A249" s="19">
        <f t="shared" si="3"/>
        <v>248</v>
      </c>
      <c r="B249" s="20" t="s">
        <v>87</v>
      </c>
      <c r="C249" s="20" t="s">
        <v>97</v>
      </c>
      <c r="D249" s="21" t="str">
        <f>IF($C249="","",IFERROR(VLOOKUP($C249,Map_Register!$A$2:$C$5,3,FALSE()),""))</f>
        <v>Military Zone</v>
      </c>
      <c r="E249" s="20" t="s">
        <v>111</v>
      </c>
      <c r="F249" s="22">
        <v>11766</v>
      </c>
      <c r="G249" s="19" t="s">
        <v>112</v>
      </c>
      <c r="H249" s="19" t="s">
        <v>412</v>
      </c>
      <c r="I249" s="19" t="s">
        <v>8</v>
      </c>
      <c r="J249" s="19" t="s">
        <v>114</v>
      </c>
      <c r="K249" s="19" t="s">
        <v>114</v>
      </c>
      <c r="L249" s="19" t="s">
        <v>151</v>
      </c>
      <c r="M249" s="20" t="s">
        <v>116</v>
      </c>
      <c r="N249" s="20"/>
      <c r="O249" s="20"/>
      <c r="P249" s="20" t="s">
        <v>117</v>
      </c>
    </row>
    <row r="250" spans="1:16" x14ac:dyDescent="0.3">
      <c r="A250" s="19">
        <f t="shared" si="3"/>
        <v>249</v>
      </c>
      <c r="B250" s="20" t="s">
        <v>87</v>
      </c>
      <c r="C250" s="20" t="s">
        <v>97</v>
      </c>
      <c r="D250" s="21" t="str">
        <f>IF($C250="","",IFERROR(VLOOKUP($C250,Map_Register!$A$2:$C$5,3,FALSE()),""))</f>
        <v>Military Zone</v>
      </c>
      <c r="E250" s="20" t="s">
        <v>111</v>
      </c>
      <c r="F250" s="22">
        <v>11769</v>
      </c>
      <c r="G250" s="19" t="s">
        <v>112</v>
      </c>
      <c r="H250" s="19" t="s">
        <v>413</v>
      </c>
      <c r="I250" s="19" t="s">
        <v>8</v>
      </c>
      <c r="J250" s="19" t="s">
        <v>114</v>
      </c>
      <c r="K250" s="19" t="s">
        <v>114</v>
      </c>
      <c r="L250" s="19" t="s">
        <v>151</v>
      </c>
      <c r="M250" s="20" t="s">
        <v>116</v>
      </c>
      <c r="N250" s="20"/>
      <c r="O250" s="20"/>
      <c r="P250" s="20" t="s">
        <v>117</v>
      </c>
    </row>
    <row r="251" spans="1:16" x14ac:dyDescent="0.3">
      <c r="A251" s="19">
        <f t="shared" si="3"/>
        <v>250</v>
      </c>
      <c r="B251" s="20" t="s">
        <v>87</v>
      </c>
      <c r="C251" s="20" t="s">
        <v>97</v>
      </c>
      <c r="D251" s="21" t="str">
        <f>IF($C251="","",IFERROR(VLOOKUP($C251,Map_Register!$A$2:$C$5,3,FALSE()),""))</f>
        <v>Military Zone</v>
      </c>
      <c r="E251" s="20" t="s">
        <v>111</v>
      </c>
      <c r="F251" s="22">
        <v>11770</v>
      </c>
      <c r="G251" s="19" t="s">
        <v>112</v>
      </c>
      <c r="H251" s="19" t="s">
        <v>414</v>
      </c>
      <c r="I251" s="19" t="s">
        <v>6</v>
      </c>
      <c r="J251" s="19"/>
      <c r="K251" s="19"/>
      <c r="L251" s="19" t="s">
        <v>398</v>
      </c>
      <c r="M251" s="20"/>
      <c r="N251" s="20"/>
      <c r="O251" s="20"/>
      <c r="P251" s="20" t="s">
        <v>117</v>
      </c>
    </row>
    <row r="252" spans="1:16" x14ac:dyDescent="0.3">
      <c r="A252" s="19">
        <f t="shared" si="3"/>
        <v>251</v>
      </c>
      <c r="B252" s="20" t="s">
        <v>87</v>
      </c>
      <c r="C252" s="20" t="s">
        <v>97</v>
      </c>
      <c r="D252" s="21" t="str">
        <f>IF($C252="","",IFERROR(VLOOKUP($C252,Map_Register!$A$2:$C$5,3,FALSE()),""))</f>
        <v>Military Zone</v>
      </c>
      <c r="E252" s="20" t="s">
        <v>111</v>
      </c>
      <c r="F252" s="22">
        <v>11848</v>
      </c>
      <c r="G252" s="19" t="s">
        <v>112</v>
      </c>
      <c r="H252" s="19" t="s">
        <v>415</v>
      </c>
      <c r="I252" s="19" t="s">
        <v>6</v>
      </c>
      <c r="J252" s="19"/>
      <c r="K252" s="19"/>
      <c r="L252" s="19" t="s">
        <v>398</v>
      </c>
      <c r="M252" s="20"/>
      <c r="N252" s="20"/>
      <c r="O252" s="20"/>
      <c r="P252" s="20" t="s">
        <v>117</v>
      </c>
    </row>
    <row r="253" spans="1:16" x14ac:dyDescent="0.3">
      <c r="A253" s="19">
        <f t="shared" si="3"/>
        <v>252</v>
      </c>
      <c r="B253" s="20" t="s">
        <v>87</v>
      </c>
      <c r="C253" s="20" t="s">
        <v>97</v>
      </c>
      <c r="D253" s="21" t="str">
        <f>IF($C253="","",IFERROR(VLOOKUP($C253,Map_Register!$A$2:$C$5,3,FALSE()),""))</f>
        <v>Military Zone</v>
      </c>
      <c r="E253" s="20" t="s">
        <v>111</v>
      </c>
      <c r="F253" s="22">
        <v>11849</v>
      </c>
      <c r="G253" s="19" t="s">
        <v>112</v>
      </c>
      <c r="H253" s="19" t="s">
        <v>416</v>
      </c>
      <c r="I253" s="19" t="s">
        <v>8</v>
      </c>
      <c r="J253" s="19" t="s">
        <v>114</v>
      </c>
      <c r="K253" s="19" t="s">
        <v>114</v>
      </c>
      <c r="L253" s="19" t="s">
        <v>151</v>
      </c>
      <c r="M253" s="20" t="s">
        <v>116</v>
      </c>
      <c r="N253" s="20"/>
      <c r="O253" s="20"/>
      <c r="P253" s="20" t="s">
        <v>117</v>
      </c>
    </row>
    <row r="254" spans="1:16" x14ac:dyDescent="0.3">
      <c r="A254" s="19">
        <f t="shared" si="3"/>
        <v>253</v>
      </c>
      <c r="B254" s="20" t="s">
        <v>87</v>
      </c>
      <c r="C254" s="20" t="s">
        <v>97</v>
      </c>
      <c r="D254" s="21" t="str">
        <f>IF($C254="","",IFERROR(VLOOKUP($C254,Map_Register!$A$2:$C$5,3,FALSE()),""))</f>
        <v>Military Zone</v>
      </c>
      <c r="E254" s="20" t="s">
        <v>111</v>
      </c>
      <c r="F254" s="22">
        <v>11850</v>
      </c>
      <c r="G254" s="19" t="s">
        <v>112</v>
      </c>
      <c r="H254" s="19" t="s">
        <v>417</v>
      </c>
      <c r="I254" s="19" t="s">
        <v>8</v>
      </c>
      <c r="J254" s="19" t="s">
        <v>114</v>
      </c>
      <c r="K254" s="19" t="s">
        <v>114</v>
      </c>
      <c r="L254" s="19" t="s">
        <v>151</v>
      </c>
      <c r="M254" s="20" t="s">
        <v>116</v>
      </c>
      <c r="N254" s="20"/>
      <c r="O254" s="20"/>
      <c r="P254" s="20" t="s">
        <v>117</v>
      </c>
    </row>
    <row r="255" spans="1:16" x14ac:dyDescent="0.3">
      <c r="A255" s="19">
        <f t="shared" si="3"/>
        <v>254</v>
      </c>
      <c r="B255" s="20" t="s">
        <v>87</v>
      </c>
      <c r="C255" s="20" t="s">
        <v>97</v>
      </c>
      <c r="D255" s="21" t="str">
        <f>IF($C255="","",IFERROR(VLOOKUP($C255,Map_Register!$A$2:$C$5,3,FALSE()),""))</f>
        <v>Military Zone</v>
      </c>
      <c r="E255" s="20" t="s">
        <v>111</v>
      </c>
      <c r="F255" s="22">
        <v>11851</v>
      </c>
      <c r="G255" s="19" t="s">
        <v>112</v>
      </c>
      <c r="H255" s="19" t="s">
        <v>418</v>
      </c>
      <c r="I255" s="19" t="s">
        <v>6</v>
      </c>
      <c r="J255" s="19"/>
      <c r="K255" s="19"/>
      <c r="L255" s="19" t="s">
        <v>398</v>
      </c>
      <c r="M255" s="20"/>
      <c r="N255" s="20"/>
      <c r="O255" s="20"/>
      <c r="P255" s="20" t="s">
        <v>117</v>
      </c>
    </row>
    <row r="256" spans="1:16" x14ac:dyDescent="0.3">
      <c r="A256" s="19">
        <f t="shared" si="3"/>
        <v>255</v>
      </c>
      <c r="B256" s="20" t="s">
        <v>87</v>
      </c>
      <c r="C256" s="20" t="s">
        <v>97</v>
      </c>
      <c r="D256" s="21" t="str">
        <f>IF($C256="","",IFERROR(VLOOKUP($C256,Map_Register!$A$2:$C$5,3,FALSE()),""))</f>
        <v>Military Zone</v>
      </c>
      <c r="E256" s="20" t="s">
        <v>111</v>
      </c>
      <c r="F256" s="22">
        <v>11852</v>
      </c>
      <c r="G256" s="19" t="s">
        <v>112</v>
      </c>
      <c r="H256" s="19" t="s">
        <v>419</v>
      </c>
      <c r="I256" s="19" t="s">
        <v>8</v>
      </c>
      <c r="J256" s="19" t="s">
        <v>114</v>
      </c>
      <c r="K256" s="19" t="s">
        <v>114</v>
      </c>
      <c r="L256" s="19" t="s">
        <v>151</v>
      </c>
      <c r="M256" s="20" t="s">
        <v>116</v>
      </c>
      <c r="N256" s="20"/>
      <c r="O256" s="20"/>
      <c r="P256" s="20" t="s">
        <v>117</v>
      </c>
    </row>
    <row r="257" spans="1:16" x14ac:dyDescent="0.3">
      <c r="A257" s="19">
        <f t="shared" si="3"/>
        <v>256</v>
      </c>
      <c r="B257" s="20" t="s">
        <v>87</v>
      </c>
      <c r="C257" s="20" t="s">
        <v>97</v>
      </c>
      <c r="D257" s="21" t="str">
        <f>IF($C257="","",IFERROR(VLOOKUP($C257,Map_Register!$A$2:$C$5,3,FALSE()),""))</f>
        <v>Military Zone</v>
      </c>
      <c r="E257" s="20" t="s">
        <v>111</v>
      </c>
      <c r="F257" s="22">
        <v>11853</v>
      </c>
      <c r="G257" s="19" t="s">
        <v>112</v>
      </c>
      <c r="H257" s="19" t="s">
        <v>420</v>
      </c>
      <c r="I257" s="19" t="s">
        <v>8</v>
      </c>
      <c r="J257" s="19" t="s">
        <v>114</v>
      </c>
      <c r="K257" t="s">
        <v>114</v>
      </c>
      <c r="L257" s="19" t="s">
        <v>165</v>
      </c>
      <c r="M257" s="20" t="s">
        <v>116</v>
      </c>
      <c r="N257" s="20"/>
      <c r="O257" s="20"/>
      <c r="P257" s="20" t="s">
        <v>117</v>
      </c>
    </row>
    <row r="258" spans="1:16" x14ac:dyDescent="0.3">
      <c r="A258" s="19">
        <f t="shared" ref="A258:A321" si="4">IF($B258="","",ROW()-1)</f>
        <v>257</v>
      </c>
      <c r="B258" s="20" t="s">
        <v>87</v>
      </c>
      <c r="C258" s="20" t="s">
        <v>97</v>
      </c>
      <c r="D258" s="21" t="str">
        <f>IF($C258="","",IFERROR(VLOOKUP($C258,Map_Register!$A$2:$C$5,3,FALSE()),""))</f>
        <v>Military Zone</v>
      </c>
      <c r="E258" s="20" t="s">
        <v>111</v>
      </c>
      <c r="F258" s="22">
        <v>11854</v>
      </c>
      <c r="G258" s="19" t="s">
        <v>112</v>
      </c>
      <c r="H258" s="19" t="s">
        <v>421</v>
      </c>
      <c r="I258" s="19" t="s">
        <v>6</v>
      </c>
      <c r="J258" s="19"/>
      <c r="K258" s="19"/>
      <c r="L258" s="19" t="s">
        <v>227</v>
      </c>
      <c r="M258" s="20"/>
      <c r="N258" s="20"/>
      <c r="O258" s="20"/>
      <c r="P258" s="20" t="s">
        <v>117</v>
      </c>
    </row>
    <row r="259" spans="1:16" x14ac:dyDescent="0.3">
      <c r="A259" s="19">
        <f t="shared" si="4"/>
        <v>258</v>
      </c>
      <c r="B259" s="20" t="s">
        <v>87</v>
      </c>
      <c r="C259" s="20" t="s">
        <v>97</v>
      </c>
      <c r="D259" s="21" t="str">
        <f>IF($C259="","",IFERROR(VLOOKUP($C259,Map_Register!$A$2:$C$5,3,FALSE()),""))</f>
        <v>Military Zone</v>
      </c>
      <c r="E259" s="20" t="s">
        <v>111</v>
      </c>
      <c r="F259" s="22">
        <v>11855</v>
      </c>
      <c r="G259" s="19" t="s">
        <v>112</v>
      </c>
      <c r="H259" s="19" t="s">
        <v>422</v>
      </c>
      <c r="I259" s="19" t="s">
        <v>6</v>
      </c>
      <c r="J259" s="19"/>
      <c r="K259" s="19"/>
      <c r="L259" s="19" t="s">
        <v>423</v>
      </c>
      <c r="M259" s="20"/>
      <c r="N259" s="20"/>
      <c r="O259" s="20"/>
      <c r="P259" s="20" t="s">
        <v>117</v>
      </c>
    </row>
    <row r="260" spans="1:16" x14ac:dyDescent="0.3">
      <c r="A260" s="19">
        <f t="shared" si="4"/>
        <v>259</v>
      </c>
      <c r="B260" s="20" t="s">
        <v>87</v>
      </c>
      <c r="C260" s="20" t="s">
        <v>97</v>
      </c>
      <c r="D260" s="21" t="str">
        <f>IF($C260="","",IFERROR(VLOOKUP($C260,Map_Register!$A$2:$C$5,3,FALSE()),""))</f>
        <v>Military Zone</v>
      </c>
      <c r="E260" s="20" t="s">
        <v>111</v>
      </c>
      <c r="F260" s="22">
        <v>11859</v>
      </c>
      <c r="G260" s="19" t="s">
        <v>112</v>
      </c>
      <c r="H260" s="19" t="s">
        <v>424</v>
      </c>
      <c r="I260" s="19" t="s">
        <v>6</v>
      </c>
      <c r="J260" s="19"/>
      <c r="K260" s="19"/>
      <c r="L260" s="19" t="s">
        <v>398</v>
      </c>
      <c r="M260" s="20"/>
      <c r="N260" s="20"/>
      <c r="O260" s="20"/>
      <c r="P260" s="20" t="s">
        <v>117</v>
      </c>
    </row>
    <row r="261" spans="1:16" x14ac:dyDescent="0.3">
      <c r="A261" s="19">
        <f t="shared" si="4"/>
        <v>260</v>
      </c>
      <c r="B261" s="20" t="s">
        <v>87</v>
      </c>
      <c r="C261" s="20" t="s">
        <v>97</v>
      </c>
      <c r="D261" s="21" t="str">
        <f>IF($C261="","",IFERROR(VLOOKUP($C261,Map_Register!$A$2:$C$5,3,FALSE()),""))</f>
        <v>Military Zone</v>
      </c>
      <c r="E261" s="20" t="s">
        <v>111</v>
      </c>
      <c r="F261" s="22">
        <v>11860</v>
      </c>
      <c r="G261" s="19" t="s">
        <v>112</v>
      </c>
      <c r="H261" s="19" t="s">
        <v>425</v>
      </c>
      <c r="I261" s="19" t="s">
        <v>8</v>
      </c>
      <c r="J261" s="19" t="s">
        <v>114</v>
      </c>
      <c r="K261" s="19" t="s">
        <v>114</v>
      </c>
      <c r="L261" s="19" t="s">
        <v>151</v>
      </c>
      <c r="M261" s="20" t="s">
        <v>116</v>
      </c>
      <c r="N261" s="20"/>
      <c r="O261" s="20"/>
      <c r="P261" s="20" t="s">
        <v>117</v>
      </c>
    </row>
    <row r="262" spans="1:16" x14ac:dyDescent="0.3">
      <c r="A262" s="19">
        <f t="shared" si="4"/>
        <v>261</v>
      </c>
      <c r="B262" s="20" t="s">
        <v>87</v>
      </c>
      <c r="C262" s="20" t="s">
        <v>97</v>
      </c>
      <c r="D262" s="21" t="str">
        <f>IF($C262="","",IFERROR(VLOOKUP($C262,Map_Register!$A$2:$C$5,3,FALSE()),""))</f>
        <v>Military Zone</v>
      </c>
      <c r="E262" s="20" t="s">
        <v>111</v>
      </c>
      <c r="F262" s="22">
        <v>11861</v>
      </c>
      <c r="G262" s="19" t="s">
        <v>112</v>
      </c>
      <c r="H262" s="19" t="s">
        <v>426</v>
      </c>
      <c r="I262" s="19" t="s">
        <v>6</v>
      </c>
      <c r="J262" s="19"/>
      <c r="K262" s="19"/>
      <c r="L262" s="19" t="s">
        <v>284</v>
      </c>
      <c r="M262" s="20"/>
      <c r="N262" s="20"/>
      <c r="O262" s="20"/>
      <c r="P262" s="20" t="s">
        <v>117</v>
      </c>
    </row>
    <row r="263" spans="1:16" x14ac:dyDescent="0.3">
      <c r="A263" s="19">
        <f t="shared" si="4"/>
        <v>262</v>
      </c>
      <c r="B263" s="20" t="s">
        <v>87</v>
      </c>
      <c r="C263" s="20" t="s">
        <v>97</v>
      </c>
      <c r="D263" s="21" t="str">
        <f>IF($C263="","",IFERROR(VLOOKUP($C263,Map_Register!$A$2:$C$5,3,FALSE()),""))</f>
        <v>Military Zone</v>
      </c>
      <c r="E263" s="20" t="s">
        <v>111</v>
      </c>
      <c r="F263" s="22">
        <v>11862</v>
      </c>
      <c r="G263" s="19" t="s">
        <v>112</v>
      </c>
      <c r="H263" s="19" t="s">
        <v>427</v>
      </c>
      <c r="I263" s="19" t="s">
        <v>8</v>
      </c>
      <c r="J263" s="19" t="s">
        <v>114</v>
      </c>
      <c r="K263" s="19" t="s">
        <v>114</v>
      </c>
      <c r="L263" s="19" t="s">
        <v>151</v>
      </c>
      <c r="M263" s="20" t="s">
        <v>116</v>
      </c>
      <c r="N263" s="20"/>
      <c r="O263" s="20"/>
      <c r="P263" s="20" t="s">
        <v>117</v>
      </c>
    </row>
    <row r="264" spans="1:16" x14ac:dyDescent="0.3">
      <c r="A264" s="19">
        <f t="shared" si="4"/>
        <v>263</v>
      </c>
      <c r="B264" s="20" t="s">
        <v>87</v>
      </c>
      <c r="C264" s="20" t="s">
        <v>97</v>
      </c>
      <c r="D264" s="21" t="str">
        <f>IF($C264="","",IFERROR(VLOOKUP($C264,Map_Register!$A$2:$C$5,3,FALSE()),""))</f>
        <v>Military Zone</v>
      </c>
      <c r="E264" s="20" t="s">
        <v>111</v>
      </c>
      <c r="F264" s="22">
        <v>11863</v>
      </c>
      <c r="G264" s="19" t="s">
        <v>112</v>
      </c>
      <c r="H264" s="19" t="s">
        <v>428</v>
      </c>
      <c r="I264" s="19" t="s">
        <v>8</v>
      </c>
      <c r="J264" s="19" t="s">
        <v>114</v>
      </c>
      <c r="K264" s="19" t="s">
        <v>114</v>
      </c>
      <c r="L264" s="19" t="s">
        <v>151</v>
      </c>
      <c r="M264" s="20" t="s">
        <v>116</v>
      </c>
      <c r="N264" s="20"/>
      <c r="O264" s="20"/>
      <c r="P264" s="20" t="s">
        <v>117</v>
      </c>
    </row>
    <row r="265" spans="1:16" x14ac:dyDescent="0.3">
      <c r="A265" s="19">
        <f t="shared" si="4"/>
        <v>264</v>
      </c>
      <c r="B265" s="20" t="s">
        <v>87</v>
      </c>
      <c r="C265" s="20" t="s">
        <v>97</v>
      </c>
      <c r="D265" s="21" t="str">
        <f>IF($C265="","",IFERROR(VLOOKUP($C265,Map_Register!$A$2:$C$5,3,FALSE()),""))</f>
        <v>Military Zone</v>
      </c>
      <c r="E265" s="20" t="s">
        <v>111</v>
      </c>
      <c r="F265" s="22">
        <v>11864</v>
      </c>
      <c r="G265" s="19" t="s">
        <v>112</v>
      </c>
      <c r="H265" s="19" t="s">
        <v>429</v>
      </c>
      <c r="I265" s="19" t="s">
        <v>8</v>
      </c>
      <c r="J265" s="19" t="s">
        <v>114</v>
      </c>
      <c r="K265" t="s">
        <v>114</v>
      </c>
      <c r="L265" s="19" t="s">
        <v>165</v>
      </c>
      <c r="M265" s="20" t="s">
        <v>116</v>
      </c>
      <c r="N265" s="20"/>
      <c r="O265" s="20"/>
      <c r="P265" s="20" t="s">
        <v>117</v>
      </c>
    </row>
    <row r="266" spans="1:16" x14ac:dyDescent="0.3">
      <c r="A266" s="19">
        <f t="shared" si="4"/>
        <v>265</v>
      </c>
      <c r="B266" s="20" t="s">
        <v>87</v>
      </c>
      <c r="C266" s="20" t="s">
        <v>97</v>
      </c>
      <c r="D266" s="21" t="str">
        <f>IF($C266="","",IFERROR(VLOOKUP($C266,Map_Register!$A$2:$C$5,3,FALSE()),""))</f>
        <v>Military Zone</v>
      </c>
      <c r="E266" s="20" t="s">
        <v>111</v>
      </c>
      <c r="F266" s="22">
        <v>11865</v>
      </c>
      <c r="G266" s="19" t="s">
        <v>112</v>
      </c>
      <c r="H266" s="19" t="s">
        <v>430</v>
      </c>
      <c r="I266" s="19" t="s">
        <v>8</v>
      </c>
      <c r="J266" s="19" t="s">
        <v>114</v>
      </c>
      <c r="K266" s="19" t="s">
        <v>114</v>
      </c>
      <c r="L266" s="19" t="s">
        <v>151</v>
      </c>
      <c r="M266" s="20" t="s">
        <v>116</v>
      </c>
      <c r="N266" s="20"/>
      <c r="O266" s="20"/>
      <c r="P266" s="20" t="s">
        <v>117</v>
      </c>
    </row>
    <row r="267" spans="1:16" x14ac:dyDescent="0.3">
      <c r="A267" s="19">
        <f t="shared" si="4"/>
        <v>266</v>
      </c>
      <c r="B267" s="20" t="s">
        <v>87</v>
      </c>
      <c r="C267" s="20" t="s">
        <v>97</v>
      </c>
      <c r="D267" s="21" t="str">
        <f>IF($C267="","",IFERROR(VLOOKUP($C267,Map_Register!$A$2:$C$5,3,FALSE()),""))</f>
        <v>Military Zone</v>
      </c>
      <c r="E267" s="20" t="s">
        <v>111</v>
      </c>
      <c r="F267" s="22">
        <v>11870</v>
      </c>
      <c r="G267" s="19" t="s">
        <v>112</v>
      </c>
      <c r="H267" s="19" t="s">
        <v>431</v>
      </c>
      <c r="I267" s="19" t="s">
        <v>8</v>
      </c>
      <c r="J267" s="19" t="s">
        <v>114</v>
      </c>
      <c r="K267" s="19" t="s">
        <v>114</v>
      </c>
      <c r="L267" s="19" t="s">
        <v>151</v>
      </c>
      <c r="M267" s="20" t="s">
        <v>116</v>
      </c>
      <c r="N267" s="20"/>
      <c r="O267" s="20"/>
      <c r="P267" s="20" t="s">
        <v>117</v>
      </c>
    </row>
    <row r="268" spans="1:16" x14ac:dyDescent="0.3">
      <c r="A268" s="19">
        <f t="shared" si="4"/>
        <v>267</v>
      </c>
      <c r="B268" s="20" t="s">
        <v>87</v>
      </c>
      <c r="C268" s="20" t="s">
        <v>97</v>
      </c>
      <c r="D268" s="21" t="str">
        <f>IF($C268="","",IFERROR(VLOOKUP($C268,Map_Register!$A$2:$C$5,3,FALSE()),""))</f>
        <v>Military Zone</v>
      </c>
      <c r="E268" s="20" t="s">
        <v>111</v>
      </c>
      <c r="F268" s="22">
        <v>11956</v>
      </c>
      <c r="G268" s="19" t="s">
        <v>112</v>
      </c>
      <c r="H268" s="19" t="s">
        <v>432</v>
      </c>
      <c r="I268" s="19" t="s">
        <v>8</v>
      </c>
      <c r="J268" s="19" t="s">
        <v>114</v>
      </c>
      <c r="K268" s="19" t="s">
        <v>114</v>
      </c>
      <c r="L268" s="19" t="s">
        <v>151</v>
      </c>
      <c r="M268" s="20" t="s">
        <v>116</v>
      </c>
      <c r="N268" s="20"/>
      <c r="O268" s="20"/>
      <c r="P268" s="20" t="s">
        <v>117</v>
      </c>
    </row>
    <row r="269" spans="1:16" x14ac:dyDescent="0.3">
      <c r="A269" s="19">
        <f t="shared" si="4"/>
        <v>268</v>
      </c>
      <c r="B269" s="20" t="s">
        <v>87</v>
      </c>
      <c r="C269" s="20" t="s">
        <v>97</v>
      </c>
      <c r="D269" s="21" t="str">
        <f>IF($C269="","",IFERROR(VLOOKUP($C269,Map_Register!$A$2:$C$5,3,FALSE()),""))</f>
        <v>Military Zone</v>
      </c>
      <c r="E269" s="20" t="s">
        <v>111</v>
      </c>
      <c r="F269" s="22">
        <v>11957</v>
      </c>
      <c r="G269" s="19" t="s">
        <v>112</v>
      </c>
      <c r="H269" s="19" t="s">
        <v>433</v>
      </c>
      <c r="I269" s="19" t="s">
        <v>8</v>
      </c>
      <c r="J269" s="19" t="s">
        <v>114</v>
      </c>
      <c r="K269" s="19" t="s">
        <v>114</v>
      </c>
      <c r="L269" s="19" t="s">
        <v>151</v>
      </c>
      <c r="M269" s="20" t="s">
        <v>116</v>
      </c>
      <c r="N269" s="20"/>
      <c r="O269" s="20"/>
      <c r="P269" s="20" t="s">
        <v>117</v>
      </c>
    </row>
    <row r="270" spans="1:16" x14ac:dyDescent="0.3">
      <c r="A270" s="19">
        <f t="shared" si="4"/>
        <v>269</v>
      </c>
      <c r="B270" s="20" t="s">
        <v>87</v>
      </c>
      <c r="C270" s="20" t="s">
        <v>97</v>
      </c>
      <c r="D270" s="21" t="str">
        <f>IF($C270="","",IFERROR(VLOOKUP($C270,Map_Register!$A$2:$C$5,3,FALSE()),""))</f>
        <v>Military Zone</v>
      </c>
      <c r="E270" s="20" t="s">
        <v>111</v>
      </c>
      <c r="F270" s="22">
        <v>11958</v>
      </c>
      <c r="G270" s="19" t="s">
        <v>112</v>
      </c>
      <c r="H270" s="19" t="s">
        <v>434</v>
      </c>
      <c r="I270" s="19" t="s">
        <v>8</v>
      </c>
      <c r="J270" s="19" t="s">
        <v>114</v>
      </c>
      <c r="K270" s="19" t="s">
        <v>114</v>
      </c>
      <c r="L270" s="19" t="s">
        <v>135</v>
      </c>
      <c r="M270" s="20" t="s">
        <v>116</v>
      </c>
      <c r="N270" s="20"/>
      <c r="O270" s="20"/>
      <c r="P270" s="20" t="s">
        <v>117</v>
      </c>
    </row>
    <row r="271" spans="1:16" x14ac:dyDescent="0.3">
      <c r="A271" s="19">
        <f t="shared" si="4"/>
        <v>270</v>
      </c>
      <c r="B271" s="20" t="s">
        <v>87</v>
      </c>
      <c r="C271" s="20" t="s">
        <v>97</v>
      </c>
      <c r="D271" s="21" t="str">
        <f>IF($C271="","",IFERROR(VLOOKUP($C271,Map_Register!$A$2:$C$5,3,FALSE()),""))</f>
        <v>Military Zone</v>
      </c>
      <c r="E271" s="20" t="s">
        <v>111</v>
      </c>
      <c r="F271" s="22">
        <v>11959</v>
      </c>
      <c r="G271" s="19" t="s">
        <v>112</v>
      </c>
      <c r="H271" s="19" t="s">
        <v>435</v>
      </c>
      <c r="I271" s="19" t="s">
        <v>8</v>
      </c>
      <c r="J271" s="19" t="s">
        <v>114</v>
      </c>
      <c r="K271" s="19" t="s">
        <v>114</v>
      </c>
      <c r="L271" s="19" t="s">
        <v>336</v>
      </c>
      <c r="M271" s="20" t="s">
        <v>116</v>
      </c>
      <c r="N271" s="20"/>
      <c r="O271" s="20"/>
      <c r="P271" s="20" t="s">
        <v>117</v>
      </c>
    </row>
    <row r="272" spans="1:16" x14ac:dyDescent="0.3">
      <c r="A272" s="19">
        <f t="shared" si="4"/>
        <v>271</v>
      </c>
      <c r="B272" s="20" t="s">
        <v>87</v>
      </c>
      <c r="C272" s="20" t="s">
        <v>97</v>
      </c>
      <c r="D272" s="21" t="str">
        <f>IF($C272="","",IFERROR(VLOOKUP($C272,Map_Register!$A$2:$C$5,3,FALSE()),""))</f>
        <v>Military Zone</v>
      </c>
      <c r="E272" s="20" t="s">
        <v>111</v>
      </c>
      <c r="F272" s="22">
        <v>11960</v>
      </c>
      <c r="G272" s="19" t="s">
        <v>112</v>
      </c>
      <c r="H272" s="19" t="s">
        <v>436</v>
      </c>
      <c r="I272" s="19" t="s">
        <v>8</v>
      </c>
      <c r="J272" s="19" t="s">
        <v>114</v>
      </c>
      <c r="K272" s="19" t="s">
        <v>114</v>
      </c>
      <c r="L272" s="19" t="s">
        <v>336</v>
      </c>
      <c r="M272" s="20" t="s">
        <v>116</v>
      </c>
      <c r="N272" s="20"/>
      <c r="O272" s="20"/>
      <c r="P272" s="20" t="s">
        <v>117</v>
      </c>
    </row>
    <row r="273" spans="1:16" x14ac:dyDescent="0.3">
      <c r="A273" s="19">
        <f t="shared" si="4"/>
        <v>272</v>
      </c>
      <c r="B273" s="20" t="s">
        <v>87</v>
      </c>
      <c r="C273" s="20" t="s">
        <v>97</v>
      </c>
      <c r="D273" s="21" t="str">
        <f>IF($C273="","",IFERROR(VLOOKUP($C273,Map_Register!$A$2:$C$5,3,FALSE()),""))</f>
        <v>Military Zone</v>
      </c>
      <c r="E273" s="20" t="s">
        <v>111</v>
      </c>
      <c r="F273" s="22">
        <v>11961</v>
      </c>
      <c r="G273" s="19" t="s">
        <v>112</v>
      </c>
      <c r="H273" s="19" t="s">
        <v>437</v>
      </c>
      <c r="I273" s="19" t="s">
        <v>8</v>
      </c>
      <c r="J273" s="19" t="s">
        <v>114</v>
      </c>
      <c r="K273" s="19" t="s">
        <v>114</v>
      </c>
      <c r="L273" s="19" t="s">
        <v>336</v>
      </c>
      <c r="M273" s="20" t="s">
        <v>116</v>
      </c>
      <c r="N273" s="20"/>
      <c r="O273" s="20"/>
      <c r="P273" s="20" t="s">
        <v>117</v>
      </c>
    </row>
    <row r="274" spans="1:16" x14ac:dyDescent="0.3">
      <c r="A274" s="19">
        <f t="shared" si="4"/>
        <v>273</v>
      </c>
      <c r="B274" s="20" t="s">
        <v>87</v>
      </c>
      <c r="C274" s="20" t="s">
        <v>97</v>
      </c>
      <c r="D274" s="21" t="str">
        <f>IF($C274="","",IFERROR(VLOOKUP($C274,Map_Register!$A$2:$C$5,3,FALSE()),""))</f>
        <v>Military Zone</v>
      </c>
      <c r="E274" s="20" t="s">
        <v>111</v>
      </c>
      <c r="F274" s="22">
        <v>11962</v>
      </c>
      <c r="G274" s="19" t="s">
        <v>112</v>
      </c>
      <c r="H274" s="19" t="s">
        <v>438</v>
      </c>
      <c r="I274" s="19" t="s">
        <v>8</v>
      </c>
      <c r="J274" s="19" t="s">
        <v>114</v>
      </c>
      <c r="K274" s="19" t="s">
        <v>114</v>
      </c>
      <c r="L274" s="19" t="s">
        <v>151</v>
      </c>
      <c r="M274" s="20" t="s">
        <v>116</v>
      </c>
      <c r="N274" s="20"/>
      <c r="O274" s="20"/>
      <c r="P274" s="20" t="s">
        <v>117</v>
      </c>
    </row>
    <row r="275" spans="1:16" x14ac:dyDescent="0.3">
      <c r="A275" s="19">
        <f t="shared" si="4"/>
        <v>274</v>
      </c>
      <c r="B275" s="20" t="s">
        <v>87</v>
      </c>
      <c r="C275" s="20" t="s">
        <v>97</v>
      </c>
      <c r="D275" s="21" t="str">
        <f>IF($C275="","",IFERROR(VLOOKUP($C275,Map_Register!$A$2:$C$5,3,FALSE()),""))</f>
        <v>Military Zone</v>
      </c>
      <c r="E275" s="20" t="s">
        <v>111</v>
      </c>
      <c r="F275" s="22">
        <v>11963</v>
      </c>
      <c r="G275" s="19" t="s">
        <v>112</v>
      </c>
      <c r="H275" s="19" t="s">
        <v>439</v>
      </c>
      <c r="I275" s="19" t="s">
        <v>8</v>
      </c>
      <c r="J275" s="19" t="s">
        <v>114</v>
      </c>
      <c r="K275" s="19" t="s">
        <v>114</v>
      </c>
      <c r="L275" s="19" t="s">
        <v>151</v>
      </c>
      <c r="M275" s="20" t="s">
        <v>116</v>
      </c>
      <c r="N275" s="20"/>
      <c r="O275" s="20"/>
      <c r="P275" s="20" t="s">
        <v>117</v>
      </c>
    </row>
    <row r="276" spans="1:16" x14ac:dyDescent="0.3">
      <c r="A276" s="19">
        <f t="shared" si="4"/>
        <v>275</v>
      </c>
      <c r="B276" s="20" t="s">
        <v>87</v>
      </c>
      <c r="C276" s="20" t="s">
        <v>97</v>
      </c>
      <c r="D276" s="21" t="str">
        <f>IF($C276="","",IFERROR(VLOOKUP($C276,Map_Register!$A$2:$C$5,3,FALSE()),""))</f>
        <v>Military Zone</v>
      </c>
      <c r="E276" s="20" t="s">
        <v>111</v>
      </c>
      <c r="F276" s="22">
        <v>11964</v>
      </c>
      <c r="G276" s="19" t="s">
        <v>112</v>
      </c>
      <c r="H276" s="19" t="s">
        <v>440</v>
      </c>
      <c r="I276" s="19" t="s">
        <v>8</v>
      </c>
      <c r="J276" s="19" t="s">
        <v>114</v>
      </c>
      <c r="K276" s="19" t="s">
        <v>114</v>
      </c>
      <c r="L276" s="19" t="s">
        <v>441</v>
      </c>
      <c r="M276" s="20" t="s">
        <v>116</v>
      </c>
      <c r="N276" s="20"/>
      <c r="O276" s="20"/>
      <c r="P276" s="20" t="s">
        <v>117</v>
      </c>
    </row>
    <row r="277" spans="1:16" x14ac:dyDescent="0.3">
      <c r="A277" s="19">
        <f t="shared" si="4"/>
        <v>276</v>
      </c>
      <c r="B277" s="20" t="s">
        <v>87</v>
      </c>
      <c r="C277" s="20" t="s">
        <v>97</v>
      </c>
      <c r="D277" s="21" t="str">
        <f>IF($C277="","",IFERROR(VLOOKUP($C277,Map_Register!$A$2:$C$5,3,FALSE()),""))</f>
        <v>Military Zone</v>
      </c>
      <c r="E277" s="20" t="s">
        <v>111</v>
      </c>
      <c r="F277" s="22">
        <v>11977</v>
      </c>
      <c r="G277" s="19" t="s">
        <v>112</v>
      </c>
      <c r="H277" s="19" t="s">
        <v>442</v>
      </c>
      <c r="I277" s="19" t="s">
        <v>8</v>
      </c>
      <c r="J277" s="19" t="s">
        <v>114</v>
      </c>
      <c r="K277" s="19" t="s">
        <v>114</v>
      </c>
      <c r="L277" s="19" t="s">
        <v>151</v>
      </c>
      <c r="M277" s="20" t="s">
        <v>116</v>
      </c>
      <c r="N277" s="20"/>
      <c r="O277" s="20"/>
      <c r="P277" s="20" t="s">
        <v>117</v>
      </c>
    </row>
    <row r="278" spans="1:16" x14ac:dyDescent="0.3">
      <c r="A278" s="19">
        <f t="shared" si="4"/>
        <v>277</v>
      </c>
      <c r="B278" s="20" t="s">
        <v>87</v>
      </c>
      <c r="C278" s="20" t="s">
        <v>97</v>
      </c>
      <c r="D278" s="21" t="str">
        <f>IF($C278="","",IFERROR(VLOOKUP($C278,Map_Register!$A$2:$C$5,3,FALSE()),""))</f>
        <v>Military Zone</v>
      </c>
      <c r="E278" s="20" t="s">
        <v>111</v>
      </c>
      <c r="F278" s="22">
        <v>11978</v>
      </c>
      <c r="G278" s="19" t="s">
        <v>112</v>
      </c>
      <c r="H278" s="19" t="s">
        <v>443</v>
      </c>
      <c r="I278" s="19" t="s">
        <v>8</v>
      </c>
      <c r="J278" s="19" t="s">
        <v>114</v>
      </c>
      <c r="K278" s="19" t="s">
        <v>114</v>
      </c>
      <c r="L278" s="19" t="s">
        <v>151</v>
      </c>
      <c r="M278" s="20" t="s">
        <v>116</v>
      </c>
      <c r="N278" s="20"/>
      <c r="O278" s="20"/>
      <c r="P278" s="20" t="s">
        <v>117</v>
      </c>
    </row>
    <row r="279" spans="1:16" x14ac:dyDescent="0.3">
      <c r="A279" s="19">
        <f t="shared" si="4"/>
        <v>278</v>
      </c>
      <c r="B279" s="20" t="s">
        <v>87</v>
      </c>
      <c r="C279" s="20" t="s">
        <v>97</v>
      </c>
      <c r="D279" s="21" t="str">
        <f>IF($C279="","",IFERROR(VLOOKUP($C279,Map_Register!$A$2:$C$5,3,FALSE()),""))</f>
        <v>Military Zone</v>
      </c>
      <c r="E279" s="20" t="s">
        <v>111</v>
      </c>
      <c r="F279" s="22">
        <v>11979</v>
      </c>
      <c r="G279" s="19" t="s">
        <v>112</v>
      </c>
      <c r="H279" s="19" t="s">
        <v>444</v>
      </c>
      <c r="I279" s="19" t="s">
        <v>8</v>
      </c>
      <c r="J279" s="19" t="s">
        <v>114</v>
      </c>
      <c r="K279" s="19" t="s">
        <v>114</v>
      </c>
      <c r="L279" s="19" t="s">
        <v>151</v>
      </c>
      <c r="M279" s="20" t="s">
        <v>116</v>
      </c>
      <c r="N279" s="20"/>
      <c r="O279" s="20"/>
      <c r="P279" s="20" t="s">
        <v>117</v>
      </c>
    </row>
    <row r="280" spans="1:16" x14ac:dyDescent="0.3">
      <c r="A280" s="19">
        <f t="shared" si="4"/>
        <v>279</v>
      </c>
      <c r="B280" s="20" t="s">
        <v>87</v>
      </c>
      <c r="C280" s="20" t="s">
        <v>97</v>
      </c>
      <c r="D280" s="21" t="str">
        <f>IF($C280="","",IFERROR(VLOOKUP($C280,Map_Register!$A$2:$C$5,3,FALSE()),""))</f>
        <v>Military Zone</v>
      </c>
      <c r="E280" s="20" t="s">
        <v>111</v>
      </c>
      <c r="F280" s="22">
        <v>12328</v>
      </c>
      <c r="G280" s="19" t="s">
        <v>112</v>
      </c>
      <c r="H280" s="19" t="s">
        <v>445</v>
      </c>
      <c r="I280" s="19" t="s">
        <v>8</v>
      </c>
      <c r="J280" s="19" t="s">
        <v>114</v>
      </c>
      <c r="K280" s="19" t="s">
        <v>114</v>
      </c>
      <c r="L280" s="19" t="s">
        <v>151</v>
      </c>
      <c r="M280" s="20" t="s">
        <v>116</v>
      </c>
      <c r="N280" s="20"/>
      <c r="O280" s="20"/>
      <c r="P280" s="20" t="s">
        <v>117</v>
      </c>
    </row>
    <row r="281" spans="1:16" x14ac:dyDescent="0.3">
      <c r="A281" s="19">
        <f t="shared" si="4"/>
        <v>280</v>
      </c>
      <c r="B281" s="20" t="s">
        <v>87</v>
      </c>
      <c r="C281" s="20" t="s">
        <v>97</v>
      </c>
      <c r="D281" s="21" t="str">
        <f>IF($C281="","",IFERROR(VLOOKUP($C281,Map_Register!$A$2:$C$5,3,FALSE()),""))</f>
        <v>Military Zone</v>
      </c>
      <c r="E281" s="20" t="s">
        <v>111</v>
      </c>
      <c r="F281" s="22">
        <v>12338</v>
      </c>
      <c r="G281" s="19" t="s">
        <v>112</v>
      </c>
      <c r="H281" s="19" t="s">
        <v>446</v>
      </c>
      <c r="I281" s="19" t="s">
        <v>8</v>
      </c>
      <c r="J281" s="19" t="s">
        <v>114</v>
      </c>
      <c r="K281" t="s">
        <v>114</v>
      </c>
      <c r="L281" s="19" t="s">
        <v>165</v>
      </c>
      <c r="M281" s="20" t="s">
        <v>116</v>
      </c>
      <c r="N281" s="20"/>
      <c r="O281" s="20"/>
      <c r="P281" s="20" t="s">
        <v>117</v>
      </c>
    </row>
    <row r="282" spans="1:16" x14ac:dyDescent="0.3">
      <c r="A282" s="19">
        <f t="shared" si="4"/>
        <v>281</v>
      </c>
      <c r="B282" s="20" t="s">
        <v>87</v>
      </c>
      <c r="C282" s="20" t="s">
        <v>97</v>
      </c>
      <c r="D282" s="21" t="str">
        <f>IF($C282="","",IFERROR(VLOOKUP($C282,Map_Register!$A$2:$C$5,3,FALSE()),""))</f>
        <v>Military Zone</v>
      </c>
      <c r="E282" s="20" t="s">
        <v>111</v>
      </c>
      <c r="F282" s="22">
        <v>12339</v>
      </c>
      <c r="G282" s="19" t="s">
        <v>112</v>
      </c>
      <c r="H282" s="19" t="s">
        <v>447</v>
      </c>
      <c r="I282" s="19" t="s">
        <v>8</v>
      </c>
      <c r="J282" s="19" t="s">
        <v>114</v>
      </c>
      <c r="K282" s="19" t="s">
        <v>114</v>
      </c>
      <c r="L282" s="19" t="s">
        <v>336</v>
      </c>
      <c r="M282" s="20" t="s">
        <v>116</v>
      </c>
      <c r="N282" s="20"/>
      <c r="O282" s="20"/>
      <c r="P282" s="20" t="s">
        <v>117</v>
      </c>
    </row>
    <row r="283" spans="1:16" x14ac:dyDescent="0.3">
      <c r="A283" s="19">
        <f t="shared" si="4"/>
        <v>282</v>
      </c>
      <c r="B283" s="20" t="s">
        <v>87</v>
      </c>
      <c r="C283" s="20" t="s">
        <v>97</v>
      </c>
      <c r="D283" s="21" t="str">
        <f>IF($C283="","",IFERROR(VLOOKUP($C283,Map_Register!$A$2:$C$5,3,FALSE()),""))</f>
        <v>Military Zone</v>
      </c>
      <c r="E283" s="20" t="s">
        <v>111</v>
      </c>
      <c r="F283" s="22">
        <v>12502</v>
      </c>
      <c r="G283" s="19" t="s">
        <v>112</v>
      </c>
      <c r="H283" s="19" t="s">
        <v>448</v>
      </c>
      <c r="I283" s="19" t="s">
        <v>8</v>
      </c>
      <c r="J283" s="19" t="s">
        <v>114</v>
      </c>
      <c r="K283" s="19" t="s">
        <v>114</v>
      </c>
      <c r="L283" s="19" t="s">
        <v>336</v>
      </c>
      <c r="M283" s="20" t="s">
        <v>116</v>
      </c>
      <c r="N283" s="20"/>
      <c r="O283" s="20"/>
      <c r="P283" s="20" t="s">
        <v>117</v>
      </c>
    </row>
    <row r="284" spans="1:16" x14ac:dyDescent="0.3">
      <c r="A284" s="19">
        <f t="shared" si="4"/>
        <v>283</v>
      </c>
      <c r="B284" s="20" t="s">
        <v>87</v>
      </c>
      <c r="C284" s="20" t="s">
        <v>97</v>
      </c>
      <c r="D284" s="21" t="str">
        <f>IF($C284="","",IFERROR(VLOOKUP($C284,Map_Register!$A$2:$C$5,3,FALSE()),""))</f>
        <v>Military Zone</v>
      </c>
      <c r="E284" s="20" t="s">
        <v>111</v>
      </c>
      <c r="F284" s="22">
        <v>13857</v>
      </c>
      <c r="G284" s="19" t="s">
        <v>112</v>
      </c>
      <c r="H284" s="19" t="s">
        <v>449</v>
      </c>
      <c r="I284" s="19" t="s">
        <v>8</v>
      </c>
      <c r="J284" s="19" t="s">
        <v>114</v>
      </c>
      <c r="K284" s="19" t="s">
        <v>114</v>
      </c>
      <c r="L284" s="19" t="s">
        <v>135</v>
      </c>
      <c r="M284" s="20" t="s">
        <v>116</v>
      </c>
      <c r="N284" s="20"/>
      <c r="O284" s="20"/>
      <c r="P284" s="20" t="s">
        <v>117</v>
      </c>
    </row>
    <row r="285" spans="1:16" x14ac:dyDescent="0.3">
      <c r="A285" s="19">
        <f t="shared" si="4"/>
        <v>284</v>
      </c>
      <c r="B285" s="20" t="s">
        <v>87</v>
      </c>
      <c r="C285" s="20" t="s">
        <v>97</v>
      </c>
      <c r="D285" s="21" t="str">
        <f>IF($C285="","",IFERROR(VLOOKUP($C285,Map_Register!$A$2:$C$5,3,FALSE()),""))</f>
        <v>Military Zone</v>
      </c>
      <c r="E285" s="20" t="s">
        <v>111</v>
      </c>
      <c r="F285" s="22">
        <v>14149</v>
      </c>
      <c r="G285" s="19" t="s">
        <v>112</v>
      </c>
      <c r="H285" s="19" t="s">
        <v>450</v>
      </c>
      <c r="I285" s="19" t="s">
        <v>6</v>
      </c>
      <c r="J285" s="19"/>
      <c r="K285" s="19"/>
      <c r="L285" s="19" t="s">
        <v>227</v>
      </c>
      <c r="M285" s="20"/>
      <c r="N285" s="20"/>
      <c r="O285" s="20"/>
      <c r="P285" s="20" t="s">
        <v>117</v>
      </c>
    </row>
    <row r="286" spans="1:16" x14ac:dyDescent="0.3">
      <c r="A286" s="19">
        <f t="shared" si="4"/>
        <v>285</v>
      </c>
      <c r="B286" s="20" t="s">
        <v>87</v>
      </c>
      <c r="C286" s="20" t="s">
        <v>97</v>
      </c>
      <c r="D286" s="21" t="str">
        <f>IF($C286="","",IFERROR(VLOOKUP($C286,Map_Register!$A$2:$C$5,3,FALSE()),""))</f>
        <v>Military Zone</v>
      </c>
      <c r="E286" s="20" t="s">
        <v>111</v>
      </c>
      <c r="F286" s="22">
        <v>14631</v>
      </c>
      <c r="G286" s="19" t="s">
        <v>112</v>
      </c>
      <c r="H286" s="19" t="s">
        <v>451</v>
      </c>
      <c r="I286" s="19" t="s">
        <v>8</v>
      </c>
      <c r="J286" s="19" t="s">
        <v>114</v>
      </c>
      <c r="K286" s="19" t="s">
        <v>114</v>
      </c>
      <c r="L286" s="19" t="s">
        <v>151</v>
      </c>
      <c r="M286" s="20" t="s">
        <v>116</v>
      </c>
      <c r="N286" s="20"/>
      <c r="O286" s="20"/>
      <c r="P286" s="20" t="s">
        <v>117</v>
      </c>
    </row>
    <row r="287" spans="1:16" x14ac:dyDescent="0.3">
      <c r="A287" s="19">
        <f t="shared" si="4"/>
        <v>286</v>
      </c>
      <c r="B287" s="20" t="s">
        <v>87</v>
      </c>
      <c r="C287" s="20" t="s">
        <v>97</v>
      </c>
      <c r="D287" s="21" t="str">
        <f>IF($C287="","",IFERROR(VLOOKUP($C287,Map_Register!$A$2:$C$5,3,FALSE()),""))</f>
        <v>Military Zone</v>
      </c>
      <c r="E287" s="20" t="s">
        <v>111</v>
      </c>
      <c r="F287" s="22">
        <v>14953</v>
      </c>
      <c r="G287" s="19" t="s">
        <v>112</v>
      </c>
      <c r="H287" s="19" t="s">
        <v>452</v>
      </c>
      <c r="I287" s="19" t="s">
        <v>8</v>
      </c>
      <c r="J287" s="19" t="s">
        <v>114</v>
      </c>
      <c r="K287" s="19" t="s">
        <v>114</v>
      </c>
      <c r="L287" s="19" t="s">
        <v>151</v>
      </c>
      <c r="M287" s="20" t="s">
        <v>116</v>
      </c>
      <c r="N287" s="20"/>
      <c r="O287" s="20"/>
      <c r="P287" s="20" t="s">
        <v>117</v>
      </c>
    </row>
    <row r="288" spans="1:16" x14ac:dyDescent="0.3">
      <c r="A288" s="19">
        <f t="shared" si="4"/>
        <v>287</v>
      </c>
      <c r="B288" s="20" t="s">
        <v>87</v>
      </c>
      <c r="C288" s="20" t="s">
        <v>97</v>
      </c>
      <c r="D288" s="21" t="str">
        <f>IF($C288="","",IFERROR(VLOOKUP($C288,Map_Register!$A$2:$C$5,3,FALSE()),""))</f>
        <v>Military Zone</v>
      </c>
      <c r="E288" s="20" t="s">
        <v>111</v>
      </c>
      <c r="F288" s="22">
        <v>15153</v>
      </c>
      <c r="G288" s="19" t="s">
        <v>112</v>
      </c>
      <c r="H288" s="19" t="s">
        <v>453</v>
      </c>
      <c r="I288" s="19" t="s">
        <v>6</v>
      </c>
      <c r="L288" s="19" t="s">
        <v>398</v>
      </c>
      <c r="M288" s="20"/>
      <c r="N288" s="20"/>
      <c r="O288" s="20"/>
      <c r="P288" s="20" t="s">
        <v>117</v>
      </c>
    </row>
    <row r="289" spans="1:16" x14ac:dyDescent="0.3">
      <c r="A289" s="19">
        <f t="shared" si="4"/>
        <v>288</v>
      </c>
      <c r="B289" s="20" t="s">
        <v>87</v>
      </c>
      <c r="C289" s="20" t="s">
        <v>97</v>
      </c>
      <c r="D289" s="21" t="str">
        <f>IF($C289="","",IFERROR(VLOOKUP($C289,Map_Register!$A$2:$C$5,3,FALSE()),""))</f>
        <v>Military Zone</v>
      </c>
      <c r="E289" s="20" t="s">
        <v>111</v>
      </c>
      <c r="F289" s="22">
        <v>16099</v>
      </c>
      <c r="G289" s="19" t="s">
        <v>112</v>
      </c>
      <c r="H289" s="19" t="s">
        <v>454</v>
      </c>
      <c r="I289" s="19" t="s">
        <v>8</v>
      </c>
      <c r="J289" s="19" t="s">
        <v>114</v>
      </c>
      <c r="K289" s="19" t="s">
        <v>114</v>
      </c>
      <c r="L289" s="19" t="s">
        <v>151</v>
      </c>
      <c r="M289" s="20" t="s">
        <v>116</v>
      </c>
      <c r="N289" s="20"/>
      <c r="O289" s="20"/>
      <c r="P289" s="20" t="s">
        <v>117</v>
      </c>
    </row>
    <row r="290" spans="1:16" x14ac:dyDescent="0.3">
      <c r="A290" s="19">
        <f t="shared" si="4"/>
        <v>289</v>
      </c>
      <c r="B290" s="20" t="s">
        <v>87</v>
      </c>
      <c r="C290" s="20" t="s">
        <v>97</v>
      </c>
      <c r="D290" s="21" t="str">
        <f>IF($C290="","",IFERROR(VLOOKUP($C290,Map_Register!$A$2:$C$5,3,FALSE()),""))</f>
        <v>Military Zone</v>
      </c>
      <c r="E290" s="20" t="s">
        <v>111</v>
      </c>
      <c r="F290" s="22">
        <v>16100</v>
      </c>
      <c r="G290" s="19" t="s">
        <v>112</v>
      </c>
      <c r="H290" s="19" t="s">
        <v>455</v>
      </c>
      <c r="I290" s="19" t="s">
        <v>8</v>
      </c>
      <c r="J290" s="19" t="s">
        <v>114</v>
      </c>
      <c r="K290" s="19" t="s">
        <v>114</v>
      </c>
      <c r="L290" s="19" t="s">
        <v>151</v>
      </c>
      <c r="M290" s="20" t="s">
        <v>116</v>
      </c>
      <c r="N290" s="20"/>
      <c r="O290" s="20"/>
      <c r="P290" s="20" t="s">
        <v>117</v>
      </c>
    </row>
    <row r="291" spans="1:16" x14ac:dyDescent="0.3">
      <c r="A291" s="19">
        <f t="shared" si="4"/>
        <v>290</v>
      </c>
      <c r="B291" s="20" t="s">
        <v>87</v>
      </c>
      <c r="C291" s="20" t="s">
        <v>97</v>
      </c>
      <c r="D291" s="21" t="str">
        <f>IF($C291="","",IFERROR(VLOOKUP($C291,Map_Register!$A$2:$C$5,3,FALSE()),""))</f>
        <v>Military Zone</v>
      </c>
      <c r="E291" s="20" t="s">
        <v>111</v>
      </c>
      <c r="F291" s="22">
        <v>16101</v>
      </c>
      <c r="G291" s="19" t="s">
        <v>112</v>
      </c>
      <c r="H291" s="19" t="s">
        <v>456</v>
      </c>
      <c r="I291" s="19" t="s">
        <v>8</v>
      </c>
      <c r="J291" s="19" t="s">
        <v>114</v>
      </c>
      <c r="K291" s="19" t="s">
        <v>114</v>
      </c>
      <c r="L291" s="19" t="s">
        <v>151</v>
      </c>
      <c r="M291" s="20" t="s">
        <v>116</v>
      </c>
      <c r="N291" s="20"/>
      <c r="O291" s="20"/>
      <c r="P291" s="20" t="s">
        <v>117</v>
      </c>
    </row>
    <row r="292" spans="1:16" x14ac:dyDescent="0.3">
      <c r="A292" s="19">
        <f t="shared" si="4"/>
        <v>291</v>
      </c>
      <c r="B292" s="20" t="s">
        <v>87</v>
      </c>
      <c r="C292" s="20" t="s">
        <v>97</v>
      </c>
      <c r="D292" s="21" t="str">
        <f>IF($C292="","",IFERROR(VLOOKUP($C292,Map_Register!$A$2:$C$5,3,FALSE()),""))</f>
        <v>Military Zone</v>
      </c>
      <c r="E292" s="20" t="s">
        <v>111</v>
      </c>
      <c r="F292" s="22">
        <v>16102</v>
      </c>
      <c r="G292" s="19" t="s">
        <v>112</v>
      </c>
      <c r="H292" s="19" t="s">
        <v>457</v>
      </c>
      <c r="I292" s="19" t="s">
        <v>8</v>
      </c>
      <c r="J292" s="19" t="s">
        <v>114</v>
      </c>
      <c r="K292" s="19" t="s">
        <v>114</v>
      </c>
      <c r="L292" s="19" t="s">
        <v>151</v>
      </c>
      <c r="M292" s="20" t="s">
        <v>116</v>
      </c>
      <c r="N292" s="20"/>
      <c r="O292" s="20"/>
      <c r="P292" s="20" t="s">
        <v>117</v>
      </c>
    </row>
    <row r="293" spans="1:16" x14ac:dyDescent="0.3">
      <c r="A293" s="19">
        <f t="shared" si="4"/>
        <v>292</v>
      </c>
      <c r="B293" s="20" t="s">
        <v>87</v>
      </c>
      <c r="C293" s="20" t="s">
        <v>97</v>
      </c>
      <c r="D293" s="21" t="str">
        <f>IF($C293="","",IFERROR(VLOOKUP($C293,Map_Register!$A$2:$C$5,3,FALSE()),""))</f>
        <v>Military Zone</v>
      </c>
      <c r="E293" s="20" t="s">
        <v>111</v>
      </c>
      <c r="F293" s="22">
        <v>16103</v>
      </c>
      <c r="G293" s="19" t="s">
        <v>112</v>
      </c>
      <c r="H293" s="19" t="s">
        <v>458</v>
      </c>
      <c r="I293" s="19" t="s">
        <v>8</v>
      </c>
      <c r="J293" s="19" t="s">
        <v>114</v>
      </c>
      <c r="K293" s="19" t="s">
        <v>114</v>
      </c>
      <c r="L293" s="19" t="s">
        <v>135</v>
      </c>
      <c r="M293" s="20" t="s">
        <v>116</v>
      </c>
      <c r="N293" s="20"/>
      <c r="O293" s="20"/>
      <c r="P293" s="20" t="s">
        <v>117</v>
      </c>
    </row>
    <row r="294" spans="1:16" x14ac:dyDescent="0.3">
      <c r="A294" s="19">
        <f t="shared" si="4"/>
        <v>293</v>
      </c>
      <c r="B294" s="20" t="s">
        <v>87</v>
      </c>
      <c r="C294" s="20" t="s">
        <v>97</v>
      </c>
      <c r="D294" s="21" t="str">
        <f>IF($C294="","",IFERROR(VLOOKUP($C294,Map_Register!$A$2:$C$5,3,FALSE()),""))</f>
        <v>Military Zone</v>
      </c>
      <c r="E294" s="20" t="s">
        <v>111</v>
      </c>
      <c r="F294" s="22">
        <v>16104</v>
      </c>
      <c r="G294" s="19" t="s">
        <v>112</v>
      </c>
      <c r="H294" s="19" t="s">
        <v>459</v>
      </c>
      <c r="I294" s="19" t="s">
        <v>8</v>
      </c>
      <c r="J294" s="19" t="s">
        <v>114</v>
      </c>
      <c r="K294" s="19" t="s">
        <v>114</v>
      </c>
      <c r="L294" s="19" t="s">
        <v>151</v>
      </c>
      <c r="M294" s="20" t="s">
        <v>116</v>
      </c>
      <c r="N294" s="20"/>
      <c r="O294" s="20"/>
      <c r="P294" s="20" t="s">
        <v>117</v>
      </c>
    </row>
    <row r="295" spans="1:16" x14ac:dyDescent="0.3">
      <c r="A295" s="19">
        <f t="shared" si="4"/>
        <v>294</v>
      </c>
      <c r="B295" s="20" t="s">
        <v>87</v>
      </c>
      <c r="C295" s="20" t="s">
        <v>97</v>
      </c>
      <c r="D295" s="21" t="str">
        <f>IF($C295="","",IFERROR(VLOOKUP($C295,Map_Register!$A$2:$C$5,3,FALSE()),""))</f>
        <v>Military Zone</v>
      </c>
      <c r="E295" s="20" t="s">
        <v>111</v>
      </c>
      <c r="F295" s="22">
        <v>16105</v>
      </c>
      <c r="G295" s="19" t="s">
        <v>112</v>
      </c>
      <c r="H295" s="19" t="s">
        <v>460</v>
      </c>
      <c r="I295" s="19" t="s">
        <v>8</v>
      </c>
      <c r="J295" s="19" t="s">
        <v>114</v>
      </c>
      <c r="K295" s="19" t="s">
        <v>114</v>
      </c>
      <c r="L295" s="19" t="s">
        <v>135</v>
      </c>
      <c r="M295" s="20" t="s">
        <v>116</v>
      </c>
      <c r="N295" s="20"/>
      <c r="O295" s="20"/>
      <c r="P295" s="20" t="s">
        <v>117</v>
      </c>
    </row>
    <row r="296" spans="1:16" x14ac:dyDescent="0.3">
      <c r="A296" s="19">
        <f t="shared" si="4"/>
        <v>295</v>
      </c>
      <c r="B296" s="20" t="s">
        <v>87</v>
      </c>
      <c r="C296" s="20" t="s">
        <v>97</v>
      </c>
      <c r="D296" s="21" t="str">
        <f>IF($C296="","",IFERROR(VLOOKUP($C296,Map_Register!$A$2:$C$5,3,FALSE()),""))</f>
        <v>Military Zone</v>
      </c>
      <c r="E296" s="20" t="s">
        <v>111</v>
      </c>
      <c r="F296" s="22">
        <v>16106</v>
      </c>
      <c r="G296" s="19" t="s">
        <v>112</v>
      </c>
      <c r="H296" s="19" t="s">
        <v>461</v>
      </c>
      <c r="I296" s="19" t="s">
        <v>8</v>
      </c>
      <c r="J296" s="19" t="s">
        <v>114</v>
      </c>
      <c r="K296" s="19" t="s">
        <v>114</v>
      </c>
      <c r="L296" s="19" t="s">
        <v>135</v>
      </c>
      <c r="M296" s="20" t="s">
        <v>116</v>
      </c>
      <c r="N296" s="20"/>
      <c r="O296" s="20"/>
      <c r="P296" s="20" t="s">
        <v>117</v>
      </c>
    </row>
    <row r="297" spans="1:16" x14ac:dyDescent="0.3">
      <c r="A297" s="19">
        <f t="shared" si="4"/>
        <v>296</v>
      </c>
      <c r="B297" s="20" t="s">
        <v>87</v>
      </c>
      <c r="C297" s="20" t="s">
        <v>97</v>
      </c>
      <c r="D297" s="21" t="str">
        <f>IF($C297="","",IFERROR(VLOOKUP($C297,Map_Register!$A$2:$C$5,3,FALSE()),""))</f>
        <v>Military Zone</v>
      </c>
      <c r="E297" s="20" t="s">
        <v>111</v>
      </c>
      <c r="F297" s="22">
        <v>16107</v>
      </c>
      <c r="G297" s="19" t="s">
        <v>112</v>
      </c>
      <c r="H297" s="19" t="s">
        <v>462</v>
      </c>
      <c r="I297" s="19" t="s">
        <v>8</v>
      </c>
      <c r="J297" s="19" t="s">
        <v>114</v>
      </c>
      <c r="K297" s="19" t="s">
        <v>114</v>
      </c>
      <c r="L297" s="19" t="s">
        <v>135</v>
      </c>
      <c r="M297" s="20" t="s">
        <v>116</v>
      </c>
      <c r="N297" s="20"/>
      <c r="O297" s="20"/>
      <c r="P297" s="20" t="s">
        <v>117</v>
      </c>
    </row>
    <row r="298" spans="1:16" x14ac:dyDescent="0.3">
      <c r="A298" s="19">
        <f t="shared" si="4"/>
        <v>297</v>
      </c>
      <c r="B298" s="20" t="s">
        <v>87</v>
      </c>
      <c r="C298" s="20" t="s">
        <v>97</v>
      </c>
      <c r="D298" s="21" t="str">
        <f>IF($C298="","",IFERROR(VLOOKUP($C298,Map_Register!$A$2:$C$5,3,FALSE()),""))</f>
        <v>Military Zone</v>
      </c>
      <c r="E298" s="20" t="s">
        <v>111</v>
      </c>
      <c r="F298" s="22">
        <v>16108</v>
      </c>
      <c r="G298" s="19" t="s">
        <v>112</v>
      </c>
      <c r="H298" s="19" t="s">
        <v>463</v>
      </c>
      <c r="I298" s="19" t="s">
        <v>8</v>
      </c>
      <c r="J298" s="19" t="s">
        <v>114</v>
      </c>
      <c r="K298" s="19" t="s">
        <v>114</v>
      </c>
      <c r="L298" s="19" t="s">
        <v>135</v>
      </c>
      <c r="M298" s="20" t="s">
        <v>116</v>
      </c>
      <c r="N298" s="20"/>
      <c r="O298" s="20"/>
      <c r="P298" s="20" t="s">
        <v>117</v>
      </c>
    </row>
    <row r="299" spans="1:16" x14ac:dyDescent="0.3">
      <c r="A299" s="19">
        <f t="shared" si="4"/>
        <v>298</v>
      </c>
      <c r="B299" s="20" t="s">
        <v>87</v>
      </c>
      <c r="C299" s="20" t="s">
        <v>97</v>
      </c>
      <c r="D299" s="21" t="str">
        <f>IF($C299="","",IFERROR(VLOOKUP($C299,Map_Register!$A$2:$C$5,3,FALSE()),""))</f>
        <v>Military Zone</v>
      </c>
      <c r="E299" s="20" t="s">
        <v>111</v>
      </c>
      <c r="F299" s="22">
        <v>16109</v>
      </c>
      <c r="G299" s="19" t="s">
        <v>112</v>
      </c>
      <c r="H299" s="19" t="s">
        <v>464</v>
      </c>
      <c r="I299" s="19" t="s">
        <v>8</v>
      </c>
      <c r="J299" s="19" t="s">
        <v>114</v>
      </c>
      <c r="K299" s="19" t="s">
        <v>114</v>
      </c>
      <c r="L299" s="19" t="s">
        <v>151</v>
      </c>
      <c r="M299" s="20" t="s">
        <v>116</v>
      </c>
      <c r="N299" s="20"/>
      <c r="O299" s="20"/>
      <c r="P299" s="20" t="s">
        <v>117</v>
      </c>
    </row>
    <row r="300" spans="1:16" x14ac:dyDescent="0.3">
      <c r="A300" s="19">
        <f t="shared" si="4"/>
        <v>299</v>
      </c>
      <c r="B300" s="20" t="s">
        <v>87</v>
      </c>
      <c r="C300" s="20" t="s">
        <v>97</v>
      </c>
      <c r="D300" s="21" t="str">
        <f>IF($C300="","",IFERROR(VLOOKUP($C300,Map_Register!$A$2:$C$5,3,FALSE()),""))</f>
        <v>Military Zone</v>
      </c>
      <c r="E300" s="20" t="s">
        <v>111</v>
      </c>
      <c r="F300" s="22">
        <v>16301</v>
      </c>
      <c r="G300" s="19" t="s">
        <v>112</v>
      </c>
      <c r="H300" s="19" t="s">
        <v>465</v>
      </c>
      <c r="I300" s="19" t="s">
        <v>8</v>
      </c>
      <c r="J300" s="19" t="s">
        <v>114</v>
      </c>
      <c r="K300" s="19" t="s">
        <v>114</v>
      </c>
      <c r="L300" s="19" t="s">
        <v>135</v>
      </c>
      <c r="M300" s="20" t="s">
        <v>116</v>
      </c>
      <c r="N300" s="20"/>
      <c r="O300" s="20"/>
      <c r="P300" s="20" t="s">
        <v>117</v>
      </c>
    </row>
    <row r="301" spans="1:16" x14ac:dyDescent="0.3">
      <c r="A301" s="19">
        <f t="shared" si="4"/>
        <v>300</v>
      </c>
      <c r="B301" s="20" t="s">
        <v>87</v>
      </c>
      <c r="C301" s="20" t="s">
        <v>97</v>
      </c>
      <c r="D301" s="21" t="str">
        <f>IF($C301="","",IFERROR(VLOOKUP($C301,Map_Register!$A$2:$C$5,3,FALSE()),""))</f>
        <v>Military Zone</v>
      </c>
      <c r="E301" s="20" t="s">
        <v>111</v>
      </c>
      <c r="F301" s="22">
        <v>16426</v>
      </c>
      <c r="G301" s="19" t="s">
        <v>112</v>
      </c>
      <c r="H301" s="19" t="s">
        <v>466</v>
      </c>
      <c r="I301" s="19" t="s">
        <v>8</v>
      </c>
      <c r="J301" s="19" t="s">
        <v>114</v>
      </c>
      <c r="K301" s="19" t="s">
        <v>114</v>
      </c>
      <c r="L301" s="19" t="s">
        <v>135</v>
      </c>
      <c r="M301" s="20" t="s">
        <v>116</v>
      </c>
      <c r="N301" s="20"/>
      <c r="O301" s="20"/>
      <c r="P301" s="20" t="s">
        <v>117</v>
      </c>
    </row>
    <row r="302" spans="1:16" x14ac:dyDescent="0.3">
      <c r="A302" s="19">
        <f t="shared" si="4"/>
        <v>301</v>
      </c>
      <c r="B302" s="20" t="s">
        <v>87</v>
      </c>
      <c r="C302" s="20" t="s">
        <v>97</v>
      </c>
      <c r="D302" s="21" t="str">
        <f>IF($C302="","",IFERROR(VLOOKUP($C302,Map_Register!$A$2:$C$5,3,FALSE()),""))</f>
        <v>Military Zone</v>
      </c>
      <c r="E302" s="20" t="s">
        <v>111</v>
      </c>
      <c r="F302" s="22">
        <v>17046</v>
      </c>
      <c r="G302" s="19" t="s">
        <v>112</v>
      </c>
      <c r="H302" s="19" t="s">
        <v>467</v>
      </c>
      <c r="I302" s="19" t="s">
        <v>8</v>
      </c>
      <c r="J302" s="19" t="s">
        <v>114</v>
      </c>
      <c r="K302" s="19" t="s">
        <v>114</v>
      </c>
      <c r="L302" s="19" t="s">
        <v>135</v>
      </c>
      <c r="M302" s="20" t="s">
        <v>116</v>
      </c>
      <c r="N302" s="20"/>
      <c r="O302" s="20"/>
      <c r="P302" s="20" t="s">
        <v>117</v>
      </c>
    </row>
    <row r="303" spans="1:16" x14ac:dyDescent="0.3">
      <c r="A303" s="19">
        <f t="shared" si="4"/>
        <v>302</v>
      </c>
      <c r="B303" s="20" t="s">
        <v>87</v>
      </c>
      <c r="C303" s="20" t="s">
        <v>97</v>
      </c>
      <c r="D303" s="21" t="str">
        <f>IF($C303="","",IFERROR(VLOOKUP($C303,Map_Register!$A$2:$C$5,3,FALSE()),""))</f>
        <v>Military Zone</v>
      </c>
      <c r="E303" s="20" t="s">
        <v>111</v>
      </c>
      <c r="F303" s="22">
        <v>17049</v>
      </c>
      <c r="G303" s="19" t="s">
        <v>112</v>
      </c>
      <c r="H303" s="19" t="s">
        <v>468</v>
      </c>
      <c r="I303" s="19" t="s">
        <v>8</v>
      </c>
      <c r="J303" s="19" t="s">
        <v>114</v>
      </c>
      <c r="K303" s="19" t="s">
        <v>114</v>
      </c>
      <c r="L303" s="19" t="s">
        <v>135</v>
      </c>
      <c r="M303" s="20" t="s">
        <v>116</v>
      </c>
      <c r="N303" s="20"/>
      <c r="O303" s="20"/>
      <c r="P303" s="20" t="s">
        <v>117</v>
      </c>
    </row>
    <row r="304" spans="1:16" x14ac:dyDescent="0.3">
      <c r="A304" s="19">
        <f t="shared" si="4"/>
        <v>303</v>
      </c>
      <c r="B304" s="20" t="s">
        <v>87</v>
      </c>
      <c r="C304" s="20" t="s">
        <v>97</v>
      </c>
      <c r="D304" s="21" t="str">
        <f>IF($C304="","",IFERROR(VLOOKUP($C304,Map_Register!$A$2:$C$5,3,FALSE()),""))</f>
        <v>Military Zone</v>
      </c>
      <c r="E304" s="20" t="s">
        <v>111</v>
      </c>
      <c r="F304" s="22">
        <v>17052</v>
      </c>
      <c r="G304" s="19" t="s">
        <v>112</v>
      </c>
      <c r="H304" s="19" t="s">
        <v>469</v>
      </c>
      <c r="I304" s="19" t="s">
        <v>6</v>
      </c>
      <c r="J304" s="19"/>
      <c r="K304" s="19"/>
      <c r="L304" s="19" t="s">
        <v>225</v>
      </c>
      <c r="M304" s="20"/>
      <c r="N304" s="20"/>
      <c r="O304" s="20"/>
      <c r="P304" s="20" t="s">
        <v>117</v>
      </c>
    </row>
    <row r="305" spans="1:16" x14ac:dyDescent="0.3">
      <c r="A305" s="19">
        <f t="shared" si="4"/>
        <v>304</v>
      </c>
      <c r="B305" s="20" t="s">
        <v>87</v>
      </c>
      <c r="C305" s="20" t="s">
        <v>97</v>
      </c>
      <c r="D305" s="21" t="str">
        <f>IF($C305="","",IFERROR(VLOOKUP($C305,Map_Register!$A$2:$C$5,3,FALSE()),""))</f>
        <v>Military Zone</v>
      </c>
      <c r="E305" s="20" t="s">
        <v>111</v>
      </c>
      <c r="F305" s="22">
        <v>17053</v>
      </c>
      <c r="G305" s="19" t="s">
        <v>112</v>
      </c>
      <c r="H305" s="19" t="s">
        <v>470</v>
      </c>
      <c r="I305" s="19" t="s">
        <v>6</v>
      </c>
      <c r="J305" s="19"/>
      <c r="K305" s="19"/>
      <c r="L305" s="19" t="s">
        <v>227</v>
      </c>
      <c r="M305" s="20"/>
      <c r="N305" s="20"/>
      <c r="O305" s="20"/>
      <c r="P305" s="20" t="s">
        <v>117</v>
      </c>
    </row>
    <row r="306" spans="1:16" x14ac:dyDescent="0.3">
      <c r="A306" s="19">
        <f t="shared" si="4"/>
        <v>305</v>
      </c>
      <c r="B306" s="20" t="s">
        <v>87</v>
      </c>
      <c r="C306" s="20" t="s">
        <v>97</v>
      </c>
      <c r="D306" s="21" t="str">
        <f>IF($C306="","",IFERROR(VLOOKUP($C306,Map_Register!$A$2:$C$5,3,FALSE()),""))</f>
        <v>Military Zone</v>
      </c>
      <c r="E306" s="20" t="s">
        <v>111</v>
      </c>
      <c r="F306" s="22">
        <v>17054</v>
      </c>
      <c r="G306" s="19" t="s">
        <v>112</v>
      </c>
      <c r="H306" s="19" t="s">
        <v>471</v>
      </c>
      <c r="I306" s="19" t="s">
        <v>8</v>
      </c>
      <c r="J306" s="19" t="s">
        <v>114</v>
      </c>
      <c r="K306" t="s">
        <v>114</v>
      </c>
      <c r="L306" s="19" t="s">
        <v>154</v>
      </c>
      <c r="M306" s="20" t="s">
        <v>116</v>
      </c>
      <c r="N306" s="20"/>
      <c r="O306" s="20"/>
      <c r="P306" s="20" t="s">
        <v>117</v>
      </c>
    </row>
    <row r="307" spans="1:16" x14ac:dyDescent="0.3">
      <c r="A307" s="19">
        <f t="shared" si="4"/>
        <v>306</v>
      </c>
      <c r="B307" s="20" t="s">
        <v>87</v>
      </c>
      <c r="C307" s="20" t="s">
        <v>97</v>
      </c>
      <c r="D307" s="21" t="str">
        <f>IF($C307="","",IFERROR(VLOOKUP($C307,Map_Register!$A$2:$C$5,3,FALSE()),""))</f>
        <v>Military Zone</v>
      </c>
      <c r="E307" s="20" t="s">
        <v>111</v>
      </c>
      <c r="F307" s="22">
        <v>17055</v>
      </c>
      <c r="G307" s="19" t="s">
        <v>112</v>
      </c>
      <c r="H307" s="19" t="s">
        <v>472</v>
      </c>
      <c r="I307" s="19" t="s">
        <v>8</v>
      </c>
      <c r="J307" s="19" t="s">
        <v>114</v>
      </c>
      <c r="K307" s="19" t="s">
        <v>114</v>
      </c>
      <c r="L307" s="19" t="s">
        <v>135</v>
      </c>
      <c r="M307" s="20" t="s">
        <v>116</v>
      </c>
      <c r="N307" s="20"/>
      <c r="O307" s="20"/>
      <c r="P307" s="20" t="s">
        <v>117</v>
      </c>
    </row>
    <row r="308" spans="1:16" x14ac:dyDescent="0.3">
      <c r="A308" s="19">
        <f t="shared" si="4"/>
        <v>307</v>
      </c>
      <c r="B308" s="20" t="s">
        <v>87</v>
      </c>
      <c r="C308" s="20" t="s">
        <v>97</v>
      </c>
      <c r="D308" s="21" t="str">
        <f>IF($C308="","",IFERROR(VLOOKUP($C308,Map_Register!$A$2:$C$5,3,FALSE()),""))</f>
        <v>Military Zone</v>
      </c>
      <c r="E308" s="20" t="s">
        <v>111</v>
      </c>
      <c r="F308" s="22">
        <v>17056</v>
      </c>
      <c r="G308" s="19" t="s">
        <v>112</v>
      </c>
      <c r="H308" s="19" t="s">
        <v>473</v>
      </c>
      <c r="I308" s="19" t="s">
        <v>8</v>
      </c>
      <c r="J308" s="19" t="s">
        <v>114</v>
      </c>
      <c r="K308" s="19" t="s">
        <v>114</v>
      </c>
      <c r="L308" s="19" t="s">
        <v>135</v>
      </c>
      <c r="M308" s="20" t="s">
        <v>116</v>
      </c>
      <c r="N308" s="20"/>
      <c r="O308" s="20"/>
      <c r="P308" s="20" t="s">
        <v>117</v>
      </c>
    </row>
    <row r="309" spans="1:16" x14ac:dyDescent="0.3">
      <c r="A309" s="19">
        <f t="shared" si="4"/>
        <v>308</v>
      </c>
      <c r="B309" s="20" t="s">
        <v>87</v>
      </c>
      <c r="C309" s="20" t="s">
        <v>97</v>
      </c>
      <c r="D309" s="21" t="str">
        <f>IF($C309="","",IFERROR(VLOOKUP($C309,Map_Register!$A$2:$C$5,3,FALSE()),""))</f>
        <v>Military Zone</v>
      </c>
      <c r="E309" s="20" t="s">
        <v>111</v>
      </c>
      <c r="F309" s="22">
        <v>17063</v>
      </c>
      <c r="G309" s="19" t="s">
        <v>112</v>
      </c>
      <c r="H309" s="19" t="s">
        <v>474</v>
      </c>
      <c r="I309" s="19" t="s">
        <v>8</v>
      </c>
      <c r="J309" s="19" t="s">
        <v>114</v>
      </c>
      <c r="K309" s="19" t="s">
        <v>114</v>
      </c>
      <c r="L309" s="19" t="s">
        <v>135</v>
      </c>
      <c r="M309" s="20" t="s">
        <v>116</v>
      </c>
      <c r="N309" s="20"/>
      <c r="O309" s="20"/>
      <c r="P309" s="20" t="s">
        <v>117</v>
      </c>
    </row>
    <row r="310" spans="1:16" x14ac:dyDescent="0.3">
      <c r="A310" s="19">
        <f t="shared" si="4"/>
        <v>309</v>
      </c>
      <c r="B310" s="20" t="s">
        <v>87</v>
      </c>
      <c r="C310" s="20" t="s">
        <v>97</v>
      </c>
      <c r="D310" s="21" t="str">
        <f>IF($C310="","",IFERROR(VLOOKUP($C310,Map_Register!$A$2:$C$5,3,FALSE()),""))</f>
        <v>Military Zone</v>
      </c>
      <c r="E310" s="20" t="s">
        <v>111</v>
      </c>
      <c r="F310" s="22">
        <v>17064</v>
      </c>
      <c r="G310" s="19" t="s">
        <v>112</v>
      </c>
      <c r="H310" s="19" t="s">
        <v>475</v>
      </c>
      <c r="I310" s="19" t="s">
        <v>6</v>
      </c>
      <c r="J310" s="19"/>
      <c r="K310" s="19"/>
      <c r="L310" s="19" t="s">
        <v>398</v>
      </c>
      <c r="M310" s="20"/>
      <c r="N310" s="20"/>
      <c r="O310" s="20"/>
      <c r="P310" s="20" t="s">
        <v>117</v>
      </c>
    </row>
    <row r="311" spans="1:16" x14ac:dyDescent="0.3">
      <c r="A311" s="19">
        <f t="shared" si="4"/>
        <v>310</v>
      </c>
      <c r="B311" s="20" t="s">
        <v>87</v>
      </c>
      <c r="C311" s="20" t="s">
        <v>97</v>
      </c>
      <c r="D311" s="21" t="str">
        <f>IF($C311="","",IFERROR(VLOOKUP($C311,Map_Register!$A$2:$C$5,3,FALSE()),""))</f>
        <v>Military Zone</v>
      </c>
      <c r="E311" s="20" t="s">
        <v>111</v>
      </c>
      <c r="F311" s="22">
        <v>17066</v>
      </c>
      <c r="G311" s="19" t="s">
        <v>112</v>
      </c>
      <c r="H311" s="19" t="s">
        <v>476</v>
      </c>
      <c r="I311" s="19" t="s">
        <v>8</v>
      </c>
      <c r="J311" s="19" t="s">
        <v>114</v>
      </c>
      <c r="K311" s="19" t="s">
        <v>114</v>
      </c>
      <c r="L311" s="19" t="s">
        <v>135</v>
      </c>
      <c r="M311" s="20" t="s">
        <v>116</v>
      </c>
      <c r="N311" s="20"/>
      <c r="O311" s="20"/>
      <c r="P311" s="20" t="s">
        <v>117</v>
      </c>
    </row>
    <row r="312" spans="1:16" x14ac:dyDescent="0.3">
      <c r="A312" s="19">
        <f t="shared" si="4"/>
        <v>311</v>
      </c>
      <c r="B312" s="20" t="s">
        <v>87</v>
      </c>
      <c r="C312" s="20" t="s">
        <v>97</v>
      </c>
      <c r="D312" s="21" t="str">
        <f>IF($C312="","",IFERROR(VLOOKUP($C312,Map_Register!$A$2:$C$5,3,FALSE()),""))</f>
        <v>Military Zone</v>
      </c>
      <c r="E312" s="20" t="s">
        <v>111</v>
      </c>
      <c r="F312" s="22">
        <v>17067</v>
      </c>
      <c r="G312" s="19" t="s">
        <v>112</v>
      </c>
      <c r="H312" s="19" t="s">
        <v>477</v>
      </c>
      <c r="I312" s="19" t="s">
        <v>8</v>
      </c>
      <c r="J312" s="19" t="s">
        <v>114</v>
      </c>
      <c r="K312" s="19" t="s">
        <v>114</v>
      </c>
      <c r="L312" s="19" t="s">
        <v>135</v>
      </c>
      <c r="M312" s="20" t="s">
        <v>116</v>
      </c>
      <c r="N312" s="20"/>
      <c r="O312" s="20"/>
      <c r="P312" s="20" t="s">
        <v>117</v>
      </c>
    </row>
    <row r="313" spans="1:16" x14ac:dyDescent="0.3">
      <c r="A313" s="19">
        <f t="shared" si="4"/>
        <v>312</v>
      </c>
      <c r="B313" s="20" t="s">
        <v>87</v>
      </c>
      <c r="C313" s="20" t="s">
        <v>97</v>
      </c>
      <c r="D313" s="21" t="str">
        <f>IF($C313="","",IFERROR(VLOOKUP($C313,Map_Register!$A$2:$C$5,3,FALSE()),""))</f>
        <v>Military Zone</v>
      </c>
      <c r="E313" s="20" t="s">
        <v>111</v>
      </c>
      <c r="F313" s="22">
        <v>17068</v>
      </c>
      <c r="G313" s="19" t="s">
        <v>112</v>
      </c>
      <c r="H313" s="19" t="s">
        <v>478</v>
      </c>
      <c r="I313" s="19" t="s">
        <v>8</v>
      </c>
      <c r="J313" s="19" t="s">
        <v>114</v>
      </c>
      <c r="K313" s="19" t="s">
        <v>114</v>
      </c>
      <c r="L313" s="19" t="s">
        <v>135</v>
      </c>
      <c r="M313" s="20" t="s">
        <v>116</v>
      </c>
      <c r="N313" s="20"/>
      <c r="O313" s="20"/>
      <c r="P313" s="20" t="s">
        <v>117</v>
      </c>
    </row>
    <row r="314" spans="1:16" x14ac:dyDescent="0.3">
      <c r="A314" s="19">
        <f t="shared" si="4"/>
        <v>313</v>
      </c>
      <c r="B314" s="20" t="s">
        <v>87</v>
      </c>
      <c r="C314" s="20" t="s">
        <v>97</v>
      </c>
      <c r="D314" s="21" t="str">
        <f>IF($C314="","",IFERROR(VLOOKUP($C314,Map_Register!$A$2:$C$5,3,FALSE()),""))</f>
        <v>Military Zone</v>
      </c>
      <c r="E314" s="20" t="s">
        <v>111</v>
      </c>
      <c r="F314" s="22">
        <v>17070</v>
      </c>
      <c r="G314" s="19" t="s">
        <v>112</v>
      </c>
      <c r="H314" s="19" t="s">
        <v>479</v>
      </c>
      <c r="I314" s="19" t="s">
        <v>8</v>
      </c>
      <c r="J314" s="19" t="s">
        <v>114</v>
      </c>
      <c r="K314" s="19" t="s">
        <v>114</v>
      </c>
      <c r="L314" s="19" t="s">
        <v>135</v>
      </c>
      <c r="M314" s="20" t="s">
        <v>116</v>
      </c>
      <c r="N314" s="20"/>
      <c r="O314" s="20"/>
      <c r="P314" s="20" t="s">
        <v>117</v>
      </c>
    </row>
    <row r="315" spans="1:16" x14ac:dyDescent="0.3">
      <c r="A315" s="19">
        <f t="shared" si="4"/>
        <v>314</v>
      </c>
      <c r="B315" s="20" t="s">
        <v>87</v>
      </c>
      <c r="C315" s="20" t="s">
        <v>97</v>
      </c>
      <c r="D315" s="21" t="str">
        <f>IF($C315="","",IFERROR(VLOOKUP($C315,Map_Register!$A$2:$C$5,3,FALSE()),""))</f>
        <v>Military Zone</v>
      </c>
      <c r="E315" s="20" t="s">
        <v>111</v>
      </c>
      <c r="F315" s="22">
        <v>17071</v>
      </c>
      <c r="G315" s="19" t="s">
        <v>112</v>
      </c>
      <c r="H315" s="19" t="s">
        <v>480</v>
      </c>
      <c r="I315" s="19" t="s">
        <v>8</v>
      </c>
      <c r="J315" s="19" t="s">
        <v>114</v>
      </c>
      <c r="K315" s="19" t="s">
        <v>114</v>
      </c>
      <c r="L315" s="19" t="s">
        <v>481</v>
      </c>
      <c r="M315" s="20" t="s">
        <v>116</v>
      </c>
      <c r="N315" s="20"/>
      <c r="O315" s="20"/>
      <c r="P315" s="20" t="s">
        <v>117</v>
      </c>
    </row>
    <row r="316" spans="1:16" x14ac:dyDescent="0.3">
      <c r="A316" s="19">
        <f t="shared" si="4"/>
        <v>315</v>
      </c>
      <c r="B316" s="20" t="s">
        <v>87</v>
      </c>
      <c r="C316" s="20" t="s">
        <v>97</v>
      </c>
      <c r="D316" s="21" t="str">
        <f>IF($C316="","",IFERROR(VLOOKUP($C316,Map_Register!$A$2:$C$5,3,FALSE()),""))</f>
        <v>Military Zone</v>
      </c>
      <c r="E316" s="20" t="s">
        <v>111</v>
      </c>
      <c r="F316" s="22">
        <v>17072</v>
      </c>
      <c r="G316" s="19" t="s">
        <v>112</v>
      </c>
      <c r="H316" s="19" t="s">
        <v>482</v>
      </c>
      <c r="I316" s="19" t="s">
        <v>8</v>
      </c>
      <c r="J316" s="19" t="s">
        <v>114</v>
      </c>
      <c r="K316" t="s">
        <v>114</v>
      </c>
      <c r="L316" s="19" t="s">
        <v>154</v>
      </c>
      <c r="M316" s="20" t="s">
        <v>116</v>
      </c>
      <c r="N316" s="20"/>
      <c r="O316" s="20"/>
      <c r="P316" s="20" t="s">
        <v>117</v>
      </c>
    </row>
    <row r="317" spans="1:16" x14ac:dyDescent="0.3">
      <c r="A317" s="19">
        <f t="shared" si="4"/>
        <v>316</v>
      </c>
      <c r="B317" s="20" t="s">
        <v>87</v>
      </c>
      <c r="C317" s="20" t="s">
        <v>97</v>
      </c>
      <c r="D317" s="21" t="str">
        <f>IF($C317="","",IFERROR(VLOOKUP($C317,Map_Register!$A$2:$C$5,3,FALSE()),""))</f>
        <v>Military Zone</v>
      </c>
      <c r="E317" s="20" t="s">
        <v>111</v>
      </c>
      <c r="F317" s="22">
        <v>17073</v>
      </c>
      <c r="G317" s="19" t="s">
        <v>112</v>
      </c>
      <c r="H317" s="19" t="s">
        <v>483</v>
      </c>
      <c r="I317" s="19" t="s">
        <v>6</v>
      </c>
      <c r="J317" s="19"/>
      <c r="K317" s="19"/>
      <c r="L317" s="19" t="s">
        <v>225</v>
      </c>
      <c r="M317" s="20"/>
      <c r="N317" s="20"/>
      <c r="O317" s="20"/>
      <c r="P317" s="20" t="s">
        <v>117</v>
      </c>
    </row>
    <row r="318" spans="1:16" x14ac:dyDescent="0.3">
      <c r="A318" s="19">
        <f t="shared" si="4"/>
        <v>317</v>
      </c>
      <c r="B318" s="20" t="s">
        <v>87</v>
      </c>
      <c r="C318" s="20" t="s">
        <v>97</v>
      </c>
      <c r="D318" s="21" t="str">
        <f>IF($C318="","",IFERROR(VLOOKUP($C318,Map_Register!$A$2:$C$5,3,FALSE()),""))</f>
        <v>Military Zone</v>
      </c>
      <c r="E318" s="20" t="s">
        <v>111</v>
      </c>
      <c r="F318" s="22">
        <v>17075</v>
      </c>
      <c r="G318" s="19" t="s">
        <v>112</v>
      </c>
      <c r="H318" s="19" t="s">
        <v>484</v>
      </c>
      <c r="I318" s="19" t="s">
        <v>8</v>
      </c>
      <c r="J318" s="19" t="s">
        <v>114</v>
      </c>
      <c r="K318" s="19" t="s">
        <v>114</v>
      </c>
      <c r="L318" s="19" t="s">
        <v>180</v>
      </c>
      <c r="M318" s="20" t="s">
        <v>116</v>
      </c>
      <c r="N318" s="20"/>
      <c r="O318" s="20"/>
      <c r="P318" s="20" t="s">
        <v>117</v>
      </c>
    </row>
    <row r="319" spans="1:16" x14ac:dyDescent="0.3">
      <c r="A319" s="19">
        <f t="shared" si="4"/>
        <v>318</v>
      </c>
      <c r="B319" s="20" t="s">
        <v>87</v>
      </c>
      <c r="C319" s="20" t="s">
        <v>97</v>
      </c>
      <c r="D319" s="21" t="str">
        <f>IF($C319="","",IFERROR(VLOOKUP($C319,Map_Register!$A$2:$C$5,3,FALSE()),""))</f>
        <v>Military Zone</v>
      </c>
      <c r="E319" s="20" t="s">
        <v>111</v>
      </c>
      <c r="F319" s="22">
        <v>17078</v>
      </c>
      <c r="G319" s="19" t="s">
        <v>112</v>
      </c>
      <c r="H319" s="19" t="s">
        <v>485</v>
      </c>
      <c r="I319" s="19" t="s">
        <v>8</v>
      </c>
      <c r="J319" s="19" t="s">
        <v>114</v>
      </c>
      <c r="K319" t="s">
        <v>114</v>
      </c>
      <c r="L319" s="19" t="s">
        <v>154</v>
      </c>
      <c r="M319" s="20" t="s">
        <v>116</v>
      </c>
      <c r="N319" s="20"/>
      <c r="O319" s="20"/>
      <c r="P319" s="20" t="s">
        <v>117</v>
      </c>
    </row>
    <row r="320" spans="1:16" x14ac:dyDescent="0.3">
      <c r="A320" s="19">
        <f t="shared" si="4"/>
        <v>319</v>
      </c>
      <c r="B320" s="20" t="s">
        <v>87</v>
      </c>
      <c r="C320" s="20" t="s">
        <v>97</v>
      </c>
      <c r="D320" s="21" t="str">
        <f>IF($C320="","",IFERROR(VLOOKUP($C320,Map_Register!$A$2:$C$5,3,FALSE()),""))</f>
        <v>Military Zone</v>
      </c>
      <c r="E320" s="20" t="s">
        <v>111</v>
      </c>
      <c r="F320" s="22">
        <v>17079</v>
      </c>
      <c r="G320" s="19" t="s">
        <v>112</v>
      </c>
      <c r="H320" s="19" t="s">
        <v>486</v>
      </c>
      <c r="I320" s="19" t="s">
        <v>8</v>
      </c>
      <c r="J320" s="19" t="s">
        <v>114</v>
      </c>
      <c r="K320" s="19" t="s">
        <v>114</v>
      </c>
      <c r="L320" s="19" t="s">
        <v>165</v>
      </c>
      <c r="M320" s="20" t="s">
        <v>116</v>
      </c>
      <c r="N320" s="20"/>
      <c r="O320" s="20"/>
      <c r="P320" s="20" t="s">
        <v>117</v>
      </c>
    </row>
    <row r="321" spans="1:16" x14ac:dyDescent="0.3">
      <c r="A321" s="19">
        <f t="shared" si="4"/>
        <v>320</v>
      </c>
      <c r="B321" s="20" t="s">
        <v>87</v>
      </c>
      <c r="C321" s="20" t="s">
        <v>97</v>
      </c>
      <c r="D321" s="21" t="str">
        <f>IF($C321="","",IFERROR(VLOOKUP($C321,Map_Register!$A$2:$C$5,3,FALSE()),""))</f>
        <v>Military Zone</v>
      </c>
      <c r="E321" s="20" t="s">
        <v>111</v>
      </c>
      <c r="F321" s="22">
        <v>17080</v>
      </c>
      <c r="G321" s="19" t="s">
        <v>112</v>
      </c>
      <c r="H321" s="19" t="s">
        <v>487</v>
      </c>
      <c r="I321" s="19" t="s">
        <v>8</v>
      </c>
      <c r="J321" s="19" t="s">
        <v>114</v>
      </c>
      <c r="K321" t="s">
        <v>114</v>
      </c>
      <c r="L321" s="19" t="s">
        <v>165</v>
      </c>
      <c r="M321" s="20" t="s">
        <v>116</v>
      </c>
      <c r="N321" s="20"/>
      <c r="O321" s="20"/>
      <c r="P321" s="20" t="s">
        <v>117</v>
      </c>
    </row>
    <row r="322" spans="1:16" x14ac:dyDescent="0.3">
      <c r="A322" s="19">
        <f t="shared" ref="A322:A385" si="5">IF($B322="","",ROW()-1)</f>
        <v>321</v>
      </c>
      <c r="B322" s="20" t="s">
        <v>87</v>
      </c>
      <c r="C322" s="20" t="s">
        <v>97</v>
      </c>
      <c r="D322" s="21" t="str">
        <f>IF($C322="","",IFERROR(VLOOKUP($C322,Map_Register!$A$2:$C$5,3,FALSE()),""))</f>
        <v>Military Zone</v>
      </c>
      <c r="E322" s="20" t="s">
        <v>111</v>
      </c>
      <c r="F322" s="22">
        <v>17081</v>
      </c>
      <c r="G322" s="19" t="s">
        <v>112</v>
      </c>
      <c r="H322" s="19" t="s">
        <v>488</v>
      </c>
      <c r="I322" s="19" t="s">
        <v>8</v>
      </c>
      <c r="J322" s="19" t="s">
        <v>114</v>
      </c>
      <c r="K322" s="19" t="s">
        <v>114</v>
      </c>
      <c r="L322" s="19" t="s">
        <v>151</v>
      </c>
      <c r="M322" s="20" t="s">
        <v>116</v>
      </c>
      <c r="N322" s="20"/>
      <c r="O322" s="20"/>
      <c r="P322" s="20" t="s">
        <v>117</v>
      </c>
    </row>
    <row r="323" spans="1:16" x14ac:dyDescent="0.3">
      <c r="A323" s="19">
        <f t="shared" si="5"/>
        <v>322</v>
      </c>
      <c r="B323" s="20" t="s">
        <v>87</v>
      </c>
      <c r="C323" s="20" t="s">
        <v>97</v>
      </c>
      <c r="D323" s="21" t="str">
        <f>IF($C323="","",IFERROR(VLOOKUP($C323,Map_Register!$A$2:$C$5,3,FALSE()),""))</f>
        <v>Military Zone</v>
      </c>
      <c r="E323" s="20" t="s">
        <v>111</v>
      </c>
      <c r="F323" s="22">
        <v>17082</v>
      </c>
      <c r="G323" s="19" t="s">
        <v>112</v>
      </c>
      <c r="H323" s="19" t="s">
        <v>489</v>
      </c>
      <c r="I323" s="19" t="s">
        <v>8</v>
      </c>
      <c r="J323" s="19" t="s">
        <v>114</v>
      </c>
      <c r="K323" t="s">
        <v>114</v>
      </c>
      <c r="L323" s="19" t="s">
        <v>154</v>
      </c>
      <c r="M323" s="20" t="s">
        <v>116</v>
      </c>
      <c r="N323" s="20"/>
      <c r="O323" s="20"/>
      <c r="P323" s="20" t="s">
        <v>117</v>
      </c>
    </row>
    <row r="324" spans="1:16" x14ac:dyDescent="0.3">
      <c r="A324" s="19">
        <f t="shared" si="5"/>
        <v>323</v>
      </c>
      <c r="B324" s="20" t="s">
        <v>87</v>
      </c>
      <c r="C324" s="20" t="s">
        <v>97</v>
      </c>
      <c r="D324" s="21" t="str">
        <f>IF($C324="","",IFERROR(VLOOKUP($C324,Map_Register!$A$2:$C$5,3,FALSE()),""))</f>
        <v>Military Zone</v>
      </c>
      <c r="E324" s="20" t="s">
        <v>111</v>
      </c>
      <c r="F324" s="22">
        <v>17083</v>
      </c>
      <c r="G324" s="19" t="s">
        <v>112</v>
      </c>
      <c r="H324" s="19" t="s">
        <v>490</v>
      </c>
      <c r="I324" s="19" t="s">
        <v>8</v>
      </c>
      <c r="J324" s="19" t="s">
        <v>114</v>
      </c>
      <c r="K324" s="19" t="s">
        <v>114</v>
      </c>
      <c r="L324" s="19" t="s">
        <v>165</v>
      </c>
      <c r="M324" s="20" t="s">
        <v>116</v>
      </c>
      <c r="N324" s="20"/>
      <c r="O324" s="20"/>
      <c r="P324" s="20" t="s">
        <v>117</v>
      </c>
    </row>
    <row r="325" spans="1:16" x14ac:dyDescent="0.3">
      <c r="A325" s="19">
        <f t="shared" si="5"/>
        <v>324</v>
      </c>
      <c r="B325" s="20" t="s">
        <v>87</v>
      </c>
      <c r="C325" s="20" t="s">
        <v>97</v>
      </c>
      <c r="D325" s="21" t="str">
        <f>IF($C325="","",IFERROR(VLOOKUP($C325,Map_Register!$A$2:$C$5,3,FALSE()),""))</f>
        <v>Military Zone</v>
      </c>
      <c r="E325" s="20" t="s">
        <v>111</v>
      </c>
      <c r="F325" s="22">
        <v>17089</v>
      </c>
      <c r="G325" s="19" t="s">
        <v>112</v>
      </c>
      <c r="H325" s="19" t="s">
        <v>491</v>
      </c>
      <c r="I325" s="19" t="s">
        <v>6</v>
      </c>
      <c r="J325" s="19"/>
      <c r="K325" s="19"/>
      <c r="L325" s="19" t="s">
        <v>398</v>
      </c>
      <c r="M325" s="20"/>
      <c r="N325" s="20"/>
      <c r="O325" s="20"/>
      <c r="P325" s="20" t="s">
        <v>117</v>
      </c>
    </row>
    <row r="326" spans="1:16" x14ac:dyDescent="0.3">
      <c r="A326" s="19">
        <f t="shared" si="5"/>
        <v>325</v>
      </c>
      <c r="B326" s="20" t="s">
        <v>87</v>
      </c>
      <c r="C326" s="20" t="s">
        <v>97</v>
      </c>
      <c r="D326" s="21" t="str">
        <f>IF($C326="","",IFERROR(VLOOKUP($C326,Map_Register!$A$2:$C$5,3,FALSE()),""))</f>
        <v>Military Zone</v>
      </c>
      <c r="E326" s="20" t="s">
        <v>111</v>
      </c>
      <c r="F326" s="22">
        <v>17379</v>
      </c>
      <c r="G326" s="19" t="s">
        <v>112</v>
      </c>
      <c r="H326" s="19" t="s">
        <v>492</v>
      </c>
      <c r="I326" s="19" t="s">
        <v>8</v>
      </c>
      <c r="J326" s="19" t="s">
        <v>114</v>
      </c>
      <c r="K326" s="19" t="s">
        <v>114</v>
      </c>
      <c r="L326" s="19" t="s">
        <v>165</v>
      </c>
      <c r="M326" s="20" t="s">
        <v>116</v>
      </c>
      <c r="N326" s="20"/>
      <c r="O326" s="20"/>
      <c r="P326" s="20" t="s">
        <v>117</v>
      </c>
    </row>
    <row r="327" spans="1:16" x14ac:dyDescent="0.3">
      <c r="A327" s="19">
        <f t="shared" si="5"/>
        <v>326</v>
      </c>
      <c r="B327" s="20" t="s">
        <v>87</v>
      </c>
      <c r="C327" s="20" t="s">
        <v>97</v>
      </c>
      <c r="D327" s="21" t="str">
        <f>IF($C327="","",IFERROR(VLOOKUP($C327,Map_Register!$A$2:$C$5,3,FALSE()),""))</f>
        <v>Military Zone</v>
      </c>
      <c r="E327" s="20" t="s">
        <v>111</v>
      </c>
      <c r="F327" s="22">
        <v>17840</v>
      </c>
      <c r="G327" s="19" t="s">
        <v>112</v>
      </c>
      <c r="H327" s="19" t="s">
        <v>493</v>
      </c>
      <c r="I327" s="19" t="s">
        <v>8</v>
      </c>
      <c r="J327" s="19" t="s">
        <v>114</v>
      </c>
      <c r="K327" t="s">
        <v>114</v>
      </c>
      <c r="L327" s="19" t="s">
        <v>172</v>
      </c>
      <c r="M327" s="20" t="s">
        <v>116</v>
      </c>
      <c r="N327" s="20"/>
      <c r="O327" s="20"/>
      <c r="P327" s="20" t="s">
        <v>117</v>
      </c>
    </row>
    <row r="328" spans="1:16" x14ac:dyDescent="0.3">
      <c r="A328" s="19">
        <f t="shared" si="5"/>
        <v>327</v>
      </c>
      <c r="B328" s="20" t="s">
        <v>87</v>
      </c>
      <c r="C328" s="20" t="s">
        <v>97</v>
      </c>
      <c r="D328" s="21" t="str">
        <f>IF($C328="","",IFERROR(VLOOKUP($C328,Map_Register!$A$2:$C$5,3,FALSE()),""))</f>
        <v>Military Zone</v>
      </c>
      <c r="E328" s="20" t="s">
        <v>111</v>
      </c>
      <c r="F328" s="22">
        <v>17841</v>
      </c>
      <c r="G328" s="19" t="s">
        <v>112</v>
      </c>
      <c r="H328" s="19" t="s">
        <v>494</v>
      </c>
      <c r="I328" s="19" t="s">
        <v>8</v>
      </c>
      <c r="J328" s="19" t="s">
        <v>114</v>
      </c>
      <c r="K328" s="19" t="s">
        <v>114</v>
      </c>
      <c r="L328" s="19" t="s">
        <v>151</v>
      </c>
      <c r="M328" s="20" t="s">
        <v>116</v>
      </c>
      <c r="N328" s="20"/>
      <c r="O328" s="20"/>
      <c r="P328" s="20" t="s">
        <v>117</v>
      </c>
    </row>
    <row r="329" spans="1:16" x14ac:dyDescent="0.3">
      <c r="A329" s="19">
        <f t="shared" si="5"/>
        <v>328</v>
      </c>
      <c r="B329" s="20" t="s">
        <v>87</v>
      </c>
      <c r="C329" s="20" t="s">
        <v>97</v>
      </c>
      <c r="D329" s="21" t="str">
        <f>IF($C329="","",IFERROR(VLOOKUP($C329,Map_Register!$A$2:$C$5,3,FALSE()),""))</f>
        <v>Military Zone</v>
      </c>
      <c r="E329" s="20" t="s">
        <v>111</v>
      </c>
      <c r="F329" s="22">
        <v>17854</v>
      </c>
      <c r="G329" s="19" t="s">
        <v>112</v>
      </c>
      <c r="H329" s="19" t="s">
        <v>495</v>
      </c>
      <c r="I329" s="19" t="s">
        <v>8</v>
      </c>
      <c r="J329" s="19" t="s">
        <v>114</v>
      </c>
      <c r="K329" s="19" t="s">
        <v>114</v>
      </c>
      <c r="L329" s="19" t="s">
        <v>151</v>
      </c>
      <c r="M329" s="20" t="s">
        <v>116</v>
      </c>
      <c r="N329" s="20"/>
      <c r="O329" s="20"/>
      <c r="P329" s="20" t="s">
        <v>117</v>
      </c>
    </row>
    <row r="330" spans="1:16" x14ac:dyDescent="0.3">
      <c r="A330" s="19">
        <f t="shared" si="5"/>
        <v>329</v>
      </c>
      <c r="B330" s="20" t="s">
        <v>87</v>
      </c>
      <c r="C330" s="20" t="s">
        <v>97</v>
      </c>
      <c r="D330" s="21" t="str">
        <f>IF($C330="","",IFERROR(VLOOKUP($C330,Map_Register!$A$2:$C$5,3,FALSE()),""))</f>
        <v>Military Zone</v>
      </c>
      <c r="E330" s="20" t="s">
        <v>111</v>
      </c>
      <c r="F330" s="22">
        <v>18866</v>
      </c>
      <c r="G330" s="19" t="s">
        <v>112</v>
      </c>
      <c r="H330" s="19" t="s">
        <v>496</v>
      </c>
      <c r="I330" s="19" t="s">
        <v>8</v>
      </c>
      <c r="J330" s="19" t="s">
        <v>114</v>
      </c>
      <c r="K330" s="19" t="s">
        <v>114</v>
      </c>
      <c r="L330" s="19" t="s">
        <v>497</v>
      </c>
      <c r="M330" s="20" t="s">
        <v>116</v>
      </c>
      <c r="N330" s="20"/>
      <c r="O330" s="20"/>
      <c r="P330" s="20" t="s">
        <v>117</v>
      </c>
    </row>
    <row r="331" spans="1:16" x14ac:dyDescent="0.3">
      <c r="A331" s="19">
        <f t="shared" si="5"/>
        <v>330</v>
      </c>
      <c r="B331" s="20" t="s">
        <v>87</v>
      </c>
      <c r="C331" s="20" t="s">
        <v>97</v>
      </c>
      <c r="D331" s="21" t="str">
        <f>IF($C331="","",IFERROR(VLOOKUP($C331,Map_Register!$A$2:$C$5,3,FALSE()),""))</f>
        <v>Military Zone</v>
      </c>
      <c r="E331" s="20" t="s">
        <v>111</v>
      </c>
      <c r="F331" s="22">
        <v>18867</v>
      </c>
      <c r="G331" s="19" t="s">
        <v>112</v>
      </c>
      <c r="H331" s="19" t="s">
        <v>498</v>
      </c>
      <c r="I331" s="19" t="s">
        <v>8</v>
      </c>
      <c r="J331" s="19" t="s">
        <v>114</v>
      </c>
      <c r="K331" s="19" t="s">
        <v>114</v>
      </c>
      <c r="L331" s="19" t="s">
        <v>499</v>
      </c>
      <c r="M331" s="20" t="s">
        <v>116</v>
      </c>
      <c r="N331" s="20"/>
      <c r="O331" s="20"/>
      <c r="P331" s="20" t="s">
        <v>117</v>
      </c>
    </row>
    <row r="332" spans="1:16" x14ac:dyDescent="0.3">
      <c r="A332" s="19">
        <f t="shared" si="5"/>
        <v>331</v>
      </c>
      <c r="B332" s="20" t="s">
        <v>87</v>
      </c>
      <c r="C332" s="20" t="s">
        <v>97</v>
      </c>
      <c r="D332" s="21" t="str">
        <f>IF($C332="","",IFERROR(VLOOKUP($C332,Map_Register!$A$2:$C$5,3,FALSE()),""))</f>
        <v>Military Zone</v>
      </c>
      <c r="E332" s="20" t="s">
        <v>111</v>
      </c>
      <c r="F332" s="22">
        <v>18868</v>
      </c>
      <c r="G332" s="19" t="s">
        <v>112</v>
      </c>
      <c r="H332" s="19" t="s">
        <v>500</v>
      </c>
      <c r="I332" s="19" t="s">
        <v>8</v>
      </c>
      <c r="J332" s="19" t="s">
        <v>114</v>
      </c>
      <c r="K332" s="19" t="s">
        <v>114</v>
      </c>
      <c r="L332" s="19" t="s">
        <v>151</v>
      </c>
      <c r="M332" s="20" t="s">
        <v>116</v>
      </c>
      <c r="N332" s="20"/>
      <c r="O332" s="20"/>
      <c r="P332" s="20" t="s">
        <v>117</v>
      </c>
    </row>
    <row r="333" spans="1:16" x14ac:dyDescent="0.3">
      <c r="A333" s="19">
        <f t="shared" si="5"/>
        <v>332</v>
      </c>
      <c r="B333" s="20" t="s">
        <v>87</v>
      </c>
      <c r="C333" s="20" t="s">
        <v>97</v>
      </c>
      <c r="D333" s="21" t="str">
        <f>IF($C333="","",IFERROR(VLOOKUP($C333,Map_Register!$A$2:$C$5,3,FALSE()),""))</f>
        <v>Military Zone</v>
      </c>
      <c r="E333" s="20" t="s">
        <v>111</v>
      </c>
      <c r="F333" s="22">
        <v>18870</v>
      </c>
      <c r="G333" s="19" t="s">
        <v>112</v>
      </c>
      <c r="H333" s="19" t="s">
        <v>501</v>
      </c>
      <c r="I333" s="19" t="s">
        <v>8</v>
      </c>
      <c r="J333" s="19" t="s">
        <v>114</v>
      </c>
      <c r="K333" s="19" t="s">
        <v>114</v>
      </c>
      <c r="L333" s="19" t="s">
        <v>151</v>
      </c>
      <c r="M333" s="20" t="s">
        <v>116</v>
      </c>
      <c r="N333" s="20"/>
      <c r="O333" s="20"/>
      <c r="P333" s="20" t="s">
        <v>117</v>
      </c>
    </row>
    <row r="334" spans="1:16" x14ac:dyDescent="0.3">
      <c r="A334" s="19">
        <f t="shared" si="5"/>
        <v>333</v>
      </c>
      <c r="B334" s="20" t="s">
        <v>87</v>
      </c>
      <c r="C334" s="20" t="s">
        <v>97</v>
      </c>
      <c r="D334" s="21" t="str">
        <f>IF($C334="","",IFERROR(VLOOKUP($C334,Map_Register!$A$2:$C$5,3,FALSE()),""))</f>
        <v>Military Zone</v>
      </c>
      <c r="E334" s="20" t="s">
        <v>111</v>
      </c>
      <c r="F334" s="22">
        <v>18871</v>
      </c>
      <c r="G334" s="19" t="s">
        <v>112</v>
      </c>
      <c r="H334" s="19" t="s">
        <v>502</v>
      </c>
      <c r="I334" s="19" t="s">
        <v>8</v>
      </c>
      <c r="J334" s="19" t="s">
        <v>114</v>
      </c>
      <c r="K334" t="s">
        <v>114</v>
      </c>
      <c r="L334" s="19" t="s">
        <v>165</v>
      </c>
      <c r="M334" s="20" t="s">
        <v>116</v>
      </c>
      <c r="N334" s="20"/>
      <c r="O334" s="20"/>
      <c r="P334" s="20" t="s">
        <v>117</v>
      </c>
    </row>
    <row r="335" spans="1:16" x14ac:dyDescent="0.3">
      <c r="A335" s="19">
        <f t="shared" si="5"/>
        <v>334</v>
      </c>
      <c r="B335" s="20" t="s">
        <v>87</v>
      </c>
      <c r="C335" s="20" t="s">
        <v>97</v>
      </c>
      <c r="D335" s="21" t="str">
        <f>IF($C335="","",IFERROR(VLOOKUP($C335,Map_Register!$A$2:$C$5,3,FALSE()),""))</f>
        <v>Military Zone</v>
      </c>
      <c r="E335" s="20" t="s">
        <v>111</v>
      </c>
      <c r="F335" s="22">
        <v>18872</v>
      </c>
      <c r="G335" s="19" t="s">
        <v>112</v>
      </c>
      <c r="H335" s="19" t="s">
        <v>503</v>
      </c>
      <c r="I335" s="19" t="s">
        <v>8</v>
      </c>
      <c r="J335" s="19" t="s">
        <v>114</v>
      </c>
      <c r="K335" t="s">
        <v>114</v>
      </c>
      <c r="L335" s="19" t="s">
        <v>154</v>
      </c>
      <c r="M335" s="20" t="s">
        <v>116</v>
      </c>
      <c r="N335" s="20"/>
      <c r="O335" s="20"/>
      <c r="P335" s="20" t="s">
        <v>117</v>
      </c>
    </row>
    <row r="336" spans="1:16" x14ac:dyDescent="0.3">
      <c r="A336" s="19">
        <f t="shared" si="5"/>
        <v>335</v>
      </c>
      <c r="B336" s="20" t="s">
        <v>87</v>
      </c>
      <c r="C336" s="20" t="s">
        <v>97</v>
      </c>
      <c r="D336" s="21" t="str">
        <f>IF($C336="","",IFERROR(VLOOKUP($C336,Map_Register!$A$2:$C$5,3,FALSE()),""))</f>
        <v>Military Zone</v>
      </c>
      <c r="E336" s="20" t="s">
        <v>111</v>
      </c>
      <c r="F336" s="22">
        <v>18873</v>
      </c>
      <c r="G336" s="19" t="s">
        <v>112</v>
      </c>
      <c r="H336" s="19" t="s">
        <v>504</v>
      </c>
      <c r="I336" s="19" t="s">
        <v>8</v>
      </c>
      <c r="J336" s="19" t="s">
        <v>114</v>
      </c>
      <c r="K336" s="19" t="s">
        <v>114</v>
      </c>
      <c r="L336" s="19" t="s">
        <v>151</v>
      </c>
      <c r="M336" s="20" t="s">
        <v>116</v>
      </c>
      <c r="N336" s="20"/>
      <c r="O336" s="20"/>
      <c r="P336" s="20" t="s">
        <v>117</v>
      </c>
    </row>
    <row r="337" spans="1:16" x14ac:dyDescent="0.3">
      <c r="A337" s="19">
        <f t="shared" si="5"/>
        <v>336</v>
      </c>
      <c r="B337" s="20" t="s">
        <v>87</v>
      </c>
      <c r="C337" s="20" t="s">
        <v>97</v>
      </c>
      <c r="D337" s="21" t="str">
        <f>IF($C337="","",IFERROR(VLOOKUP($C337,Map_Register!$A$2:$C$5,3,FALSE()),""))</f>
        <v>Military Zone</v>
      </c>
      <c r="E337" s="20" t="s">
        <v>111</v>
      </c>
      <c r="F337" s="22">
        <v>18874</v>
      </c>
      <c r="G337" s="19" t="s">
        <v>112</v>
      </c>
      <c r="H337" s="19" t="s">
        <v>505</v>
      </c>
      <c r="I337" s="19" t="s">
        <v>8</v>
      </c>
      <c r="J337" s="19" t="s">
        <v>114</v>
      </c>
      <c r="K337" s="19" t="s">
        <v>114</v>
      </c>
      <c r="L337" s="19" t="s">
        <v>151</v>
      </c>
      <c r="M337" s="20" t="s">
        <v>116</v>
      </c>
      <c r="N337" s="20"/>
      <c r="O337" s="20"/>
      <c r="P337" s="20" t="s">
        <v>117</v>
      </c>
    </row>
    <row r="338" spans="1:16" x14ac:dyDescent="0.3">
      <c r="A338" s="19">
        <f t="shared" si="5"/>
        <v>337</v>
      </c>
      <c r="B338" s="20" t="s">
        <v>87</v>
      </c>
      <c r="C338" s="20" t="s">
        <v>97</v>
      </c>
      <c r="D338" s="21" t="str">
        <f>IF($C338="","",IFERROR(VLOOKUP($C338,Map_Register!$A$2:$C$5,3,FALSE()),""))</f>
        <v>Military Zone</v>
      </c>
      <c r="E338" s="20" t="s">
        <v>111</v>
      </c>
      <c r="F338" s="22">
        <v>18875</v>
      </c>
      <c r="G338" s="19" t="s">
        <v>112</v>
      </c>
      <c r="H338" s="19" t="s">
        <v>506</v>
      </c>
      <c r="I338" s="19" t="s">
        <v>8</v>
      </c>
      <c r="J338" s="19" t="s">
        <v>114</v>
      </c>
      <c r="K338" t="s">
        <v>114</v>
      </c>
      <c r="L338" s="19" t="s">
        <v>165</v>
      </c>
      <c r="M338" s="20" t="s">
        <v>116</v>
      </c>
      <c r="N338" s="20"/>
      <c r="O338" s="20"/>
      <c r="P338" s="20" t="s">
        <v>117</v>
      </c>
    </row>
    <row r="339" spans="1:16" x14ac:dyDescent="0.3">
      <c r="A339" s="19">
        <f t="shared" si="5"/>
        <v>338</v>
      </c>
      <c r="B339" s="20" t="s">
        <v>87</v>
      </c>
      <c r="C339" s="20" t="s">
        <v>97</v>
      </c>
      <c r="D339" s="21" t="str">
        <f>IF($C339="","",IFERROR(VLOOKUP($C339,Map_Register!$A$2:$C$5,3,FALSE()),""))</f>
        <v>Military Zone</v>
      </c>
      <c r="E339" s="20" t="s">
        <v>111</v>
      </c>
      <c r="F339" s="22">
        <v>18876</v>
      </c>
      <c r="G339" s="19" t="s">
        <v>112</v>
      </c>
      <c r="H339" s="19" t="s">
        <v>507</v>
      </c>
      <c r="I339" s="19" t="s">
        <v>8</v>
      </c>
      <c r="J339" s="19" t="s">
        <v>114</v>
      </c>
      <c r="K339" s="19" t="s">
        <v>114</v>
      </c>
      <c r="L339" s="19" t="s">
        <v>151</v>
      </c>
      <c r="M339" s="20" t="s">
        <v>116</v>
      </c>
      <c r="N339" s="20"/>
      <c r="O339" s="20"/>
      <c r="P339" s="20" t="s">
        <v>117</v>
      </c>
    </row>
    <row r="340" spans="1:16" x14ac:dyDescent="0.3">
      <c r="A340" s="19">
        <f t="shared" si="5"/>
        <v>339</v>
      </c>
      <c r="B340" s="20" t="s">
        <v>87</v>
      </c>
      <c r="C340" s="20" t="s">
        <v>97</v>
      </c>
      <c r="D340" s="21" t="str">
        <f>IF($C340="","",IFERROR(VLOOKUP($C340,Map_Register!$A$2:$C$5,3,FALSE()),""))</f>
        <v>Military Zone</v>
      </c>
      <c r="E340" s="20" t="s">
        <v>111</v>
      </c>
      <c r="F340" s="22">
        <v>19222</v>
      </c>
      <c r="G340" s="19" t="s">
        <v>112</v>
      </c>
      <c r="H340" s="19" t="s">
        <v>508</v>
      </c>
      <c r="I340" s="19" t="s">
        <v>8</v>
      </c>
      <c r="J340" s="19" t="s">
        <v>114</v>
      </c>
      <c r="K340" s="19" t="s">
        <v>114</v>
      </c>
      <c r="L340" s="19" t="s">
        <v>151</v>
      </c>
      <c r="M340" s="20" t="s">
        <v>116</v>
      </c>
      <c r="N340" s="20"/>
      <c r="O340" s="20"/>
      <c r="P340" s="20" t="s">
        <v>117</v>
      </c>
    </row>
    <row r="341" spans="1:16" x14ac:dyDescent="0.3">
      <c r="A341" s="19">
        <f t="shared" si="5"/>
        <v>340</v>
      </c>
      <c r="B341" s="20" t="s">
        <v>87</v>
      </c>
      <c r="C341" s="20" t="s">
        <v>97</v>
      </c>
      <c r="D341" s="21" t="str">
        <f>IF($C341="","",IFERROR(VLOOKUP($C341,Map_Register!$A$2:$C$5,3,FALSE()),""))</f>
        <v>Military Zone</v>
      </c>
      <c r="E341" s="20" t="s">
        <v>111</v>
      </c>
      <c r="F341" s="22">
        <v>19241</v>
      </c>
      <c r="G341" s="19" t="s">
        <v>112</v>
      </c>
      <c r="H341" s="19" t="s">
        <v>509</v>
      </c>
      <c r="I341" s="19" t="s">
        <v>8</v>
      </c>
      <c r="J341" s="19" t="s">
        <v>114</v>
      </c>
      <c r="K341" s="19" t="s">
        <v>114</v>
      </c>
      <c r="L341" s="19" t="s">
        <v>510</v>
      </c>
      <c r="M341" s="20" t="s">
        <v>116</v>
      </c>
      <c r="N341" s="20"/>
      <c r="O341" s="20"/>
      <c r="P341" s="20" t="s">
        <v>117</v>
      </c>
    </row>
    <row r="342" spans="1:16" x14ac:dyDescent="0.3">
      <c r="A342" s="19">
        <f t="shared" si="5"/>
        <v>341</v>
      </c>
      <c r="B342" s="20" t="s">
        <v>87</v>
      </c>
      <c r="C342" s="20" t="s">
        <v>97</v>
      </c>
      <c r="D342" s="21" t="str">
        <f>IF($C342="","",IFERROR(VLOOKUP($C342,Map_Register!$A$2:$C$5,3,FALSE()),""))</f>
        <v>Military Zone</v>
      </c>
      <c r="E342" s="20" t="s">
        <v>111</v>
      </c>
      <c r="F342" s="22">
        <v>19480</v>
      </c>
      <c r="G342" s="19" t="s">
        <v>112</v>
      </c>
      <c r="H342" s="19" t="s">
        <v>287</v>
      </c>
      <c r="I342" s="19" t="s">
        <v>8</v>
      </c>
      <c r="J342" s="19" t="s">
        <v>114</v>
      </c>
      <c r="K342" t="s">
        <v>114</v>
      </c>
      <c r="L342" s="19" t="s">
        <v>511</v>
      </c>
      <c r="M342" s="20" t="s">
        <v>116</v>
      </c>
      <c r="N342" s="20"/>
      <c r="O342" s="20"/>
      <c r="P342" s="20" t="s">
        <v>117</v>
      </c>
    </row>
    <row r="343" spans="1:16" x14ac:dyDescent="0.3">
      <c r="A343" s="19">
        <f t="shared" si="5"/>
        <v>342</v>
      </c>
      <c r="B343" s="20" t="s">
        <v>87</v>
      </c>
      <c r="C343" s="20" t="s">
        <v>97</v>
      </c>
      <c r="D343" s="21" t="str">
        <f>IF($C343="","",IFERROR(VLOOKUP($C343,Map_Register!$A$2:$C$5,3,FALSE()),""))</f>
        <v>Military Zone</v>
      </c>
      <c r="E343" s="20" t="s">
        <v>111</v>
      </c>
      <c r="F343" s="22">
        <v>19482</v>
      </c>
      <c r="G343" s="19" t="s">
        <v>112</v>
      </c>
      <c r="H343" s="19" t="s">
        <v>512</v>
      </c>
      <c r="I343" s="19" t="s">
        <v>8</v>
      </c>
      <c r="J343" s="19" t="s">
        <v>114</v>
      </c>
      <c r="K343" s="19" t="s">
        <v>114</v>
      </c>
      <c r="L343" s="19" t="s">
        <v>151</v>
      </c>
      <c r="M343" s="20" t="s">
        <v>116</v>
      </c>
      <c r="N343" s="20"/>
      <c r="O343" s="20"/>
      <c r="P343" s="20" t="s">
        <v>117</v>
      </c>
    </row>
    <row r="344" spans="1:16" x14ac:dyDescent="0.3">
      <c r="A344" s="19">
        <f t="shared" si="5"/>
        <v>343</v>
      </c>
      <c r="B344" s="20" t="s">
        <v>87</v>
      </c>
      <c r="C344" s="20" t="s">
        <v>97</v>
      </c>
      <c r="D344" s="21" t="str">
        <f>IF($C344="","",IFERROR(VLOOKUP($C344,Map_Register!$A$2:$C$5,3,FALSE()),""))</f>
        <v>Military Zone</v>
      </c>
      <c r="E344" s="20" t="s">
        <v>111</v>
      </c>
      <c r="F344" s="22">
        <v>19485</v>
      </c>
      <c r="G344" s="19" t="s">
        <v>112</v>
      </c>
      <c r="H344" s="19" t="s">
        <v>513</v>
      </c>
      <c r="I344" s="19" t="s">
        <v>8</v>
      </c>
      <c r="J344" s="19" t="s">
        <v>114</v>
      </c>
      <c r="K344" s="19" t="s">
        <v>114</v>
      </c>
      <c r="L344" s="19" t="s">
        <v>151</v>
      </c>
      <c r="M344" s="20" t="s">
        <v>116</v>
      </c>
      <c r="N344" s="20"/>
      <c r="O344" s="20"/>
      <c r="P344" s="20" t="s">
        <v>117</v>
      </c>
    </row>
    <row r="345" spans="1:16" x14ac:dyDescent="0.3">
      <c r="A345" s="19">
        <f t="shared" si="5"/>
        <v>344</v>
      </c>
      <c r="B345" s="20" t="s">
        <v>87</v>
      </c>
      <c r="C345" s="20" t="s">
        <v>97</v>
      </c>
      <c r="D345" s="21" t="str">
        <f>IF($C345="","",IFERROR(VLOOKUP($C345,Map_Register!$A$2:$C$5,3,FALSE()),""))</f>
        <v>Military Zone</v>
      </c>
      <c r="E345" s="20" t="s">
        <v>111</v>
      </c>
      <c r="F345" s="22">
        <v>19604</v>
      </c>
      <c r="G345" s="19" t="s">
        <v>112</v>
      </c>
      <c r="H345" s="19" t="s">
        <v>514</v>
      </c>
      <c r="I345" s="19" t="s">
        <v>8</v>
      </c>
      <c r="J345" s="19" t="s">
        <v>114</v>
      </c>
      <c r="K345" s="19" t="s">
        <v>114</v>
      </c>
      <c r="L345" s="19" t="s">
        <v>151</v>
      </c>
      <c r="M345" s="20" t="s">
        <v>116</v>
      </c>
      <c r="N345" s="20"/>
      <c r="O345" s="20"/>
      <c r="P345" s="20" t="s">
        <v>117</v>
      </c>
    </row>
    <row r="346" spans="1:16" x14ac:dyDescent="0.3">
      <c r="A346" s="19">
        <f t="shared" si="5"/>
        <v>345</v>
      </c>
      <c r="B346" s="20" t="s">
        <v>87</v>
      </c>
      <c r="C346" s="20" t="s">
        <v>97</v>
      </c>
      <c r="D346" s="21" t="str">
        <f>IF($C346="","",IFERROR(VLOOKUP($C346,Map_Register!$A$2:$C$5,3,FALSE()),""))</f>
        <v>Military Zone</v>
      </c>
      <c r="E346" s="20" t="s">
        <v>111</v>
      </c>
      <c r="F346" s="22">
        <v>19655</v>
      </c>
      <c r="G346" s="19" t="s">
        <v>112</v>
      </c>
      <c r="H346" s="19" t="s">
        <v>515</v>
      </c>
      <c r="I346" s="19" t="s">
        <v>8</v>
      </c>
      <c r="J346" s="19" t="s">
        <v>114</v>
      </c>
      <c r="K346" s="19" t="s">
        <v>114</v>
      </c>
      <c r="L346" s="19" t="s">
        <v>151</v>
      </c>
      <c r="M346" s="20" t="s">
        <v>116</v>
      </c>
      <c r="N346" s="20"/>
      <c r="O346" s="20"/>
      <c r="P346" s="20" t="s">
        <v>117</v>
      </c>
    </row>
    <row r="347" spans="1:16" x14ac:dyDescent="0.3">
      <c r="A347" s="19">
        <f t="shared" si="5"/>
        <v>346</v>
      </c>
      <c r="B347" s="20" t="s">
        <v>87</v>
      </c>
      <c r="C347" s="20" t="s">
        <v>97</v>
      </c>
      <c r="D347" s="21" t="str">
        <f>IF($C347="","",IFERROR(VLOOKUP($C347,Map_Register!$A$2:$C$5,3,FALSE()),""))</f>
        <v>Military Zone</v>
      </c>
      <c r="E347" s="20" t="s">
        <v>111</v>
      </c>
      <c r="F347" s="22">
        <v>19737</v>
      </c>
      <c r="G347" s="19" t="s">
        <v>112</v>
      </c>
      <c r="H347" s="19" t="s">
        <v>516</v>
      </c>
      <c r="I347" s="19" t="s">
        <v>8</v>
      </c>
      <c r="J347" s="19" t="s">
        <v>114</v>
      </c>
      <c r="K347" s="19" t="s">
        <v>114</v>
      </c>
      <c r="L347" s="19" t="s">
        <v>517</v>
      </c>
      <c r="M347" s="20" t="s">
        <v>116</v>
      </c>
      <c r="N347" s="20"/>
      <c r="O347" s="20"/>
      <c r="P347" s="20" t="s">
        <v>117</v>
      </c>
    </row>
    <row r="348" spans="1:16" x14ac:dyDescent="0.3">
      <c r="A348" s="19">
        <f t="shared" si="5"/>
        <v>347</v>
      </c>
      <c r="B348" s="20" t="s">
        <v>87</v>
      </c>
      <c r="C348" s="20" t="s">
        <v>97</v>
      </c>
      <c r="D348" s="21" t="str">
        <f>IF($C348="","",IFERROR(VLOOKUP($C348,Map_Register!$A$2:$C$5,3,FALSE()),""))</f>
        <v>Military Zone</v>
      </c>
      <c r="E348" s="20" t="s">
        <v>111</v>
      </c>
      <c r="F348" s="22">
        <v>19759</v>
      </c>
      <c r="G348" s="19" t="s">
        <v>112</v>
      </c>
      <c r="H348" s="19" t="s">
        <v>518</v>
      </c>
      <c r="I348" s="19" t="s">
        <v>8</v>
      </c>
      <c r="J348" s="19" t="s">
        <v>114</v>
      </c>
      <c r="K348" t="s">
        <v>114</v>
      </c>
      <c r="L348" s="19" t="s">
        <v>165</v>
      </c>
      <c r="M348" s="20" t="s">
        <v>116</v>
      </c>
      <c r="N348" s="20"/>
      <c r="O348" s="20"/>
      <c r="P348" s="20" t="s">
        <v>117</v>
      </c>
    </row>
    <row r="349" spans="1:16" x14ac:dyDescent="0.3">
      <c r="A349" s="19">
        <f t="shared" si="5"/>
        <v>348</v>
      </c>
      <c r="B349" s="20" t="s">
        <v>87</v>
      </c>
      <c r="C349" s="20" t="s">
        <v>97</v>
      </c>
      <c r="D349" s="21" t="str">
        <f>IF($C349="","",IFERROR(VLOOKUP($C349,Map_Register!$A$2:$C$5,3,FALSE()),""))</f>
        <v>Military Zone</v>
      </c>
      <c r="E349" s="20" t="s">
        <v>111</v>
      </c>
      <c r="F349" s="22">
        <v>19793</v>
      </c>
      <c r="G349" s="19" t="s">
        <v>112</v>
      </c>
      <c r="H349" s="19" t="s">
        <v>519</v>
      </c>
      <c r="I349" s="19" t="s">
        <v>8</v>
      </c>
      <c r="J349" s="19" t="s">
        <v>114</v>
      </c>
      <c r="K349" s="19" t="s">
        <v>114</v>
      </c>
      <c r="L349" s="19" t="s">
        <v>151</v>
      </c>
      <c r="M349" s="20" t="s">
        <v>116</v>
      </c>
      <c r="N349" s="20"/>
      <c r="O349" s="20"/>
      <c r="P349" s="20" t="s">
        <v>117</v>
      </c>
    </row>
    <row r="350" spans="1:16" x14ac:dyDescent="0.3">
      <c r="A350" s="19">
        <f t="shared" si="5"/>
        <v>349</v>
      </c>
      <c r="B350" s="20" t="s">
        <v>87</v>
      </c>
      <c r="C350" s="20" t="s">
        <v>97</v>
      </c>
      <c r="D350" s="21" t="str">
        <f>IF($C350="","",IFERROR(VLOOKUP($C350,Map_Register!$A$2:$C$5,3,FALSE()),""))</f>
        <v>Military Zone</v>
      </c>
      <c r="E350" s="20" t="s">
        <v>111</v>
      </c>
      <c r="F350" s="22">
        <v>19955</v>
      </c>
      <c r="G350" s="19" t="s">
        <v>112</v>
      </c>
      <c r="H350" s="19" t="s">
        <v>520</v>
      </c>
      <c r="I350" s="19" t="s">
        <v>8</v>
      </c>
      <c r="J350" s="19" t="s">
        <v>114</v>
      </c>
      <c r="K350" s="19" t="s">
        <v>114</v>
      </c>
      <c r="L350" s="19" t="s">
        <v>151</v>
      </c>
      <c r="M350" s="20" t="s">
        <v>116</v>
      </c>
      <c r="N350" s="20"/>
      <c r="O350" s="20"/>
      <c r="P350" s="20" t="s">
        <v>117</v>
      </c>
    </row>
    <row r="351" spans="1:16" x14ac:dyDescent="0.3">
      <c r="A351" s="19">
        <f t="shared" si="5"/>
        <v>350</v>
      </c>
      <c r="B351" s="20" t="s">
        <v>87</v>
      </c>
      <c r="C351" s="20" t="s">
        <v>97</v>
      </c>
      <c r="D351" s="21" t="str">
        <f>IF($C351="","",IFERROR(VLOOKUP($C351,Map_Register!$A$2:$C$5,3,FALSE()),""))</f>
        <v>Military Zone</v>
      </c>
      <c r="E351" s="20" t="s">
        <v>111</v>
      </c>
      <c r="F351" s="22">
        <v>19960</v>
      </c>
      <c r="G351" s="19" t="s">
        <v>112</v>
      </c>
      <c r="H351" s="19" t="s">
        <v>521</v>
      </c>
      <c r="I351" s="19" t="s">
        <v>8</v>
      </c>
      <c r="J351" s="19" t="s">
        <v>114</v>
      </c>
      <c r="K351" s="19" t="s">
        <v>114</v>
      </c>
      <c r="L351" s="19" t="s">
        <v>151</v>
      </c>
      <c r="M351" s="20" t="s">
        <v>116</v>
      </c>
      <c r="N351" s="20"/>
      <c r="O351" s="20"/>
      <c r="P351" s="20" t="s">
        <v>117</v>
      </c>
    </row>
    <row r="352" spans="1:16" x14ac:dyDescent="0.3">
      <c r="A352" s="19">
        <f t="shared" si="5"/>
        <v>351</v>
      </c>
      <c r="B352" s="20" t="s">
        <v>87</v>
      </c>
      <c r="C352" s="20" t="s">
        <v>97</v>
      </c>
      <c r="D352" s="21" t="str">
        <f>IF($C352="","",IFERROR(VLOOKUP($C352,Map_Register!$A$2:$C$5,3,FALSE()),""))</f>
        <v>Military Zone</v>
      </c>
      <c r="E352" s="20" t="s">
        <v>111</v>
      </c>
      <c r="F352" s="22">
        <v>20378</v>
      </c>
      <c r="G352" s="19" t="s">
        <v>112</v>
      </c>
      <c r="H352" s="19" t="s">
        <v>522</v>
      </c>
      <c r="I352" s="19" t="s">
        <v>8</v>
      </c>
      <c r="J352" s="19" t="s">
        <v>114</v>
      </c>
      <c r="K352" s="19" t="s">
        <v>114</v>
      </c>
      <c r="L352" s="19" t="s">
        <v>151</v>
      </c>
      <c r="M352" s="20" t="s">
        <v>116</v>
      </c>
      <c r="N352" s="20"/>
      <c r="O352" s="20"/>
      <c r="P352" s="20" t="s">
        <v>117</v>
      </c>
    </row>
    <row r="353" spans="1:16" x14ac:dyDescent="0.3">
      <c r="A353" s="19">
        <f t="shared" si="5"/>
        <v>352</v>
      </c>
      <c r="B353" s="20" t="s">
        <v>87</v>
      </c>
      <c r="C353" s="20" t="s">
        <v>97</v>
      </c>
      <c r="D353" s="21" t="str">
        <f>IF($C353="","",IFERROR(VLOOKUP($C353,Map_Register!$A$2:$C$5,3,FALSE()),""))</f>
        <v>Military Zone</v>
      </c>
      <c r="E353" s="20" t="s">
        <v>111</v>
      </c>
      <c r="F353" s="22">
        <v>20706</v>
      </c>
      <c r="G353" s="19" t="s">
        <v>112</v>
      </c>
      <c r="H353" s="19" t="s">
        <v>523</v>
      </c>
      <c r="I353" s="19" t="s">
        <v>8</v>
      </c>
      <c r="J353" s="19" t="s">
        <v>114</v>
      </c>
      <c r="K353" s="19" t="s">
        <v>114</v>
      </c>
      <c r="L353" s="19" t="s">
        <v>151</v>
      </c>
      <c r="M353" s="20" t="s">
        <v>116</v>
      </c>
      <c r="N353" s="20"/>
      <c r="O353" s="20"/>
      <c r="P353" s="20" t="s">
        <v>117</v>
      </c>
    </row>
    <row r="354" spans="1:16" x14ac:dyDescent="0.3">
      <c r="A354" s="19">
        <f t="shared" si="5"/>
        <v>353</v>
      </c>
      <c r="B354" s="20" t="s">
        <v>87</v>
      </c>
      <c r="C354" s="20" t="s">
        <v>97</v>
      </c>
      <c r="D354" s="21" t="str">
        <f>IF($C354="","",IFERROR(VLOOKUP($C354,Map_Register!$A$2:$C$5,3,FALSE()),""))</f>
        <v>Military Zone</v>
      </c>
      <c r="E354" s="20" t="s">
        <v>111</v>
      </c>
      <c r="F354" s="22">
        <v>20843</v>
      </c>
      <c r="G354" s="19" t="s">
        <v>112</v>
      </c>
      <c r="H354" s="19" t="s">
        <v>524</v>
      </c>
      <c r="I354" s="19" t="s">
        <v>8</v>
      </c>
      <c r="J354" s="19" t="s">
        <v>114</v>
      </c>
      <c r="K354" s="19" t="s">
        <v>114</v>
      </c>
      <c r="L354" s="19" t="s">
        <v>151</v>
      </c>
      <c r="M354" s="20" t="s">
        <v>116</v>
      </c>
      <c r="N354" s="20"/>
      <c r="O354" s="20"/>
      <c r="P354" s="20" t="s">
        <v>117</v>
      </c>
    </row>
    <row r="355" spans="1:16" x14ac:dyDescent="0.3">
      <c r="A355" s="19">
        <f t="shared" si="5"/>
        <v>354</v>
      </c>
      <c r="B355" s="20" t="s">
        <v>87</v>
      </c>
      <c r="C355" s="20" t="s">
        <v>97</v>
      </c>
      <c r="D355" s="21" t="str">
        <f>IF($C355="","",IFERROR(VLOOKUP($C355,Map_Register!$A$2:$C$5,3,FALSE()),""))</f>
        <v>Military Zone</v>
      </c>
      <c r="E355" s="20" t="s">
        <v>111</v>
      </c>
      <c r="F355" s="22">
        <v>21411</v>
      </c>
      <c r="G355" s="19" t="s">
        <v>112</v>
      </c>
      <c r="H355" s="19" t="s">
        <v>525</v>
      </c>
      <c r="I355" s="19" t="s">
        <v>8</v>
      </c>
      <c r="J355" s="19" t="s">
        <v>114</v>
      </c>
      <c r="K355" s="19" t="s">
        <v>114</v>
      </c>
      <c r="L355" s="19" t="s">
        <v>151</v>
      </c>
      <c r="M355" s="20" t="s">
        <v>116</v>
      </c>
      <c r="N355" s="20"/>
      <c r="O355" s="20"/>
      <c r="P355" s="20" t="s">
        <v>117</v>
      </c>
    </row>
    <row r="356" spans="1:16" x14ac:dyDescent="0.3">
      <c r="A356" s="19">
        <f t="shared" si="5"/>
        <v>355</v>
      </c>
      <c r="B356" s="20" t="s">
        <v>87</v>
      </c>
      <c r="C356" s="20" t="s">
        <v>97</v>
      </c>
      <c r="D356" s="21" t="str">
        <f>IF($C356="","",IFERROR(VLOOKUP($C356,Map_Register!$A$2:$C$5,3,FALSE()),""))</f>
        <v>Military Zone</v>
      </c>
      <c r="E356" s="20" t="s">
        <v>111</v>
      </c>
      <c r="F356" s="22">
        <v>21412</v>
      </c>
      <c r="G356" s="19" t="s">
        <v>112</v>
      </c>
      <c r="H356" s="19" t="s">
        <v>526</v>
      </c>
      <c r="I356" s="19" t="s">
        <v>8</v>
      </c>
      <c r="J356" s="19" t="s">
        <v>114</v>
      </c>
      <c r="K356" t="s">
        <v>114</v>
      </c>
      <c r="L356" s="19" t="s">
        <v>527</v>
      </c>
      <c r="M356" s="20" t="s">
        <v>116</v>
      </c>
      <c r="N356" s="20"/>
      <c r="O356" s="20"/>
      <c r="P356" s="20" t="s">
        <v>117</v>
      </c>
    </row>
    <row r="357" spans="1:16" x14ac:dyDescent="0.3">
      <c r="A357" s="19">
        <f t="shared" si="5"/>
        <v>356</v>
      </c>
      <c r="B357" s="20" t="s">
        <v>87</v>
      </c>
      <c r="C357" s="20" t="s">
        <v>97</v>
      </c>
      <c r="D357" s="21" t="str">
        <f>IF($C357="","",IFERROR(VLOOKUP($C357,Map_Register!$A$2:$C$5,3,FALSE()),""))</f>
        <v>Military Zone</v>
      </c>
      <c r="E357" s="20" t="s">
        <v>111</v>
      </c>
      <c r="F357" s="22">
        <v>21413</v>
      </c>
      <c r="G357" s="19" t="s">
        <v>112</v>
      </c>
      <c r="H357" s="19" t="s">
        <v>528</v>
      </c>
      <c r="I357" s="19" t="s">
        <v>8</v>
      </c>
      <c r="J357" s="19" t="s">
        <v>114</v>
      </c>
      <c r="K357" s="19" t="s">
        <v>114</v>
      </c>
      <c r="L357" s="19" t="s">
        <v>151</v>
      </c>
      <c r="M357" s="20" t="s">
        <v>116</v>
      </c>
      <c r="N357" s="20"/>
      <c r="O357" s="20"/>
      <c r="P357" s="20" t="s">
        <v>117</v>
      </c>
    </row>
    <row r="358" spans="1:16" x14ac:dyDescent="0.3">
      <c r="A358" s="19">
        <f t="shared" si="5"/>
        <v>357</v>
      </c>
      <c r="B358" s="20" t="s">
        <v>87</v>
      </c>
      <c r="C358" s="20" t="s">
        <v>97</v>
      </c>
      <c r="D358" s="21" t="str">
        <f>IF($C358="","",IFERROR(VLOOKUP($C358,Map_Register!$A$2:$C$5,3,FALSE()),""))</f>
        <v>Military Zone</v>
      </c>
      <c r="E358" s="20" t="s">
        <v>111</v>
      </c>
      <c r="F358" s="22">
        <v>21414</v>
      </c>
      <c r="G358" s="19" t="s">
        <v>112</v>
      </c>
      <c r="H358" s="19" t="s">
        <v>529</v>
      </c>
      <c r="I358" s="19" t="s">
        <v>8</v>
      </c>
      <c r="J358" s="19" t="s">
        <v>114</v>
      </c>
      <c r="K358" t="s">
        <v>114</v>
      </c>
      <c r="L358" s="19" t="s">
        <v>530</v>
      </c>
      <c r="M358" s="20" t="s">
        <v>116</v>
      </c>
      <c r="N358" s="20"/>
      <c r="O358" s="20"/>
      <c r="P358" s="20" t="s">
        <v>117</v>
      </c>
    </row>
    <row r="359" spans="1:16" x14ac:dyDescent="0.3">
      <c r="A359" s="19">
        <f t="shared" si="5"/>
        <v>358</v>
      </c>
      <c r="B359" s="20" t="s">
        <v>87</v>
      </c>
      <c r="C359" s="20" t="s">
        <v>97</v>
      </c>
      <c r="D359" s="21" t="str">
        <f>IF($C359="","",IFERROR(VLOOKUP($C359,Map_Register!$A$2:$C$5,3,FALSE()),""))</f>
        <v>Military Zone</v>
      </c>
      <c r="E359" s="20" t="s">
        <v>111</v>
      </c>
      <c r="F359" s="22">
        <v>21415</v>
      </c>
      <c r="G359" s="19" t="s">
        <v>112</v>
      </c>
      <c r="H359" s="19" t="s">
        <v>531</v>
      </c>
      <c r="I359" s="19" t="s">
        <v>8</v>
      </c>
      <c r="J359" s="19" t="s">
        <v>114</v>
      </c>
      <c r="K359" t="s">
        <v>114</v>
      </c>
      <c r="L359" s="19" t="s">
        <v>530</v>
      </c>
      <c r="M359" s="20" t="s">
        <v>116</v>
      </c>
      <c r="N359" s="20"/>
      <c r="O359" s="20"/>
      <c r="P359" s="20" t="s">
        <v>117</v>
      </c>
    </row>
    <row r="360" spans="1:16" x14ac:dyDescent="0.3">
      <c r="A360" s="19">
        <f t="shared" si="5"/>
        <v>359</v>
      </c>
      <c r="B360" s="20" t="s">
        <v>87</v>
      </c>
      <c r="C360" s="20" t="s">
        <v>97</v>
      </c>
      <c r="D360" s="21" t="str">
        <f>IF($C360="","",IFERROR(VLOOKUP($C360,Map_Register!$A$2:$C$5,3,FALSE()),""))</f>
        <v>Military Zone</v>
      </c>
      <c r="E360" s="20" t="s">
        <v>111</v>
      </c>
      <c r="F360" s="22">
        <v>21416</v>
      </c>
      <c r="G360" s="19" t="s">
        <v>112</v>
      </c>
      <c r="H360" s="19" t="s">
        <v>532</v>
      </c>
      <c r="I360" s="19" t="s">
        <v>8</v>
      </c>
      <c r="J360" s="19" t="s">
        <v>114</v>
      </c>
      <c r="K360" t="s">
        <v>114</v>
      </c>
      <c r="L360" s="19" t="s">
        <v>530</v>
      </c>
      <c r="M360" s="20" t="s">
        <v>116</v>
      </c>
      <c r="N360" s="20"/>
      <c r="O360" s="20"/>
      <c r="P360" s="20" t="s">
        <v>117</v>
      </c>
    </row>
    <row r="361" spans="1:16" x14ac:dyDescent="0.3">
      <c r="A361" s="19">
        <f t="shared" si="5"/>
        <v>360</v>
      </c>
      <c r="B361" s="20" t="s">
        <v>87</v>
      </c>
      <c r="C361" s="20" t="s">
        <v>97</v>
      </c>
      <c r="D361" s="21" t="str">
        <f>IF($C361="","",IFERROR(VLOOKUP($C361,Map_Register!$A$2:$C$5,3,FALSE()),""))</f>
        <v>Military Zone</v>
      </c>
      <c r="E361" s="20" t="s">
        <v>111</v>
      </c>
      <c r="F361" s="22">
        <v>21518</v>
      </c>
      <c r="G361" s="19" t="s">
        <v>112</v>
      </c>
      <c r="H361" s="19" t="s">
        <v>533</v>
      </c>
      <c r="I361" s="19" t="s">
        <v>8</v>
      </c>
      <c r="J361" s="19" t="s">
        <v>114</v>
      </c>
      <c r="K361" s="19" t="s">
        <v>114</v>
      </c>
      <c r="L361" s="19" t="s">
        <v>151</v>
      </c>
      <c r="M361" s="20" t="s">
        <v>116</v>
      </c>
      <c r="N361" s="20"/>
      <c r="O361" s="20"/>
      <c r="P361" s="20" t="s">
        <v>117</v>
      </c>
    </row>
    <row r="362" spans="1:16" x14ac:dyDescent="0.3">
      <c r="A362" s="19">
        <f t="shared" si="5"/>
        <v>361</v>
      </c>
      <c r="B362" s="20" t="s">
        <v>87</v>
      </c>
      <c r="C362" s="20" t="s">
        <v>97</v>
      </c>
      <c r="D362" s="21" t="str">
        <f>IF($C362="","",IFERROR(VLOOKUP($C362,Map_Register!$A$2:$C$5,3,FALSE()),""))</f>
        <v>Military Zone</v>
      </c>
      <c r="E362" s="20" t="s">
        <v>111</v>
      </c>
      <c r="F362" s="22">
        <v>21740</v>
      </c>
      <c r="G362" s="19" t="s">
        <v>112</v>
      </c>
      <c r="H362" s="19" t="s">
        <v>534</v>
      </c>
      <c r="I362" s="19" t="s">
        <v>8</v>
      </c>
      <c r="J362" s="19" t="s">
        <v>114</v>
      </c>
      <c r="K362" s="19" t="s">
        <v>114</v>
      </c>
      <c r="L362" s="19" t="s">
        <v>151</v>
      </c>
      <c r="M362" s="20" t="s">
        <v>116</v>
      </c>
      <c r="N362" s="20"/>
      <c r="O362" s="20"/>
      <c r="P362" s="20" t="s">
        <v>117</v>
      </c>
    </row>
    <row r="363" spans="1:16" x14ac:dyDescent="0.3">
      <c r="A363" s="19">
        <f t="shared" si="5"/>
        <v>362</v>
      </c>
      <c r="B363" s="20" t="s">
        <v>87</v>
      </c>
      <c r="C363" s="20" t="s">
        <v>97</v>
      </c>
      <c r="D363" s="21" t="str">
        <f>IF($C363="","",IFERROR(VLOOKUP($C363,Map_Register!$A$2:$C$5,3,FALSE()),""))</f>
        <v>Military Zone</v>
      </c>
      <c r="E363" s="20" t="s">
        <v>111</v>
      </c>
      <c r="F363" s="22">
        <v>21741</v>
      </c>
      <c r="G363" s="19" t="s">
        <v>112</v>
      </c>
      <c r="H363" s="19" t="s">
        <v>535</v>
      </c>
      <c r="I363" s="19" t="s">
        <v>8</v>
      </c>
      <c r="J363" s="19" t="s">
        <v>114</v>
      </c>
      <c r="K363" t="s">
        <v>114</v>
      </c>
      <c r="L363" s="19" t="s">
        <v>165</v>
      </c>
      <c r="M363" s="20" t="s">
        <v>116</v>
      </c>
      <c r="N363" s="20"/>
      <c r="O363" s="20"/>
      <c r="P363" s="20" t="s">
        <v>117</v>
      </c>
    </row>
    <row r="364" spans="1:16" x14ac:dyDescent="0.3">
      <c r="A364" s="19">
        <f t="shared" si="5"/>
        <v>363</v>
      </c>
      <c r="B364" s="20" t="s">
        <v>87</v>
      </c>
      <c r="C364" s="20" t="s">
        <v>97</v>
      </c>
      <c r="D364" s="21" t="str">
        <f>IF($C364="","",IFERROR(VLOOKUP($C364,Map_Register!$A$2:$C$5,3,FALSE()),""))</f>
        <v>Military Zone</v>
      </c>
      <c r="E364" s="20" t="s">
        <v>111</v>
      </c>
      <c r="F364" s="22">
        <v>21742</v>
      </c>
      <c r="G364" s="19" t="s">
        <v>112</v>
      </c>
      <c r="H364" s="19" t="s">
        <v>536</v>
      </c>
      <c r="I364" s="19" t="s">
        <v>8</v>
      </c>
      <c r="J364" s="19" t="s">
        <v>114</v>
      </c>
      <c r="K364" s="19" t="s">
        <v>114</v>
      </c>
      <c r="L364" s="19" t="s">
        <v>151</v>
      </c>
      <c r="M364" s="20" t="s">
        <v>116</v>
      </c>
      <c r="N364" s="20"/>
      <c r="O364" s="20"/>
      <c r="P364" s="20" t="s">
        <v>117</v>
      </c>
    </row>
    <row r="365" spans="1:16" x14ac:dyDescent="0.3">
      <c r="A365" s="19">
        <f t="shared" si="5"/>
        <v>364</v>
      </c>
      <c r="B365" s="20" t="s">
        <v>87</v>
      </c>
      <c r="C365" s="20" t="s">
        <v>97</v>
      </c>
      <c r="D365" s="21" t="str">
        <f>IF($C365="","",IFERROR(VLOOKUP($C365,Map_Register!$A$2:$C$5,3,FALSE()),""))</f>
        <v>Military Zone</v>
      </c>
      <c r="E365" s="20" t="s">
        <v>111</v>
      </c>
      <c r="F365" s="22">
        <v>21743</v>
      </c>
      <c r="G365" s="19" t="s">
        <v>112</v>
      </c>
      <c r="H365" s="19" t="s">
        <v>537</v>
      </c>
      <c r="I365" s="19" t="s">
        <v>8</v>
      </c>
      <c r="J365" s="19" t="s">
        <v>114</v>
      </c>
      <c r="K365" s="19" t="s">
        <v>114</v>
      </c>
      <c r="L365" s="19" t="s">
        <v>151</v>
      </c>
      <c r="M365" s="20" t="s">
        <v>116</v>
      </c>
      <c r="N365" s="20"/>
      <c r="O365" s="20"/>
      <c r="P365" s="20" t="s">
        <v>117</v>
      </c>
    </row>
    <row r="366" spans="1:16" x14ac:dyDescent="0.3">
      <c r="A366" s="19">
        <f t="shared" si="5"/>
        <v>365</v>
      </c>
      <c r="B366" s="20" t="s">
        <v>87</v>
      </c>
      <c r="C366" s="20" t="s">
        <v>97</v>
      </c>
      <c r="D366" s="21" t="str">
        <f>IF($C366="","",IFERROR(VLOOKUP($C366,Map_Register!$A$2:$C$5,3,FALSE()),""))</f>
        <v>Military Zone</v>
      </c>
      <c r="E366" s="20" t="s">
        <v>111</v>
      </c>
      <c r="F366" s="22">
        <v>21744</v>
      </c>
      <c r="G366" s="19" t="s">
        <v>112</v>
      </c>
      <c r="H366" s="19" t="s">
        <v>538</v>
      </c>
      <c r="I366" s="19" t="s">
        <v>8</v>
      </c>
      <c r="J366" s="19" t="s">
        <v>114</v>
      </c>
      <c r="K366" s="19" t="s">
        <v>114</v>
      </c>
      <c r="L366" s="19" t="s">
        <v>151</v>
      </c>
      <c r="M366" s="20" t="s">
        <v>116</v>
      </c>
      <c r="N366" s="20"/>
      <c r="O366" s="20"/>
      <c r="P366" s="20" t="s">
        <v>117</v>
      </c>
    </row>
    <row r="367" spans="1:16" x14ac:dyDescent="0.3">
      <c r="A367" s="19">
        <f t="shared" si="5"/>
        <v>366</v>
      </c>
      <c r="B367" s="20" t="s">
        <v>87</v>
      </c>
      <c r="C367" s="20" t="s">
        <v>97</v>
      </c>
      <c r="D367" s="21" t="str">
        <f>IF($C367="","",IFERROR(VLOOKUP($C367,Map_Register!$A$2:$C$5,3,FALSE()),""))</f>
        <v>Military Zone</v>
      </c>
      <c r="E367" s="20" t="s">
        <v>111</v>
      </c>
      <c r="F367" s="22">
        <v>21745</v>
      </c>
      <c r="G367" s="19" t="s">
        <v>112</v>
      </c>
      <c r="H367" s="19" t="s">
        <v>539</v>
      </c>
      <c r="I367" s="19" t="s">
        <v>8</v>
      </c>
      <c r="J367" s="19" t="s">
        <v>114</v>
      </c>
      <c r="K367" t="s">
        <v>114</v>
      </c>
      <c r="L367" s="19" t="s">
        <v>165</v>
      </c>
      <c r="M367" s="20" t="s">
        <v>116</v>
      </c>
      <c r="N367" s="20"/>
      <c r="O367" s="20"/>
      <c r="P367" s="20" t="s">
        <v>117</v>
      </c>
    </row>
    <row r="368" spans="1:16" x14ac:dyDescent="0.3">
      <c r="A368" s="19">
        <f t="shared" si="5"/>
        <v>367</v>
      </c>
      <c r="B368" s="20" t="s">
        <v>87</v>
      </c>
      <c r="C368" s="20" t="s">
        <v>97</v>
      </c>
      <c r="D368" s="21" t="str">
        <f>IF($C368="","",IFERROR(VLOOKUP($C368,Map_Register!$A$2:$C$5,3,FALSE()),""))</f>
        <v>Military Zone</v>
      </c>
      <c r="E368" s="20" t="s">
        <v>111</v>
      </c>
      <c r="F368" s="22">
        <v>21746</v>
      </c>
      <c r="G368" s="19" t="s">
        <v>112</v>
      </c>
      <c r="H368" s="19" t="s">
        <v>540</v>
      </c>
      <c r="I368" s="19" t="s">
        <v>8</v>
      </c>
      <c r="J368" s="19" t="s">
        <v>114</v>
      </c>
      <c r="K368" t="s">
        <v>114</v>
      </c>
      <c r="L368" s="19" t="s">
        <v>165</v>
      </c>
      <c r="M368" s="20" t="s">
        <v>116</v>
      </c>
      <c r="N368" s="20"/>
      <c r="O368" s="20"/>
      <c r="P368" s="20" t="s">
        <v>117</v>
      </c>
    </row>
    <row r="369" spans="1:16" x14ac:dyDescent="0.3">
      <c r="A369" s="19">
        <f t="shared" si="5"/>
        <v>368</v>
      </c>
      <c r="B369" s="20" t="s">
        <v>87</v>
      </c>
      <c r="C369" s="20" t="s">
        <v>97</v>
      </c>
      <c r="D369" s="21" t="str">
        <f>IF($C369="","",IFERROR(VLOOKUP($C369,Map_Register!$A$2:$C$5,3,FALSE()),""))</f>
        <v>Military Zone</v>
      </c>
      <c r="E369" s="20" t="s">
        <v>111</v>
      </c>
      <c r="F369" s="22">
        <v>21747</v>
      </c>
      <c r="G369" s="19" t="s">
        <v>112</v>
      </c>
      <c r="H369" s="19" t="s">
        <v>541</v>
      </c>
      <c r="I369" s="19" t="s">
        <v>8</v>
      </c>
      <c r="J369" s="19" t="s">
        <v>114</v>
      </c>
      <c r="K369" s="19" t="s">
        <v>114</v>
      </c>
      <c r="L369" s="19" t="s">
        <v>151</v>
      </c>
      <c r="M369" s="20" t="s">
        <v>116</v>
      </c>
      <c r="N369" s="20"/>
      <c r="O369" s="20"/>
      <c r="P369" s="20" t="s">
        <v>117</v>
      </c>
    </row>
    <row r="370" spans="1:16" x14ac:dyDescent="0.3">
      <c r="A370" s="19">
        <f t="shared" si="5"/>
        <v>369</v>
      </c>
      <c r="B370" s="20" t="s">
        <v>87</v>
      </c>
      <c r="C370" s="20" t="s">
        <v>97</v>
      </c>
      <c r="D370" s="21" t="str">
        <f>IF($C370="","",IFERROR(VLOOKUP($C370,Map_Register!$A$2:$C$5,3,FALSE()),""))</f>
        <v>Military Zone</v>
      </c>
      <c r="E370" s="20" t="s">
        <v>111</v>
      </c>
      <c r="F370" s="22">
        <v>21748</v>
      </c>
      <c r="G370" s="19" t="s">
        <v>112</v>
      </c>
      <c r="H370" s="19" t="s">
        <v>542</v>
      </c>
      <c r="I370" s="19" t="s">
        <v>8</v>
      </c>
      <c r="J370" s="19" t="s">
        <v>114</v>
      </c>
      <c r="K370" t="s">
        <v>114</v>
      </c>
      <c r="L370" s="19" t="s">
        <v>165</v>
      </c>
      <c r="M370" s="20" t="s">
        <v>116</v>
      </c>
      <c r="N370" s="20"/>
      <c r="O370" s="20"/>
      <c r="P370" s="20" t="s">
        <v>117</v>
      </c>
    </row>
    <row r="371" spans="1:16" x14ac:dyDescent="0.3">
      <c r="A371" s="19">
        <f t="shared" si="5"/>
        <v>370</v>
      </c>
      <c r="B371" s="20" t="s">
        <v>87</v>
      </c>
      <c r="C371" s="20" t="s">
        <v>97</v>
      </c>
      <c r="D371" s="21" t="str">
        <f>IF($C371="","",IFERROR(VLOOKUP($C371,Map_Register!$A$2:$C$5,3,FALSE()),""))</f>
        <v>Military Zone</v>
      </c>
      <c r="E371" s="20" t="s">
        <v>111</v>
      </c>
      <c r="F371" s="22">
        <v>21749</v>
      </c>
      <c r="G371" s="19" t="s">
        <v>112</v>
      </c>
      <c r="H371" s="19" t="s">
        <v>543</v>
      </c>
      <c r="I371" s="19" t="s">
        <v>8</v>
      </c>
      <c r="J371" s="19" t="s">
        <v>114</v>
      </c>
      <c r="K371" t="s">
        <v>114</v>
      </c>
      <c r="L371" s="19" t="s">
        <v>165</v>
      </c>
      <c r="M371" s="20" t="s">
        <v>116</v>
      </c>
      <c r="N371" s="20"/>
      <c r="O371" s="20"/>
      <c r="P371" s="20" t="s">
        <v>117</v>
      </c>
    </row>
    <row r="372" spans="1:16" x14ac:dyDescent="0.3">
      <c r="A372" s="19">
        <f t="shared" si="5"/>
        <v>371</v>
      </c>
      <c r="B372" s="20" t="s">
        <v>87</v>
      </c>
      <c r="C372" s="20" t="s">
        <v>97</v>
      </c>
      <c r="D372" s="21" t="str">
        <f>IF($C372="","",IFERROR(VLOOKUP($C372,Map_Register!$A$2:$C$5,3,FALSE()),""))</f>
        <v>Military Zone</v>
      </c>
      <c r="E372" s="20" t="s">
        <v>111</v>
      </c>
      <c r="F372" s="22">
        <v>21750</v>
      </c>
      <c r="G372" s="19" t="s">
        <v>112</v>
      </c>
      <c r="H372" s="19" t="s">
        <v>544</v>
      </c>
      <c r="I372" s="19" t="s">
        <v>8</v>
      </c>
      <c r="J372" s="19" t="s">
        <v>114</v>
      </c>
      <c r="K372" s="19" t="s">
        <v>114</v>
      </c>
      <c r="L372" s="19" t="s">
        <v>151</v>
      </c>
      <c r="M372" s="20" t="s">
        <v>116</v>
      </c>
      <c r="N372" s="20"/>
      <c r="O372" s="20"/>
      <c r="P372" s="20" t="s">
        <v>117</v>
      </c>
    </row>
    <row r="373" spans="1:16" x14ac:dyDescent="0.3">
      <c r="A373" s="19">
        <f t="shared" si="5"/>
        <v>372</v>
      </c>
      <c r="B373" s="20" t="s">
        <v>87</v>
      </c>
      <c r="C373" s="20" t="s">
        <v>97</v>
      </c>
      <c r="D373" s="21" t="str">
        <f>IF($C373="","",IFERROR(VLOOKUP($C373,Map_Register!$A$2:$C$5,3,FALSE()),""))</f>
        <v>Military Zone</v>
      </c>
      <c r="E373" s="20" t="s">
        <v>111</v>
      </c>
      <c r="F373" s="22">
        <v>21874</v>
      </c>
      <c r="G373" s="19" t="s">
        <v>112</v>
      </c>
      <c r="H373" s="19" t="s">
        <v>545</v>
      </c>
      <c r="I373" s="19" t="s">
        <v>8</v>
      </c>
      <c r="J373" s="19" t="s">
        <v>114</v>
      </c>
      <c r="K373" s="19" t="s">
        <v>114</v>
      </c>
      <c r="L373" s="19" t="s">
        <v>151</v>
      </c>
      <c r="M373" s="20" t="s">
        <v>116</v>
      </c>
      <c r="N373" s="20"/>
      <c r="O373" s="20"/>
      <c r="P373" s="20" t="s">
        <v>117</v>
      </c>
    </row>
    <row r="374" spans="1:16" x14ac:dyDescent="0.3">
      <c r="A374" s="19">
        <f t="shared" si="5"/>
        <v>373</v>
      </c>
      <c r="B374" s="20" t="s">
        <v>87</v>
      </c>
      <c r="C374" s="20" t="s">
        <v>97</v>
      </c>
      <c r="D374" s="21" t="str">
        <f>IF($C374="","",IFERROR(VLOOKUP($C374,Map_Register!$A$2:$C$5,3,FALSE()),""))</f>
        <v>Military Zone</v>
      </c>
      <c r="E374" s="20" t="s">
        <v>111</v>
      </c>
      <c r="F374" s="22">
        <v>22054</v>
      </c>
      <c r="G374" s="19" t="s">
        <v>112</v>
      </c>
      <c r="H374" s="19" t="s">
        <v>546</v>
      </c>
      <c r="I374" s="19" t="s">
        <v>8</v>
      </c>
      <c r="J374" s="19" t="s">
        <v>114</v>
      </c>
      <c r="K374" s="19" t="s">
        <v>114</v>
      </c>
      <c r="L374" s="19" t="s">
        <v>151</v>
      </c>
      <c r="M374" s="20" t="s">
        <v>116</v>
      </c>
      <c r="N374" s="20"/>
      <c r="O374" s="20"/>
      <c r="P374" s="20" t="s">
        <v>117</v>
      </c>
    </row>
    <row r="375" spans="1:16" x14ac:dyDescent="0.3">
      <c r="A375" s="19">
        <f t="shared" si="5"/>
        <v>374</v>
      </c>
      <c r="B375" s="20" t="s">
        <v>87</v>
      </c>
      <c r="C375" s="20" t="s">
        <v>97</v>
      </c>
      <c r="D375" s="21" t="str">
        <f>IF($C375="","",IFERROR(VLOOKUP($C375,Map_Register!$A$2:$C$5,3,FALSE()),""))</f>
        <v>Military Zone</v>
      </c>
      <c r="E375" s="20" t="s">
        <v>111</v>
      </c>
      <c r="F375" s="22">
        <v>22121</v>
      </c>
      <c r="G375" s="19" t="s">
        <v>112</v>
      </c>
      <c r="H375" s="19" t="s">
        <v>547</v>
      </c>
      <c r="I375" s="19" t="s">
        <v>8</v>
      </c>
      <c r="J375" s="19" t="s">
        <v>114</v>
      </c>
      <c r="K375" s="19" t="s">
        <v>114</v>
      </c>
      <c r="L375" s="19" t="s">
        <v>151</v>
      </c>
      <c r="M375" s="20" t="s">
        <v>116</v>
      </c>
      <c r="N375" s="20"/>
      <c r="O375" s="20"/>
      <c r="P375" s="20" t="s">
        <v>117</v>
      </c>
    </row>
    <row r="376" spans="1:16" x14ac:dyDescent="0.3">
      <c r="A376" s="19">
        <f t="shared" si="5"/>
        <v>375</v>
      </c>
      <c r="B376" s="20" t="s">
        <v>87</v>
      </c>
      <c r="C376" s="20" t="s">
        <v>97</v>
      </c>
      <c r="D376" s="21" t="str">
        <f>IF($C376="","",IFERROR(VLOOKUP($C376,Map_Register!$A$2:$C$5,3,FALSE()),""))</f>
        <v>Military Zone</v>
      </c>
      <c r="E376" s="20" t="s">
        <v>111</v>
      </c>
      <c r="F376" s="22">
        <v>22122</v>
      </c>
      <c r="G376" s="19" t="s">
        <v>112</v>
      </c>
      <c r="H376" s="19" t="s">
        <v>548</v>
      </c>
      <c r="I376" s="19" t="s">
        <v>6</v>
      </c>
      <c r="J376" s="19"/>
      <c r="K376" s="19"/>
      <c r="L376" s="19" t="s">
        <v>549</v>
      </c>
      <c r="M376" s="20"/>
      <c r="N376" s="20"/>
      <c r="O376" s="20"/>
      <c r="P376" s="20" t="s">
        <v>117</v>
      </c>
    </row>
    <row r="377" spans="1:16" x14ac:dyDescent="0.3">
      <c r="A377" s="19">
        <f t="shared" si="5"/>
        <v>376</v>
      </c>
      <c r="B377" s="20" t="s">
        <v>87</v>
      </c>
      <c r="C377" s="20" t="s">
        <v>97</v>
      </c>
      <c r="D377" s="21" t="str">
        <f>IF($C377="","",IFERROR(VLOOKUP($C377,Map_Register!$A$2:$C$5,3,FALSE()),""))</f>
        <v>Military Zone</v>
      </c>
      <c r="E377" s="20" t="s">
        <v>111</v>
      </c>
      <c r="F377" s="22">
        <v>22665</v>
      </c>
      <c r="G377" s="19" t="s">
        <v>112</v>
      </c>
      <c r="H377" s="19" t="s">
        <v>550</v>
      </c>
      <c r="I377" s="19" t="s">
        <v>8</v>
      </c>
      <c r="J377" s="19" t="s">
        <v>114</v>
      </c>
      <c r="K377" s="19" t="s">
        <v>114</v>
      </c>
      <c r="L377" s="19" t="s">
        <v>151</v>
      </c>
      <c r="M377" s="20" t="s">
        <v>116</v>
      </c>
      <c r="N377" s="20"/>
      <c r="O377" s="20"/>
      <c r="P377" s="20" t="s">
        <v>117</v>
      </c>
    </row>
    <row r="378" spans="1:16" x14ac:dyDescent="0.3">
      <c r="A378" s="19">
        <f t="shared" si="5"/>
        <v>377</v>
      </c>
      <c r="B378" s="20" t="s">
        <v>87</v>
      </c>
      <c r="C378" s="20" t="s">
        <v>97</v>
      </c>
      <c r="D378" s="21" t="str">
        <f>IF($C378="","",IFERROR(VLOOKUP($C378,Map_Register!$A$2:$C$5,3,FALSE()),""))</f>
        <v>Military Zone</v>
      </c>
      <c r="E378" s="20" t="s">
        <v>111</v>
      </c>
      <c r="F378" s="22">
        <v>22726</v>
      </c>
      <c r="G378" s="19" t="s">
        <v>112</v>
      </c>
      <c r="H378" s="19" t="s">
        <v>551</v>
      </c>
      <c r="I378" s="19" t="s">
        <v>8</v>
      </c>
      <c r="J378" s="19" t="s">
        <v>114</v>
      </c>
      <c r="K378" s="19" t="s">
        <v>114</v>
      </c>
      <c r="L378" s="19" t="s">
        <v>151</v>
      </c>
      <c r="M378" s="20" t="s">
        <v>116</v>
      </c>
      <c r="N378" s="20"/>
      <c r="O378" s="20"/>
      <c r="P378" s="20" t="s">
        <v>117</v>
      </c>
    </row>
    <row r="379" spans="1:16" x14ac:dyDescent="0.3">
      <c r="A379" s="19">
        <f t="shared" si="5"/>
        <v>378</v>
      </c>
      <c r="B379" s="20" t="s">
        <v>87</v>
      </c>
      <c r="C379" s="20" t="s">
        <v>97</v>
      </c>
      <c r="D379" s="21" t="str">
        <f>IF($C379="","",IFERROR(VLOOKUP($C379,Map_Register!$A$2:$C$5,3,FALSE()),""))</f>
        <v>Military Zone</v>
      </c>
      <c r="E379" s="20" t="s">
        <v>111</v>
      </c>
      <c r="F379" s="22">
        <v>23017</v>
      </c>
      <c r="G379" s="19" t="s">
        <v>112</v>
      </c>
      <c r="H379" s="19" t="s">
        <v>552</v>
      </c>
      <c r="I379" s="19" t="s">
        <v>8</v>
      </c>
      <c r="J379" s="19" t="s">
        <v>114</v>
      </c>
      <c r="K379" s="19" t="s">
        <v>114</v>
      </c>
      <c r="L379" s="19" t="s">
        <v>151</v>
      </c>
      <c r="M379" s="20" t="s">
        <v>116</v>
      </c>
      <c r="N379" s="20"/>
      <c r="O379" s="20"/>
      <c r="P379" s="20" t="s">
        <v>117</v>
      </c>
    </row>
    <row r="380" spans="1:16" x14ac:dyDescent="0.3">
      <c r="A380" s="19">
        <f t="shared" si="5"/>
        <v>379</v>
      </c>
      <c r="B380" s="20" t="s">
        <v>87</v>
      </c>
      <c r="C380" s="20" t="s">
        <v>97</v>
      </c>
      <c r="D380" s="21" t="str">
        <f>IF($C380="","",IFERROR(VLOOKUP($C380,Map_Register!$A$2:$C$5,3,FALSE()),""))</f>
        <v>Military Zone</v>
      </c>
      <c r="E380" s="20" t="s">
        <v>111</v>
      </c>
      <c r="F380" s="22">
        <v>23018</v>
      </c>
      <c r="G380" s="19" t="s">
        <v>112</v>
      </c>
      <c r="H380" s="19" t="s">
        <v>553</v>
      </c>
      <c r="I380" s="19" t="s">
        <v>8</v>
      </c>
      <c r="J380" s="19" t="s">
        <v>114</v>
      </c>
      <c r="K380" s="19" t="s">
        <v>114</v>
      </c>
      <c r="L380" s="19" t="s">
        <v>151</v>
      </c>
      <c r="M380" s="20" t="s">
        <v>116</v>
      </c>
      <c r="N380" s="20"/>
      <c r="O380" s="20"/>
      <c r="P380" s="20" t="s">
        <v>117</v>
      </c>
    </row>
    <row r="381" spans="1:16" x14ac:dyDescent="0.3">
      <c r="A381" s="19">
        <f t="shared" si="5"/>
        <v>380</v>
      </c>
      <c r="B381" s="20" t="s">
        <v>87</v>
      </c>
      <c r="C381" s="20" t="s">
        <v>97</v>
      </c>
      <c r="D381" s="21" t="str">
        <f>IF($C381="","",IFERROR(VLOOKUP($C381,Map_Register!$A$2:$C$5,3,FALSE()),""))</f>
        <v>Military Zone</v>
      </c>
      <c r="E381" s="20" t="s">
        <v>111</v>
      </c>
      <c r="F381" s="22">
        <v>23019</v>
      </c>
      <c r="G381" s="19" t="s">
        <v>112</v>
      </c>
      <c r="H381" s="19" t="s">
        <v>554</v>
      </c>
      <c r="I381" s="19" t="s">
        <v>8</v>
      </c>
      <c r="J381" s="19" t="s">
        <v>114</v>
      </c>
      <c r="K381" t="s">
        <v>114</v>
      </c>
      <c r="L381" s="19" t="s">
        <v>165</v>
      </c>
      <c r="M381" s="20" t="s">
        <v>116</v>
      </c>
      <c r="N381" s="20"/>
      <c r="O381" s="20"/>
      <c r="P381" s="20" t="s">
        <v>117</v>
      </c>
    </row>
    <row r="382" spans="1:16" x14ac:dyDescent="0.3">
      <c r="A382" s="19">
        <f t="shared" si="5"/>
        <v>381</v>
      </c>
      <c r="B382" s="20" t="s">
        <v>87</v>
      </c>
      <c r="C382" s="20" t="s">
        <v>97</v>
      </c>
      <c r="D382" s="21" t="str">
        <f>IF($C382="","",IFERROR(VLOOKUP($C382,Map_Register!$A$2:$C$5,3,FALSE()),""))</f>
        <v>Military Zone</v>
      </c>
      <c r="E382" s="20" t="s">
        <v>111</v>
      </c>
      <c r="F382" s="22">
        <v>23020</v>
      </c>
      <c r="G382" s="19" t="s">
        <v>112</v>
      </c>
      <c r="H382" s="19" t="s">
        <v>555</v>
      </c>
      <c r="I382" s="19" t="s">
        <v>8</v>
      </c>
      <c r="J382" s="19" t="s">
        <v>114</v>
      </c>
      <c r="K382" s="19" t="s">
        <v>114</v>
      </c>
      <c r="L382" s="19" t="s">
        <v>151</v>
      </c>
      <c r="M382" s="20" t="s">
        <v>116</v>
      </c>
      <c r="N382" s="20"/>
      <c r="O382" s="20"/>
      <c r="P382" s="20" t="s">
        <v>117</v>
      </c>
    </row>
    <row r="383" spans="1:16" x14ac:dyDescent="0.3">
      <c r="A383" s="19">
        <f t="shared" si="5"/>
        <v>382</v>
      </c>
      <c r="B383" s="20" t="s">
        <v>87</v>
      </c>
      <c r="C383" s="20" t="s">
        <v>97</v>
      </c>
      <c r="D383" s="21" t="str">
        <f>IF($C383="","",IFERROR(VLOOKUP($C383,Map_Register!$A$2:$C$5,3,FALSE()),""))</f>
        <v>Military Zone</v>
      </c>
      <c r="E383" s="20" t="s">
        <v>111</v>
      </c>
      <c r="F383" s="22">
        <v>23037</v>
      </c>
      <c r="G383" s="19" t="s">
        <v>112</v>
      </c>
      <c r="H383" s="19" t="s">
        <v>556</v>
      </c>
      <c r="I383" s="19" t="s">
        <v>8</v>
      </c>
      <c r="J383" s="19" t="s">
        <v>114</v>
      </c>
      <c r="K383" s="19" t="s">
        <v>114</v>
      </c>
      <c r="L383" s="19" t="s">
        <v>557</v>
      </c>
      <c r="M383" s="20" t="s">
        <v>116</v>
      </c>
      <c r="N383" s="20"/>
      <c r="O383" s="20"/>
      <c r="P383" s="20" t="s">
        <v>117</v>
      </c>
    </row>
    <row r="384" spans="1:16" x14ac:dyDescent="0.3">
      <c r="A384" s="19">
        <f t="shared" si="5"/>
        <v>383</v>
      </c>
      <c r="B384" s="20" t="s">
        <v>87</v>
      </c>
      <c r="C384" s="20" t="s">
        <v>97</v>
      </c>
      <c r="D384" s="21" t="str">
        <f>IF($C384="","",IFERROR(VLOOKUP($C384,Map_Register!$A$2:$C$5,3,FALSE()),""))</f>
        <v>Military Zone</v>
      </c>
      <c r="E384" s="20" t="s">
        <v>111</v>
      </c>
      <c r="F384" s="22">
        <v>23040</v>
      </c>
      <c r="G384" s="19" t="s">
        <v>112</v>
      </c>
      <c r="H384" s="19" t="s">
        <v>558</v>
      </c>
      <c r="I384" s="19" t="s">
        <v>8</v>
      </c>
      <c r="J384" s="19" t="s">
        <v>114</v>
      </c>
      <c r="K384" s="19" t="s">
        <v>114</v>
      </c>
      <c r="L384" s="19" t="s">
        <v>151</v>
      </c>
      <c r="M384" s="20" t="s">
        <v>116</v>
      </c>
      <c r="N384" s="20"/>
      <c r="O384" s="20"/>
      <c r="P384" s="20" t="s">
        <v>117</v>
      </c>
    </row>
    <row r="385" spans="1:16" x14ac:dyDescent="0.3">
      <c r="A385" s="19">
        <f t="shared" si="5"/>
        <v>384</v>
      </c>
      <c r="B385" s="20" t="s">
        <v>87</v>
      </c>
      <c r="C385" s="20" t="s">
        <v>97</v>
      </c>
      <c r="D385" s="21" t="str">
        <f>IF($C385="","",IFERROR(VLOOKUP($C385,Map_Register!$A$2:$C$5,3,FALSE()),""))</f>
        <v>Military Zone</v>
      </c>
      <c r="E385" s="20" t="s">
        <v>111</v>
      </c>
      <c r="F385" s="22">
        <v>23042</v>
      </c>
      <c r="G385" s="19" t="s">
        <v>112</v>
      </c>
      <c r="H385" s="19" t="s">
        <v>559</v>
      </c>
      <c r="I385" s="19" t="s">
        <v>6</v>
      </c>
      <c r="J385" s="19"/>
      <c r="K385" s="19"/>
      <c r="L385" s="19" t="s">
        <v>398</v>
      </c>
      <c r="M385" s="20"/>
      <c r="N385" s="20"/>
      <c r="O385" s="20"/>
      <c r="P385" s="20" t="s">
        <v>117</v>
      </c>
    </row>
    <row r="386" spans="1:16" x14ac:dyDescent="0.3">
      <c r="A386" s="19">
        <f t="shared" ref="A386:A449" si="6">IF($B386="","",ROW()-1)</f>
        <v>385</v>
      </c>
      <c r="B386" s="20" t="s">
        <v>87</v>
      </c>
      <c r="C386" s="20" t="s">
        <v>97</v>
      </c>
      <c r="D386" s="21" t="str">
        <f>IF($C386="","",IFERROR(VLOOKUP($C386,Map_Register!$A$2:$C$5,3,FALSE()),""))</f>
        <v>Military Zone</v>
      </c>
      <c r="E386" s="20" t="s">
        <v>111</v>
      </c>
      <c r="F386" s="22">
        <v>23043</v>
      </c>
      <c r="G386" s="19" t="s">
        <v>112</v>
      </c>
      <c r="H386" s="19" t="s">
        <v>560</v>
      </c>
      <c r="I386" s="19" t="s">
        <v>8</v>
      </c>
      <c r="J386" s="19" t="s">
        <v>114</v>
      </c>
      <c r="K386" s="19" t="s">
        <v>114</v>
      </c>
      <c r="L386" s="19" t="s">
        <v>151</v>
      </c>
      <c r="M386" s="20" t="s">
        <v>116</v>
      </c>
      <c r="N386" s="20"/>
      <c r="O386" s="20"/>
      <c r="P386" s="20" t="s">
        <v>117</v>
      </c>
    </row>
    <row r="387" spans="1:16" x14ac:dyDescent="0.3">
      <c r="A387" s="19">
        <f t="shared" si="6"/>
        <v>386</v>
      </c>
      <c r="B387" s="20" t="s">
        <v>87</v>
      </c>
      <c r="C387" s="20" t="s">
        <v>97</v>
      </c>
      <c r="D387" s="21" t="str">
        <f>IF($C387="","",IFERROR(VLOOKUP($C387,Map_Register!$A$2:$C$5,3,FALSE()),""))</f>
        <v>Military Zone</v>
      </c>
      <c r="E387" s="20" t="s">
        <v>111</v>
      </c>
      <c r="F387" s="22">
        <v>23059</v>
      </c>
      <c r="G387" s="19" t="s">
        <v>112</v>
      </c>
      <c r="H387" s="19" t="s">
        <v>561</v>
      </c>
      <c r="I387" s="19" t="s">
        <v>8</v>
      </c>
      <c r="J387" s="19" t="s">
        <v>114</v>
      </c>
      <c r="K387" s="19" t="s">
        <v>114</v>
      </c>
      <c r="L387" s="19" t="s">
        <v>151</v>
      </c>
      <c r="M387" s="20" t="s">
        <v>116</v>
      </c>
      <c r="N387" s="20"/>
      <c r="O387" s="20"/>
      <c r="P387" s="20" t="s">
        <v>117</v>
      </c>
    </row>
    <row r="388" spans="1:16" x14ac:dyDescent="0.3">
      <c r="A388" s="19">
        <f t="shared" si="6"/>
        <v>387</v>
      </c>
      <c r="B388" s="20" t="s">
        <v>87</v>
      </c>
      <c r="C388" s="20" t="s">
        <v>97</v>
      </c>
      <c r="D388" s="21" t="str">
        <f>IF($C388="","",IFERROR(VLOOKUP($C388,Map_Register!$A$2:$C$5,3,FALSE()),""))</f>
        <v>Military Zone</v>
      </c>
      <c r="E388" s="20" t="s">
        <v>111</v>
      </c>
      <c r="F388" s="22">
        <v>23060</v>
      </c>
      <c r="G388" s="19" t="s">
        <v>112</v>
      </c>
      <c r="H388" s="19" t="s">
        <v>562</v>
      </c>
      <c r="I388" s="19" t="s">
        <v>8</v>
      </c>
      <c r="J388" s="19" t="s">
        <v>114</v>
      </c>
      <c r="K388" s="19" t="s">
        <v>114</v>
      </c>
      <c r="L388" s="19" t="s">
        <v>151</v>
      </c>
      <c r="M388" s="20" t="s">
        <v>116</v>
      </c>
      <c r="N388" s="20"/>
      <c r="O388" s="20"/>
      <c r="P388" s="20" t="s">
        <v>117</v>
      </c>
    </row>
    <row r="389" spans="1:16" x14ac:dyDescent="0.3">
      <c r="A389" s="19">
        <f t="shared" si="6"/>
        <v>388</v>
      </c>
      <c r="B389" s="20" t="s">
        <v>87</v>
      </c>
      <c r="C389" s="20" t="s">
        <v>97</v>
      </c>
      <c r="D389" s="21" t="str">
        <f>IF($C389="","",IFERROR(VLOOKUP($C389,Map_Register!$A$2:$C$5,3,FALSE()),""))</f>
        <v>Military Zone</v>
      </c>
      <c r="E389" s="20" t="s">
        <v>111</v>
      </c>
      <c r="F389" s="22">
        <v>23061</v>
      </c>
      <c r="G389" s="19" t="s">
        <v>112</v>
      </c>
      <c r="H389" s="19" t="s">
        <v>563</v>
      </c>
      <c r="I389" s="19" t="s">
        <v>8</v>
      </c>
      <c r="J389" s="19" t="s">
        <v>114</v>
      </c>
      <c r="K389" s="19" t="s">
        <v>114</v>
      </c>
      <c r="L389" s="19" t="s">
        <v>151</v>
      </c>
      <c r="M389" s="20" t="s">
        <v>116</v>
      </c>
      <c r="N389" s="20"/>
      <c r="O389" s="20"/>
      <c r="P389" s="20" t="s">
        <v>117</v>
      </c>
    </row>
    <row r="390" spans="1:16" x14ac:dyDescent="0.3">
      <c r="A390" s="19">
        <f t="shared" si="6"/>
        <v>389</v>
      </c>
      <c r="B390" s="20" t="s">
        <v>87</v>
      </c>
      <c r="C390" s="20" t="s">
        <v>97</v>
      </c>
      <c r="D390" s="21" t="str">
        <f>IF($C390="","",IFERROR(VLOOKUP($C390,Map_Register!$A$2:$C$5,3,FALSE()),""))</f>
        <v>Military Zone</v>
      </c>
      <c r="E390" s="20" t="s">
        <v>111</v>
      </c>
      <c r="F390" s="22">
        <v>23065</v>
      </c>
      <c r="G390" s="19" t="s">
        <v>112</v>
      </c>
      <c r="H390" s="19" t="s">
        <v>564</v>
      </c>
      <c r="I390" s="19" t="s">
        <v>8</v>
      </c>
      <c r="J390" s="19" t="s">
        <v>114</v>
      </c>
      <c r="K390" s="19" t="s">
        <v>114</v>
      </c>
      <c r="L390" s="19" t="s">
        <v>151</v>
      </c>
      <c r="M390" s="20" t="s">
        <v>116</v>
      </c>
      <c r="N390" s="20"/>
      <c r="O390" s="20"/>
      <c r="P390" s="20" t="s">
        <v>117</v>
      </c>
    </row>
    <row r="391" spans="1:16" x14ac:dyDescent="0.3">
      <c r="A391" s="19">
        <f t="shared" si="6"/>
        <v>390</v>
      </c>
      <c r="B391" s="20" t="s">
        <v>87</v>
      </c>
      <c r="C391" s="20" t="s">
        <v>97</v>
      </c>
      <c r="D391" s="21" t="str">
        <f>IF($C391="","",IFERROR(VLOOKUP($C391,Map_Register!$A$2:$C$5,3,FALSE()),""))</f>
        <v>Military Zone</v>
      </c>
      <c r="E391" s="20" t="s">
        <v>111</v>
      </c>
      <c r="F391" s="22">
        <v>23066</v>
      </c>
      <c r="G391" s="19" t="s">
        <v>112</v>
      </c>
      <c r="H391" s="19" t="s">
        <v>565</v>
      </c>
      <c r="I391" s="19" t="s">
        <v>8</v>
      </c>
      <c r="J391" s="19" t="s">
        <v>114</v>
      </c>
      <c r="K391" s="19" t="s">
        <v>114</v>
      </c>
      <c r="L391" s="19" t="s">
        <v>151</v>
      </c>
      <c r="M391" s="20" t="s">
        <v>116</v>
      </c>
      <c r="N391" s="20"/>
      <c r="O391" s="20"/>
      <c r="P391" s="20" t="s">
        <v>117</v>
      </c>
    </row>
    <row r="392" spans="1:16" x14ac:dyDescent="0.3">
      <c r="A392" s="19">
        <f t="shared" si="6"/>
        <v>391</v>
      </c>
      <c r="B392" s="20" t="s">
        <v>87</v>
      </c>
      <c r="C392" s="20" t="s">
        <v>97</v>
      </c>
      <c r="D392" s="21" t="str">
        <f>IF($C392="","",IFERROR(VLOOKUP($C392,Map_Register!$A$2:$C$5,3,FALSE()),""))</f>
        <v>Military Zone</v>
      </c>
      <c r="E392" s="20" t="s">
        <v>111</v>
      </c>
      <c r="F392" s="22">
        <v>23067</v>
      </c>
      <c r="G392" s="19" t="s">
        <v>112</v>
      </c>
      <c r="H392" s="19" t="s">
        <v>566</v>
      </c>
      <c r="I392" s="19" t="s">
        <v>8</v>
      </c>
      <c r="J392" s="19" t="s">
        <v>114</v>
      </c>
      <c r="K392" s="19" t="s">
        <v>114</v>
      </c>
      <c r="L392" s="19" t="s">
        <v>151</v>
      </c>
      <c r="M392" s="20" t="s">
        <v>116</v>
      </c>
      <c r="N392" s="20"/>
      <c r="O392" s="20"/>
      <c r="P392" s="20" t="s">
        <v>117</v>
      </c>
    </row>
    <row r="393" spans="1:16" x14ac:dyDescent="0.3">
      <c r="A393" s="19">
        <f t="shared" si="6"/>
        <v>392</v>
      </c>
      <c r="B393" s="20" t="s">
        <v>87</v>
      </c>
      <c r="C393" s="20" t="s">
        <v>97</v>
      </c>
      <c r="D393" s="21" t="str">
        <f>IF($C393="","",IFERROR(VLOOKUP($C393,Map_Register!$A$2:$C$5,3,FALSE()),""))</f>
        <v>Military Zone</v>
      </c>
      <c r="E393" s="20" t="s">
        <v>111</v>
      </c>
      <c r="F393" s="22">
        <v>23114</v>
      </c>
      <c r="G393" s="19" t="s">
        <v>112</v>
      </c>
      <c r="H393" s="19" t="s">
        <v>567</v>
      </c>
      <c r="I393" s="19" t="s">
        <v>8</v>
      </c>
      <c r="J393" s="19" t="s">
        <v>114</v>
      </c>
      <c r="K393" s="19" t="s">
        <v>114</v>
      </c>
      <c r="L393" s="19" t="s">
        <v>151</v>
      </c>
      <c r="M393" s="20" t="s">
        <v>116</v>
      </c>
      <c r="N393" s="20"/>
      <c r="O393" s="20"/>
      <c r="P393" s="20" t="s">
        <v>117</v>
      </c>
    </row>
    <row r="394" spans="1:16" x14ac:dyDescent="0.3">
      <c r="A394" s="19">
        <f t="shared" si="6"/>
        <v>393</v>
      </c>
      <c r="B394" s="20" t="s">
        <v>87</v>
      </c>
      <c r="C394" s="20" t="s">
        <v>97</v>
      </c>
      <c r="D394" s="21" t="str">
        <f>IF($C394="","",IFERROR(VLOOKUP($C394,Map_Register!$A$2:$C$5,3,FALSE()),""))</f>
        <v>Military Zone</v>
      </c>
      <c r="E394" s="20" t="s">
        <v>111</v>
      </c>
      <c r="F394" s="22">
        <v>23115</v>
      </c>
      <c r="G394" s="19" t="s">
        <v>112</v>
      </c>
      <c r="H394" s="19" t="s">
        <v>568</v>
      </c>
      <c r="I394" s="19" t="s">
        <v>8</v>
      </c>
      <c r="J394" s="19" t="s">
        <v>114</v>
      </c>
      <c r="K394" s="19" t="s">
        <v>114</v>
      </c>
      <c r="L394" s="19" t="s">
        <v>151</v>
      </c>
      <c r="M394" s="20" t="s">
        <v>116</v>
      </c>
      <c r="N394" s="20"/>
      <c r="O394" s="20"/>
      <c r="P394" s="20" t="s">
        <v>117</v>
      </c>
    </row>
    <row r="395" spans="1:16" x14ac:dyDescent="0.3">
      <c r="A395" s="19">
        <f t="shared" si="6"/>
        <v>394</v>
      </c>
      <c r="B395" s="20" t="s">
        <v>87</v>
      </c>
      <c r="C395" s="20" t="s">
        <v>97</v>
      </c>
      <c r="D395" s="21" t="str">
        <f>IF($C395="","",IFERROR(VLOOKUP($C395,Map_Register!$A$2:$C$5,3,FALSE()),""))</f>
        <v>Military Zone</v>
      </c>
      <c r="E395" s="20" t="s">
        <v>111</v>
      </c>
      <c r="F395" s="22">
        <v>23116</v>
      </c>
      <c r="G395" s="19" t="s">
        <v>112</v>
      </c>
      <c r="H395" s="19" t="s">
        <v>569</v>
      </c>
      <c r="I395" s="19" t="s">
        <v>8</v>
      </c>
      <c r="J395" s="19" t="s">
        <v>114</v>
      </c>
      <c r="K395" s="19" t="s">
        <v>114</v>
      </c>
      <c r="L395" s="19" t="s">
        <v>151</v>
      </c>
      <c r="M395" s="20" t="s">
        <v>116</v>
      </c>
      <c r="N395" s="20"/>
      <c r="O395" s="20"/>
      <c r="P395" s="20" t="s">
        <v>117</v>
      </c>
    </row>
    <row r="396" spans="1:16" x14ac:dyDescent="0.3">
      <c r="A396" s="19">
        <f t="shared" si="6"/>
        <v>395</v>
      </c>
      <c r="B396" s="20" t="s">
        <v>87</v>
      </c>
      <c r="C396" s="20" t="s">
        <v>97</v>
      </c>
      <c r="D396" s="21" t="str">
        <f>IF($C396="","",IFERROR(VLOOKUP($C396,Map_Register!$A$2:$C$5,3,FALSE()),""))</f>
        <v>Military Zone</v>
      </c>
      <c r="E396" s="20" t="s">
        <v>111</v>
      </c>
      <c r="F396" s="22">
        <v>23117</v>
      </c>
      <c r="G396" s="19" t="s">
        <v>112</v>
      </c>
      <c r="H396" s="19" t="s">
        <v>570</v>
      </c>
      <c r="I396" s="19" t="s">
        <v>8</v>
      </c>
      <c r="J396" s="19" t="s">
        <v>114</v>
      </c>
      <c r="K396" s="19" t="s">
        <v>114</v>
      </c>
      <c r="L396" s="19" t="s">
        <v>151</v>
      </c>
      <c r="M396" s="20" t="s">
        <v>116</v>
      </c>
      <c r="N396" s="20"/>
      <c r="O396" s="20"/>
      <c r="P396" s="20" t="s">
        <v>117</v>
      </c>
    </row>
    <row r="397" spans="1:16" x14ac:dyDescent="0.3">
      <c r="A397" s="19">
        <f t="shared" si="6"/>
        <v>396</v>
      </c>
      <c r="B397" s="20" t="s">
        <v>87</v>
      </c>
      <c r="C397" s="20" t="s">
        <v>97</v>
      </c>
      <c r="D397" s="21" t="str">
        <f>IF($C397="","",IFERROR(VLOOKUP($C397,Map_Register!$A$2:$C$5,3,FALSE()),""))</f>
        <v>Military Zone</v>
      </c>
      <c r="E397" s="20" t="s">
        <v>111</v>
      </c>
      <c r="F397" s="22">
        <v>23118</v>
      </c>
      <c r="G397" s="19" t="s">
        <v>112</v>
      </c>
      <c r="H397" s="19" t="s">
        <v>571</v>
      </c>
      <c r="I397" s="19" t="s">
        <v>8</v>
      </c>
      <c r="J397" s="19" t="s">
        <v>114</v>
      </c>
      <c r="K397" s="19" t="s">
        <v>114</v>
      </c>
      <c r="L397" s="19" t="s">
        <v>151</v>
      </c>
      <c r="M397" s="20" t="s">
        <v>116</v>
      </c>
      <c r="N397" s="20"/>
      <c r="O397" s="20"/>
      <c r="P397" s="20" t="s">
        <v>117</v>
      </c>
    </row>
    <row r="398" spans="1:16" x14ac:dyDescent="0.3">
      <c r="A398" s="19">
        <f t="shared" si="6"/>
        <v>397</v>
      </c>
      <c r="B398" s="20" t="s">
        <v>87</v>
      </c>
      <c r="C398" s="20" t="s">
        <v>97</v>
      </c>
      <c r="D398" s="21" t="str">
        <f>IF($C398="","",IFERROR(VLOOKUP($C398,Map_Register!$A$2:$C$5,3,FALSE()),""))</f>
        <v>Military Zone</v>
      </c>
      <c r="E398" s="20" t="s">
        <v>111</v>
      </c>
      <c r="F398" s="22">
        <v>23119</v>
      </c>
      <c r="G398" s="19" t="s">
        <v>112</v>
      </c>
      <c r="H398" s="19" t="s">
        <v>572</v>
      </c>
      <c r="I398" s="19" t="s">
        <v>8</v>
      </c>
      <c r="J398" s="19" t="s">
        <v>114</v>
      </c>
      <c r="K398" s="19" t="s">
        <v>114</v>
      </c>
      <c r="L398" s="19" t="s">
        <v>151</v>
      </c>
      <c r="M398" s="20" t="s">
        <v>116</v>
      </c>
      <c r="N398" s="20"/>
      <c r="O398" s="20"/>
      <c r="P398" s="20" t="s">
        <v>117</v>
      </c>
    </row>
    <row r="399" spans="1:16" x14ac:dyDescent="0.3">
      <c r="A399" s="19">
        <f t="shared" si="6"/>
        <v>398</v>
      </c>
      <c r="B399" s="20" t="s">
        <v>87</v>
      </c>
      <c r="C399" s="20" t="s">
        <v>97</v>
      </c>
      <c r="D399" s="21" t="str">
        <f>IF($C399="","",IFERROR(VLOOKUP($C399,Map_Register!$A$2:$C$5,3,FALSE()),""))</f>
        <v>Military Zone</v>
      </c>
      <c r="E399" s="20" t="s">
        <v>111</v>
      </c>
      <c r="F399" s="22">
        <v>23365</v>
      </c>
      <c r="G399" s="19" t="s">
        <v>112</v>
      </c>
      <c r="H399" s="19" t="s">
        <v>573</v>
      </c>
      <c r="I399" s="19" t="s">
        <v>8</v>
      </c>
      <c r="J399" s="19" t="s">
        <v>114</v>
      </c>
      <c r="K399" s="19" t="s">
        <v>114</v>
      </c>
      <c r="L399" s="19" t="s">
        <v>151</v>
      </c>
      <c r="M399" s="20" t="s">
        <v>116</v>
      </c>
      <c r="N399" s="20"/>
      <c r="O399" s="20"/>
      <c r="P399" s="20" t="s">
        <v>117</v>
      </c>
    </row>
    <row r="400" spans="1:16" x14ac:dyDescent="0.3">
      <c r="A400" s="19">
        <f t="shared" si="6"/>
        <v>399</v>
      </c>
      <c r="B400" s="20" t="s">
        <v>87</v>
      </c>
      <c r="C400" s="20" t="s">
        <v>97</v>
      </c>
      <c r="D400" s="21" t="str">
        <f>IF($C400="","",IFERROR(VLOOKUP($C400,Map_Register!$A$2:$C$5,3,FALSE()),""))</f>
        <v>Military Zone</v>
      </c>
      <c r="E400" s="20" t="s">
        <v>111</v>
      </c>
      <c r="F400" s="22">
        <v>23446</v>
      </c>
      <c r="G400" s="19" t="s">
        <v>112</v>
      </c>
      <c r="H400" s="19" t="s">
        <v>574</v>
      </c>
      <c r="I400" s="19" t="s">
        <v>8</v>
      </c>
      <c r="J400" s="19" t="s">
        <v>114</v>
      </c>
      <c r="K400" s="19" t="s">
        <v>114</v>
      </c>
      <c r="L400" s="19" t="s">
        <v>151</v>
      </c>
      <c r="M400" s="20" t="s">
        <v>116</v>
      </c>
      <c r="N400" s="20"/>
      <c r="O400" s="20"/>
      <c r="P400" s="20" t="s">
        <v>117</v>
      </c>
    </row>
    <row r="401" spans="1:16" x14ac:dyDescent="0.3">
      <c r="A401" s="19">
        <f t="shared" si="6"/>
        <v>400</v>
      </c>
      <c r="B401" s="20" t="s">
        <v>87</v>
      </c>
      <c r="C401" s="20" t="s">
        <v>97</v>
      </c>
      <c r="D401" s="21" t="str">
        <f>IF($C401="","",IFERROR(VLOOKUP($C401,Map_Register!$A$2:$C$5,3,FALSE()),""))</f>
        <v>Military Zone</v>
      </c>
      <c r="E401" s="20" t="s">
        <v>111</v>
      </c>
      <c r="F401" s="22">
        <v>23664</v>
      </c>
      <c r="G401" s="19" t="s">
        <v>112</v>
      </c>
      <c r="H401" s="19" t="s">
        <v>575</v>
      </c>
      <c r="I401" s="19" t="s">
        <v>8</v>
      </c>
      <c r="J401" s="19" t="s">
        <v>114</v>
      </c>
      <c r="K401" s="19" t="s">
        <v>114</v>
      </c>
      <c r="L401" s="19" t="s">
        <v>151</v>
      </c>
      <c r="M401" s="20" t="s">
        <v>116</v>
      </c>
      <c r="N401" s="20"/>
      <c r="O401" s="20"/>
      <c r="P401" s="20" t="s">
        <v>117</v>
      </c>
    </row>
    <row r="402" spans="1:16" x14ac:dyDescent="0.3">
      <c r="A402" s="19">
        <f t="shared" si="6"/>
        <v>401</v>
      </c>
      <c r="B402" s="20" t="s">
        <v>87</v>
      </c>
      <c r="C402" s="20" t="s">
        <v>97</v>
      </c>
      <c r="D402" s="21" t="str">
        <f>IF($C402="","",IFERROR(VLOOKUP($C402,Map_Register!$A$2:$C$5,3,FALSE()),""))</f>
        <v>Military Zone</v>
      </c>
      <c r="E402" s="20" t="s">
        <v>111</v>
      </c>
      <c r="F402" s="22">
        <v>23665</v>
      </c>
      <c r="G402" s="19" t="s">
        <v>112</v>
      </c>
      <c r="H402" s="19" t="s">
        <v>576</v>
      </c>
      <c r="I402" s="19" t="s">
        <v>8</v>
      </c>
      <c r="J402" s="19" t="s">
        <v>114</v>
      </c>
      <c r="K402" s="19" t="s">
        <v>114</v>
      </c>
      <c r="L402" s="19" t="s">
        <v>151</v>
      </c>
      <c r="M402" s="20" t="s">
        <v>116</v>
      </c>
      <c r="N402" s="20"/>
      <c r="O402" s="20"/>
      <c r="P402" s="20" t="s">
        <v>117</v>
      </c>
    </row>
    <row r="403" spans="1:16" x14ac:dyDescent="0.3">
      <c r="A403" s="19">
        <f t="shared" si="6"/>
        <v>402</v>
      </c>
      <c r="B403" s="20" t="s">
        <v>87</v>
      </c>
      <c r="C403" s="20" t="s">
        <v>97</v>
      </c>
      <c r="D403" s="21" t="str">
        <f>IF($C403="","",IFERROR(VLOOKUP($C403,Map_Register!$A$2:$C$5,3,FALSE()),""))</f>
        <v>Military Zone</v>
      </c>
      <c r="E403" s="20" t="s">
        <v>111</v>
      </c>
      <c r="F403" s="22">
        <v>23829</v>
      </c>
      <c r="G403" s="19" t="s">
        <v>112</v>
      </c>
      <c r="H403" s="19" t="s">
        <v>577</v>
      </c>
      <c r="I403" s="19" t="s">
        <v>8</v>
      </c>
      <c r="J403" s="19" t="s">
        <v>114</v>
      </c>
      <c r="K403" t="s">
        <v>114</v>
      </c>
      <c r="L403" s="19" t="s">
        <v>578</v>
      </c>
      <c r="M403" s="20" t="s">
        <v>116</v>
      </c>
      <c r="N403" s="20"/>
      <c r="O403" s="20"/>
      <c r="P403" s="20" t="s">
        <v>117</v>
      </c>
    </row>
    <row r="404" spans="1:16" x14ac:dyDescent="0.3">
      <c r="A404" s="19">
        <f t="shared" si="6"/>
        <v>403</v>
      </c>
      <c r="B404" s="20" t="s">
        <v>87</v>
      </c>
      <c r="C404" s="20" t="s">
        <v>97</v>
      </c>
      <c r="D404" s="21" t="str">
        <f>IF($C404="","",IFERROR(VLOOKUP($C404,Map_Register!$A$2:$C$5,3,FALSE()),""))</f>
        <v>Military Zone</v>
      </c>
      <c r="E404" s="20" t="s">
        <v>111</v>
      </c>
      <c r="F404" s="22">
        <v>24202</v>
      </c>
      <c r="G404" s="19" t="s">
        <v>112</v>
      </c>
      <c r="H404" s="19" t="s">
        <v>147</v>
      </c>
      <c r="I404" s="19" t="s">
        <v>8</v>
      </c>
      <c r="J404" s="19" t="s">
        <v>114</v>
      </c>
      <c r="K404" s="19" t="s">
        <v>114</v>
      </c>
      <c r="L404" s="19" t="s">
        <v>151</v>
      </c>
      <c r="M404" s="20" t="s">
        <v>116</v>
      </c>
      <c r="N404" s="20"/>
      <c r="O404" s="20"/>
      <c r="P404" s="20" t="s">
        <v>117</v>
      </c>
    </row>
    <row r="405" spans="1:16" x14ac:dyDescent="0.3">
      <c r="A405" s="19">
        <f t="shared" si="6"/>
        <v>404</v>
      </c>
      <c r="B405" s="20" t="s">
        <v>87</v>
      </c>
      <c r="C405" s="20" t="s">
        <v>97</v>
      </c>
      <c r="D405" s="21" t="str">
        <f>IF($C405="","",IFERROR(VLOOKUP($C405,Map_Register!$A$2:$C$5,3,FALSE()),""))</f>
        <v>Military Zone</v>
      </c>
      <c r="E405" s="20" t="s">
        <v>111</v>
      </c>
      <c r="F405" s="22">
        <v>24306</v>
      </c>
      <c r="G405" s="19" t="s">
        <v>112</v>
      </c>
      <c r="H405" s="19" t="s">
        <v>579</v>
      </c>
      <c r="I405" s="19" t="s">
        <v>8</v>
      </c>
      <c r="J405" s="19" t="s">
        <v>114</v>
      </c>
      <c r="K405" s="19" t="s">
        <v>114</v>
      </c>
      <c r="L405" s="19" t="s">
        <v>151</v>
      </c>
      <c r="M405" s="20" t="s">
        <v>116</v>
      </c>
      <c r="N405" s="20"/>
      <c r="O405" s="20"/>
      <c r="P405" s="20" t="s">
        <v>117</v>
      </c>
    </row>
    <row r="406" spans="1:16" x14ac:dyDescent="0.3">
      <c r="A406" s="19">
        <f t="shared" si="6"/>
        <v>405</v>
      </c>
      <c r="B406" s="20" t="s">
        <v>87</v>
      </c>
      <c r="C406" s="20" t="s">
        <v>97</v>
      </c>
      <c r="D406" s="21" t="str">
        <f>IF($C406="","",IFERROR(VLOOKUP($C406,Map_Register!$A$2:$C$5,3,FALSE()),""))</f>
        <v>Military Zone</v>
      </c>
      <c r="E406" s="20" t="s">
        <v>111</v>
      </c>
      <c r="F406" s="22">
        <v>24307</v>
      </c>
      <c r="G406" s="19" t="s">
        <v>112</v>
      </c>
      <c r="H406" s="19" t="s">
        <v>580</v>
      </c>
      <c r="I406" s="19" t="s">
        <v>8</v>
      </c>
      <c r="J406" s="19" t="s">
        <v>114</v>
      </c>
      <c r="K406" s="19" t="s">
        <v>114</v>
      </c>
      <c r="L406" s="19" t="s">
        <v>151</v>
      </c>
      <c r="M406" s="20" t="s">
        <v>116</v>
      </c>
      <c r="N406" s="20"/>
      <c r="O406" s="20"/>
      <c r="P406" s="20" t="s">
        <v>117</v>
      </c>
    </row>
    <row r="407" spans="1:16" x14ac:dyDescent="0.3">
      <c r="A407" s="19">
        <f t="shared" si="6"/>
        <v>406</v>
      </c>
      <c r="B407" s="20" t="s">
        <v>87</v>
      </c>
      <c r="C407" s="20" t="s">
        <v>97</v>
      </c>
      <c r="D407" s="21" t="str">
        <f>IF($C407="","",IFERROR(VLOOKUP($C407,Map_Register!$A$2:$C$5,3,FALSE()),""))</f>
        <v>Military Zone</v>
      </c>
      <c r="E407" s="20" t="s">
        <v>111</v>
      </c>
      <c r="F407" s="22">
        <v>24308</v>
      </c>
      <c r="G407" s="19" t="s">
        <v>112</v>
      </c>
      <c r="H407" s="19" t="s">
        <v>581</v>
      </c>
      <c r="I407" s="19" t="s">
        <v>8</v>
      </c>
      <c r="J407" s="19" t="s">
        <v>114</v>
      </c>
      <c r="K407" s="19" t="s">
        <v>114</v>
      </c>
      <c r="L407" s="19" t="s">
        <v>151</v>
      </c>
      <c r="M407" s="20" t="s">
        <v>116</v>
      </c>
      <c r="N407" s="20"/>
      <c r="O407" s="20"/>
      <c r="P407" s="20" t="s">
        <v>117</v>
      </c>
    </row>
    <row r="408" spans="1:16" x14ac:dyDescent="0.3">
      <c r="A408" s="19">
        <f t="shared" si="6"/>
        <v>407</v>
      </c>
      <c r="B408" s="20" t="s">
        <v>87</v>
      </c>
      <c r="C408" s="20" t="s">
        <v>97</v>
      </c>
      <c r="D408" s="21" t="str">
        <f>IF($C408="","",IFERROR(VLOOKUP($C408,Map_Register!$A$2:$C$5,3,FALSE()),""))</f>
        <v>Military Zone</v>
      </c>
      <c r="E408" s="20" t="s">
        <v>111</v>
      </c>
      <c r="F408" s="22">
        <v>24309</v>
      </c>
      <c r="G408" s="19" t="s">
        <v>112</v>
      </c>
      <c r="H408" s="19" t="s">
        <v>582</v>
      </c>
      <c r="I408" s="19" t="s">
        <v>8</v>
      </c>
      <c r="J408" s="19" t="s">
        <v>114</v>
      </c>
      <c r="K408" s="19" t="s">
        <v>114</v>
      </c>
      <c r="L408" s="19" t="s">
        <v>151</v>
      </c>
      <c r="M408" s="20" t="s">
        <v>116</v>
      </c>
      <c r="N408" s="20"/>
      <c r="O408" s="20"/>
      <c r="P408" s="20" t="s">
        <v>117</v>
      </c>
    </row>
    <row r="409" spans="1:16" x14ac:dyDescent="0.3">
      <c r="A409" s="19">
        <f t="shared" si="6"/>
        <v>408</v>
      </c>
      <c r="B409" s="20" t="s">
        <v>87</v>
      </c>
      <c r="C409" s="20" t="s">
        <v>97</v>
      </c>
      <c r="D409" s="21" t="str">
        <f>IF($C409="","",IFERROR(VLOOKUP($C409,Map_Register!$A$2:$C$5,3,FALSE()),""))</f>
        <v>Military Zone</v>
      </c>
      <c r="E409" s="20" t="s">
        <v>111</v>
      </c>
      <c r="F409" s="22">
        <v>24314</v>
      </c>
      <c r="G409" s="19" t="s">
        <v>112</v>
      </c>
      <c r="H409" s="19" t="s">
        <v>583</v>
      </c>
      <c r="I409" s="19" t="s">
        <v>8</v>
      </c>
      <c r="J409" s="19" t="s">
        <v>114</v>
      </c>
      <c r="K409" s="19" t="s">
        <v>114</v>
      </c>
      <c r="L409" s="19" t="s">
        <v>151</v>
      </c>
      <c r="M409" s="20" t="s">
        <v>116</v>
      </c>
      <c r="N409" s="20"/>
      <c r="O409" s="20"/>
      <c r="P409" s="20" t="s">
        <v>117</v>
      </c>
    </row>
    <row r="410" spans="1:16" x14ac:dyDescent="0.3">
      <c r="A410" s="19">
        <f t="shared" si="6"/>
        <v>409</v>
      </c>
      <c r="B410" s="20" t="s">
        <v>87</v>
      </c>
      <c r="C410" s="20" t="s">
        <v>97</v>
      </c>
      <c r="D410" s="21" t="str">
        <f>IF($C410="","",IFERROR(VLOOKUP($C410,Map_Register!$A$2:$C$5,3,FALSE()),""))</f>
        <v>Military Zone</v>
      </c>
      <c r="E410" s="20" t="s">
        <v>111</v>
      </c>
      <c r="F410" s="22">
        <v>24390</v>
      </c>
      <c r="G410" s="19" t="s">
        <v>112</v>
      </c>
      <c r="H410" s="19" t="s">
        <v>584</v>
      </c>
      <c r="I410" s="19" t="s">
        <v>8</v>
      </c>
      <c r="J410" s="19" t="s">
        <v>114</v>
      </c>
      <c r="K410" s="19" t="s">
        <v>114</v>
      </c>
      <c r="L410" s="19" t="s">
        <v>151</v>
      </c>
      <c r="M410" s="20" t="s">
        <v>116</v>
      </c>
      <c r="N410" s="20"/>
      <c r="O410" s="20"/>
      <c r="P410" s="20" t="s">
        <v>117</v>
      </c>
    </row>
    <row r="411" spans="1:16" x14ac:dyDescent="0.3">
      <c r="A411" s="19">
        <f t="shared" si="6"/>
        <v>410</v>
      </c>
      <c r="B411" s="20" t="s">
        <v>87</v>
      </c>
      <c r="C411" s="20" t="s">
        <v>97</v>
      </c>
      <c r="D411" s="21" t="str">
        <f>IF($C411="","",IFERROR(VLOOKUP($C411,Map_Register!$A$2:$C$5,3,FALSE()),""))</f>
        <v>Military Zone</v>
      </c>
      <c r="E411" s="20" t="s">
        <v>111</v>
      </c>
      <c r="F411" s="22">
        <v>25205</v>
      </c>
      <c r="G411" s="19" t="s">
        <v>112</v>
      </c>
      <c r="H411" s="19" t="s">
        <v>585</v>
      </c>
      <c r="I411" s="19" t="s">
        <v>8</v>
      </c>
      <c r="J411" s="19" t="s">
        <v>114</v>
      </c>
      <c r="K411" s="19" t="s">
        <v>114</v>
      </c>
      <c r="L411" s="19" t="s">
        <v>151</v>
      </c>
      <c r="M411" s="20" t="s">
        <v>116</v>
      </c>
      <c r="N411" s="20"/>
      <c r="O411" s="20"/>
      <c r="P411" s="20" t="s">
        <v>117</v>
      </c>
    </row>
    <row r="412" spans="1:16" x14ac:dyDescent="0.3">
      <c r="A412" s="19">
        <f t="shared" si="6"/>
        <v>411</v>
      </c>
      <c r="B412" s="20" t="s">
        <v>87</v>
      </c>
      <c r="C412" s="20" t="s">
        <v>97</v>
      </c>
      <c r="D412" s="21" t="str">
        <f>IF($C412="","",IFERROR(VLOOKUP($C412,Map_Register!$A$2:$C$5,3,FALSE()),""))</f>
        <v>Military Zone</v>
      </c>
      <c r="E412" s="20" t="s">
        <v>111</v>
      </c>
      <c r="F412" s="22">
        <v>25206</v>
      </c>
      <c r="G412" s="19" t="s">
        <v>112</v>
      </c>
      <c r="H412" s="19" t="s">
        <v>586</v>
      </c>
      <c r="I412" s="19" t="s">
        <v>8</v>
      </c>
      <c r="J412" s="19" t="s">
        <v>114</v>
      </c>
      <c r="K412" s="19" t="s">
        <v>114</v>
      </c>
      <c r="L412" s="19" t="s">
        <v>151</v>
      </c>
      <c r="M412" s="20" t="s">
        <v>116</v>
      </c>
      <c r="N412" s="20"/>
      <c r="O412" s="20"/>
      <c r="P412" s="20" t="s">
        <v>117</v>
      </c>
    </row>
    <row r="413" spans="1:16" x14ac:dyDescent="0.3">
      <c r="A413" s="19">
        <f t="shared" si="6"/>
        <v>412</v>
      </c>
      <c r="B413" s="20" t="s">
        <v>87</v>
      </c>
      <c r="C413" s="20" t="s">
        <v>97</v>
      </c>
      <c r="D413" s="21" t="str">
        <f>IF($C413="","",IFERROR(VLOOKUP($C413,Map_Register!$A$2:$C$5,3,FALSE()),""))</f>
        <v>Military Zone</v>
      </c>
      <c r="E413" s="20" t="s">
        <v>111</v>
      </c>
      <c r="F413" s="22">
        <v>25207</v>
      </c>
      <c r="G413" s="19" t="s">
        <v>112</v>
      </c>
      <c r="H413" s="19" t="s">
        <v>587</v>
      </c>
      <c r="I413" s="19" t="s">
        <v>8</v>
      </c>
      <c r="J413" s="19" t="s">
        <v>114</v>
      </c>
      <c r="K413" s="19" t="s">
        <v>114</v>
      </c>
      <c r="L413" s="19" t="s">
        <v>151</v>
      </c>
      <c r="M413" s="20" t="s">
        <v>116</v>
      </c>
      <c r="N413" s="20"/>
      <c r="O413" s="20"/>
      <c r="P413" s="20" t="s">
        <v>117</v>
      </c>
    </row>
    <row r="414" spans="1:16" x14ac:dyDescent="0.3">
      <c r="A414" s="19">
        <f t="shared" si="6"/>
        <v>413</v>
      </c>
      <c r="B414" s="20" t="s">
        <v>87</v>
      </c>
      <c r="C414" s="20" t="s">
        <v>97</v>
      </c>
      <c r="D414" s="21" t="str">
        <f>IF($C414="","",IFERROR(VLOOKUP($C414,Map_Register!$A$2:$C$5,3,FALSE()),""))</f>
        <v>Military Zone</v>
      </c>
      <c r="E414" s="20" t="s">
        <v>111</v>
      </c>
      <c r="F414" s="22">
        <v>25209</v>
      </c>
      <c r="G414" s="19" t="s">
        <v>112</v>
      </c>
      <c r="H414" s="19" t="s">
        <v>588</v>
      </c>
      <c r="I414" s="19" t="s">
        <v>8</v>
      </c>
      <c r="J414" s="19" t="s">
        <v>114</v>
      </c>
      <c r="K414" s="19" t="s">
        <v>114</v>
      </c>
      <c r="L414" s="19" t="s">
        <v>151</v>
      </c>
      <c r="M414" s="20" t="s">
        <v>116</v>
      </c>
      <c r="N414" s="20"/>
      <c r="O414" s="20"/>
      <c r="P414" s="20" t="s">
        <v>117</v>
      </c>
    </row>
    <row r="415" spans="1:16" x14ac:dyDescent="0.3">
      <c r="A415" s="19">
        <f t="shared" si="6"/>
        <v>414</v>
      </c>
      <c r="B415" s="20" t="s">
        <v>87</v>
      </c>
      <c r="C415" s="20" t="s">
        <v>97</v>
      </c>
      <c r="D415" s="21" t="str">
        <f>IF($C415="","",IFERROR(VLOOKUP($C415,Map_Register!$A$2:$C$5,3,FALSE()),""))</f>
        <v>Military Zone</v>
      </c>
      <c r="E415" s="20" t="s">
        <v>111</v>
      </c>
      <c r="F415" s="22">
        <v>25210</v>
      </c>
      <c r="G415" s="19" t="s">
        <v>112</v>
      </c>
      <c r="H415" s="19" t="s">
        <v>589</v>
      </c>
      <c r="I415" s="19" t="s">
        <v>8</v>
      </c>
      <c r="J415" s="19" t="s">
        <v>114</v>
      </c>
      <c r="K415" s="19" t="s">
        <v>114</v>
      </c>
      <c r="L415" s="19" t="s">
        <v>151</v>
      </c>
      <c r="M415" s="20" t="s">
        <v>116</v>
      </c>
      <c r="N415" s="20"/>
      <c r="O415" s="20"/>
      <c r="P415" s="20" t="s">
        <v>117</v>
      </c>
    </row>
    <row r="416" spans="1:16" x14ac:dyDescent="0.3">
      <c r="A416" s="19">
        <f t="shared" si="6"/>
        <v>415</v>
      </c>
      <c r="B416" s="20" t="s">
        <v>87</v>
      </c>
      <c r="C416" s="20" t="s">
        <v>97</v>
      </c>
      <c r="D416" s="21" t="str">
        <f>IF($C416="","",IFERROR(VLOOKUP($C416,Map_Register!$A$2:$C$5,3,FALSE()),""))</f>
        <v>Military Zone</v>
      </c>
      <c r="E416" s="20" t="s">
        <v>111</v>
      </c>
      <c r="F416" s="22">
        <v>25211</v>
      </c>
      <c r="G416" s="19" t="s">
        <v>112</v>
      </c>
      <c r="H416" s="19" t="s">
        <v>590</v>
      </c>
      <c r="I416" s="19" t="s">
        <v>8</v>
      </c>
      <c r="J416" s="19" t="s">
        <v>114</v>
      </c>
      <c r="K416" t="s">
        <v>114</v>
      </c>
      <c r="L416" s="19" t="s">
        <v>165</v>
      </c>
      <c r="M416" s="20" t="s">
        <v>116</v>
      </c>
      <c r="N416" s="20"/>
      <c r="O416" s="20"/>
      <c r="P416" s="20" t="s">
        <v>117</v>
      </c>
    </row>
    <row r="417" spans="1:16" x14ac:dyDescent="0.3">
      <c r="A417" s="19">
        <f t="shared" si="6"/>
        <v>416</v>
      </c>
      <c r="B417" s="20" t="s">
        <v>87</v>
      </c>
      <c r="C417" s="20" t="s">
        <v>97</v>
      </c>
      <c r="D417" s="21" t="str">
        <f>IF($C417="","",IFERROR(VLOOKUP($C417,Map_Register!$A$2:$C$5,3,FALSE()),""))</f>
        <v>Military Zone</v>
      </c>
      <c r="E417" s="20" t="s">
        <v>111</v>
      </c>
      <c r="F417" s="22">
        <v>25212</v>
      </c>
      <c r="G417" s="19" t="s">
        <v>112</v>
      </c>
      <c r="H417" s="19" t="s">
        <v>591</v>
      </c>
      <c r="I417" s="19" t="s">
        <v>8</v>
      </c>
      <c r="J417" s="19" t="s">
        <v>114</v>
      </c>
      <c r="K417" t="s">
        <v>114</v>
      </c>
      <c r="L417" s="19" t="s">
        <v>165</v>
      </c>
      <c r="M417" s="20" t="s">
        <v>116</v>
      </c>
      <c r="N417" s="20"/>
      <c r="O417" s="20"/>
      <c r="P417" s="20" t="s">
        <v>117</v>
      </c>
    </row>
    <row r="418" spans="1:16" x14ac:dyDescent="0.3">
      <c r="A418" s="19">
        <f t="shared" si="6"/>
        <v>417</v>
      </c>
      <c r="B418" s="20" t="s">
        <v>87</v>
      </c>
      <c r="C418" s="20" t="s">
        <v>97</v>
      </c>
      <c r="D418" s="21" t="str">
        <f>IF($C418="","",IFERROR(VLOOKUP($C418,Map_Register!$A$2:$C$5,3,FALSE()),""))</f>
        <v>Military Zone</v>
      </c>
      <c r="E418" s="20" t="s">
        <v>111</v>
      </c>
      <c r="F418" s="22">
        <v>25213</v>
      </c>
      <c r="G418" s="19" t="s">
        <v>112</v>
      </c>
      <c r="H418" s="19" t="s">
        <v>592</v>
      </c>
      <c r="I418" s="19" t="s">
        <v>8</v>
      </c>
      <c r="J418" s="19" t="s">
        <v>114</v>
      </c>
      <c r="K418" s="19" t="s">
        <v>114</v>
      </c>
      <c r="L418" s="19" t="s">
        <v>151</v>
      </c>
      <c r="M418" s="20" t="s">
        <v>116</v>
      </c>
      <c r="N418" s="20"/>
      <c r="O418" s="20"/>
      <c r="P418" s="20" t="s">
        <v>117</v>
      </c>
    </row>
    <row r="419" spans="1:16" x14ac:dyDescent="0.3">
      <c r="A419" s="19">
        <f t="shared" si="6"/>
        <v>418</v>
      </c>
      <c r="B419" s="20" t="s">
        <v>87</v>
      </c>
      <c r="C419" s="20" t="s">
        <v>97</v>
      </c>
      <c r="D419" s="21" t="str">
        <f>IF($C419="","",IFERROR(VLOOKUP($C419,Map_Register!$A$2:$C$5,3,FALSE()),""))</f>
        <v>Military Zone</v>
      </c>
      <c r="E419" s="20" t="s">
        <v>111</v>
      </c>
      <c r="F419" s="22">
        <v>25214</v>
      </c>
      <c r="G419" s="19" t="s">
        <v>112</v>
      </c>
      <c r="H419" s="19" t="s">
        <v>593</v>
      </c>
      <c r="I419" s="19" t="s">
        <v>8</v>
      </c>
      <c r="J419" s="19" t="s">
        <v>114</v>
      </c>
      <c r="K419" s="19" t="s">
        <v>114</v>
      </c>
      <c r="L419" s="19" t="s">
        <v>151</v>
      </c>
      <c r="M419" s="20" t="s">
        <v>116</v>
      </c>
      <c r="N419" s="20"/>
      <c r="O419" s="20"/>
      <c r="P419" s="20" t="s">
        <v>117</v>
      </c>
    </row>
    <row r="420" spans="1:16" x14ac:dyDescent="0.3">
      <c r="A420" s="19">
        <f t="shared" si="6"/>
        <v>419</v>
      </c>
      <c r="B420" s="20" t="s">
        <v>87</v>
      </c>
      <c r="C420" s="20" t="s">
        <v>97</v>
      </c>
      <c r="D420" s="21" t="str">
        <f>IF($C420="","",IFERROR(VLOOKUP($C420,Map_Register!$A$2:$C$5,3,FALSE()),""))</f>
        <v>Military Zone</v>
      </c>
      <c r="E420" s="20" t="s">
        <v>111</v>
      </c>
      <c r="F420" s="22">
        <v>25215</v>
      </c>
      <c r="G420" s="19" t="s">
        <v>112</v>
      </c>
      <c r="H420" s="19" t="s">
        <v>594</v>
      </c>
      <c r="I420" s="19" t="s">
        <v>8</v>
      </c>
      <c r="J420" s="19" t="s">
        <v>114</v>
      </c>
      <c r="K420" s="19" t="s">
        <v>114</v>
      </c>
      <c r="L420" s="19" t="s">
        <v>151</v>
      </c>
      <c r="M420" s="20" t="s">
        <v>116</v>
      </c>
      <c r="N420" s="20"/>
      <c r="O420" s="20"/>
      <c r="P420" s="20" t="s">
        <v>117</v>
      </c>
    </row>
    <row r="421" spans="1:16" x14ac:dyDescent="0.3">
      <c r="A421" s="19">
        <f t="shared" si="6"/>
        <v>420</v>
      </c>
      <c r="B421" s="20" t="s">
        <v>87</v>
      </c>
      <c r="C421" s="20" t="s">
        <v>97</v>
      </c>
      <c r="D421" s="21" t="str">
        <f>IF($C421="","",IFERROR(VLOOKUP($C421,Map_Register!$A$2:$C$5,3,FALSE()),""))</f>
        <v>Military Zone</v>
      </c>
      <c r="E421" s="20" t="s">
        <v>111</v>
      </c>
      <c r="F421" s="22">
        <v>25216</v>
      </c>
      <c r="G421" s="19" t="s">
        <v>112</v>
      </c>
      <c r="H421" s="19" t="s">
        <v>595</v>
      </c>
      <c r="I421" s="19" t="s">
        <v>8</v>
      </c>
      <c r="J421" s="19" t="s">
        <v>114</v>
      </c>
      <c r="K421" s="19" t="s">
        <v>114</v>
      </c>
      <c r="L421" s="19" t="s">
        <v>151</v>
      </c>
      <c r="M421" s="20" t="s">
        <v>116</v>
      </c>
      <c r="N421" s="20"/>
      <c r="O421" s="20"/>
      <c r="P421" s="20" t="s">
        <v>117</v>
      </c>
    </row>
    <row r="422" spans="1:16" x14ac:dyDescent="0.3">
      <c r="A422" s="19">
        <f t="shared" si="6"/>
        <v>421</v>
      </c>
      <c r="B422" s="20" t="s">
        <v>87</v>
      </c>
      <c r="C422" s="20" t="s">
        <v>97</v>
      </c>
      <c r="D422" s="21" t="str">
        <f>IF($C422="","",IFERROR(VLOOKUP($C422,Map_Register!$A$2:$C$5,3,FALSE()),""))</f>
        <v>Military Zone</v>
      </c>
      <c r="E422" s="20" t="s">
        <v>111</v>
      </c>
      <c r="F422" s="22">
        <v>25217</v>
      </c>
      <c r="G422" s="19" t="s">
        <v>112</v>
      </c>
      <c r="H422" s="19" t="s">
        <v>596</v>
      </c>
      <c r="I422" s="19" t="s">
        <v>8</v>
      </c>
      <c r="J422" s="19" t="s">
        <v>114</v>
      </c>
      <c r="K422" s="19" t="s">
        <v>114</v>
      </c>
      <c r="L422" s="19" t="s">
        <v>151</v>
      </c>
      <c r="M422" s="20" t="s">
        <v>116</v>
      </c>
      <c r="N422" s="20"/>
      <c r="O422" s="20"/>
      <c r="P422" s="20" t="s">
        <v>117</v>
      </c>
    </row>
    <row r="423" spans="1:16" x14ac:dyDescent="0.3">
      <c r="A423" s="19">
        <f t="shared" si="6"/>
        <v>422</v>
      </c>
      <c r="B423" s="20" t="s">
        <v>87</v>
      </c>
      <c r="C423" s="20" t="s">
        <v>97</v>
      </c>
      <c r="D423" s="21" t="str">
        <f>IF($C423="","",IFERROR(VLOOKUP($C423,Map_Register!$A$2:$C$5,3,FALSE()),""))</f>
        <v>Military Zone</v>
      </c>
      <c r="E423" s="20" t="s">
        <v>111</v>
      </c>
      <c r="F423" s="22">
        <v>25218</v>
      </c>
      <c r="G423" s="19" t="s">
        <v>112</v>
      </c>
      <c r="H423" s="19" t="s">
        <v>597</v>
      </c>
      <c r="I423" s="19" t="s">
        <v>8</v>
      </c>
      <c r="J423" s="19" t="s">
        <v>114</v>
      </c>
      <c r="K423" s="19" t="s">
        <v>114</v>
      </c>
      <c r="L423" s="19" t="s">
        <v>336</v>
      </c>
      <c r="M423" s="20" t="s">
        <v>116</v>
      </c>
      <c r="N423" s="20"/>
      <c r="O423" s="20"/>
      <c r="P423" s="20" t="s">
        <v>117</v>
      </c>
    </row>
    <row r="424" spans="1:16" x14ac:dyDescent="0.3">
      <c r="A424" s="19">
        <f t="shared" si="6"/>
        <v>423</v>
      </c>
      <c r="B424" s="20" t="s">
        <v>87</v>
      </c>
      <c r="C424" s="20" t="s">
        <v>97</v>
      </c>
      <c r="D424" s="21" t="str">
        <f>IF($C424="","",IFERROR(VLOOKUP($C424,Map_Register!$A$2:$C$5,3,FALSE()),""))</f>
        <v>Military Zone</v>
      </c>
      <c r="E424" s="20" t="s">
        <v>111</v>
      </c>
      <c r="F424" s="22">
        <v>25220</v>
      </c>
      <c r="G424" s="19" t="s">
        <v>112</v>
      </c>
      <c r="H424" s="19" t="s">
        <v>598</v>
      </c>
      <c r="I424" s="19" t="s">
        <v>8</v>
      </c>
      <c r="J424" s="19" t="s">
        <v>114</v>
      </c>
      <c r="K424" s="19" t="s">
        <v>114</v>
      </c>
      <c r="L424" s="19" t="s">
        <v>151</v>
      </c>
      <c r="M424" s="20" t="s">
        <v>116</v>
      </c>
      <c r="N424" s="20"/>
      <c r="O424" s="20"/>
      <c r="P424" s="20" t="s">
        <v>117</v>
      </c>
    </row>
    <row r="425" spans="1:16" x14ac:dyDescent="0.3">
      <c r="A425" s="19">
        <f t="shared" si="6"/>
        <v>424</v>
      </c>
      <c r="B425" s="20" t="s">
        <v>87</v>
      </c>
      <c r="C425" s="20" t="s">
        <v>97</v>
      </c>
      <c r="D425" s="21" t="str">
        <f>IF($C425="","",IFERROR(VLOOKUP($C425,Map_Register!$A$2:$C$5,3,FALSE()),""))</f>
        <v>Military Zone</v>
      </c>
      <c r="E425" s="20" t="s">
        <v>111</v>
      </c>
      <c r="F425" s="22">
        <v>25222</v>
      </c>
      <c r="G425" s="19" t="s">
        <v>112</v>
      </c>
      <c r="H425" s="19" t="s">
        <v>599</v>
      </c>
      <c r="I425" s="19" t="s">
        <v>8</v>
      </c>
      <c r="J425" s="19" t="s">
        <v>114</v>
      </c>
      <c r="K425" s="19" t="s">
        <v>114</v>
      </c>
      <c r="L425" s="19" t="s">
        <v>151</v>
      </c>
      <c r="M425" s="20" t="s">
        <v>116</v>
      </c>
      <c r="N425" s="20"/>
      <c r="O425" s="20"/>
      <c r="P425" s="20" t="s">
        <v>117</v>
      </c>
    </row>
    <row r="426" spans="1:16" x14ac:dyDescent="0.3">
      <c r="A426" s="19">
        <f t="shared" si="6"/>
        <v>425</v>
      </c>
      <c r="B426" s="20" t="s">
        <v>87</v>
      </c>
      <c r="C426" s="20" t="s">
        <v>97</v>
      </c>
      <c r="D426" s="21" t="str">
        <f>IF($C426="","",IFERROR(VLOOKUP($C426,Map_Register!$A$2:$C$5,3,FALSE()),""))</f>
        <v>Military Zone</v>
      </c>
      <c r="E426" s="20" t="s">
        <v>111</v>
      </c>
      <c r="F426" s="22">
        <v>25223</v>
      </c>
      <c r="G426" s="19" t="s">
        <v>112</v>
      </c>
      <c r="H426" s="19" t="s">
        <v>600</v>
      </c>
      <c r="I426" s="19" t="s">
        <v>8</v>
      </c>
      <c r="J426" s="19" t="s">
        <v>114</v>
      </c>
      <c r="K426" s="19" t="s">
        <v>114</v>
      </c>
      <c r="L426" s="19" t="s">
        <v>151</v>
      </c>
      <c r="M426" s="20" t="s">
        <v>116</v>
      </c>
      <c r="N426" s="20"/>
      <c r="O426" s="20"/>
      <c r="P426" s="20" t="s">
        <v>117</v>
      </c>
    </row>
    <row r="427" spans="1:16" x14ac:dyDescent="0.3">
      <c r="A427" s="19">
        <f t="shared" si="6"/>
        <v>426</v>
      </c>
      <c r="B427" s="20" t="s">
        <v>87</v>
      </c>
      <c r="C427" s="20" t="s">
        <v>97</v>
      </c>
      <c r="D427" s="21" t="str">
        <f>IF($C427="","",IFERROR(VLOOKUP($C427,Map_Register!$A$2:$C$5,3,FALSE()),""))</f>
        <v>Military Zone</v>
      </c>
      <c r="E427" s="20" t="s">
        <v>111</v>
      </c>
      <c r="F427" s="22">
        <v>25224</v>
      </c>
      <c r="G427" s="19" t="s">
        <v>112</v>
      </c>
      <c r="H427" s="19" t="s">
        <v>601</v>
      </c>
      <c r="I427" s="19" t="s">
        <v>8</v>
      </c>
      <c r="J427" s="19" t="s">
        <v>114</v>
      </c>
      <c r="K427" s="19" t="s">
        <v>114</v>
      </c>
      <c r="L427" s="19" t="s">
        <v>151</v>
      </c>
      <c r="M427" s="20" t="s">
        <v>116</v>
      </c>
      <c r="N427" s="20"/>
      <c r="O427" s="20"/>
      <c r="P427" s="20" t="s">
        <v>117</v>
      </c>
    </row>
    <row r="428" spans="1:16" x14ac:dyDescent="0.3">
      <c r="A428" s="19">
        <f t="shared" si="6"/>
        <v>427</v>
      </c>
      <c r="B428" s="20" t="s">
        <v>87</v>
      </c>
      <c r="C428" s="20" t="s">
        <v>97</v>
      </c>
      <c r="D428" s="21" t="str">
        <f>IF($C428="","",IFERROR(VLOOKUP($C428,Map_Register!$A$2:$C$5,3,FALSE()),""))</f>
        <v>Military Zone</v>
      </c>
      <c r="E428" s="20" t="s">
        <v>111</v>
      </c>
      <c r="F428" s="22">
        <v>25226</v>
      </c>
      <c r="G428" s="19" t="s">
        <v>112</v>
      </c>
      <c r="H428" s="19" t="s">
        <v>602</v>
      </c>
      <c r="I428" s="19" t="s">
        <v>8</v>
      </c>
      <c r="J428" s="19" t="s">
        <v>114</v>
      </c>
      <c r="K428" s="19" t="s">
        <v>114</v>
      </c>
      <c r="L428" s="19" t="s">
        <v>151</v>
      </c>
      <c r="M428" s="20" t="s">
        <v>116</v>
      </c>
      <c r="N428" s="20"/>
      <c r="O428" s="20"/>
      <c r="P428" s="20" t="s">
        <v>117</v>
      </c>
    </row>
    <row r="429" spans="1:16" x14ac:dyDescent="0.3">
      <c r="A429" s="19">
        <f t="shared" si="6"/>
        <v>428</v>
      </c>
      <c r="B429" s="20" t="s">
        <v>87</v>
      </c>
      <c r="C429" s="20" t="s">
        <v>97</v>
      </c>
      <c r="D429" s="21" t="str">
        <f>IF($C429="","",IFERROR(VLOOKUP($C429,Map_Register!$A$2:$C$5,3,FALSE()),""))</f>
        <v>Military Zone</v>
      </c>
      <c r="E429" s="20" t="s">
        <v>111</v>
      </c>
      <c r="F429" s="22">
        <v>25228</v>
      </c>
      <c r="G429" s="19" t="s">
        <v>112</v>
      </c>
      <c r="H429" s="19" t="s">
        <v>603</v>
      </c>
      <c r="I429" s="19" t="s">
        <v>8</v>
      </c>
      <c r="J429" s="19" t="s">
        <v>114</v>
      </c>
      <c r="K429" s="19" t="s">
        <v>114</v>
      </c>
      <c r="L429" s="19" t="s">
        <v>151</v>
      </c>
      <c r="M429" s="20" t="s">
        <v>116</v>
      </c>
      <c r="N429" s="20"/>
      <c r="O429" s="20"/>
      <c r="P429" s="20" t="s">
        <v>117</v>
      </c>
    </row>
    <row r="430" spans="1:16" x14ac:dyDescent="0.3">
      <c r="A430" s="19">
        <f t="shared" si="6"/>
        <v>429</v>
      </c>
      <c r="B430" s="20" t="s">
        <v>87</v>
      </c>
      <c r="C430" s="20" t="s">
        <v>97</v>
      </c>
      <c r="D430" s="21" t="str">
        <f>IF($C430="","",IFERROR(VLOOKUP($C430,Map_Register!$A$2:$C$5,3,FALSE()),""))</f>
        <v>Military Zone</v>
      </c>
      <c r="E430" s="20" t="s">
        <v>111</v>
      </c>
      <c r="F430" s="22">
        <v>25754</v>
      </c>
      <c r="G430" s="19" t="s">
        <v>112</v>
      </c>
      <c r="H430" s="19" t="s">
        <v>604</v>
      </c>
      <c r="I430" s="19" t="s">
        <v>8</v>
      </c>
      <c r="J430" s="19" t="s">
        <v>114</v>
      </c>
      <c r="K430" t="s">
        <v>114</v>
      </c>
      <c r="L430" s="19" t="s">
        <v>165</v>
      </c>
      <c r="M430" s="20" t="s">
        <v>116</v>
      </c>
      <c r="N430" s="20"/>
      <c r="O430" s="20"/>
      <c r="P430" s="20" t="s">
        <v>117</v>
      </c>
    </row>
    <row r="431" spans="1:16" x14ac:dyDescent="0.3">
      <c r="A431" s="19">
        <f t="shared" si="6"/>
        <v>430</v>
      </c>
      <c r="B431" s="20" t="s">
        <v>87</v>
      </c>
      <c r="C431" s="20" t="s">
        <v>97</v>
      </c>
      <c r="D431" s="21" t="str">
        <f>IF($C431="","",IFERROR(VLOOKUP($C431,Map_Register!$A$2:$C$5,3,FALSE()),""))</f>
        <v>Military Zone</v>
      </c>
      <c r="E431" s="20" t="s">
        <v>111</v>
      </c>
      <c r="F431" s="22">
        <v>25755</v>
      </c>
      <c r="G431" s="19" t="s">
        <v>112</v>
      </c>
      <c r="H431" s="19" t="s">
        <v>605</v>
      </c>
      <c r="I431" s="19" t="s">
        <v>8</v>
      </c>
      <c r="J431" s="19" t="s">
        <v>114</v>
      </c>
      <c r="K431" s="19" t="s">
        <v>114</v>
      </c>
      <c r="L431" s="19" t="s">
        <v>151</v>
      </c>
      <c r="M431" s="20" t="s">
        <v>116</v>
      </c>
      <c r="N431" s="20"/>
      <c r="O431" s="20"/>
      <c r="P431" s="20" t="s">
        <v>117</v>
      </c>
    </row>
    <row r="432" spans="1:16" x14ac:dyDescent="0.3">
      <c r="A432" s="19">
        <f t="shared" si="6"/>
        <v>431</v>
      </c>
      <c r="B432" s="20" t="s">
        <v>87</v>
      </c>
      <c r="C432" s="20" t="s">
        <v>97</v>
      </c>
      <c r="D432" s="21" t="str">
        <f>IF($C432="","",IFERROR(VLOOKUP($C432,Map_Register!$A$2:$C$5,3,FALSE()),""))</f>
        <v>Military Zone</v>
      </c>
      <c r="E432" s="20" t="s">
        <v>111</v>
      </c>
      <c r="F432" s="22">
        <v>25756</v>
      </c>
      <c r="G432" s="19" t="s">
        <v>112</v>
      </c>
      <c r="H432" s="19" t="s">
        <v>606</v>
      </c>
      <c r="I432" s="19" t="s">
        <v>8</v>
      </c>
      <c r="J432" s="19" t="s">
        <v>114</v>
      </c>
      <c r="K432" s="19" t="s">
        <v>114</v>
      </c>
      <c r="L432" s="19" t="s">
        <v>151</v>
      </c>
      <c r="M432" s="20" t="s">
        <v>116</v>
      </c>
      <c r="N432" s="20"/>
      <c r="O432" s="20"/>
      <c r="P432" s="20" t="s">
        <v>117</v>
      </c>
    </row>
    <row r="433" spans="1:16" x14ac:dyDescent="0.3">
      <c r="A433" s="19">
        <f t="shared" si="6"/>
        <v>432</v>
      </c>
      <c r="B433" s="20" t="s">
        <v>87</v>
      </c>
      <c r="C433" s="20" t="s">
        <v>97</v>
      </c>
      <c r="D433" s="21" t="str">
        <f>IF($C433="","",IFERROR(VLOOKUP($C433,Map_Register!$A$2:$C$5,3,FALSE()),""))</f>
        <v>Military Zone</v>
      </c>
      <c r="E433" s="20" t="s">
        <v>111</v>
      </c>
      <c r="F433" s="22">
        <v>25757</v>
      </c>
      <c r="G433" s="19" t="s">
        <v>112</v>
      </c>
      <c r="H433" s="19" t="s">
        <v>607</v>
      </c>
      <c r="I433" s="19" t="s">
        <v>8</v>
      </c>
      <c r="J433" s="19" t="s">
        <v>114</v>
      </c>
      <c r="K433" s="19" t="s">
        <v>114</v>
      </c>
      <c r="L433" s="19" t="s">
        <v>151</v>
      </c>
      <c r="M433" s="20" t="s">
        <v>116</v>
      </c>
      <c r="N433" s="20"/>
      <c r="O433" s="20"/>
      <c r="P433" s="20" t="s">
        <v>117</v>
      </c>
    </row>
    <row r="434" spans="1:16" x14ac:dyDescent="0.3">
      <c r="A434" s="19">
        <f t="shared" si="6"/>
        <v>433</v>
      </c>
      <c r="B434" s="20" t="s">
        <v>87</v>
      </c>
      <c r="C434" s="20" t="s">
        <v>97</v>
      </c>
      <c r="D434" s="21" t="str">
        <f>IF($C434="","",IFERROR(VLOOKUP($C434,Map_Register!$A$2:$C$5,3,FALSE()),""))</f>
        <v>Military Zone</v>
      </c>
      <c r="E434" s="20" t="s">
        <v>111</v>
      </c>
      <c r="F434" s="22">
        <v>25758</v>
      </c>
      <c r="G434" s="19" t="s">
        <v>112</v>
      </c>
      <c r="H434" s="19" t="s">
        <v>608</v>
      </c>
      <c r="I434" s="19" t="s">
        <v>8</v>
      </c>
      <c r="J434" s="19" t="s">
        <v>114</v>
      </c>
      <c r="K434" s="19" t="s">
        <v>114</v>
      </c>
      <c r="L434" s="19" t="s">
        <v>165</v>
      </c>
      <c r="M434" s="20" t="s">
        <v>116</v>
      </c>
      <c r="N434" s="20"/>
      <c r="O434" s="20"/>
      <c r="P434" s="20" t="s">
        <v>117</v>
      </c>
    </row>
    <row r="435" spans="1:16" x14ac:dyDescent="0.3">
      <c r="A435" s="19">
        <f t="shared" si="6"/>
        <v>434</v>
      </c>
      <c r="B435" s="20" t="s">
        <v>87</v>
      </c>
      <c r="C435" s="20" t="s">
        <v>97</v>
      </c>
      <c r="D435" s="21" t="str">
        <f>IF($C435="","",IFERROR(VLOOKUP($C435,Map_Register!$A$2:$C$5,3,FALSE()),""))</f>
        <v>Military Zone</v>
      </c>
      <c r="E435" s="20" t="s">
        <v>111</v>
      </c>
      <c r="F435" s="22">
        <v>25759</v>
      </c>
      <c r="G435" s="19" t="s">
        <v>112</v>
      </c>
      <c r="H435" s="19" t="s">
        <v>609</v>
      </c>
      <c r="I435" s="19" t="s">
        <v>8</v>
      </c>
      <c r="J435" s="19" t="s">
        <v>114</v>
      </c>
      <c r="K435" s="19" t="s">
        <v>114</v>
      </c>
      <c r="L435" s="19" t="s">
        <v>151</v>
      </c>
      <c r="M435" s="20" t="s">
        <v>116</v>
      </c>
      <c r="N435" s="20"/>
      <c r="O435" s="20"/>
      <c r="P435" s="20" t="s">
        <v>117</v>
      </c>
    </row>
    <row r="436" spans="1:16" x14ac:dyDescent="0.3">
      <c r="A436" s="19">
        <f t="shared" si="6"/>
        <v>435</v>
      </c>
      <c r="B436" s="20" t="s">
        <v>87</v>
      </c>
      <c r="C436" s="20" t="s">
        <v>97</v>
      </c>
      <c r="D436" s="21" t="str">
        <f>IF($C436="","",IFERROR(VLOOKUP($C436,Map_Register!$A$2:$C$5,3,FALSE()),""))</f>
        <v>Military Zone</v>
      </c>
      <c r="E436" s="20" t="s">
        <v>111</v>
      </c>
      <c r="F436" s="22">
        <v>26010</v>
      </c>
      <c r="G436" s="19" t="s">
        <v>112</v>
      </c>
      <c r="H436" s="19" t="s">
        <v>610</v>
      </c>
      <c r="I436" s="19" t="s">
        <v>8</v>
      </c>
      <c r="J436" s="19" t="s">
        <v>114</v>
      </c>
      <c r="K436" s="19" t="s">
        <v>114</v>
      </c>
      <c r="L436" s="19" t="s">
        <v>151</v>
      </c>
      <c r="M436" s="20" t="s">
        <v>116</v>
      </c>
      <c r="N436" s="20"/>
      <c r="O436" s="20"/>
      <c r="P436" s="20" t="s">
        <v>117</v>
      </c>
    </row>
    <row r="437" spans="1:16" x14ac:dyDescent="0.3">
      <c r="A437" s="19">
        <f t="shared" si="6"/>
        <v>436</v>
      </c>
      <c r="B437" s="20" t="s">
        <v>87</v>
      </c>
      <c r="C437" s="20" t="s">
        <v>97</v>
      </c>
      <c r="D437" s="21" t="str">
        <f>IF($C437="","",IFERROR(VLOOKUP($C437,Map_Register!$A$2:$C$5,3,FALSE()),""))</f>
        <v>Military Zone</v>
      </c>
      <c r="E437" s="20" t="s">
        <v>111</v>
      </c>
      <c r="F437" s="22">
        <v>26062</v>
      </c>
      <c r="G437" s="19" t="s">
        <v>112</v>
      </c>
      <c r="H437" s="19" t="s">
        <v>611</v>
      </c>
      <c r="I437" s="19" t="s">
        <v>8</v>
      </c>
      <c r="J437" s="19" t="s">
        <v>114</v>
      </c>
      <c r="K437" s="19" t="s">
        <v>114</v>
      </c>
      <c r="L437" s="19" t="s">
        <v>510</v>
      </c>
      <c r="M437" s="20" t="s">
        <v>116</v>
      </c>
      <c r="N437" s="20"/>
      <c r="O437" s="20"/>
      <c r="P437" s="20" t="s">
        <v>117</v>
      </c>
    </row>
    <row r="438" spans="1:16" x14ac:dyDescent="0.3">
      <c r="A438" s="19">
        <f t="shared" si="6"/>
        <v>437</v>
      </c>
      <c r="B438" s="20" t="s">
        <v>87</v>
      </c>
      <c r="C438" s="20" t="s">
        <v>97</v>
      </c>
      <c r="D438" s="21" t="str">
        <f>IF($C438="","",IFERROR(VLOOKUP($C438,Map_Register!$A$2:$C$5,3,FALSE()),""))</f>
        <v>Military Zone</v>
      </c>
      <c r="E438" s="20" t="s">
        <v>111</v>
      </c>
      <c r="F438" s="22">
        <v>26089</v>
      </c>
      <c r="G438" s="19" t="s">
        <v>112</v>
      </c>
      <c r="H438" s="19" t="s">
        <v>612</v>
      </c>
      <c r="I438" s="19" t="s">
        <v>8</v>
      </c>
      <c r="J438" s="19" t="s">
        <v>114</v>
      </c>
      <c r="K438" s="19" t="s">
        <v>114</v>
      </c>
      <c r="L438" s="19" t="s">
        <v>151</v>
      </c>
      <c r="M438" s="20" t="s">
        <v>116</v>
      </c>
      <c r="N438" s="20"/>
      <c r="O438" s="20"/>
      <c r="P438" s="20" t="s">
        <v>117</v>
      </c>
    </row>
    <row r="439" spans="1:16" x14ac:dyDescent="0.3">
      <c r="A439" s="19">
        <f t="shared" si="6"/>
        <v>438</v>
      </c>
      <c r="B439" s="20" t="s">
        <v>87</v>
      </c>
      <c r="C439" s="20" t="s">
        <v>97</v>
      </c>
      <c r="D439" s="21" t="str">
        <f>IF($C439="","",IFERROR(VLOOKUP($C439,Map_Register!$A$2:$C$5,3,FALSE()),""))</f>
        <v>Military Zone</v>
      </c>
      <c r="E439" s="20" t="s">
        <v>111</v>
      </c>
      <c r="F439" s="22">
        <v>26090</v>
      </c>
      <c r="G439" s="19" t="s">
        <v>112</v>
      </c>
      <c r="H439" s="19" t="s">
        <v>613</v>
      </c>
      <c r="I439" s="19" t="s">
        <v>6</v>
      </c>
      <c r="J439" s="19"/>
      <c r="K439" s="19"/>
      <c r="L439" s="19" t="s">
        <v>614</v>
      </c>
      <c r="M439" s="20"/>
      <c r="N439" s="20"/>
      <c r="O439" s="20"/>
      <c r="P439" s="20" t="s">
        <v>117</v>
      </c>
    </row>
    <row r="440" spans="1:16" x14ac:dyDescent="0.3">
      <c r="A440" s="19">
        <f t="shared" si="6"/>
        <v>439</v>
      </c>
      <c r="B440" s="20" t="s">
        <v>87</v>
      </c>
      <c r="C440" s="20" t="s">
        <v>97</v>
      </c>
      <c r="D440" s="21" t="str">
        <f>IF($C440="","",IFERROR(VLOOKUP($C440,Map_Register!$A$2:$C$5,3,FALSE()),""))</f>
        <v>Military Zone</v>
      </c>
      <c r="E440" s="20" t="s">
        <v>111</v>
      </c>
      <c r="F440" s="22">
        <v>26091</v>
      </c>
      <c r="G440" s="19" t="s">
        <v>112</v>
      </c>
      <c r="H440" s="19" t="s">
        <v>615</v>
      </c>
      <c r="I440" s="19" t="s">
        <v>8</v>
      </c>
      <c r="J440" s="19" t="s">
        <v>114</v>
      </c>
      <c r="K440" s="19" t="s">
        <v>114</v>
      </c>
      <c r="L440" s="19" t="s">
        <v>151</v>
      </c>
      <c r="M440" s="20" t="s">
        <v>116</v>
      </c>
      <c r="N440" s="20"/>
      <c r="O440" s="20"/>
      <c r="P440" s="20" t="s">
        <v>117</v>
      </c>
    </row>
    <row r="441" spans="1:16" x14ac:dyDescent="0.3">
      <c r="A441" s="19">
        <f t="shared" si="6"/>
        <v>440</v>
      </c>
      <c r="B441" s="20" t="s">
        <v>87</v>
      </c>
      <c r="C441" s="20" t="s">
        <v>97</v>
      </c>
      <c r="D441" s="21" t="str">
        <f>IF($C441="","",IFERROR(VLOOKUP($C441,Map_Register!$A$2:$C$5,3,FALSE()),""))</f>
        <v>Military Zone</v>
      </c>
      <c r="E441" s="20" t="s">
        <v>111</v>
      </c>
      <c r="F441" s="22">
        <v>26092</v>
      </c>
      <c r="G441" s="19" t="s">
        <v>112</v>
      </c>
      <c r="H441" s="19" t="s">
        <v>616</v>
      </c>
      <c r="I441" s="19" t="s">
        <v>8</v>
      </c>
      <c r="J441" s="19" t="s">
        <v>114</v>
      </c>
      <c r="K441" s="19" t="s">
        <v>114</v>
      </c>
      <c r="L441" s="19" t="s">
        <v>151</v>
      </c>
      <c r="M441" s="20" t="s">
        <v>116</v>
      </c>
      <c r="N441" s="20"/>
      <c r="O441" s="20"/>
      <c r="P441" s="20" t="s">
        <v>117</v>
      </c>
    </row>
    <row r="442" spans="1:16" x14ac:dyDescent="0.3">
      <c r="A442" s="19">
        <f t="shared" si="6"/>
        <v>441</v>
      </c>
      <c r="B442" s="20" t="s">
        <v>87</v>
      </c>
      <c r="C442" s="20" t="s">
        <v>97</v>
      </c>
      <c r="D442" s="21" t="str">
        <f>IF($C442="","",IFERROR(VLOOKUP($C442,Map_Register!$A$2:$C$5,3,FALSE()),""))</f>
        <v>Military Zone</v>
      </c>
      <c r="E442" s="20" t="s">
        <v>111</v>
      </c>
      <c r="F442" s="22">
        <v>26247</v>
      </c>
      <c r="G442" s="19" t="s">
        <v>112</v>
      </c>
      <c r="H442" s="19" t="s">
        <v>617</v>
      </c>
      <c r="I442" s="19" t="s">
        <v>8</v>
      </c>
      <c r="J442" s="19" t="s">
        <v>114</v>
      </c>
      <c r="K442" s="19" t="s">
        <v>114</v>
      </c>
      <c r="L442" s="19" t="s">
        <v>151</v>
      </c>
      <c r="M442" s="20" t="s">
        <v>116</v>
      </c>
      <c r="N442" s="20"/>
      <c r="O442" s="20"/>
      <c r="P442" s="20" t="s">
        <v>117</v>
      </c>
    </row>
    <row r="443" spans="1:16" x14ac:dyDescent="0.3">
      <c r="A443" s="19">
        <f t="shared" si="6"/>
        <v>442</v>
      </c>
      <c r="B443" s="20" t="s">
        <v>87</v>
      </c>
      <c r="C443" s="20" t="s">
        <v>97</v>
      </c>
      <c r="D443" s="21" t="str">
        <f>IF($C443="","",IFERROR(VLOOKUP($C443,Map_Register!$A$2:$C$5,3,FALSE()),""))</f>
        <v>Military Zone</v>
      </c>
      <c r="E443" s="20" t="s">
        <v>111</v>
      </c>
      <c r="F443" s="22">
        <v>26531</v>
      </c>
      <c r="G443" s="19" t="s">
        <v>112</v>
      </c>
      <c r="H443" s="19" t="s">
        <v>618</v>
      </c>
      <c r="I443" s="19" t="s">
        <v>8</v>
      </c>
      <c r="J443" s="19" t="s">
        <v>114</v>
      </c>
      <c r="K443" s="19" t="s">
        <v>114</v>
      </c>
      <c r="L443" s="19" t="s">
        <v>619</v>
      </c>
      <c r="M443" s="20" t="s">
        <v>116</v>
      </c>
      <c r="N443" s="20"/>
      <c r="O443" s="20"/>
      <c r="P443" s="20" t="s">
        <v>117</v>
      </c>
    </row>
    <row r="444" spans="1:16" x14ac:dyDescent="0.3">
      <c r="A444" s="19">
        <f t="shared" si="6"/>
        <v>443</v>
      </c>
      <c r="B444" s="20" t="s">
        <v>87</v>
      </c>
      <c r="C444" s="20" t="s">
        <v>97</v>
      </c>
      <c r="D444" s="21" t="str">
        <f>IF($C444="","",IFERROR(VLOOKUP($C444,Map_Register!$A$2:$C$5,3,FALSE()),""))</f>
        <v>Military Zone</v>
      </c>
      <c r="E444" s="20" t="s">
        <v>111</v>
      </c>
      <c r="F444" s="22">
        <v>26552</v>
      </c>
      <c r="G444" s="19" t="s">
        <v>112</v>
      </c>
      <c r="H444" s="19" t="s">
        <v>620</v>
      </c>
      <c r="I444" s="19" t="s">
        <v>8</v>
      </c>
      <c r="J444" s="19" t="s">
        <v>114</v>
      </c>
      <c r="K444" s="19" t="s">
        <v>114</v>
      </c>
      <c r="L444" s="19" t="s">
        <v>151</v>
      </c>
      <c r="M444" s="20" t="s">
        <v>116</v>
      </c>
      <c r="N444" s="20"/>
      <c r="O444" s="20"/>
      <c r="P444" s="20" t="s">
        <v>117</v>
      </c>
    </row>
    <row r="445" spans="1:16" x14ac:dyDescent="0.3">
      <c r="A445" s="19">
        <f t="shared" si="6"/>
        <v>444</v>
      </c>
      <c r="B445" s="20" t="s">
        <v>87</v>
      </c>
      <c r="C445" s="20" t="s">
        <v>97</v>
      </c>
      <c r="D445" s="21" t="str">
        <f>IF($C445="","",IFERROR(VLOOKUP($C445,Map_Register!$A$2:$C$5,3,FALSE()),""))</f>
        <v>Military Zone</v>
      </c>
      <c r="E445" s="20" t="s">
        <v>111</v>
      </c>
      <c r="F445" s="22">
        <v>26998</v>
      </c>
      <c r="G445" s="19" t="s">
        <v>112</v>
      </c>
      <c r="H445" s="19" t="s">
        <v>621</v>
      </c>
      <c r="I445" s="19" t="s">
        <v>8</v>
      </c>
      <c r="J445" s="19" t="s">
        <v>114</v>
      </c>
      <c r="K445" s="19" t="s">
        <v>114</v>
      </c>
      <c r="L445" s="19" t="s">
        <v>510</v>
      </c>
      <c r="M445" s="20" t="s">
        <v>116</v>
      </c>
      <c r="N445" s="20"/>
      <c r="O445" s="20"/>
      <c r="P445" s="20" t="s">
        <v>117</v>
      </c>
    </row>
    <row r="446" spans="1:16" x14ac:dyDescent="0.3">
      <c r="A446" s="19">
        <f t="shared" si="6"/>
        <v>445</v>
      </c>
      <c r="B446" s="20" t="s">
        <v>87</v>
      </c>
      <c r="C446" s="20" t="s">
        <v>97</v>
      </c>
      <c r="D446" s="21" t="str">
        <f>IF($C446="","",IFERROR(VLOOKUP($C446,Map_Register!$A$2:$C$5,3,FALSE()),""))</f>
        <v>Military Zone</v>
      </c>
      <c r="E446" s="20" t="s">
        <v>111</v>
      </c>
      <c r="F446" s="22">
        <v>26999</v>
      </c>
      <c r="G446" s="19" t="s">
        <v>112</v>
      </c>
      <c r="H446" s="19" t="s">
        <v>622</v>
      </c>
      <c r="I446" s="19" t="s">
        <v>8</v>
      </c>
      <c r="J446" s="19" t="s">
        <v>114</v>
      </c>
      <c r="K446" s="19" t="s">
        <v>114</v>
      </c>
      <c r="L446" s="19" t="s">
        <v>510</v>
      </c>
      <c r="M446" s="20" t="s">
        <v>116</v>
      </c>
      <c r="N446" s="20"/>
      <c r="O446" s="20"/>
      <c r="P446" s="20" t="s">
        <v>117</v>
      </c>
    </row>
    <row r="447" spans="1:16" x14ac:dyDescent="0.3">
      <c r="A447" s="19">
        <f t="shared" si="6"/>
        <v>446</v>
      </c>
      <c r="B447" s="20" t="s">
        <v>87</v>
      </c>
      <c r="C447" s="20" t="s">
        <v>97</v>
      </c>
      <c r="D447" s="21" t="str">
        <f>IF($C447="","",IFERROR(VLOOKUP($C447,Map_Register!$A$2:$C$5,3,FALSE()),""))</f>
        <v>Military Zone</v>
      </c>
      <c r="E447" s="20" t="s">
        <v>111</v>
      </c>
      <c r="F447" s="22">
        <v>27000</v>
      </c>
      <c r="G447" s="19" t="s">
        <v>112</v>
      </c>
      <c r="H447" s="19" t="s">
        <v>623</v>
      </c>
      <c r="I447" s="19" t="s">
        <v>8</v>
      </c>
      <c r="J447" s="19" t="s">
        <v>114</v>
      </c>
      <c r="K447" s="19" t="s">
        <v>114</v>
      </c>
      <c r="L447" s="19" t="s">
        <v>510</v>
      </c>
      <c r="M447" s="20" t="s">
        <v>116</v>
      </c>
      <c r="N447" s="20"/>
      <c r="O447" s="20"/>
      <c r="P447" s="20" t="s">
        <v>117</v>
      </c>
    </row>
    <row r="448" spans="1:16" x14ac:dyDescent="0.3">
      <c r="A448" s="19">
        <f t="shared" si="6"/>
        <v>447</v>
      </c>
      <c r="B448" s="20" t="s">
        <v>87</v>
      </c>
      <c r="C448" s="20" t="s">
        <v>97</v>
      </c>
      <c r="D448" s="21" t="str">
        <f>IF($C448="","",IFERROR(VLOOKUP($C448,Map_Register!$A$2:$C$5,3,FALSE()),""))</f>
        <v>Military Zone</v>
      </c>
      <c r="E448" s="20" t="s">
        <v>111</v>
      </c>
      <c r="F448" s="22">
        <v>27001</v>
      </c>
      <c r="G448" s="19" t="s">
        <v>112</v>
      </c>
      <c r="H448" s="19" t="s">
        <v>624</v>
      </c>
      <c r="I448" s="19" t="s">
        <v>8</v>
      </c>
      <c r="J448" s="19" t="s">
        <v>114</v>
      </c>
      <c r="K448" s="19" t="s">
        <v>114</v>
      </c>
      <c r="L448" s="19" t="s">
        <v>510</v>
      </c>
      <c r="M448" s="20" t="s">
        <v>116</v>
      </c>
      <c r="N448" s="20"/>
      <c r="O448" s="20"/>
      <c r="P448" s="20" t="s">
        <v>117</v>
      </c>
    </row>
    <row r="449" spans="1:16" x14ac:dyDescent="0.3">
      <c r="A449" s="19">
        <f t="shared" si="6"/>
        <v>448</v>
      </c>
      <c r="B449" s="20" t="s">
        <v>87</v>
      </c>
      <c r="C449" s="20" t="s">
        <v>97</v>
      </c>
      <c r="D449" s="21" t="str">
        <f>IF($C449="","",IFERROR(VLOOKUP($C449,Map_Register!$A$2:$C$5,3,FALSE()),""))</f>
        <v>Military Zone</v>
      </c>
      <c r="E449" s="20" t="s">
        <v>111</v>
      </c>
      <c r="F449" s="22">
        <v>27002</v>
      </c>
      <c r="G449" s="19" t="s">
        <v>112</v>
      </c>
      <c r="H449" s="19" t="s">
        <v>625</v>
      </c>
      <c r="I449" s="19" t="s">
        <v>8</v>
      </c>
      <c r="J449" s="19" t="s">
        <v>114</v>
      </c>
      <c r="K449" s="19" t="s">
        <v>114</v>
      </c>
      <c r="L449" s="19" t="s">
        <v>510</v>
      </c>
      <c r="M449" s="20" t="s">
        <v>116</v>
      </c>
      <c r="N449" s="20"/>
      <c r="O449" s="20"/>
      <c r="P449" s="20" t="s">
        <v>117</v>
      </c>
    </row>
    <row r="450" spans="1:16" x14ac:dyDescent="0.3">
      <c r="A450" s="19">
        <f t="shared" ref="A450:A513" si="7">IF($B450="","",ROW()-1)</f>
        <v>449</v>
      </c>
      <c r="B450" s="20" t="s">
        <v>87</v>
      </c>
      <c r="C450" s="20" t="s">
        <v>97</v>
      </c>
      <c r="D450" s="21" t="str">
        <f>IF($C450="","",IFERROR(VLOOKUP($C450,Map_Register!$A$2:$C$5,3,FALSE()),""))</f>
        <v>Military Zone</v>
      </c>
      <c r="E450" s="20" t="s">
        <v>111</v>
      </c>
      <c r="F450" s="22">
        <v>27003</v>
      </c>
      <c r="G450" s="19" t="s">
        <v>112</v>
      </c>
      <c r="H450" s="19" t="s">
        <v>626</v>
      </c>
      <c r="I450" s="19" t="s">
        <v>8</v>
      </c>
      <c r="J450" s="19" t="s">
        <v>114</v>
      </c>
      <c r="K450" s="19" t="s">
        <v>114</v>
      </c>
      <c r="L450" s="19" t="s">
        <v>151</v>
      </c>
      <c r="M450" s="20" t="s">
        <v>116</v>
      </c>
      <c r="N450" s="20"/>
      <c r="O450" s="20"/>
      <c r="P450" s="20" t="s">
        <v>117</v>
      </c>
    </row>
    <row r="451" spans="1:16" x14ac:dyDescent="0.3">
      <c r="A451" s="19">
        <f t="shared" si="7"/>
        <v>450</v>
      </c>
      <c r="B451" s="20" t="s">
        <v>87</v>
      </c>
      <c r="C451" s="20" t="s">
        <v>97</v>
      </c>
      <c r="D451" s="21" t="str">
        <f>IF($C451="","",IFERROR(VLOOKUP($C451,Map_Register!$A$2:$C$5,3,FALSE()),""))</f>
        <v>Military Zone</v>
      </c>
      <c r="E451" s="20" t="s">
        <v>111</v>
      </c>
      <c r="F451" s="22">
        <v>27004</v>
      </c>
      <c r="G451" s="19" t="s">
        <v>112</v>
      </c>
      <c r="H451" s="19" t="s">
        <v>627</v>
      </c>
      <c r="I451" s="19" t="s">
        <v>8</v>
      </c>
      <c r="J451" s="19" t="s">
        <v>114</v>
      </c>
      <c r="K451" s="19" t="s">
        <v>114</v>
      </c>
      <c r="L451" s="19" t="s">
        <v>510</v>
      </c>
      <c r="M451" s="20" t="s">
        <v>116</v>
      </c>
      <c r="N451" s="20"/>
      <c r="O451" s="20"/>
      <c r="P451" s="20" t="s">
        <v>117</v>
      </c>
    </row>
    <row r="452" spans="1:16" x14ac:dyDescent="0.3">
      <c r="A452" s="19">
        <f t="shared" si="7"/>
        <v>451</v>
      </c>
      <c r="B452" s="20" t="s">
        <v>87</v>
      </c>
      <c r="C452" s="20" t="s">
        <v>97</v>
      </c>
      <c r="D452" s="21" t="str">
        <f>IF($C452="","",IFERROR(VLOOKUP($C452,Map_Register!$A$2:$C$5,3,FALSE()),""))</f>
        <v>Military Zone</v>
      </c>
      <c r="E452" s="20" t="s">
        <v>111</v>
      </c>
      <c r="F452" s="22">
        <v>27005</v>
      </c>
      <c r="G452" s="19" t="s">
        <v>112</v>
      </c>
      <c r="H452" s="19" t="s">
        <v>628</v>
      </c>
      <c r="I452" s="19" t="s">
        <v>8</v>
      </c>
      <c r="J452" s="19" t="s">
        <v>114</v>
      </c>
      <c r="K452" s="19" t="s">
        <v>114</v>
      </c>
      <c r="L452" s="19" t="s">
        <v>510</v>
      </c>
      <c r="M452" s="20" t="s">
        <v>116</v>
      </c>
      <c r="N452" s="20"/>
      <c r="O452" s="20"/>
      <c r="P452" s="20" t="s">
        <v>117</v>
      </c>
    </row>
    <row r="453" spans="1:16" x14ac:dyDescent="0.3">
      <c r="A453" s="19">
        <f t="shared" si="7"/>
        <v>452</v>
      </c>
      <c r="B453" s="20" t="s">
        <v>87</v>
      </c>
      <c r="C453" s="20" t="s">
        <v>97</v>
      </c>
      <c r="D453" s="21" t="str">
        <f>IF($C453="","",IFERROR(VLOOKUP($C453,Map_Register!$A$2:$C$5,3,FALSE()),""))</f>
        <v>Military Zone</v>
      </c>
      <c r="E453" s="20" t="s">
        <v>111</v>
      </c>
      <c r="F453" s="22">
        <v>27006</v>
      </c>
      <c r="G453" s="19" t="s">
        <v>112</v>
      </c>
      <c r="H453" s="19" t="s">
        <v>629</v>
      </c>
      <c r="I453" s="19" t="s">
        <v>8</v>
      </c>
      <c r="J453" s="19" t="s">
        <v>114</v>
      </c>
      <c r="K453" s="19" t="s">
        <v>114</v>
      </c>
      <c r="L453" s="19" t="s">
        <v>510</v>
      </c>
      <c r="M453" s="20" t="s">
        <v>116</v>
      </c>
      <c r="N453" s="20"/>
      <c r="O453" s="20"/>
      <c r="P453" s="20" t="s">
        <v>117</v>
      </c>
    </row>
    <row r="454" spans="1:16" x14ac:dyDescent="0.3">
      <c r="A454" s="19">
        <f t="shared" si="7"/>
        <v>453</v>
      </c>
      <c r="B454" s="20" t="s">
        <v>87</v>
      </c>
      <c r="C454" s="20" t="s">
        <v>97</v>
      </c>
      <c r="D454" s="21" t="str">
        <f>IF($C454="","",IFERROR(VLOOKUP($C454,Map_Register!$A$2:$C$5,3,FALSE()),""))</f>
        <v>Military Zone</v>
      </c>
      <c r="E454" s="20" t="s">
        <v>111</v>
      </c>
      <c r="F454" s="22">
        <v>27007</v>
      </c>
      <c r="G454" s="19" t="s">
        <v>112</v>
      </c>
      <c r="H454" s="19" t="s">
        <v>630</v>
      </c>
      <c r="I454" s="19" t="s">
        <v>8</v>
      </c>
      <c r="J454" s="19" t="s">
        <v>114</v>
      </c>
      <c r="K454" s="19" t="s">
        <v>114</v>
      </c>
      <c r="L454" s="19" t="s">
        <v>510</v>
      </c>
      <c r="M454" s="20" t="s">
        <v>116</v>
      </c>
      <c r="N454" s="20"/>
      <c r="O454" s="20"/>
      <c r="P454" s="20" t="s">
        <v>117</v>
      </c>
    </row>
    <row r="455" spans="1:16" x14ac:dyDescent="0.3">
      <c r="A455" s="19">
        <f t="shared" si="7"/>
        <v>454</v>
      </c>
      <c r="B455" s="20" t="s">
        <v>87</v>
      </c>
      <c r="C455" s="20" t="s">
        <v>97</v>
      </c>
      <c r="D455" s="21" t="str">
        <f>IF($C455="","",IFERROR(VLOOKUP($C455,Map_Register!$A$2:$C$5,3,FALSE()),""))</f>
        <v>Military Zone</v>
      </c>
      <c r="E455" s="20" t="s">
        <v>111</v>
      </c>
      <c r="F455" s="22">
        <v>27008</v>
      </c>
      <c r="G455" s="19" t="s">
        <v>112</v>
      </c>
      <c r="H455" s="19" t="s">
        <v>631</v>
      </c>
      <c r="I455" s="19" t="s">
        <v>8</v>
      </c>
      <c r="J455" s="19" t="s">
        <v>114</v>
      </c>
      <c r="K455" s="19" t="s">
        <v>114</v>
      </c>
      <c r="L455" s="19" t="s">
        <v>510</v>
      </c>
      <c r="M455" s="20" t="s">
        <v>116</v>
      </c>
      <c r="N455" s="20"/>
      <c r="O455" s="20"/>
      <c r="P455" s="20" t="s">
        <v>117</v>
      </c>
    </row>
    <row r="456" spans="1:16" x14ac:dyDescent="0.3">
      <c r="A456" s="19">
        <f t="shared" si="7"/>
        <v>455</v>
      </c>
      <c r="B456" s="20" t="s">
        <v>87</v>
      </c>
      <c r="C456" s="20" t="s">
        <v>97</v>
      </c>
      <c r="D456" s="21" t="str">
        <f>IF($C456="","",IFERROR(VLOOKUP($C456,Map_Register!$A$2:$C$5,3,FALSE()),""))</f>
        <v>Military Zone</v>
      </c>
      <c r="E456" s="20" t="s">
        <v>111</v>
      </c>
      <c r="F456" s="22">
        <v>27009</v>
      </c>
      <c r="G456" s="19" t="s">
        <v>112</v>
      </c>
      <c r="H456" s="19" t="s">
        <v>632</v>
      </c>
      <c r="I456" s="19" t="s">
        <v>8</v>
      </c>
      <c r="J456" s="19" t="s">
        <v>114</v>
      </c>
      <c r="K456" s="19" t="s">
        <v>114</v>
      </c>
      <c r="L456" s="19" t="s">
        <v>151</v>
      </c>
      <c r="M456" s="20" t="s">
        <v>116</v>
      </c>
      <c r="N456" s="20"/>
      <c r="O456" s="20"/>
      <c r="P456" s="20" t="s">
        <v>117</v>
      </c>
    </row>
    <row r="457" spans="1:16" x14ac:dyDescent="0.3">
      <c r="A457" s="19">
        <f t="shared" si="7"/>
        <v>456</v>
      </c>
      <c r="B457" s="20" t="s">
        <v>87</v>
      </c>
      <c r="C457" s="20" t="s">
        <v>97</v>
      </c>
      <c r="D457" s="21" t="str">
        <f>IF($C457="","",IFERROR(VLOOKUP($C457,Map_Register!$A$2:$C$5,3,FALSE()),""))</f>
        <v>Military Zone</v>
      </c>
      <c r="E457" s="20" t="s">
        <v>111</v>
      </c>
      <c r="F457" s="22">
        <v>27010</v>
      </c>
      <c r="G457" s="19" t="s">
        <v>112</v>
      </c>
      <c r="H457" s="19" t="s">
        <v>633</v>
      </c>
      <c r="I457" s="19" t="s">
        <v>8</v>
      </c>
      <c r="J457" s="19" t="s">
        <v>114</v>
      </c>
      <c r="K457" s="19" t="s">
        <v>114</v>
      </c>
      <c r="L457" s="19" t="s">
        <v>151</v>
      </c>
      <c r="M457" s="20" t="s">
        <v>116</v>
      </c>
      <c r="N457" s="20"/>
      <c r="O457" s="20"/>
      <c r="P457" s="20" t="s">
        <v>117</v>
      </c>
    </row>
    <row r="458" spans="1:16" x14ac:dyDescent="0.3">
      <c r="A458" s="19">
        <f t="shared" si="7"/>
        <v>457</v>
      </c>
      <c r="B458" s="20" t="s">
        <v>87</v>
      </c>
      <c r="C458" s="20" t="s">
        <v>97</v>
      </c>
      <c r="D458" s="21" t="str">
        <f>IF($C458="","",IFERROR(VLOOKUP($C458,Map_Register!$A$2:$C$5,3,FALSE()),""))</f>
        <v>Military Zone</v>
      </c>
      <c r="E458" s="20" t="s">
        <v>111</v>
      </c>
      <c r="F458" s="22">
        <v>27011</v>
      </c>
      <c r="G458" s="19" t="s">
        <v>112</v>
      </c>
      <c r="H458" s="19" t="s">
        <v>634</v>
      </c>
      <c r="I458" s="19" t="s">
        <v>8</v>
      </c>
      <c r="J458" s="19" t="s">
        <v>114</v>
      </c>
      <c r="K458" s="19" t="s">
        <v>114</v>
      </c>
      <c r="L458" s="19" t="s">
        <v>151</v>
      </c>
      <c r="M458" s="20" t="s">
        <v>116</v>
      </c>
      <c r="N458" s="20"/>
      <c r="O458" s="20"/>
      <c r="P458" s="20" t="s">
        <v>117</v>
      </c>
    </row>
    <row r="459" spans="1:16" x14ac:dyDescent="0.3">
      <c r="A459" s="19">
        <f t="shared" si="7"/>
        <v>458</v>
      </c>
      <c r="B459" s="20" t="s">
        <v>87</v>
      </c>
      <c r="C459" s="20" t="s">
        <v>97</v>
      </c>
      <c r="D459" s="21" t="str">
        <f>IF($C459="","",IFERROR(VLOOKUP($C459,Map_Register!$A$2:$C$5,3,FALSE()),""))</f>
        <v>Military Zone</v>
      </c>
      <c r="E459" s="20" t="s">
        <v>111</v>
      </c>
      <c r="F459" s="22">
        <v>27012</v>
      </c>
      <c r="G459" s="19" t="s">
        <v>112</v>
      </c>
      <c r="H459" s="19" t="s">
        <v>635</v>
      </c>
      <c r="I459" s="19" t="s">
        <v>8</v>
      </c>
      <c r="J459" s="19" t="s">
        <v>114</v>
      </c>
      <c r="K459" s="19" t="s">
        <v>114</v>
      </c>
      <c r="L459" s="19" t="s">
        <v>151</v>
      </c>
      <c r="M459" s="20" t="s">
        <v>116</v>
      </c>
      <c r="N459" s="20"/>
      <c r="O459" s="20"/>
      <c r="P459" s="20" t="s">
        <v>117</v>
      </c>
    </row>
    <row r="460" spans="1:16" x14ac:dyDescent="0.3">
      <c r="A460" s="19">
        <f t="shared" si="7"/>
        <v>459</v>
      </c>
      <c r="B460" s="20" t="s">
        <v>87</v>
      </c>
      <c r="C460" s="20" t="s">
        <v>97</v>
      </c>
      <c r="D460" s="21" t="str">
        <f>IF($C460="","",IFERROR(VLOOKUP($C460,Map_Register!$A$2:$C$5,3,FALSE()),""))</f>
        <v>Military Zone</v>
      </c>
      <c r="E460" s="20" t="s">
        <v>111</v>
      </c>
      <c r="F460" s="22">
        <v>27013</v>
      </c>
      <c r="G460" s="19" t="s">
        <v>112</v>
      </c>
      <c r="H460" s="19" t="s">
        <v>636</v>
      </c>
      <c r="I460" s="19" t="s">
        <v>8</v>
      </c>
      <c r="J460" s="19" t="s">
        <v>114</v>
      </c>
      <c r="K460" s="19" t="s">
        <v>114</v>
      </c>
      <c r="L460" s="19" t="s">
        <v>151</v>
      </c>
      <c r="M460" s="20" t="s">
        <v>116</v>
      </c>
      <c r="N460" s="20"/>
      <c r="O460" s="20"/>
      <c r="P460" s="20" t="s">
        <v>117</v>
      </c>
    </row>
    <row r="461" spans="1:16" x14ac:dyDescent="0.3">
      <c r="A461" s="19">
        <f t="shared" si="7"/>
        <v>460</v>
      </c>
      <c r="B461" s="20" t="s">
        <v>87</v>
      </c>
      <c r="C461" s="20" t="s">
        <v>97</v>
      </c>
      <c r="D461" s="21" t="str">
        <f>IF($C461="","",IFERROR(VLOOKUP($C461,Map_Register!$A$2:$C$5,3,FALSE()),""))</f>
        <v>Military Zone</v>
      </c>
      <c r="E461" s="20" t="s">
        <v>111</v>
      </c>
      <c r="F461" s="22">
        <v>27016</v>
      </c>
      <c r="G461" s="19" t="s">
        <v>112</v>
      </c>
      <c r="H461" s="19" t="s">
        <v>637</v>
      </c>
      <c r="I461" s="19" t="s">
        <v>8</v>
      </c>
      <c r="J461" s="19" t="s">
        <v>114</v>
      </c>
      <c r="K461" s="19" t="s">
        <v>114</v>
      </c>
      <c r="L461" s="19" t="s">
        <v>151</v>
      </c>
      <c r="M461" s="20" t="s">
        <v>116</v>
      </c>
      <c r="N461" s="20"/>
      <c r="O461" s="20"/>
      <c r="P461" s="20" t="s">
        <v>117</v>
      </c>
    </row>
    <row r="462" spans="1:16" x14ac:dyDescent="0.3">
      <c r="A462" s="19">
        <f t="shared" si="7"/>
        <v>461</v>
      </c>
      <c r="B462" s="20" t="s">
        <v>87</v>
      </c>
      <c r="C462" s="20" t="s">
        <v>97</v>
      </c>
      <c r="D462" s="21" t="str">
        <f>IF($C462="","",IFERROR(VLOOKUP($C462,Map_Register!$A$2:$C$5,3,FALSE()),""))</f>
        <v>Military Zone</v>
      </c>
      <c r="E462" s="20" t="s">
        <v>111</v>
      </c>
      <c r="F462" s="22">
        <v>27019</v>
      </c>
      <c r="G462" s="19" t="s">
        <v>112</v>
      </c>
      <c r="H462" s="19" t="s">
        <v>638</v>
      </c>
      <c r="I462" s="19" t="s">
        <v>8</v>
      </c>
      <c r="J462" s="19" t="s">
        <v>114</v>
      </c>
      <c r="K462" s="19" t="s">
        <v>114</v>
      </c>
      <c r="L462" s="19" t="s">
        <v>510</v>
      </c>
      <c r="M462" s="20" t="s">
        <v>116</v>
      </c>
      <c r="N462" s="20"/>
      <c r="O462" s="20"/>
      <c r="P462" s="20" t="s">
        <v>117</v>
      </c>
    </row>
    <row r="463" spans="1:16" x14ac:dyDescent="0.3">
      <c r="A463" s="19">
        <f t="shared" si="7"/>
        <v>462</v>
      </c>
      <c r="B463" s="20" t="s">
        <v>87</v>
      </c>
      <c r="C463" s="20" t="s">
        <v>97</v>
      </c>
      <c r="D463" s="21" t="str">
        <f>IF($C463="","",IFERROR(VLOOKUP($C463,Map_Register!$A$2:$C$5,3,FALSE()),""))</f>
        <v>Military Zone</v>
      </c>
      <c r="E463" s="20" t="s">
        <v>111</v>
      </c>
      <c r="F463" s="22">
        <v>27021</v>
      </c>
      <c r="G463" s="19" t="s">
        <v>112</v>
      </c>
      <c r="H463" s="19" t="s">
        <v>639</v>
      </c>
      <c r="I463" s="19" t="s">
        <v>8</v>
      </c>
      <c r="J463" s="19" t="s">
        <v>114</v>
      </c>
      <c r="K463" s="19" t="s">
        <v>114</v>
      </c>
      <c r="L463" s="19" t="s">
        <v>640</v>
      </c>
      <c r="M463" s="20" t="s">
        <v>116</v>
      </c>
      <c r="N463" s="20"/>
      <c r="O463" s="20"/>
      <c r="P463" s="20" t="s">
        <v>117</v>
      </c>
    </row>
    <row r="464" spans="1:16" x14ac:dyDescent="0.3">
      <c r="A464" s="19">
        <f t="shared" si="7"/>
        <v>463</v>
      </c>
      <c r="B464" s="20" t="s">
        <v>87</v>
      </c>
      <c r="C464" s="20" t="s">
        <v>97</v>
      </c>
      <c r="D464" s="21" t="str">
        <f>IF($C464="","",IFERROR(VLOOKUP($C464,Map_Register!$A$2:$C$5,3,FALSE()),""))</f>
        <v>Military Zone</v>
      </c>
      <c r="E464" s="20" t="s">
        <v>111</v>
      </c>
      <c r="F464" s="22">
        <v>27022</v>
      </c>
      <c r="G464" s="19" t="s">
        <v>112</v>
      </c>
      <c r="H464" s="19" t="s">
        <v>641</v>
      </c>
      <c r="I464" s="19" t="s">
        <v>8</v>
      </c>
      <c r="J464" s="19" t="s">
        <v>114</v>
      </c>
      <c r="K464" s="19" t="s">
        <v>114</v>
      </c>
      <c r="L464" s="19" t="s">
        <v>640</v>
      </c>
      <c r="M464" s="20" t="s">
        <v>116</v>
      </c>
      <c r="N464" s="20"/>
      <c r="O464" s="20"/>
      <c r="P464" s="20" t="s">
        <v>117</v>
      </c>
    </row>
    <row r="465" spans="1:16" x14ac:dyDescent="0.3">
      <c r="A465" s="19">
        <f t="shared" si="7"/>
        <v>464</v>
      </c>
      <c r="B465" s="20" t="s">
        <v>87</v>
      </c>
      <c r="C465" s="20" t="s">
        <v>97</v>
      </c>
      <c r="D465" s="21" t="str">
        <f>IF($C465="","",IFERROR(VLOOKUP($C465,Map_Register!$A$2:$C$5,3,FALSE()),""))</f>
        <v>Military Zone</v>
      </c>
      <c r="E465" s="20" t="s">
        <v>111</v>
      </c>
      <c r="F465" s="22">
        <v>27023</v>
      </c>
      <c r="G465" s="19" t="s">
        <v>112</v>
      </c>
      <c r="H465" s="19" t="s">
        <v>642</v>
      </c>
      <c r="I465" s="19" t="s">
        <v>8</v>
      </c>
      <c r="J465" s="19" t="s">
        <v>114</v>
      </c>
      <c r="K465" s="19" t="s">
        <v>114</v>
      </c>
      <c r="L465" s="19" t="s">
        <v>640</v>
      </c>
      <c r="M465" s="20" t="s">
        <v>116</v>
      </c>
      <c r="N465" s="20"/>
      <c r="O465" s="20"/>
      <c r="P465" s="20" t="s">
        <v>117</v>
      </c>
    </row>
    <row r="466" spans="1:16" x14ac:dyDescent="0.3">
      <c r="A466" s="19">
        <f t="shared" si="7"/>
        <v>465</v>
      </c>
      <c r="B466" s="20" t="s">
        <v>87</v>
      </c>
      <c r="C466" s="20" t="s">
        <v>97</v>
      </c>
      <c r="D466" s="21" t="str">
        <f>IF($C466="","",IFERROR(VLOOKUP($C466,Map_Register!$A$2:$C$5,3,FALSE()),""))</f>
        <v>Military Zone</v>
      </c>
      <c r="E466" s="20" t="s">
        <v>111</v>
      </c>
      <c r="F466" s="22">
        <v>27024</v>
      </c>
      <c r="G466" s="19" t="s">
        <v>112</v>
      </c>
      <c r="H466" s="19" t="s">
        <v>643</v>
      </c>
      <c r="I466" s="19" t="s">
        <v>8</v>
      </c>
      <c r="J466" s="19" t="s">
        <v>114</v>
      </c>
      <c r="K466" s="19" t="s">
        <v>114</v>
      </c>
      <c r="L466" s="19" t="s">
        <v>151</v>
      </c>
      <c r="M466" s="20" t="s">
        <v>116</v>
      </c>
      <c r="N466" s="20"/>
      <c r="O466" s="20"/>
      <c r="P466" s="20" t="s">
        <v>117</v>
      </c>
    </row>
    <row r="467" spans="1:16" x14ac:dyDescent="0.3">
      <c r="A467" s="19">
        <f t="shared" si="7"/>
        <v>466</v>
      </c>
      <c r="B467" s="20" t="s">
        <v>87</v>
      </c>
      <c r="C467" s="20" t="s">
        <v>97</v>
      </c>
      <c r="D467" s="21" t="str">
        <f>IF($C467="","",IFERROR(VLOOKUP($C467,Map_Register!$A$2:$C$5,3,FALSE()),""))</f>
        <v>Military Zone</v>
      </c>
      <c r="E467" s="20" t="s">
        <v>111</v>
      </c>
      <c r="F467" s="22">
        <v>27026</v>
      </c>
      <c r="G467" s="19" t="s">
        <v>112</v>
      </c>
      <c r="H467" s="19" t="s">
        <v>644</v>
      </c>
      <c r="I467" s="19" t="s">
        <v>8</v>
      </c>
      <c r="J467" s="19" t="s">
        <v>114</v>
      </c>
      <c r="K467" s="19" t="s">
        <v>114</v>
      </c>
      <c r="L467" s="19" t="s">
        <v>640</v>
      </c>
      <c r="M467" s="20" t="s">
        <v>116</v>
      </c>
      <c r="N467" s="20"/>
      <c r="O467" s="20"/>
      <c r="P467" s="20" t="s">
        <v>117</v>
      </c>
    </row>
    <row r="468" spans="1:16" x14ac:dyDescent="0.3">
      <c r="A468" s="19">
        <f t="shared" si="7"/>
        <v>467</v>
      </c>
      <c r="B468" s="20" t="s">
        <v>87</v>
      </c>
      <c r="C468" s="20" t="s">
        <v>97</v>
      </c>
      <c r="D468" s="21" t="str">
        <f>IF($C468="","",IFERROR(VLOOKUP($C468,Map_Register!$A$2:$C$5,3,FALSE()),""))</f>
        <v>Military Zone</v>
      </c>
      <c r="E468" s="20" t="s">
        <v>111</v>
      </c>
      <c r="F468" s="22">
        <v>27027</v>
      </c>
      <c r="G468" s="19" t="s">
        <v>112</v>
      </c>
      <c r="H468" s="19" t="s">
        <v>645</v>
      </c>
      <c r="I468" s="19" t="s">
        <v>8</v>
      </c>
      <c r="J468" s="19" t="s">
        <v>114</v>
      </c>
      <c r="K468" s="19" t="s">
        <v>114</v>
      </c>
      <c r="L468" s="19" t="s">
        <v>640</v>
      </c>
      <c r="M468" s="20" t="s">
        <v>116</v>
      </c>
      <c r="N468" s="20"/>
      <c r="O468" s="20"/>
      <c r="P468" s="20" t="s">
        <v>117</v>
      </c>
    </row>
    <row r="469" spans="1:16" x14ac:dyDescent="0.3">
      <c r="A469" s="19">
        <f t="shared" si="7"/>
        <v>468</v>
      </c>
      <c r="B469" s="20" t="s">
        <v>87</v>
      </c>
      <c r="C469" s="20" t="s">
        <v>97</v>
      </c>
      <c r="D469" s="21" t="str">
        <f>IF($C469="","",IFERROR(VLOOKUP($C469,Map_Register!$A$2:$C$5,3,FALSE()),""))</f>
        <v>Military Zone</v>
      </c>
      <c r="E469" s="20" t="s">
        <v>111</v>
      </c>
      <c r="F469" s="22">
        <v>27035</v>
      </c>
      <c r="G469" s="19" t="s">
        <v>112</v>
      </c>
      <c r="H469" s="19" t="s">
        <v>646</v>
      </c>
      <c r="I469" s="19" t="s">
        <v>8</v>
      </c>
      <c r="J469" s="19" t="s">
        <v>114</v>
      </c>
      <c r="K469" s="19" t="s">
        <v>114</v>
      </c>
      <c r="L469" s="19" t="s">
        <v>640</v>
      </c>
      <c r="M469" s="20" t="s">
        <v>116</v>
      </c>
      <c r="N469" s="20"/>
      <c r="O469" s="20"/>
      <c r="P469" s="20" t="s">
        <v>117</v>
      </c>
    </row>
    <row r="470" spans="1:16" x14ac:dyDescent="0.3">
      <c r="A470" s="19">
        <f t="shared" si="7"/>
        <v>469</v>
      </c>
      <c r="B470" s="20" t="s">
        <v>87</v>
      </c>
      <c r="C470" s="20" t="s">
        <v>97</v>
      </c>
      <c r="D470" s="21" t="str">
        <f>IF($C470="","",IFERROR(VLOOKUP($C470,Map_Register!$A$2:$C$5,3,FALSE()),""))</f>
        <v>Military Zone</v>
      </c>
      <c r="E470" s="20" t="s">
        <v>111</v>
      </c>
      <c r="F470" s="22">
        <v>27225</v>
      </c>
      <c r="G470" s="19" t="s">
        <v>112</v>
      </c>
      <c r="H470" s="19" t="s">
        <v>645</v>
      </c>
      <c r="I470" s="19" t="s">
        <v>8</v>
      </c>
      <c r="J470" s="19" t="s">
        <v>114</v>
      </c>
      <c r="K470" s="19" t="s">
        <v>114</v>
      </c>
      <c r="L470" s="19" t="s">
        <v>640</v>
      </c>
      <c r="M470" s="20" t="s">
        <v>116</v>
      </c>
      <c r="N470" s="20"/>
      <c r="O470" s="20"/>
      <c r="P470" s="20" t="s">
        <v>117</v>
      </c>
    </row>
    <row r="471" spans="1:16" x14ac:dyDescent="0.3">
      <c r="A471" s="19">
        <f t="shared" si="7"/>
        <v>470</v>
      </c>
      <c r="B471" s="20" t="s">
        <v>87</v>
      </c>
      <c r="C471" s="20" t="s">
        <v>97</v>
      </c>
      <c r="D471" s="21" t="str">
        <f>IF($C471="","",IFERROR(VLOOKUP($C471,Map_Register!$A$2:$C$5,3,FALSE()),""))</f>
        <v>Military Zone</v>
      </c>
      <c r="E471" s="20" t="s">
        <v>111</v>
      </c>
      <c r="F471" s="22">
        <v>27226</v>
      </c>
      <c r="G471" s="19" t="s">
        <v>112</v>
      </c>
      <c r="H471" s="19" t="s">
        <v>647</v>
      </c>
      <c r="I471" s="19" t="s">
        <v>8</v>
      </c>
      <c r="J471" s="19" t="s">
        <v>114</v>
      </c>
      <c r="K471" s="19" t="s">
        <v>114</v>
      </c>
      <c r="L471" s="19" t="s">
        <v>640</v>
      </c>
      <c r="M471" s="20" t="s">
        <v>116</v>
      </c>
      <c r="N471" s="20"/>
      <c r="O471" s="20"/>
      <c r="P471" s="20" t="s">
        <v>117</v>
      </c>
    </row>
    <row r="472" spans="1:16" x14ac:dyDescent="0.3">
      <c r="A472" s="19">
        <f t="shared" si="7"/>
        <v>471</v>
      </c>
      <c r="B472" s="20" t="s">
        <v>87</v>
      </c>
      <c r="C472" s="20" t="s">
        <v>97</v>
      </c>
      <c r="D472" s="21" t="str">
        <f>IF($C472="","",IFERROR(VLOOKUP($C472,Map_Register!$A$2:$C$5,3,FALSE()),""))</f>
        <v>Military Zone</v>
      </c>
      <c r="E472" s="20" t="s">
        <v>111</v>
      </c>
      <c r="F472" s="22">
        <v>27228</v>
      </c>
      <c r="G472" s="19" t="s">
        <v>112</v>
      </c>
      <c r="H472" s="19" t="s">
        <v>648</v>
      </c>
      <c r="I472" s="19" t="s">
        <v>8</v>
      </c>
      <c r="J472" s="19" t="s">
        <v>114</v>
      </c>
      <c r="K472" s="19" t="s">
        <v>114</v>
      </c>
      <c r="L472" s="19" t="s">
        <v>640</v>
      </c>
      <c r="M472" s="20" t="s">
        <v>116</v>
      </c>
      <c r="N472" s="20"/>
      <c r="O472" s="20"/>
      <c r="P472" s="20" t="s">
        <v>117</v>
      </c>
    </row>
    <row r="473" spans="1:16" x14ac:dyDescent="0.3">
      <c r="A473" s="19">
        <f t="shared" si="7"/>
        <v>472</v>
      </c>
      <c r="B473" s="20" t="s">
        <v>87</v>
      </c>
      <c r="C473" s="20" t="s">
        <v>97</v>
      </c>
      <c r="D473" s="21" t="str">
        <f>IF($C473="","",IFERROR(VLOOKUP($C473,Map_Register!$A$2:$C$5,3,FALSE()),""))</f>
        <v>Military Zone</v>
      </c>
      <c r="E473" s="20" t="s">
        <v>111</v>
      </c>
      <c r="F473" s="22">
        <v>27229</v>
      </c>
      <c r="G473" s="19" t="s">
        <v>112</v>
      </c>
      <c r="H473" s="19" t="s">
        <v>649</v>
      </c>
      <c r="I473" s="19" t="s">
        <v>8</v>
      </c>
      <c r="J473" s="19" t="s">
        <v>114</v>
      </c>
      <c r="K473" s="19" t="s">
        <v>114</v>
      </c>
      <c r="L473" s="19" t="s">
        <v>640</v>
      </c>
      <c r="M473" s="20" t="s">
        <v>116</v>
      </c>
      <c r="N473" s="20"/>
      <c r="O473" s="20"/>
      <c r="P473" s="20" t="s">
        <v>117</v>
      </c>
    </row>
    <row r="474" spans="1:16" x14ac:dyDescent="0.3">
      <c r="A474" s="19">
        <f t="shared" si="7"/>
        <v>473</v>
      </c>
      <c r="B474" s="20" t="s">
        <v>87</v>
      </c>
      <c r="C474" s="20" t="s">
        <v>97</v>
      </c>
      <c r="D474" s="21" t="str">
        <f>IF($C474="","",IFERROR(VLOOKUP($C474,Map_Register!$A$2:$C$5,3,FALSE()),""))</f>
        <v>Military Zone</v>
      </c>
      <c r="E474" s="20" t="s">
        <v>111</v>
      </c>
      <c r="F474" s="22">
        <v>27230</v>
      </c>
      <c r="G474" s="19" t="s">
        <v>112</v>
      </c>
      <c r="H474" s="19" t="s">
        <v>650</v>
      </c>
      <c r="I474" s="19" t="s">
        <v>8</v>
      </c>
      <c r="J474" s="19" t="s">
        <v>114</v>
      </c>
      <c r="K474" s="19" t="s">
        <v>114</v>
      </c>
      <c r="L474" s="19" t="s">
        <v>640</v>
      </c>
      <c r="M474" s="20" t="s">
        <v>116</v>
      </c>
      <c r="N474" s="20"/>
      <c r="O474" s="20"/>
      <c r="P474" s="20" t="s">
        <v>117</v>
      </c>
    </row>
    <row r="475" spans="1:16" x14ac:dyDescent="0.3">
      <c r="A475" s="19">
        <f t="shared" si="7"/>
        <v>474</v>
      </c>
      <c r="B475" s="20" t="s">
        <v>87</v>
      </c>
      <c r="C475" s="20" t="s">
        <v>97</v>
      </c>
      <c r="D475" s="21" t="str">
        <f>IF($C475="","",IFERROR(VLOOKUP($C475,Map_Register!$A$2:$C$5,3,FALSE()),""))</f>
        <v>Military Zone</v>
      </c>
      <c r="E475" s="20" t="s">
        <v>111</v>
      </c>
      <c r="F475" s="22">
        <v>27231</v>
      </c>
      <c r="G475" s="19" t="s">
        <v>112</v>
      </c>
      <c r="H475" s="19" t="s">
        <v>651</v>
      </c>
      <c r="I475" s="19" t="s">
        <v>8</v>
      </c>
      <c r="J475" s="19" t="s">
        <v>114</v>
      </c>
      <c r="K475" s="19" t="s">
        <v>114</v>
      </c>
      <c r="L475" s="19" t="s">
        <v>640</v>
      </c>
      <c r="M475" s="20" t="s">
        <v>116</v>
      </c>
      <c r="N475" s="20"/>
      <c r="O475" s="20"/>
      <c r="P475" s="20" t="s">
        <v>117</v>
      </c>
    </row>
    <row r="476" spans="1:16" x14ac:dyDescent="0.3">
      <c r="A476" s="19">
        <f t="shared" si="7"/>
        <v>475</v>
      </c>
      <c r="B476" s="20" t="s">
        <v>87</v>
      </c>
      <c r="C476" s="20" t="s">
        <v>97</v>
      </c>
      <c r="D476" s="21" t="str">
        <f>IF($C476="","",IFERROR(VLOOKUP($C476,Map_Register!$A$2:$C$5,3,FALSE()),""))</f>
        <v>Military Zone</v>
      </c>
      <c r="E476" s="20" t="s">
        <v>111</v>
      </c>
      <c r="F476" s="22">
        <v>27273</v>
      </c>
      <c r="G476" s="19" t="s">
        <v>112</v>
      </c>
      <c r="H476" s="19" t="s">
        <v>652</v>
      </c>
      <c r="I476" s="19" t="s">
        <v>8</v>
      </c>
      <c r="J476" s="19" t="s">
        <v>114</v>
      </c>
      <c r="K476" s="19" t="s">
        <v>114</v>
      </c>
      <c r="L476" s="19" t="s">
        <v>151</v>
      </c>
      <c r="M476" s="20" t="s">
        <v>116</v>
      </c>
      <c r="N476" s="20"/>
      <c r="O476" s="20"/>
      <c r="P476" s="20" t="s">
        <v>117</v>
      </c>
    </row>
    <row r="477" spans="1:16" x14ac:dyDescent="0.3">
      <c r="A477" s="19">
        <f t="shared" si="7"/>
        <v>476</v>
      </c>
      <c r="B477" s="20" t="s">
        <v>87</v>
      </c>
      <c r="C477" s="20" t="s">
        <v>97</v>
      </c>
      <c r="D477" s="21" t="str">
        <f>IF($C477="","",IFERROR(VLOOKUP($C477,Map_Register!$A$2:$C$5,3,FALSE()),""))</f>
        <v>Military Zone</v>
      </c>
      <c r="E477" s="20" t="s">
        <v>111</v>
      </c>
      <c r="F477" s="22">
        <v>27274</v>
      </c>
      <c r="G477" s="19" t="s">
        <v>112</v>
      </c>
      <c r="H477" s="19" t="s">
        <v>653</v>
      </c>
      <c r="I477" s="19" t="s">
        <v>8</v>
      </c>
      <c r="J477" s="19" t="s">
        <v>114</v>
      </c>
      <c r="K477" s="19" t="s">
        <v>114</v>
      </c>
      <c r="L477" s="19" t="s">
        <v>640</v>
      </c>
      <c r="M477" s="20" t="s">
        <v>116</v>
      </c>
      <c r="N477" s="20"/>
      <c r="O477" s="20"/>
      <c r="P477" s="20" t="s">
        <v>117</v>
      </c>
    </row>
    <row r="478" spans="1:16" x14ac:dyDescent="0.3">
      <c r="A478" s="19">
        <f t="shared" si="7"/>
        <v>477</v>
      </c>
      <c r="B478" s="20" t="s">
        <v>87</v>
      </c>
      <c r="C478" s="20" t="s">
        <v>97</v>
      </c>
      <c r="D478" s="21" t="str">
        <f>IF($C478="","",IFERROR(VLOOKUP($C478,Map_Register!$A$2:$C$5,3,FALSE()),""))</f>
        <v>Military Zone</v>
      </c>
      <c r="E478" s="20" t="s">
        <v>111</v>
      </c>
      <c r="F478" s="22">
        <v>27276</v>
      </c>
      <c r="G478" s="19" t="s">
        <v>112</v>
      </c>
      <c r="H478" s="19" t="s">
        <v>654</v>
      </c>
      <c r="I478" s="19" t="s">
        <v>8</v>
      </c>
      <c r="J478" s="19" t="s">
        <v>114</v>
      </c>
      <c r="K478" s="19" t="s">
        <v>114</v>
      </c>
      <c r="L478" s="19" t="s">
        <v>640</v>
      </c>
      <c r="M478" s="20" t="s">
        <v>116</v>
      </c>
      <c r="N478" s="20"/>
      <c r="O478" s="20"/>
      <c r="P478" s="20" t="s">
        <v>117</v>
      </c>
    </row>
    <row r="479" spans="1:16" x14ac:dyDescent="0.3">
      <c r="A479" s="19">
        <f t="shared" si="7"/>
        <v>478</v>
      </c>
      <c r="B479" s="20" t="s">
        <v>87</v>
      </c>
      <c r="C479" s="20" t="s">
        <v>97</v>
      </c>
      <c r="D479" s="21" t="str">
        <f>IF($C479="","",IFERROR(VLOOKUP($C479,Map_Register!$A$2:$C$5,3,FALSE()),""))</f>
        <v>Military Zone</v>
      </c>
      <c r="E479" s="20" t="s">
        <v>111</v>
      </c>
      <c r="F479" s="22">
        <v>27277</v>
      </c>
      <c r="G479" s="19" t="s">
        <v>112</v>
      </c>
      <c r="H479" s="19" t="s">
        <v>655</v>
      </c>
      <c r="I479" s="19" t="s">
        <v>8</v>
      </c>
      <c r="J479" s="19" t="s">
        <v>114</v>
      </c>
      <c r="K479" s="19" t="s">
        <v>114</v>
      </c>
      <c r="L479" s="19" t="s">
        <v>640</v>
      </c>
      <c r="M479" s="20" t="s">
        <v>116</v>
      </c>
      <c r="N479" s="20"/>
      <c r="O479" s="20"/>
      <c r="P479" s="20" t="s">
        <v>117</v>
      </c>
    </row>
    <row r="480" spans="1:16" x14ac:dyDescent="0.3">
      <c r="A480" s="19">
        <f t="shared" si="7"/>
        <v>479</v>
      </c>
      <c r="B480" s="20" t="s">
        <v>87</v>
      </c>
      <c r="C480" s="20" t="s">
        <v>97</v>
      </c>
      <c r="D480" s="21" t="str">
        <f>IF($C480="","",IFERROR(VLOOKUP($C480,Map_Register!$A$2:$C$5,3,FALSE()),""))</f>
        <v>Military Zone</v>
      </c>
      <c r="E480" s="20" t="s">
        <v>111</v>
      </c>
      <c r="F480" s="22">
        <v>27282</v>
      </c>
      <c r="G480" s="19" t="s">
        <v>112</v>
      </c>
      <c r="H480" s="19" t="s">
        <v>656</v>
      </c>
      <c r="I480" s="19" t="s">
        <v>8</v>
      </c>
      <c r="J480" s="19" t="s">
        <v>114</v>
      </c>
      <c r="K480" s="19" t="s">
        <v>114</v>
      </c>
      <c r="L480" s="19" t="s">
        <v>640</v>
      </c>
      <c r="M480" s="20" t="s">
        <v>116</v>
      </c>
      <c r="N480" s="20"/>
      <c r="O480" s="20"/>
      <c r="P480" s="20" t="s">
        <v>117</v>
      </c>
    </row>
    <row r="481" spans="1:16" x14ac:dyDescent="0.3">
      <c r="A481" s="19">
        <f t="shared" si="7"/>
        <v>480</v>
      </c>
      <c r="B481" s="20" t="s">
        <v>87</v>
      </c>
      <c r="C481" s="20" t="s">
        <v>97</v>
      </c>
      <c r="D481" s="21" t="str">
        <f>IF($C481="","",IFERROR(VLOOKUP($C481,Map_Register!$A$2:$C$5,3,FALSE()),""))</f>
        <v>Military Zone</v>
      </c>
      <c r="E481" s="20" t="s">
        <v>111</v>
      </c>
      <c r="F481" s="22">
        <v>27283</v>
      </c>
      <c r="G481" s="19" t="s">
        <v>112</v>
      </c>
      <c r="H481" s="19" t="s">
        <v>657</v>
      </c>
      <c r="I481" s="19" t="s">
        <v>8</v>
      </c>
      <c r="J481" s="19" t="s">
        <v>114</v>
      </c>
      <c r="K481" s="19" t="s">
        <v>114</v>
      </c>
      <c r="L481" s="19" t="s">
        <v>640</v>
      </c>
      <c r="M481" s="20" t="s">
        <v>116</v>
      </c>
      <c r="N481" s="20"/>
      <c r="O481" s="20"/>
      <c r="P481" s="20" t="s">
        <v>117</v>
      </c>
    </row>
    <row r="482" spans="1:16" x14ac:dyDescent="0.3">
      <c r="A482" s="19">
        <f t="shared" si="7"/>
        <v>481</v>
      </c>
      <c r="B482" s="20" t="s">
        <v>87</v>
      </c>
      <c r="C482" s="20" t="s">
        <v>97</v>
      </c>
      <c r="D482" s="21" t="str">
        <f>IF($C482="","",IFERROR(VLOOKUP($C482,Map_Register!$A$2:$C$5,3,FALSE()),""))</f>
        <v>Military Zone</v>
      </c>
      <c r="E482" s="20" t="s">
        <v>111</v>
      </c>
      <c r="F482" s="22">
        <v>27285</v>
      </c>
      <c r="G482" s="19" t="s">
        <v>112</v>
      </c>
      <c r="H482" s="19" t="s">
        <v>658</v>
      </c>
      <c r="I482" s="19" t="s">
        <v>8</v>
      </c>
      <c r="J482" s="19" t="s">
        <v>114</v>
      </c>
      <c r="K482" s="19" t="s">
        <v>114</v>
      </c>
      <c r="L482" s="19" t="s">
        <v>640</v>
      </c>
      <c r="M482" s="20" t="s">
        <v>116</v>
      </c>
      <c r="N482" s="20"/>
      <c r="O482" s="20"/>
      <c r="P482" s="20" t="s">
        <v>117</v>
      </c>
    </row>
    <row r="483" spans="1:16" x14ac:dyDescent="0.3">
      <c r="A483" s="19">
        <f t="shared" si="7"/>
        <v>482</v>
      </c>
      <c r="B483" s="20" t="s">
        <v>87</v>
      </c>
      <c r="C483" s="20" t="s">
        <v>97</v>
      </c>
      <c r="D483" s="21" t="str">
        <f>IF($C483="","",IFERROR(VLOOKUP($C483,Map_Register!$A$2:$C$5,3,FALSE()),""))</f>
        <v>Military Zone</v>
      </c>
      <c r="E483" s="20" t="s">
        <v>111</v>
      </c>
      <c r="F483" s="22">
        <v>27286</v>
      </c>
      <c r="G483" s="19" t="s">
        <v>112</v>
      </c>
      <c r="H483" s="19" t="s">
        <v>659</v>
      </c>
      <c r="I483" s="19" t="s">
        <v>8</v>
      </c>
      <c r="J483" s="19" t="s">
        <v>114</v>
      </c>
      <c r="K483" s="19" t="s">
        <v>114</v>
      </c>
      <c r="L483" s="19" t="s">
        <v>640</v>
      </c>
      <c r="M483" s="20" t="s">
        <v>116</v>
      </c>
      <c r="N483" s="20"/>
      <c r="O483" s="20"/>
      <c r="P483" s="20" t="s">
        <v>117</v>
      </c>
    </row>
    <row r="484" spans="1:16" x14ac:dyDescent="0.3">
      <c r="A484" s="19">
        <f t="shared" si="7"/>
        <v>483</v>
      </c>
      <c r="B484" s="20" t="s">
        <v>87</v>
      </c>
      <c r="C484" s="20" t="s">
        <v>97</v>
      </c>
      <c r="D484" s="21" t="str">
        <f>IF($C484="","",IFERROR(VLOOKUP($C484,Map_Register!$A$2:$C$5,3,FALSE()),""))</f>
        <v>Military Zone</v>
      </c>
      <c r="E484" s="20" t="s">
        <v>111</v>
      </c>
      <c r="F484" s="22">
        <v>27313</v>
      </c>
      <c r="G484" s="19" t="s">
        <v>112</v>
      </c>
      <c r="H484" s="19" t="s">
        <v>660</v>
      </c>
      <c r="I484" s="19" t="s">
        <v>8</v>
      </c>
      <c r="J484" s="19" t="s">
        <v>114</v>
      </c>
      <c r="K484" s="19" t="s">
        <v>114</v>
      </c>
      <c r="L484" s="19" t="s">
        <v>640</v>
      </c>
      <c r="M484" s="20" t="s">
        <v>116</v>
      </c>
      <c r="N484" s="20"/>
      <c r="O484" s="20"/>
      <c r="P484" s="20" t="s">
        <v>117</v>
      </c>
    </row>
    <row r="485" spans="1:16" x14ac:dyDescent="0.3">
      <c r="A485" s="19">
        <f t="shared" si="7"/>
        <v>484</v>
      </c>
      <c r="B485" s="20" t="s">
        <v>87</v>
      </c>
      <c r="C485" s="20" t="s">
        <v>97</v>
      </c>
      <c r="D485" s="21" t="str">
        <f>IF($C485="","",IFERROR(VLOOKUP($C485,Map_Register!$A$2:$C$5,3,FALSE()),""))</f>
        <v>Military Zone</v>
      </c>
      <c r="E485" s="20" t="s">
        <v>111</v>
      </c>
      <c r="F485" s="22">
        <v>27314</v>
      </c>
      <c r="G485" s="19" t="s">
        <v>112</v>
      </c>
      <c r="H485" s="19" t="s">
        <v>661</v>
      </c>
      <c r="I485" s="19" t="s">
        <v>8</v>
      </c>
      <c r="J485" s="19" t="s">
        <v>114</v>
      </c>
      <c r="K485" s="19" t="s">
        <v>114</v>
      </c>
      <c r="L485" s="19" t="s">
        <v>640</v>
      </c>
      <c r="M485" s="20" t="s">
        <v>116</v>
      </c>
      <c r="N485" s="20"/>
      <c r="O485" s="20"/>
      <c r="P485" s="20" t="s">
        <v>117</v>
      </c>
    </row>
    <row r="486" spans="1:16" x14ac:dyDescent="0.3">
      <c r="A486" s="19">
        <f t="shared" si="7"/>
        <v>485</v>
      </c>
      <c r="B486" s="20" t="s">
        <v>87</v>
      </c>
      <c r="C486" s="20" t="s">
        <v>97</v>
      </c>
      <c r="D486" s="21" t="str">
        <f>IF($C486="","",IFERROR(VLOOKUP($C486,Map_Register!$A$2:$C$5,3,FALSE()),""))</f>
        <v>Military Zone</v>
      </c>
      <c r="E486" s="20" t="s">
        <v>111</v>
      </c>
      <c r="F486" s="22">
        <v>27315</v>
      </c>
      <c r="G486" s="19" t="s">
        <v>112</v>
      </c>
      <c r="H486" s="19" t="s">
        <v>662</v>
      </c>
      <c r="I486" s="19" t="s">
        <v>8</v>
      </c>
      <c r="J486" s="19" t="s">
        <v>114</v>
      </c>
      <c r="K486" s="19" t="s">
        <v>114</v>
      </c>
      <c r="L486" s="19" t="s">
        <v>151</v>
      </c>
      <c r="M486" s="20" t="s">
        <v>116</v>
      </c>
      <c r="N486" s="20"/>
      <c r="O486" s="20"/>
      <c r="P486" s="20" t="s">
        <v>117</v>
      </c>
    </row>
    <row r="487" spans="1:16" x14ac:dyDescent="0.3">
      <c r="A487" s="19">
        <f t="shared" si="7"/>
        <v>486</v>
      </c>
      <c r="B487" s="20" t="s">
        <v>87</v>
      </c>
      <c r="C487" s="20" t="s">
        <v>97</v>
      </c>
      <c r="D487" s="21" t="str">
        <f>IF($C487="","",IFERROR(VLOOKUP($C487,Map_Register!$A$2:$C$5,3,FALSE()),""))</f>
        <v>Military Zone</v>
      </c>
      <c r="E487" s="20" t="s">
        <v>111</v>
      </c>
      <c r="F487" s="22">
        <v>27316</v>
      </c>
      <c r="G487" s="19" t="s">
        <v>112</v>
      </c>
      <c r="H487" s="19" t="s">
        <v>663</v>
      </c>
      <c r="I487" s="19" t="s">
        <v>8</v>
      </c>
      <c r="J487" s="19" t="s">
        <v>114</v>
      </c>
      <c r="K487" s="19" t="s">
        <v>114</v>
      </c>
      <c r="L487" s="19" t="s">
        <v>151</v>
      </c>
      <c r="M487" s="20" t="s">
        <v>116</v>
      </c>
      <c r="N487" s="20"/>
      <c r="O487" s="20"/>
      <c r="P487" s="20" t="s">
        <v>117</v>
      </c>
    </row>
    <row r="488" spans="1:16" x14ac:dyDescent="0.3">
      <c r="A488" s="19">
        <f t="shared" si="7"/>
        <v>487</v>
      </c>
      <c r="B488" s="20" t="s">
        <v>87</v>
      </c>
      <c r="C488" s="20" t="s">
        <v>97</v>
      </c>
      <c r="D488" s="21" t="str">
        <f>IF($C488="","",IFERROR(VLOOKUP($C488,Map_Register!$A$2:$C$5,3,FALSE()),""))</f>
        <v>Military Zone</v>
      </c>
      <c r="E488" s="20" t="s">
        <v>111</v>
      </c>
      <c r="F488" s="22">
        <v>27807</v>
      </c>
      <c r="G488" s="19" t="s">
        <v>112</v>
      </c>
      <c r="H488" s="19" t="s">
        <v>664</v>
      </c>
      <c r="I488" s="19" t="s">
        <v>8</v>
      </c>
      <c r="J488" s="19" t="s">
        <v>114</v>
      </c>
      <c r="K488" s="19" t="s">
        <v>114</v>
      </c>
      <c r="L488" s="19" t="s">
        <v>640</v>
      </c>
      <c r="M488" s="20" t="s">
        <v>116</v>
      </c>
      <c r="N488" s="20"/>
      <c r="O488" s="20"/>
      <c r="P488" s="20" t="s">
        <v>117</v>
      </c>
    </row>
    <row r="489" spans="1:16" x14ac:dyDescent="0.3">
      <c r="A489" s="19">
        <f t="shared" si="7"/>
        <v>488</v>
      </c>
      <c r="B489" s="20" t="s">
        <v>87</v>
      </c>
      <c r="C489" s="20" t="s">
        <v>97</v>
      </c>
      <c r="D489" s="21" t="str">
        <f>IF($C489="","",IFERROR(VLOOKUP($C489,Map_Register!$A$2:$C$5,3,FALSE()),""))</f>
        <v>Military Zone</v>
      </c>
      <c r="E489" s="20" t="s">
        <v>111</v>
      </c>
      <c r="F489" s="22">
        <v>27809</v>
      </c>
      <c r="G489" s="19" t="s">
        <v>112</v>
      </c>
      <c r="H489" s="19" t="s">
        <v>665</v>
      </c>
      <c r="I489" s="19" t="s">
        <v>8</v>
      </c>
      <c r="J489" s="19" t="s">
        <v>114</v>
      </c>
      <c r="K489" s="19" t="s">
        <v>114</v>
      </c>
      <c r="L489" s="19" t="s">
        <v>151</v>
      </c>
      <c r="M489" s="20" t="s">
        <v>116</v>
      </c>
      <c r="N489" s="20"/>
      <c r="O489" s="20"/>
      <c r="P489" s="20" t="s">
        <v>117</v>
      </c>
    </row>
    <row r="490" spans="1:16" x14ac:dyDescent="0.3">
      <c r="A490" s="19">
        <f t="shared" si="7"/>
        <v>489</v>
      </c>
      <c r="B490" s="20" t="s">
        <v>87</v>
      </c>
      <c r="C490" s="20" t="s">
        <v>97</v>
      </c>
      <c r="D490" s="21" t="str">
        <f>IF($C490="","",IFERROR(VLOOKUP($C490,Map_Register!$A$2:$C$5,3,FALSE()),""))</f>
        <v>Military Zone</v>
      </c>
      <c r="E490" s="20" t="s">
        <v>111</v>
      </c>
      <c r="F490" s="22">
        <v>27810</v>
      </c>
      <c r="G490" s="19" t="s">
        <v>112</v>
      </c>
      <c r="H490" s="19" t="s">
        <v>666</v>
      </c>
      <c r="I490" s="19" t="s">
        <v>6</v>
      </c>
      <c r="J490" s="19"/>
      <c r="K490" s="19"/>
      <c r="L490" s="19" t="s">
        <v>667</v>
      </c>
      <c r="M490" s="20"/>
      <c r="N490" s="20"/>
      <c r="O490" s="20"/>
      <c r="P490" s="20" t="s">
        <v>117</v>
      </c>
    </row>
    <row r="491" spans="1:16" x14ac:dyDescent="0.3">
      <c r="A491" s="19">
        <f t="shared" si="7"/>
        <v>490</v>
      </c>
      <c r="B491" s="20" t="s">
        <v>87</v>
      </c>
      <c r="C491" s="20" t="s">
        <v>97</v>
      </c>
      <c r="D491" s="21" t="str">
        <f>IF($C491="","",IFERROR(VLOOKUP($C491,Map_Register!$A$2:$C$5,3,FALSE()),""))</f>
        <v>Military Zone</v>
      </c>
      <c r="E491" s="20" t="s">
        <v>111</v>
      </c>
      <c r="F491" s="22">
        <v>27811</v>
      </c>
      <c r="G491" s="19" t="s">
        <v>112</v>
      </c>
      <c r="H491" s="19" t="s">
        <v>668</v>
      </c>
      <c r="I491" s="19" t="s">
        <v>6</v>
      </c>
      <c r="J491" s="19"/>
      <c r="K491" s="19"/>
      <c r="L491" s="19" t="s">
        <v>227</v>
      </c>
      <c r="M491" s="20"/>
      <c r="N491" s="20"/>
      <c r="O491" s="20"/>
      <c r="P491" s="20" t="s">
        <v>117</v>
      </c>
    </row>
    <row r="492" spans="1:16" x14ac:dyDescent="0.3">
      <c r="A492" s="19">
        <f t="shared" si="7"/>
        <v>491</v>
      </c>
      <c r="B492" s="20" t="s">
        <v>87</v>
      </c>
      <c r="C492" s="20" t="s">
        <v>97</v>
      </c>
      <c r="D492" s="21" t="str">
        <f>IF($C492="","",IFERROR(VLOOKUP($C492,Map_Register!$A$2:$C$5,3,FALSE()),""))</f>
        <v>Military Zone</v>
      </c>
      <c r="E492" s="20" t="s">
        <v>111</v>
      </c>
      <c r="F492" s="22">
        <v>27812</v>
      </c>
      <c r="G492" s="19" t="s">
        <v>112</v>
      </c>
      <c r="H492" s="19" t="s">
        <v>669</v>
      </c>
      <c r="I492" s="19" t="s">
        <v>6</v>
      </c>
      <c r="J492" s="19"/>
      <c r="K492" s="19"/>
      <c r="L492" s="19" t="s">
        <v>225</v>
      </c>
      <c r="M492" s="20"/>
      <c r="N492" s="20"/>
      <c r="O492" s="20"/>
      <c r="P492" s="20" t="s">
        <v>117</v>
      </c>
    </row>
    <row r="493" spans="1:16" x14ac:dyDescent="0.3">
      <c r="A493" s="19">
        <f t="shared" si="7"/>
        <v>492</v>
      </c>
      <c r="B493" s="20" t="s">
        <v>87</v>
      </c>
      <c r="C493" s="20" t="s">
        <v>97</v>
      </c>
      <c r="D493" s="21" t="str">
        <f>IF($C493="","",IFERROR(VLOOKUP($C493,Map_Register!$A$2:$C$5,3,FALSE()),""))</f>
        <v>Military Zone</v>
      </c>
      <c r="E493" s="20" t="s">
        <v>111</v>
      </c>
      <c r="F493" s="22">
        <v>27813</v>
      </c>
      <c r="G493" s="19" t="s">
        <v>112</v>
      </c>
      <c r="H493" s="19" t="s">
        <v>670</v>
      </c>
      <c r="I493" s="19" t="s">
        <v>6</v>
      </c>
      <c r="J493" s="19"/>
      <c r="K493" s="19"/>
      <c r="L493" s="19" t="s">
        <v>225</v>
      </c>
      <c r="M493" s="20"/>
      <c r="N493" s="20"/>
      <c r="O493" s="20"/>
      <c r="P493" s="20" t="s">
        <v>117</v>
      </c>
    </row>
    <row r="494" spans="1:16" x14ac:dyDescent="0.3">
      <c r="A494" s="19">
        <f t="shared" si="7"/>
        <v>493</v>
      </c>
      <c r="B494" s="20" t="s">
        <v>87</v>
      </c>
      <c r="C494" s="20" t="s">
        <v>97</v>
      </c>
      <c r="D494" s="21" t="str">
        <f>IF($C494="","",IFERROR(VLOOKUP($C494,Map_Register!$A$2:$C$5,3,FALSE()),""))</f>
        <v>Military Zone</v>
      </c>
      <c r="E494" s="20" t="s">
        <v>111</v>
      </c>
      <c r="F494" s="22">
        <v>27814</v>
      </c>
      <c r="G494" s="19" t="s">
        <v>112</v>
      </c>
      <c r="H494" s="19" t="s">
        <v>671</v>
      </c>
      <c r="I494" s="19" t="s">
        <v>6</v>
      </c>
      <c r="J494" s="19"/>
      <c r="K494" s="19"/>
      <c r="L494" s="19" t="s">
        <v>225</v>
      </c>
      <c r="M494" s="20"/>
      <c r="N494" s="20"/>
      <c r="O494" s="20"/>
      <c r="P494" s="20" t="s">
        <v>117</v>
      </c>
    </row>
    <row r="495" spans="1:16" x14ac:dyDescent="0.3">
      <c r="A495" s="19">
        <f t="shared" si="7"/>
        <v>494</v>
      </c>
      <c r="B495" s="20" t="s">
        <v>87</v>
      </c>
      <c r="C495" s="20" t="s">
        <v>97</v>
      </c>
      <c r="D495" s="21" t="str">
        <f>IF($C495="","",IFERROR(VLOOKUP($C495,Map_Register!$A$2:$C$5,3,FALSE()),""))</f>
        <v>Military Zone</v>
      </c>
      <c r="E495" s="20" t="s">
        <v>111</v>
      </c>
      <c r="F495" s="22">
        <v>27815</v>
      </c>
      <c r="G495" s="19" t="s">
        <v>112</v>
      </c>
      <c r="H495" s="19" t="s">
        <v>672</v>
      </c>
      <c r="I495" s="19" t="s">
        <v>6</v>
      </c>
      <c r="J495" s="19"/>
      <c r="K495" s="19"/>
      <c r="L495" s="19" t="s">
        <v>225</v>
      </c>
      <c r="M495" s="20"/>
      <c r="N495" s="20"/>
      <c r="O495" s="20"/>
      <c r="P495" s="20" t="s">
        <v>117</v>
      </c>
    </row>
    <row r="496" spans="1:16" x14ac:dyDescent="0.3">
      <c r="A496" s="19">
        <f t="shared" si="7"/>
        <v>495</v>
      </c>
      <c r="B496" s="20" t="s">
        <v>87</v>
      </c>
      <c r="C496" s="20" t="s">
        <v>97</v>
      </c>
      <c r="D496" s="21" t="str">
        <f>IF($C496="","",IFERROR(VLOOKUP($C496,Map_Register!$A$2:$C$5,3,FALSE()),""))</f>
        <v>Military Zone</v>
      </c>
      <c r="E496" s="20" t="s">
        <v>111</v>
      </c>
      <c r="F496" s="22">
        <v>27816</v>
      </c>
      <c r="G496" s="19" t="s">
        <v>112</v>
      </c>
      <c r="H496" s="19" t="s">
        <v>673</v>
      </c>
      <c r="I496" s="19" t="s">
        <v>8</v>
      </c>
      <c r="J496" s="19" t="s">
        <v>114</v>
      </c>
      <c r="K496" s="19" t="s">
        <v>114</v>
      </c>
      <c r="L496" s="19" t="s">
        <v>151</v>
      </c>
      <c r="M496" s="20" t="s">
        <v>116</v>
      </c>
      <c r="N496" s="20"/>
      <c r="O496" s="20"/>
      <c r="P496" s="20" t="s">
        <v>117</v>
      </c>
    </row>
    <row r="497" spans="1:16" x14ac:dyDescent="0.3">
      <c r="A497" s="19">
        <f t="shared" si="7"/>
        <v>496</v>
      </c>
      <c r="B497" s="20" t="s">
        <v>87</v>
      </c>
      <c r="C497" s="20" t="s">
        <v>97</v>
      </c>
      <c r="D497" s="21" t="str">
        <f>IF($C497="","",IFERROR(VLOOKUP($C497,Map_Register!$A$2:$C$5,3,FALSE()),""))</f>
        <v>Military Zone</v>
      </c>
      <c r="E497" s="20" t="s">
        <v>111</v>
      </c>
      <c r="F497" s="22">
        <v>27817</v>
      </c>
      <c r="G497" s="19" t="s">
        <v>112</v>
      </c>
      <c r="H497" s="19" t="s">
        <v>674</v>
      </c>
      <c r="I497" s="19" t="s">
        <v>6</v>
      </c>
      <c r="J497" s="19"/>
      <c r="K497" s="19"/>
      <c r="L497" s="19" t="s">
        <v>225</v>
      </c>
      <c r="M497" s="20"/>
      <c r="N497" s="20"/>
      <c r="O497" s="20"/>
      <c r="P497" s="20" t="s">
        <v>117</v>
      </c>
    </row>
    <row r="498" spans="1:16" x14ac:dyDescent="0.3">
      <c r="A498" s="19">
        <f t="shared" si="7"/>
        <v>497</v>
      </c>
      <c r="B498" s="20" t="s">
        <v>87</v>
      </c>
      <c r="C498" s="20" t="s">
        <v>97</v>
      </c>
      <c r="D498" s="21" t="str">
        <f>IF($C498="","",IFERROR(VLOOKUP($C498,Map_Register!$A$2:$C$5,3,FALSE()),""))</f>
        <v>Military Zone</v>
      </c>
      <c r="E498" s="20" t="s">
        <v>111</v>
      </c>
      <c r="F498" s="22">
        <v>27818</v>
      </c>
      <c r="G498" s="19" t="s">
        <v>112</v>
      </c>
      <c r="H498" s="19" t="s">
        <v>675</v>
      </c>
      <c r="I498" s="19" t="s">
        <v>6</v>
      </c>
      <c r="J498" s="19"/>
      <c r="K498" s="19"/>
      <c r="L498" s="19" t="s">
        <v>225</v>
      </c>
      <c r="M498" s="20"/>
      <c r="N498" s="20"/>
      <c r="O498" s="20"/>
      <c r="P498" s="20" t="s">
        <v>117</v>
      </c>
    </row>
    <row r="499" spans="1:16" x14ac:dyDescent="0.3">
      <c r="A499" s="19">
        <f t="shared" si="7"/>
        <v>498</v>
      </c>
      <c r="B499" s="20" t="s">
        <v>87</v>
      </c>
      <c r="C499" s="20" t="s">
        <v>97</v>
      </c>
      <c r="D499" s="21" t="str">
        <f>IF($C499="","",IFERROR(VLOOKUP($C499,Map_Register!$A$2:$C$5,3,FALSE()),""))</f>
        <v>Military Zone</v>
      </c>
      <c r="E499" s="20" t="s">
        <v>111</v>
      </c>
      <c r="F499" s="22">
        <v>27819</v>
      </c>
      <c r="G499" s="19" t="s">
        <v>112</v>
      </c>
      <c r="H499" s="19" t="s">
        <v>676</v>
      </c>
      <c r="I499" t="s">
        <v>6</v>
      </c>
      <c r="J499" s="19"/>
      <c r="K499" s="19"/>
      <c r="L499" s="19" t="s">
        <v>225</v>
      </c>
      <c r="P499" s="20" t="s">
        <v>117</v>
      </c>
    </row>
    <row r="500" spans="1:16" x14ac:dyDescent="0.3">
      <c r="A500" s="19">
        <f t="shared" si="7"/>
        <v>499</v>
      </c>
      <c r="B500" s="20" t="s">
        <v>87</v>
      </c>
      <c r="C500" s="20" t="s">
        <v>97</v>
      </c>
      <c r="D500" s="21" t="str">
        <f>IF($C500="","",IFERROR(VLOOKUP($C500,Map_Register!$A$2:$C$5,3,FALSE()),""))</f>
        <v>Military Zone</v>
      </c>
      <c r="E500" s="20" t="s">
        <v>111</v>
      </c>
      <c r="F500" s="22">
        <v>27820</v>
      </c>
      <c r="G500" s="19" t="s">
        <v>112</v>
      </c>
      <c r="H500" s="19" t="s">
        <v>677</v>
      </c>
      <c r="I500" s="19" t="s">
        <v>6</v>
      </c>
      <c r="J500" s="19"/>
      <c r="K500" s="19"/>
      <c r="L500" s="19" t="s">
        <v>225</v>
      </c>
      <c r="P500" s="20" t="s">
        <v>117</v>
      </c>
    </row>
    <row r="501" spans="1:16" x14ac:dyDescent="0.3">
      <c r="A501" s="19">
        <f t="shared" si="7"/>
        <v>500</v>
      </c>
      <c r="B501" s="20" t="s">
        <v>87</v>
      </c>
      <c r="C501" s="20" t="s">
        <v>97</v>
      </c>
      <c r="D501" s="21" t="str">
        <f>IF($C501="","",IFERROR(VLOOKUP($C501,Map_Register!$A$2:$C$5,3,FALSE()),""))</f>
        <v>Military Zone</v>
      </c>
      <c r="E501" s="20" t="s">
        <v>111</v>
      </c>
      <c r="F501" s="22">
        <v>27821</v>
      </c>
      <c r="G501" s="19" t="s">
        <v>112</v>
      </c>
      <c r="H501" s="19" t="s">
        <v>678</v>
      </c>
      <c r="I501" s="19" t="s">
        <v>6</v>
      </c>
      <c r="J501" s="19"/>
      <c r="K501" s="19"/>
      <c r="L501" s="19" t="s">
        <v>225</v>
      </c>
      <c r="P501" s="20" t="s">
        <v>117</v>
      </c>
    </row>
    <row r="502" spans="1:16" x14ac:dyDescent="0.3">
      <c r="A502" s="19">
        <f t="shared" si="7"/>
        <v>501</v>
      </c>
      <c r="B502" s="20" t="s">
        <v>87</v>
      </c>
      <c r="C502" s="20" t="s">
        <v>97</v>
      </c>
      <c r="D502" s="21" t="str">
        <f>IF($C502="","",IFERROR(VLOOKUP($C502,Map_Register!$A$2:$C$5,3,FALSE()),""))</f>
        <v>Military Zone</v>
      </c>
      <c r="E502" s="20" t="s">
        <v>111</v>
      </c>
      <c r="F502" s="22">
        <v>27822</v>
      </c>
      <c r="G502" s="19" t="s">
        <v>112</v>
      </c>
      <c r="H502" s="19" t="s">
        <v>679</v>
      </c>
      <c r="I502" s="19" t="s">
        <v>8</v>
      </c>
      <c r="J502" s="19" t="s">
        <v>114</v>
      </c>
      <c r="K502" s="19" t="s">
        <v>114</v>
      </c>
      <c r="L502" s="19" t="s">
        <v>151</v>
      </c>
      <c r="M502" s="20" t="s">
        <v>116</v>
      </c>
      <c r="P502" s="20" t="s">
        <v>117</v>
      </c>
    </row>
    <row r="503" spans="1:16" x14ac:dyDescent="0.3">
      <c r="A503" s="19">
        <f t="shared" si="7"/>
        <v>502</v>
      </c>
      <c r="B503" s="20" t="s">
        <v>87</v>
      </c>
      <c r="C503" s="20" t="s">
        <v>97</v>
      </c>
      <c r="D503" s="21" t="str">
        <f>IF($C503="","",IFERROR(VLOOKUP($C503,Map_Register!$A$2:$C$5,3,FALSE()),""))</f>
        <v>Military Zone</v>
      </c>
      <c r="E503" s="20" t="s">
        <v>111</v>
      </c>
      <c r="F503" s="22">
        <v>27823</v>
      </c>
      <c r="G503" s="19" t="s">
        <v>112</v>
      </c>
      <c r="H503" s="19" t="s">
        <v>680</v>
      </c>
      <c r="I503" s="19" t="s">
        <v>6</v>
      </c>
      <c r="J503" s="19"/>
      <c r="K503" s="19"/>
      <c r="L503" s="19" t="s">
        <v>225</v>
      </c>
      <c r="P503" s="20" t="s">
        <v>117</v>
      </c>
    </row>
    <row r="504" spans="1:16" x14ac:dyDescent="0.3">
      <c r="A504" s="19">
        <f t="shared" si="7"/>
        <v>503</v>
      </c>
      <c r="B504" s="20" t="s">
        <v>87</v>
      </c>
      <c r="C504" s="20" t="s">
        <v>97</v>
      </c>
      <c r="D504" s="21" t="str">
        <f>IF($C504="","",IFERROR(VLOOKUP($C504,Map_Register!$A$2:$C$5,3,FALSE()),""))</f>
        <v>Military Zone</v>
      </c>
      <c r="E504" s="20" t="s">
        <v>111</v>
      </c>
      <c r="F504" s="22">
        <v>27824</v>
      </c>
      <c r="G504" s="19" t="s">
        <v>112</v>
      </c>
      <c r="H504" s="19" t="s">
        <v>681</v>
      </c>
      <c r="I504" s="19" t="s">
        <v>6</v>
      </c>
      <c r="J504" s="19"/>
      <c r="K504" s="19"/>
      <c r="L504" s="19" t="s">
        <v>225</v>
      </c>
      <c r="P504" s="20" t="s">
        <v>117</v>
      </c>
    </row>
    <row r="505" spans="1:16" x14ac:dyDescent="0.3">
      <c r="A505" s="19">
        <f t="shared" si="7"/>
        <v>504</v>
      </c>
      <c r="B505" s="20" t="s">
        <v>87</v>
      </c>
      <c r="C505" s="20" t="s">
        <v>97</v>
      </c>
      <c r="D505" s="21" t="str">
        <f>IF($C505="","",IFERROR(VLOOKUP($C505,Map_Register!$A$2:$C$5,3,FALSE()),""))</f>
        <v>Military Zone</v>
      </c>
      <c r="E505" s="20" t="s">
        <v>111</v>
      </c>
      <c r="F505" s="22">
        <v>27825</v>
      </c>
      <c r="G505" s="19" t="s">
        <v>112</v>
      </c>
      <c r="H505" s="19" t="s">
        <v>682</v>
      </c>
      <c r="I505" s="19" t="s">
        <v>8</v>
      </c>
      <c r="J505" s="19" t="s">
        <v>114</v>
      </c>
      <c r="K505" s="19" t="s">
        <v>114</v>
      </c>
      <c r="L505" s="19" t="s">
        <v>165</v>
      </c>
      <c r="M505" s="20" t="s">
        <v>116</v>
      </c>
      <c r="P505" s="20" t="s">
        <v>117</v>
      </c>
    </row>
    <row r="506" spans="1:16" x14ac:dyDescent="0.3">
      <c r="A506" s="19">
        <f t="shared" si="7"/>
        <v>505</v>
      </c>
      <c r="B506" s="20" t="s">
        <v>87</v>
      </c>
      <c r="C506" s="20" t="s">
        <v>97</v>
      </c>
      <c r="D506" s="21" t="str">
        <f>IF($C506="","",IFERROR(VLOOKUP($C506,Map_Register!$A$2:$C$5,3,FALSE()),""))</f>
        <v>Military Zone</v>
      </c>
      <c r="E506" s="20" t="s">
        <v>111</v>
      </c>
      <c r="F506" s="22">
        <v>27826</v>
      </c>
      <c r="G506" s="19" t="s">
        <v>112</v>
      </c>
      <c r="H506" s="19" t="s">
        <v>683</v>
      </c>
      <c r="I506" s="19" t="s">
        <v>8</v>
      </c>
      <c r="J506" s="19" t="s">
        <v>114</v>
      </c>
      <c r="K506" s="19" t="s">
        <v>114</v>
      </c>
      <c r="L506" s="19" t="s">
        <v>151</v>
      </c>
      <c r="M506" s="20" t="s">
        <v>116</v>
      </c>
      <c r="P506" s="20" t="s">
        <v>117</v>
      </c>
    </row>
    <row r="507" spans="1:16" x14ac:dyDescent="0.3">
      <c r="A507" s="19">
        <f t="shared" si="7"/>
        <v>506</v>
      </c>
      <c r="B507" s="20" t="s">
        <v>87</v>
      </c>
      <c r="C507" s="20" t="s">
        <v>97</v>
      </c>
      <c r="D507" s="21" t="str">
        <f>IF($C507="","",IFERROR(VLOOKUP($C507,Map_Register!$A$2:$C$5,3,FALSE()),""))</f>
        <v>Military Zone</v>
      </c>
      <c r="E507" s="20" t="s">
        <v>111</v>
      </c>
      <c r="F507" s="22">
        <v>27827</v>
      </c>
      <c r="G507" s="19" t="s">
        <v>112</v>
      </c>
      <c r="H507" s="19" t="s">
        <v>684</v>
      </c>
      <c r="I507" s="19" t="s">
        <v>8</v>
      </c>
      <c r="J507" s="19" t="s">
        <v>114</v>
      </c>
      <c r="K507" s="19" t="s">
        <v>114</v>
      </c>
      <c r="L507" s="19" t="s">
        <v>151</v>
      </c>
      <c r="M507" s="20" t="s">
        <v>116</v>
      </c>
      <c r="P507" s="20" t="s">
        <v>117</v>
      </c>
    </row>
    <row r="508" spans="1:16" x14ac:dyDescent="0.3">
      <c r="A508" s="19">
        <f t="shared" si="7"/>
        <v>507</v>
      </c>
      <c r="B508" s="20" t="s">
        <v>87</v>
      </c>
      <c r="C508" s="20" t="s">
        <v>97</v>
      </c>
      <c r="D508" s="21" t="str">
        <f>IF($C508="","",IFERROR(VLOOKUP($C508,Map_Register!$A$2:$C$5,3,FALSE()),""))</f>
        <v>Military Zone</v>
      </c>
      <c r="E508" s="20" t="s">
        <v>111</v>
      </c>
      <c r="F508" s="22">
        <v>27828</v>
      </c>
      <c r="G508" s="19" t="s">
        <v>112</v>
      </c>
      <c r="H508" s="19" t="s">
        <v>685</v>
      </c>
      <c r="I508" s="19" t="s">
        <v>6</v>
      </c>
      <c r="J508" s="19"/>
      <c r="K508" s="19"/>
      <c r="L508" s="19" t="s">
        <v>225</v>
      </c>
      <c r="P508" s="20" t="s">
        <v>117</v>
      </c>
    </row>
    <row r="509" spans="1:16" x14ac:dyDescent="0.3">
      <c r="A509" s="19">
        <f t="shared" si="7"/>
        <v>508</v>
      </c>
      <c r="B509" s="20" t="s">
        <v>87</v>
      </c>
      <c r="C509" s="20" t="s">
        <v>97</v>
      </c>
      <c r="D509" s="21" t="str">
        <f>IF($C509="","",IFERROR(VLOOKUP($C509,Map_Register!$A$2:$C$5,3,FALSE()),""))</f>
        <v>Military Zone</v>
      </c>
      <c r="E509" s="20" t="s">
        <v>111</v>
      </c>
      <c r="F509" s="22">
        <v>27829</v>
      </c>
      <c r="G509" s="19" t="s">
        <v>112</v>
      </c>
      <c r="H509" s="19" t="s">
        <v>686</v>
      </c>
      <c r="I509" s="19" t="s">
        <v>6</v>
      </c>
      <c r="J509" s="19"/>
      <c r="K509" s="19"/>
      <c r="L509" s="19" t="s">
        <v>225</v>
      </c>
      <c r="P509" s="20" t="s">
        <v>117</v>
      </c>
    </row>
    <row r="510" spans="1:16" x14ac:dyDescent="0.3">
      <c r="A510" s="19">
        <f t="shared" si="7"/>
        <v>509</v>
      </c>
      <c r="B510" s="20" t="s">
        <v>87</v>
      </c>
      <c r="C510" s="20" t="s">
        <v>97</v>
      </c>
      <c r="D510" s="21" t="str">
        <f>IF($C510="","",IFERROR(VLOOKUP($C510,Map_Register!$A$2:$C$5,3,FALSE()),""))</f>
        <v>Military Zone</v>
      </c>
      <c r="E510" s="20" t="s">
        <v>111</v>
      </c>
      <c r="F510" s="22">
        <v>27830</v>
      </c>
      <c r="G510" s="19" t="s">
        <v>112</v>
      </c>
      <c r="H510" s="19" t="s">
        <v>687</v>
      </c>
      <c r="I510" s="19" t="s">
        <v>6</v>
      </c>
      <c r="J510" s="19"/>
      <c r="K510" s="19"/>
      <c r="L510" s="19" t="s">
        <v>225</v>
      </c>
      <c r="P510" s="20" t="s">
        <v>117</v>
      </c>
    </row>
    <row r="511" spans="1:16" x14ac:dyDescent="0.3">
      <c r="A511" s="19">
        <f t="shared" si="7"/>
        <v>510</v>
      </c>
      <c r="B511" s="20" t="s">
        <v>87</v>
      </c>
      <c r="C511" s="20" t="s">
        <v>97</v>
      </c>
      <c r="D511" s="21" t="str">
        <f>IF($C511="","",IFERROR(VLOOKUP($C511,Map_Register!$A$2:$C$5,3,FALSE()),""))</f>
        <v>Military Zone</v>
      </c>
      <c r="E511" s="20" t="s">
        <v>111</v>
      </c>
      <c r="F511" s="22">
        <v>27831</v>
      </c>
      <c r="G511" s="19" t="s">
        <v>112</v>
      </c>
      <c r="H511" s="19" t="s">
        <v>287</v>
      </c>
      <c r="I511" s="19" t="s">
        <v>6</v>
      </c>
      <c r="J511" s="19"/>
      <c r="K511" s="19"/>
      <c r="L511" s="19" t="s">
        <v>225</v>
      </c>
      <c r="P511" s="20" t="s">
        <v>117</v>
      </c>
    </row>
    <row r="512" spans="1:16" x14ac:dyDescent="0.3">
      <c r="A512" s="19">
        <f t="shared" si="7"/>
        <v>511</v>
      </c>
      <c r="B512" s="20" t="s">
        <v>87</v>
      </c>
      <c r="C512" s="20" t="s">
        <v>97</v>
      </c>
      <c r="D512" s="21" t="str">
        <f>IF($C512="","",IFERROR(VLOOKUP($C512,Map_Register!$A$2:$C$5,3,FALSE()),""))</f>
        <v>Military Zone</v>
      </c>
      <c r="E512" s="20" t="s">
        <v>111</v>
      </c>
      <c r="F512" s="22">
        <v>27832</v>
      </c>
      <c r="G512" s="19" t="s">
        <v>112</v>
      </c>
      <c r="H512" s="19" t="s">
        <v>688</v>
      </c>
      <c r="I512" s="19" t="s">
        <v>6</v>
      </c>
      <c r="J512" s="19"/>
      <c r="K512" s="19"/>
      <c r="L512" s="19" t="s">
        <v>225</v>
      </c>
      <c r="P512" s="20" t="s">
        <v>117</v>
      </c>
    </row>
    <row r="513" spans="1:16" x14ac:dyDescent="0.3">
      <c r="A513" s="19">
        <f t="shared" si="7"/>
        <v>512</v>
      </c>
      <c r="B513" s="20" t="s">
        <v>87</v>
      </c>
      <c r="C513" s="20" t="s">
        <v>97</v>
      </c>
      <c r="D513" s="21" t="str">
        <f>IF($C513="","",IFERROR(VLOOKUP($C513,Map_Register!$A$2:$C$5,3,FALSE()),""))</f>
        <v>Military Zone</v>
      </c>
      <c r="E513" s="20" t="s">
        <v>111</v>
      </c>
      <c r="F513" s="22">
        <v>27833</v>
      </c>
      <c r="G513" s="19" t="s">
        <v>112</v>
      </c>
      <c r="H513" s="19" t="s">
        <v>689</v>
      </c>
      <c r="I513" s="19" t="s">
        <v>6</v>
      </c>
      <c r="J513" s="19"/>
      <c r="K513" s="19"/>
      <c r="L513" s="19" t="s">
        <v>225</v>
      </c>
      <c r="P513" s="20" t="s">
        <v>117</v>
      </c>
    </row>
    <row r="514" spans="1:16" x14ac:dyDescent="0.3">
      <c r="A514" s="19">
        <f t="shared" ref="A514:A577" si="8">IF($B514="","",ROW()-1)</f>
        <v>513</v>
      </c>
      <c r="B514" s="20" t="s">
        <v>87</v>
      </c>
      <c r="C514" s="20" t="s">
        <v>97</v>
      </c>
      <c r="D514" s="21" t="str">
        <f>IF($C514="","",IFERROR(VLOOKUP($C514,Map_Register!$A$2:$C$5,3,FALSE()),""))</f>
        <v>Military Zone</v>
      </c>
      <c r="E514" s="20" t="s">
        <v>111</v>
      </c>
      <c r="F514" s="22">
        <v>27834</v>
      </c>
      <c r="G514" s="19" t="s">
        <v>112</v>
      </c>
      <c r="H514" s="19" t="s">
        <v>690</v>
      </c>
      <c r="I514" s="19" t="s">
        <v>6</v>
      </c>
      <c r="J514" s="19"/>
      <c r="K514" s="19"/>
      <c r="L514" s="19" t="s">
        <v>691</v>
      </c>
      <c r="P514" s="20" t="s">
        <v>117</v>
      </c>
    </row>
    <row r="515" spans="1:16" x14ac:dyDescent="0.3">
      <c r="A515" s="19">
        <f t="shared" si="8"/>
        <v>514</v>
      </c>
      <c r="B515" s="20" t="s">
        <v>87</v>
      </c>
      <c r="C515" s="20" t="s">
        <v>97</v>
      </c>
      <c r="D515" s="21" t="str">
        <f>IF($C515="","",IFERROR(VLOOKUP($C515,Map_Register!$A$2:$C$5,3,FALSE()),""))</f>
        <v>Military Zone</v>
      </c>
      <c r="E515" s="20" t="s">
        <v>111</v>
      </c>
      <c r="F515" s="22">
        <v>27835</v>
      </c>
      <c r="G515" s="19" t="s">
        <v>112</v>
      </c>
      <c r="H515" s="19" t="s">
        <v>692</v>
      </c>
      <c r="I515" s="19" t="s">
        <v>6</v>
      </c>
      <c r="J515" s="19"/>
      <c r="K515" s="19"/>
      <c r="L515" s="19" t="s">
        <v>693</v>
      </c>
      <c r="P515" s="20" t="s">
        <v>117</v>
      </c>
    </row>
    <row r="516" spans="1:16" x14ac:dyDescent="0.3">
      <c r="A516" s="19">
        <f t="shared" si="8"/>
        <v>515</v>
      </c>
      <c r="B516" s="20" t="s">
        <v>87</v>
      </c>
      <c r="C516" s="20" t="s">
        <v>97</v>
      </c>
      <c r="D516" s="21" t="str">
        <f>IF($C516="","",IFERROR(VLOOKUP($C516,Map_Register!$A$2:$C$5,3,FALSE()),""))</f>
        <v>Military Zone</v>
      </c>
      <c r="E516" s="20" t="s">
        <v>111</v>
      </c>
      <c r="F516" s="22">
        <v>27836</v>
      </c>
      <c r="G516" s="19" t="s">
        <v>112</v>
      </c>
      <c r="H516" s="19" t="s">
        <v>694</v>
      </c>
      <c r="I516" s="19" t="s">
        <v>6</v>
      </c>
      <c r="J516" s="19"/>
      <c r="K516" s="19"/>
      <c r="L516" s="19" t="s">
        <v>225</v>
      </c>
      <c r="P516" s="20" t="s">
        <v>117</v>
      </c>
    </row>
    <row r="517" spans="1:16" x14ac:dyDescent="0.3">
      <c r="A517" s="19">
        <f t="shared" si="8"/>
        <v>516</v>
      </c>
      <c r="B517" s="20" t="s">
        <v>87</v>
      </c>
      <c r="C517" s="20" t="s">
        <v>97</v>
      </c>
      <c r="D517" s="21" t="str">
        <f>IF($C517="","",IFERROR(VLOOKUP($C517,Map_Register!$A$2:$C$5,3,FALSE()),""))</f>
        <v>Military Zone</v>
      </c>
      <c r="E517" s="20" t="s">
        <v>111</v>
      </c>
      <c r="F517" s="22">
        <v>27837</v>
      </c>
      <c r="G517" s="19" t="s">
        <v>112</v>
      </c>
      <c r="H517" s="19" t="s">
        <v>695</v>
      </c>
      <c r="I517" s="19" t="s">
        <v>6</v>
      </c>
      <c r="J517" s="19"/>
      <c r="K517" s="19"/>
      <c r="L517" s="19" t="s">
        <v>225</v>
      </c>
      <c r="P517" s="20" t="s">
        <v>117</v>
      </c>
    </row>
    <row r="518" spans="1:16" x14ac:dyDescent="0.3">
      <c r="A518" s="19">
        <f t="shared" si="8"/>
        <v>517</v>
      </c>
      <c r="B518" s="20" t="s">
        <v>87</v>
      </c>
      <c r="C518" s="20" t="s">
        <v>97</v>
      </c>
      <c r="D518" s="21" t="str">
        <f>IF($C518="","",IFERROR(VLOOKUP($C518,Map_Register!$A$2:$C$5,3,FALSE()),""))</f>
        <v>Military Zone</v>
      </c>
      <c r="E518" s="20" t="s">
        <v>111</v>
      </c>
      <c r="F518" s="22">
        <v>27838</v>
      </c>
      <c r="G518" s="19" t="s">
        <v>112</v>
      </c>
      <c r="H518" s="19" t="s">
        <v>696</v>
      </c>
      <c r="I518" s="19" t="s">
        <v>6</v>
      </c>
      <c r="J518" s="19"/>
      <c r="K518" s="19"/>
      <c r="L518" s="19" t="s">
        <v>225</v>
      </c>
      <c r="P518" s="20" t="s">
        <v>117</v>
      </c>
    </row>
    <row r="519" spans="1:16" x14ac:dyDescent="0.3">
      <c r="A519" s="19">
        <f t="shared" si="8"/>
        <v>518</v>
      </c>
      <c r="B519" s="20" t="s">
        <v>87</v>
      </c>
      <c r="C519" s="20" t="s">
        <v>97</v>
      </c>
      <c r="D519" s="21" t="str">
        <f>IF($C519="","",IFERROR(VLOOKUP($C519,Map_Register!$A$2:$C$5,3,FALSE()),""))</f>
        <v>Military Zone</v>
      </c>
      <c r="E519" s="20" t="s">
        <v>111</v>
      </c>
      <c r="F519" s="22">
        <v>27839</v>
      </c>
      <c r="G519" s="19" t="s">
        <v>112</v>
      </c>
      <c r="H519" s="19" t="s">
        <v>697</v>
      </c>
      <c r="I519" s="19" t="s">
        <v>6</v>
      </c>
      <c r="J519" s="19"/>
      <c r="K519" s="19"/>
      <c r="L519" s="19" t="s">
        <v>225</v>
      </c>
      <c r="P519" s="20" t="s">
        <v>117</v>
      </c>
    </row>
    <row r="520" spans="1:16" x14ac:dyDescent="0.3">
      <c r="A520" s="19">
        <f t="shared" si="8"/>
        <v>519</v>
      </c>
      <c r="B520" s="20" t="s">
        <v>87</v>
      </c>
      <c r="C520" s="20" t="s">
        <v>97</v>
      </c>
      <c r="D520" s="21" t="str">
        <f>IF($C520="","",IFERROR(VLOOKUP($C520,Map_Register!$A$2:$C$5,3,FALSE()),""))</f>
        <v>Military Zone</v>
      </c>
      <c r="E520" s="20" t="s">
        <v>111</v>
      </c>
      <c r="F520" s="22">
        <v>27840</v>
      </c>
      <c r="G520" s="19" t="s">
        <v>112</v>
      </c>
      <c r="H520" s="19" t="s">
        <v>698</v>
      </c>
      <c r="I520" s="19" t="s">
        <v>6</v>
      </c>
      <c r="J520" s="19"/>
      <c r="K520" s="19"/>
      <c r="L520" s="19" t="s">
        <v>225</v>
      </c>
      <c r="P520" s="20" t="s">
        <v>117</v>
      </c>
    </row>
    <row r="521" spans="1:16" x14ac:dyDescent="0.3">
      <c r="A521" s="19">
        <f t="shared" si="8"/>
        <v>520</v>
      </c>
      <c r="B521" s="20" t="s">
        <v>87</v>
      </c>
      <c r="C521" s="20" t="s">
        <v>97</v>
      </c>
      <c r="D521" s="21" t="str">
        <f>IF($C521="","",IFERROR(VLOOKUP($C521,Map_Register!$A$2:$C$5,3,FALSE()),""))</f>
        <v>Military Zone</v>
      </c>
      <c r="E521" s="20" t="s">
        <v>111</v>
      </c>
      <c r="F521" s="22">
        <v>27841</v>
      </c>
      <c r="G521" s="19" t="s">
        <v>112</v>
      </c>
      <c r="H521" s="19" t="s">
        <v>699</v>
      </c>
      <c r="I521" s="19" t="s">
        <v>6</v>
      </c>
      <c r="J521" s="19"/>
      <c r="K521" s="19"/>
      <c r="L521" s="19" t="s">
        <v>700</v>
      </c>
      <c r="P521" s="20" t="s">
        <v>117</v>
      </c>
    </row>
    <row r="522" spans="1:16" x14ac:dyDescent="0.3">
      <c r="A522" s="19">
        <f t="shared" si="8"/>
        <v>521</v>
      </c>
      <c r="B522" s="20" t="s">
        <v>87</v>
      </c>
      <c r="C522" s="20" t="s">
        <v>97</v>
      </c>
      <c r="D522" s="21" t="str">
        <f>IF($C522="","",IFERROR(VLOOKUP($C522,Map_Register!$A$2:$C$5,3,FALSE()),""))</f>
        <v>Military Zone</v>
      </c>
      <c r="E522" s="20" t="s">
        <v>111</v>
      </c>
      <c r="F522" s="22">
        <v>27842</v>
      </c>
      <c r="G522" s="19" t="s">
        <v>112</v>
      </c>
      <c r="H522" s="19" t="s">
        <v>701</v>
      </c>
      <c r="I522" s="19" t="s">
        <v>6</v>
      </c>
      <c r="J522" s="19"/>
      <c r="K522" s="19"/>
      <c r="L522" s="19" t="s">
        <v>225</v>
      </c>
      <c r="P522" s="20" t="s">
        <v>117</v>
      </c>
    </row>
    <row r="523" spans="1:16" x14ac:dyDescent="0.3">
      <c r="A523" s="19">
        <f t="shared" si="8"/>
        <v>522</v>
      </c>
      <c r="B523" s="20" t="s">
        <v>87</v>
      </c>
      <c r="C523" s="20" t="s">
        <v>97</v>
      </c>
      <c r="D523" s="21" t="str">
        <f>IF($C523="","",IFERROR(VLOOKUP($C523,Map_Register!$A$2:$C$5,3,FALSE()),""))</f>
        <v>Military Zone</v>
      </c>
      <c r="E523" s="20" t="s">
        <v>111</v>
      </c>
      <c r="F523" s="22">
        <v>27844</v>
      </c>
      <c r="G523" s="19" t="s">
        <v>112</v>
      </c>
      <c r="H523" s="19" t="s">
        <v>702</v>
      </c>
      <c r="I523" t="s">
        <v>6</v>
      </c>
      <c r="J523" s="19"/>
      <c r="K523" s="19"/>
      <c r="L523" s="19" t="s">
        <v>703</v>
      </c>
      <c r="P523" s="20" t="s">
        <v>117</v>
      </c>
    </row>
    <row r="524" spans="1:16" x14ac:dyDescent="0.3">
      <c r="A524" s="19">
        <f t="shared" si="8"/>
        <v>523</v>
      </c>
      <c r="B524" s="20" t="s">
        <v>87</v>
      </c>
      <c r="C524" s="20" t="s">
        <v>97</v>
      </c>
      <c r="D524" s="21" t="str">
        <f>IF($C524="","",IFERROR(VLOOKUP($C524,Map_Register!$A$2:$C$5,3,FALSE()),""))</f>
        <v>Military Zone</v>
      </c>
      <c r="E524" s="20" t="s">
        <v>111</v>
      </c>
      <c r="F524" s="22">
        <v>27845</v>
      </c>
      <c r="G524" s="19" t="s">
        <v>112</v>
      </c>
      <c r="H524" s="19" t="s">
        <v>704</v>
      </c>
      <c r="I524" s="19" t="s">
        <v>6</v>
      </c>
      <c r="J524" s="19"/>
      <c r="K524" s="19"/>
      <c r="L524" s="19" t="s">
        <v>705</v>
      </c>
      <c r="P524" s="20" t="s">
        <v>117</v>
      </c>
    </row>
    <row r="525" spans="1:16" x14ac:dyDescent="0.3">
      <c r="A525" s="19">
        <f t="shared" si="8"/>
        <v>524</v>
      </c>
      <c r="B525" s="20" t="s">
        <v>87</v>
      </c>
      <c r="C525" s="20" t="s">
        <v>97</v>
      </c>
      <c r="D525" s="21" t="str">
        <f>IF($C525="","",IFERROR(VLOOKUP($C525,Map_Register!$A$2:$C$5,3,FALSE()),""))</f>
        <v>Military Zone</v>
      </c>
      <c r="E525" s="20" t="s">
        <v>111</v>
      </c>
      <c r="F525" s="22">
        <v>27846</v>
      </c>
      <c r="G525" s="19" t="s">
        <v>112</v>
      </c>
      <c r="H525" s="19" t="s">
        <v>706</v>
      </c>
      <c r="I525" s="19" t="s">
        <v>6</v>
      </c>
      <c r="J525" s="19"/>
      <c r="K525" s="19"/>
      <c r="L525" s="19" t="s">
        <v>225</v>
      </c>
      <c r="P525" s="20" t="s">
        <v>117</v>
      </c>
    </row>
    <row r="526" spans="1:16" x14ac:dyDescent="0.3">
      <c r="A526" s="19">
        <f t="shared" si="8"/>
        <v>525</v>
      </c>
      <c r="B526" s="20" t="s">
        <v>87</v>
      </c>
      <c r="C526" s="20" t="s">
        <v>97</v>
      </c>
      <c r="D526" s="21" t="str">
        <f>IF($C526="","",IFERROR(VLOOKUP($C526,Map_Register!$A$2:$C$5,3,FALSE()),""))</f>
        <v>Military Zone</v>
      </c>
      <c r="E526" s="20" t="s">
        <v>111</v>
      </c>
      <c r="F526" s="22">
        <v>27847</v>
      </c>
      <c r="G526" s="19" t="s">
        <v>112</v>
      </c>
      <c r="H526" s="19" t="s">
        <v>707</v>
      </c>
      <c r="I526" s="19" t="s">
        <v>6</v>
      </c>
      <c r="J526" s="19"/>
      <c r="K526" s="19"/>
      <c r="L526" s="19" t="s">
        <v>225</v>
      </c>
      <c r="P526" s="20" t="s">
        <v>117</v>
      </c>
    </row>
    <row r="527" spans="1:16" x14ac:dyDescent="0.3">
      <c r="A527" s="19">
        <f t="shared" si="8"/>
        <v>526</v>
      </c>
      <c r="B527" s="20" t="s">
        <v>87</v>
      </c>
      <c r="C527" s="20" t="s">
        <v>97</v>
      </c>
      <c r="D527" s="21" t="str">
        <f>IF($C527="","",IFERROR(VLOOKUP($C527,Map_Register!$A$2:$C$5,3,FALSE()),""))</f>
        <v>Military Zone</v>
      </c>
      <c r="E527" s="20" t="s">
        <v>111</v>
      </c>
      <c r="F527" s="22">
        <v>27848</v>
      </c>
      <c r="G527" s="19" t="s">
        <v>112</v>
      </c>
      <c r="H527" s="19" t="s">
        <v>708</v>
      </c>
      <c r="I527" s="19" t="s">
        <v>6</v>
      </c>
      <c r="J527" s="19"/>
      <c r="K527" s="19"/>
      <c r="L527" s="19" t="s">
        <v>225</v>
      </c>
      <c r="P527" s="20" t="s">
        <v>117</v>
      </c>
    </row>
    <row r="528" spans="1:16" x14ac:dyDescent="0.3">
      <c r="A528" s="19">
        <f t="shared" si="8"/>
        <v>527</v>
      </c>
      <c r="B528" s="20" t="s">
        <v>87</v>
      </c>
      <c r="C528" s="20" t="s">
        <v>97</v>
      </c>
      <c r="D528" s="21" t="str">
        <f>IF($C528="","",IFERROR(VLOOKUP($C528,Map_Register!$A$2:$C$5,3,FALSE()),""))</f>
        <v>Military Zone</v>
      </c>
      <c r="E528" s="20" t="s">
        <v>111</v>
      </c>
      <c r="F528" s="22">
        <v>27849</v>
      </c>
      <c r="G528" s="19" t="s">
        <v>112</v>
      </c>
      <c r="H528" s="19" t="s">
        <v>709</v>
      </c>
      <c r="I528" s="19" t="s">
        <v>8</v>
      </c>
      <c r="J528" s="19" t="s">
        <v>114</v>
      </c>
      <c r="K528" s="19" t="s">
        <v>114</v>
      </c>
      <c r="L528" s="19" t="s">
        <v>151</v>
      </c>
      <c r="M528" s="20" t="s">
        <v>116</v>
      </c>
      <c r="P528" s="20" t="s">
        <v>117</v>
      </c>
    </row>
    <row r="529" spans="1:16" x14ac:dyDescent="0.3">
      <c r="A529" s="19">
        <f t="shared" si="8"/>
        <v>528</v>
      </c>
      <c r="B529" s="20" t="s">
        <v>87</v>
      </c>
      <c r="C529" s="20" t="s">
        <v>97</v>
      </c>
      <c r="D529" s="21" t="str">
        <f>IF($C529="","",IFERROR(VLOOKUP($C529,Map_Register!$A$2:$C$5,3,FALSE()),""))</f>
        <v>Military Zone</v>
      </c>
      <c r="E529" s="20" t="s">
        <v>111</v>
      </c>
      <c r="F529" s="22">
        <v>27850</v>
      </c>
      <c r="G529" s="19" t="s">
        <v>112</v>
      </c>
      <c r="H529" s="19" t="s">
        <v>710</v>
      </c>
      <c r="I529" s="19" t="s">
        <v>6</v>
      </c>
      <c r="J529" s="19"/>
      <c r="K529" s="19"/>
      <c r="L529" s="19" t="s">
        <v>225</v>
      </c>
      <c r="P529" s="20" t="s">
        <v>117</v>
      </c>
    </row>
    <row r="530" spans="1:16" x14ac:dyDescent="0.3">
      <c r="A530" s="19">
        <f t="shared" si="8"/>
        <v>529</v>
      </c>
      <c r="B530" s="20" t="s">
        <v>87</v>
      </c>
      <c r="C530" s="20" t="s">
        <v>97</v>
      </c>
      <c r="D530" s="21" t="str">
        <f>IF($C530="","",IFERROR(VLOOKUP($C530,Map_Register!$A$2:$C$5,3,FALSE()),""))</f>
        <v>Military Zone</v>
      </c>
      <c r="E530" s="20" t="s">
        <v>111</v>
      </c>
      <c r="F530" s="22">
        <v>27851</v>
      </c>
      <c r="G530" s="19" t="s">
        <v>112</v>
      </c>
      <c r="H530" s="19" t="s">
        <v>711</v>
      </c>
      <c r="I530" s="19" t="s">
        <v>6</v>
      </c>
      <c r="J530" s="19"/>
      <c r="K530" s="19"/>
      <c r="L530" s="19" t="s">
        <v>225</v>
      </c>
      <c r="P530" s="20" t="s">
        <v>117</v>
      </c>
    </row>
    <row r="531" spans="1:16" x14ac:dyDescent="0.3">
      <c r="A531" s="19">
        <f t="shared" si="8"/>
        <v>530</v>
      </c>
      <c r="B531" s="20" t="s">
        <v>87</v>
      </c>
      <c r="C531" s="20" t="s">
        <v>97</v>
      </c>
      <c r="D531" s="21" t="str">
        <f>IF($C531="","",IFERROR(VLOOKUP($C531,Map_Register!$A$2:$C$5,3,FALSE()),""))</f>
        <v>Military Zone</v>
      </c>
      <c r="E531" s="20" t="s">
        <v>111</v>
      </c>
      <c r="F531" s="22">
        <v>27852</v>
      </c>
      <c r="G531" s="19" t="s">
        <v>112</v>
      </c>
      <c r="H531" s="19" t="s">
        <v>712</v>
      </c>
      <c r="I531" s="19" t="s">
        <v>6</v>
      </c>
      <c r="J531" s="19"/>
      <c r="K531" s="19"/>
      <c r="L531" s="19" t="s">
        <v>700</v>
      </c>
      <c r="P531" s="20" t="s">
        <v>117</v>
      </c>
    </row>
    <row r="532" spans="1:16" x14ac:dyDescent="0.3">
      <c r="A532" s="19">
        <f t="shared" si="8"/>
        <v>531</v>
      </c>
      <c r="B532" s="20" t="s">
        <v>87</v>
      </c>
      <c r="C532" s="20" t="s">
        <v>97</v>
      </c>
      <c r="D532" s="21" t="str">
        <f>IF($C532="","",IFERROR(VLOOKUP($C532,Map_Register!$A$2:$C$5,3,FALSE()),""))</f>
        <v>Military Zone</v>
      </c>
      <c r="E532" s="20" t="s">
        <v>111</v>
      </c>
      <c r="F532" s="22">
        <v>27853</v>
      </c>
      <c r="G532" s="19" t="s">
        <v>112</v>
      </c>
      <c r="H532" s="19" t="s">
        <v>713</v>
      </c>
      <c r="I532" s="19" t="s">
        <v>8</v>
      </c>
      <c r="J532" s="19" t="s">
        <v>114</v>
      </c>
      <c r="K532" s="19" t="s">
        <v>114</v>
      </c>
      <c r="L532" s="19" t="s">
        <v>151</v>
      </c>
      <c r="M532" s="20" t="s">
        <v>116</v>
      </c>
      <c r="P532" s="20" t="s">
        <v>117</v>
      </c>
    </row>
    <row r="533" spans="1:16" x14ac:dyDescent="0.3">
      <c r="A533" s="19">
        <f t="shared" si="8"/>
        <v>532</v>
      </c>
      <c r="B533" s="20" t="s">
        <v>87</v>
      </c>
      <c r="C533" s="20" t="s">
        <v>97</v>
      </c>
      <c r="D533" s="21" t="str">
        <f>IF($C533="","",IFERROR(VLOOKUP($C533,Map_Register!$A$2:$C$5,3,FALSE()),""))</f>
        <v>Military Zone</v>
      </c>
      <c r="E533" s="20" t="s">
        <v>111</v>
      </c>
      <c r="F533" s="22">
        <v>27854</v>
      </c>
      <c r="G533" s="19" t="s">
        <v>112</v>
      </c>
      <c r="H533" s="19" t="s">
        <v>714</v>
      </c>
      <c r="I533" s="19" t="s">
        <v>6</v>
      </c>
      <c r="J533" s="19"/>
      <c r="K533" s="19"/>
      <c r="L533" s="19" t="s">
        <v>225</v>
      </c>
      <c r="P533" s="20" t="s">
        <v>117</v>
      </c>
    </row>
    <row r="534" spans="1:16" x14ac:dyDescent="0.3">
      <c r="A534" s="19">
        <f t="shared" si="8"/>
        <v>533</v>
      </c>
      <c r="B534" s="20" t="s">
        <v>87</v>
      </c>
      <c r="C534" s="20" t="s">
        <v>97</v>
      </c>
      <c r="D534" s="21" t="str">
        <f>IF($C534="","",IFERROR(VLOOKUP($C534,Map_Register!$A$2:$C$5,3,FALSE()),""))</f>
        <v>Military Zone</v>
      </c>
      <c r="E534" s="20" t="s">
        <v>111</v>
      </c>
      <c r="F534" s="22">
        <v>27855</v>
      </c>
      <c r="G534" s="19" t="s">
        <v>112</v>
      </c>
      <c r="H534" s="19" t="s">
        <v>715</v>
      </c>
      <c r="I534" s="19" t="s">
        <v>8</v>
      </c>
      <c r="J534" s="19" t="s">
        <v>114</v>
      </c>
      <c r="K534" s="19" t="s">
        <v>114</v>
      </c>
      <c r="L534" s="19" t="s">
        <v>151</v>
      </c>
      <c r="M534" s="20" t="s">
        <v>116</v>
      </c>
      <c r="P534" s="20" t="s">
        <v>117</v>
      </c>
    </row>
    <row r="535" spans="1:16" x14ac:dyDescent="0.3">
      <c r="A535" s="19">
        <f t="shared" si="8"/>
        <v>534</v>
      </c>
      <c r="B535" s="20" t="s">
        <v>87</v>
      </c>
      <c r="C535" s="20" t="s">
        <v>97</v>
      </c>
      <c r="D535" s="21" t="str">
        <f>IF($C535="","",IFERROR(VLOOKUP($C535,Map_Register!$A$2:$C$5,3,FALSE()),""))</f>
        <v>Military Zone</v>
      </c>
      <c r="E535" s="20" t="s">
        <v>111</v>
      </c>
      <c r="F535" s="22">
        <v>27856</v>
      </c>
      <c r="G535" s="19" t="s">
        <v>112</v>
      </c>
      <c r="H535" s="19" t="s">
        <v>716</v>
      </c>
      <c r="I535" s="19" t="s">
        <v>8</v>
      </c>
      <c r="J535" s="19" t="s">
        <v>114</v>
      </c>
      <c r="K535" s="19" t="s">
        <v>114</v>
      </c>
      <c r="L535" s="19" t="s">
        <v>151</v>
      </c>
      <c r="M535" s="20" t="s">
        <v>116</v>
      </c>
      <c r="P535" s="20" t="s">
        <v>117</v>
      </c>
    </row>
    <row r="536" spans="1:16" x14ac:dyDescent="0.3">
      <c r="A536" s="19">
        <f t="shared" si="8"/>
        <v>535</v>
      </c>
      <c r="B536" s="20" t="s">
        <v>87</v>
      </c>
      <c r="C536" s="20" t="s">
        <v>97</v>
      </c>
      <c r="D536" s="21" t="str">
        <f>IF($C536="","",IFERROR(VLOOKUP($C536,Map_Register!$A$2:$C$5,3,FALSE()),""))</f>
        <v>Military Zone</v>
      </c>
      <c r="E536" s="20" t="s">
        <v>111</v>
      </c>
      <c r="F536" s="22">
        <v>27857</v>
      </c>
      <c r="G536" s="19" t="s">
        <v>112</v>
      </c>
      <c r="H536" s="19" t="s">
        <v>717</v>
      </c>
      <c r="I536" s="19" t="s">
        <v>6</v>
      </c>
      <c r="J536" s="19"/>
      <c r="K536" s="19"/>
      <c r="L536" s="19" t="s">
        <v>225</v>
      </c>
      <c r="P536" s="20" t="s">
        <v>117</v>
      </c>
    </row>
    <row r="537" spans="1:16" x14ac:dyDescent="0.3">
      <c r="A537" s="19">
        <f t="shared" si="8"/>
        <v>536</v>
      </c>
      <c r="B537" s="20" t="s">
        <v>87</v>
      </c>
      <c r="C537" s="20" t="s">
        <v>97</v>
      </c>
      <c r="D537" s="21" t="str">
        <f>IF($C537="","",IFERROR(VLOOKUP($C537,Map_Register!$A$2:$C$5,3,FALSE()),""))</f>
        <v>Military Zone</v>
      </c>
      <c r="E537" s="20" t="s">
        <v>111</v>
      </c>
      <c r="F537" s="22">
        <v>27859</v>
      </c>
      <c r="G537" s="19" t="s">
        <v>112</v>
      </c>
      <c r="H537" s="19" t="s">
        <v>718</v>
      </c>
      <c r="I537" s="19" t="s">
        <v>6</v>
      </c>
      <c r="J537" s="19"/>
      <c r="K537" s="19"/>
      <c r="L537" s="19" t="s">
        <v>225</v>
      </c>
      <c r="P537" s="20" t="s">
        <v>117</v>
      </c>
    </row>
    <row r="538" spans="1:16" x14ac:dyDescent="0.3">
      <c r="A538" s="19">
        <f t="shared" si="8"/>
        <v>537</v>
      </c>
      <c r="B538" s="20" t="s">
        <v>87</v>
      </c>
      <c r="C538" s="20" t="s">
        <v>97</v>
      </c>
      <c r="D538" s="21" t="str">
        <f>IF($C538="","",IFERROR(VLOOKUP($C538,Map_Register!$A$2:$C$5,3,FALSE()),""))</f>
        <v>Military Zone</v>
      </c>
      <c r="E538" s="20" t="s">
        <v>111</v>
      </c>
      <c r="F538" s="22">
        <v>27860</v>
      </c>
      <c r="G538" s="19" t="s">
        <v>112</v>
      </c>
      <c r="H538" s="19" t="s">
        <v>719</v>
      </c>
      <c r="I538" s="19" t="s">
        <v>6</v>
      </c>
      <c r="J538" s="19"/>
      <c r="K538" s="19"/>
      <c r="L538" s="19" t="s">
        <v>225</v>
      </c>
      <c r="P538" s="20" t="s">
        <v>117</v>
      </c>
    </row>
    <row r="539" spans="1:16" x14ac:dyDescent="0.3">
      <c r="A539" s="19">
        <f t="shared" si="8"/>
        <v>538</v>
      </c>
      <c r="B539" s="20" t="s">
        <v>87</v>
      </c>
      <c r="C539" s="20" t="s">
        <v>97</v>
      </c>
      <c r="D539" s="21" t="str">
        <f>IF($C539="","",IFERROR(VLOOKUP($C539,Map_Register!$A$2:$C$5,3,FALSE()),""))</f>
        <v>Military Zone</v>
      </c>
      <c r="E539" s="20" t="s">
        <v>111</v>
      </c>
      <c r="F539" s="22">
        <v>27861</v>
      </c>
      <c r="G539" s="19" t="s">
        <v>112</v>
      </c>
      <c r="H539" s="19" t="s">
        <v>720</v>
      </c>
      <c r="I539" s="19" t="s">
        <v>6</v>
      </c>
      <c r="J539" s="19"/>
      <c r="K539" s="19"/>
      <c r="L539" s="19" t="s">
        <v>225</v>
      </c>
      <c r="P539" s="20" t="s">
        <v>117</v>
      </c>
    </row>
    <row r="540" spans="1:16" x14ac:dyDescent="0.3">
      <c r="A540" s="19">
        <f t="shared" si="8"/>
        <v>539</v>
      </c>
      <c r="B540" s="20" t="s">
        <v>87</v>
      </c>
      <c r="C540" s="20" t="s">
        <v>97</v>
      </c>
      <c r="D540" s="21" t="str">
        <f>IF($C540="","",IFERROR(VLOOKUP($C540,Map_Register!$A$2:$C$5,3,FALSE()),""))</f>
        <v>Military Zone</v>
      </c>
      <c r="E540" s="20" t="s">
        <v>111</v>
      </c>
      <c r="F540" s="22">
        <v>27862</v>
      </c>
      <c r="G540" s="19" t="s">
        <v>112</v>
      </c>
      <c r="H540" s="19" t="s">
        <v>721</v>
      </c>
      <c r="I540" s="19" t="s">
        <v>8</v>
      </c>
      <c r="J540" s="19" t="s">
        <v>114</v>
      </c>
      <c r="K540" s="19" t="s">
        <v>114</v>
      </c>
      <c r="L540" s="19" t="s">
        <v>151</v>
      </c>
      <c r="M540" s="20" t="s">
        <v>116</v>
      </c>
      <c r="P540" s="20" t="s">
        <v>117</v>
      </c>
    </row>
    <row r="541" spans="1:16" x14ac:dyDescent="0.3">
      <c r="A541" s="19">
        <f t="shared" si="8"/>
        <v>540</v>
      </c>
      <c r="B541" s="20" t="s">
        <v>87</v>
      </c>
      <c r="C541" s="20" t="s">
        <v>97</v>
      </c>
      <c r="D541" s="21" t="str">
        <f>IF($C541="","",IFERROR(VLOOKUP($C541,Map_Register!$A$2:$C$5,3,FALSE()),""))</f>
        <v>Military Zone</v>
      </c>
      <c r="E541" s="20" t="s">
        <v>111</v>
      </c>
      <c r="F541" s="22">
        <v>27863</v>
      </c>
      <c r="G541" s="19" t="s">
        <v>112</v>
      </c>
      <c r="H541" s="19" t="s">
        <v>722</v>
      </c>
      <c r="I541" s="19" t="s">
        <v>8</v>
      </c>
      <c r="J541" s="19" t="s">
        <v>114</v>
      </c>
      <c r="K541" s="19" t="s">
        <v>114</v>
      </c>
      <c r="L541" s="19" t="s">
        <v>151</v>
      </c>
      <c r="M541" s="20" t="s">
        <v>116</v>
      </c>
      <c r="P541" s="20" t="s">
        <v>117</v>
      </c>
    </row>
    <row r="542" spans="1:16" x14ac:dyDescent="0.3">
      <c r="A542" s="19">
        <f t="shared" si="8"/>
        <v>541</v>
      </c>
      <c r="B542" s="20" t="s">
        <v>87</v>
      </c>
      <c r="C542" s="20" t="s">
        <v>97</v>
      </c>
      <c r="D542" s="21" t="str">
        <f>IF($C542="","",IFERROR(VLOOKUP($C542,Map_Register!$A$2:$C$5,3,FALSE()),""))</f>
        <v>Military Zone</v>
      </c>
      <c r="E542" s="20" t="s">
        <v>111</v>
      </c>
      <c r="F542" s="22">
        <v>27865</v>
      </c>
      <c r="G542" s="19" t="s">
        <v>112</v>
      </c>
      <c r="H542" s="19" t="s">
        <v>723</v>
      </c>
      <c r="I542" s="19" t="s">
        <v>8</v>
      </c>
      <c r="J542" s="19" t="s">
        <v>114</v>
      </c>
      <c r="K542" s="19" t="s">
        <v>114</v>
      </c>
      <c r="L542" s="19" t="s">
        <v>151</v>
      </c>
      <c r="M542" s="20" t="s">
        <v>116</v>
      </c>
      <c r="P542" s="20" t="s">
        <v>117</v>
      </c>
    </row>
    <row r="543" spans="1:16" x14ac:dyDescent="0.3">
      <c r="A543" s="19">
        <f t="shared" si="8"/>
        <v>542</v>
      </c>
      <c r="B543" s="20" t="s">
        <v>87</v>
      </c>
      <c r="C543" s="20" t="s">
        <v>97</v>
      </c>
      <c r="D543" s="21" t="str">
        <f>IF($C543="","",IFERROR(VLOOKUP($C543,Map_Register!$A$2:$C$5,3,FALSE()),""))</f>
        <v>Military Zone</v>
      </c>
      <c r="E543" s="20" t="s">
        <v>111</v>
      </c>
      <c r="F543" s="22">
        <v>27866</v>
      </c>
      <c r="G543" s="19" t="s">
        <v>112</v>
      </c>
      <c r="H543" s="19" t="s">
        <v>724</v>
      </c>
      <c r="I543" s="19" t="s">
        <v>8</v>
      </c>
      <c r="J543" s="19" t="s">
        <v>114</v>
      </c>
      <c r="K543" s="19" t="s">
        <v>114</v>
      </c>
      <c r="L543" s="19" t="s">
        <v>151</v>
      </c>
      <c r="M543" s="20" t="s">
        <v>116</v>
      </c>
      <c r="P543" s="20" t="s">
        <v>117</v>
      </c>
    </row>
    <row r="544" spans="1:16" x14ac:dyDescent="0.3">
      <c r="A544" s="19">
        <f t="shared" si="8"/>
        <v>543</v>
      </c>
      <c r="B544" s="20" t="s">
        <v>87</v>
      </c>
      <c r="C544" s="20" t="s">
        <v>97</v>
      </c>
      <c r="D544" s="21" t="str">
        <f>IF($C544="","",IFERROR(VLOOKUP($C544,Map_Register!$A$2:$C$5,3,FALSE()),""))</f>
        <v>Military Zone</v>
      </c>
      <c r="E544" s="20" t="s">
        <v>111</v>
      </c>
      <c r="F544" s="22">
        <v>27867</v>
      </c>
      <c r="G544" s="19" t="s">
        <v>112</v>
      </c>
      <c r="H544" s="19" t="s">
        <v>718</v>
      </c>
      <c r="I544" s="19" t="s">
        <v>6</v>
      </c>
      <c r="J544" s="19"/>
      <c r="K544" s="19"/>
      <c r="L544" s="19" t="s">
        <v>225</v>
      </c>
      <c r="P544" s="20" t="s">
        <v>117</v>
      </c>
    </row>
    <row r="545" spans="1:16" x14ac:dyDescent="0.3">
      <c r="A545" s="19">
        <f t="shared" si="8"/>
        <v>544</v>
      </c>
      <c r="B545" s="20" t="s">
        <v>87</v>
      </c>
      <c r="C545" s="20" t="s">
        <v>97</v>
      </c>
      <c r="D545" s="21" t="str">
        <f>IF($C545="","",IFERROR(VLOOKUP($C545,Map_Register!$A$2:$C$5,3,FALSE()),""))</f>
        <v>Military Zone</v>
      </c>
      <c r="E545" s="20" t="s">
        <v>111</v>
      </c>
      <c r="F545" s="22">
        <v>27868</v>
      </c>
      <c r="G545" s="19" t="s">
        <v>112</v>
      </c>
      <c r="H545" s="19" t="s">
        <v>725</v>
      </c>
      <c r="I545" s="19" t="s">
        <v>8</v>
      </c>
      <c r="J545" s="19" t="s">
        <v>114</v>
      </c>
      <c r="K545" s="19" t="s">
        <v>114</v>
      </c>
      <c r="L545" s="19" t="s">
        <v>151</v>
      </c>
      <c r="M545" s="20" t="s">
        <v>116</v>
      </c>
      <c r="P545" s="20" t="s">
        <v>117</v>
      </c>
    </row>
    <row r="546" spans="1:16" x14ac:dyDescent="0.3">
      <c r="A546" s="19">
        <f t="shared" si="8"/>
        <v>545</v>
      </c>
      <c r="B546" s="20" t="s">
        <v>87</v>
      </c>
      <c r="C546" s="20" t="s">
        <v>97</v>
      </c>
      <c r="D546" s="21" t="str">
        <f>IF($C546="","",IFERROR(VLOOKUP($C546,Map_Register!$A$2:$C$5,3,FALSE()),""))</f>
        <v>Military Zone</v>
      </c>
      <c r="E546" s="20" t="s">
        <v>111</v>
      </c>
      <c r="F546" s="22">
        <v>27869</v>
      </c>
      <c r="G546" s="19" t="s">
        <v>112</v>
      </c>
      <c r="H546" s="19" t="s">
        <v>726</v>
      </c>
      <c r="I546" s="19" t="s">
        <v>8</v>
      </c>
      <c r="J546" s="19" t="s">
        <v>114</v>
      </c>
      <c r="K546" s="19" t="s">
        <v>114</v>
      </c>
      <c r="L546" s="19" t="s">
        <v>151</v>
      </c>
      <c r="M546" s="20" t="s">
        <v>116</v>
      </c>
      <c r="P546" s="20" t="s">
        <v>117</v>
      </c>
    </row>
    <row r="547" spans="1:16" x14ac:dyDescent="0.3">
      <c r="A547" s="19">
        <f t="shared" si="8"/>
        <v>546</v>
      </c>
      <c r="B547" s="20" t="s">
        <v>87</v>
      </c>
      <c r="C547" s="20" t="s">
        <v>97</v>
      </c>
      <c r="D547" s="21" t="str">
        <f>IF($C547="","",IFERROR(VLOOKUP($C547,Map_Register!$A$2:$C$5,3,FALSE()),""))</f>
        <v>Military Zone</v>
      </c>
      <c r="E547" s="20" t="s">
        <v>111</v>
      </c>
      <c r="F547" s="22">
        <v>27870</v>
      </c>
      <c r="G547" s="19" t="s">
        <v>112</v>
      </c>
      <c r="H547" s="19" t="s">
        <v>727</v>
      </c>
      <c r="I547" s="19" t="s">
        <v>8</v>
      </c>
      <c r="J547" s="19" t="s">
        <v>114</v>
      </c>
      <c r="K547" t="s">
        <v>114</v>
      </c>
      <c r="L547" s="19" t="s">
        <v>165</v>
      </c>
      <c r="M547" s="20" t="s">
        <v>116</v>
      </c>
      <c r="P547" s="20" t="s">
        <v>117</v>
      </c>
    </row>
    <row r="548" spans="1:16" x14ac:dyDescent="0.3">
      <c r="A548" s="19">
        <f t="shared" si="8"/>
        <v>547</v>
      </c>
      <c r="B548" s="20" t="s">
        <v>87</v>
      </c>
      <c r="C548" s="20" t="s">
        <v>97</v>
      </c>
      <c r="D548" s="21" t="str">
        <f>IF($C548="","",IFERROR(VLOOKUP($C548,Map_Register!$A$2:$C$5,3,FALSE()),""))</f>
        <v>Military Zone</v>
      </c>
      <c r="E548" s="20" t="s">
        <v>111</v>
      </c>
      <c r="F548" s="22">
        <v>27872</v>
      </c>
      <c r="G548" s="19" t="s">
        <v>112</v>
      </c>
      <c r="H548" s="19" t="s">
        <v>728</v>
      </c>
      <c r="I548" s="19" t="s">
        <v>8</v>
      </c>
      <c r="J548" s="19" t="s">
        <v>114</v>
      </c>
      <c r="K548" t="s">
        <v>114</v>
      </c>
      <c r="L548" s="19" t="s">
        <v>165</v>
      </c>
      <c r="M548" s="20" t="s">
        <v>116</v>
      </c>
      <c r="P548" s="20" t="s">
        <v>117</v>
      </c>
    </row>
    <row r="549" spans="1:16" x14ac:dyDescent="0.3">
      <c r="A549" s="19">
        <f t="shared" si="8"/>
        <v>548</v>
      </c>
      <c r="B549" s="20" t="s">
        <v>87</v>
      </c>
      <c r="C549" s="20" t="s">
        <v>97</v>
      </c>
      <c r="D549" s="21" t="str">
        <f>IF($C549="","",IFERROR(VLOOKUP($C549,Map_Register!$A$2:$C$5,3,FALSE()),""))</f>
        <v>Military Zone</v>
      </c>
      <c r="E549" s="20" t="s">
        <v>111</v>
      </c>
      <c r="F549" s="22">
        <v>27874</v>
      </c>
      <c r="G549" s="19" t="s">
        <v>112</v>
      </c>
      <c r="H549" s="19" t="s">
        <v>729</v>
      </c>
      <c r="I549" s="19" t="s">
        <v>8</v>
      </c>
      <c r="J549" s="19" t="s">
        <v>114</v>
      </c>
      <c r="K549" s="19" t="s">
        <v>114</v>
      </c>
      <c r="L549" s="19" t="s">
        <v>151</v>
      </c>
      <c r="M549" s="20" t="s">
        <v>116</v>
      </c>
      <c r="P549" s="20" t="s">
        <v>117</v>
      </c>
    </row>
    <row r="550" spans="1:16" x14ac:dyDescent="0.3">
      <c r="A550" s="19">
        <f t="shared" si="8"/>
        <v>549</v>
      </c>
      <c r="B550" s="20" t="s">
        <v>87</v>
      </c>
      <c r="C550" s="20" t="s">
        <v>97</v>
      </c>
      <c r="D550" s="21" t="str">
        <f>IF($C550="","",IFERROR(VLOOKUP($C550,Map_Register!$A$2:$C$5,3,FALSE()),""))</f>
        <v>Military Zone</v>
      </c>
      <c r="E550" s="20" t="s">
        <v>111</v>
      </c>
      <c r="F550" s="22">
        <v>27875</v>
      </c>
      <c r="G550" s="19" t="s">
        <v>112</v>
      </c>
      <c r="H550" s="19" t="s">
        <v>730</v>
      </c>
      <c r="I550" s="19" t="s">
        <v>8</v>
      </c>
      <c r="J550" s="19" t="s">
        <v>114</v>
      </c>
      <c r="K550" s="19" t="s">
        <v>114</v>
      </c>
      <c r="L550" s="19" t="s">
        <v>151</v>
      </c>
      <c r="M550" s="20" t="s">
        <v>116</v>
      </c>
      <c r="P550" s="20" t="s">
        <v>117</v>
      </c>
    </row>
    <row r="551" spans="1:16" x14ac:dyDescent="0.3">
      <c r="A551" s="19">
        <f t="shared" si="8"/>
        <v>550</v>
      </c>
      <c r="B551" s="20" t="s">
        <v>87</v>
      </c>
      <c r="C551" s="20" t="s">
        <v>97</v>
      </c>
      <c r="D551" s="21" t="str">
        <f>IF($C551="","",IFERROR(VLOOKUP($C551,Map_Register!$A$2:$C$5,3,FALSE()),""))</f>
        <v>Military Zone</v>
      </c>
      <c r="E551" s="20" t="s">
        <v>111</v>
      </c>
      <c r="F551" s="22">
        <v>27876</v>
      </c>
      <c r="G551" s="19" t="s">
        <v>112</v>
      </c>
      <c r="H551" s="19" t="s">
        <v>731</v>
      </c>
      <c r="I551" s="19" t="s">
        <v>8</v>
      </c>
      <c r="J551" s="19" t="s">
        <v>114</v>
      </c>
      <c r="K551" s="19" t="s">
        <v>114</v>
      </c>
      <c r="L551" s="19" t="s">
        <v>151</v>
      </c>
      <c r="M551" s="20" t="s">
        <v>116</v>
      </c>
      <c r="P551" s="20" t="s">
        <v>117</v>
      </c>
    </row>
    <row r="552" spans="1:16" x14ac:dyDescent="0.3">
      <c r="A552" s="19">
        <f t="shared" si="8"/>
        <v>551</v>
      </c>
      <c r="B552" s="20" t="s">
        <v>87</v>
      </c>
      <c r="C552" s="20" t="s">
        <v>97</v>
      </c>
      <c r="D552" s="21" t="str">
        <f>IF($C552="","",IFERROR(VLOOKUP($C552,Map_Register!$A$2:$C$5,3,FALSE()),""))</f>
        <v>Military Zone</v>
      </c>
      <c r="E552" s="20" t="s">
        <v>111</v>
      </c>
      <c r="F552" s="22">
        <v>28039</v>
      </c>
      <c r="G552" s="19" t="s">
        <v>112</v>
      </c>
      <c r="H552" s="19" t="s">
        <v>732</v>
      </c>
      <c r="I552" s="19" t="s">
        <v>8</v>
      </c>
      <c r="J552" s="19" t="s">
        <v>114</v>
      </c>
      <c r="K552" s="19" t="s">
        <v>116</v>
      </c>
      <c r="L552" s="19" t="s">
        <v>733</v>
      </c>
      <c r="M552" s="20" t="s">
        <v>116</v>
      </c>
      <c r="P552" s="20" t="s">
        <v>117</v>
      </c>
    </row>
    <row r="553" spans="1:16" x14ac:dyDescent="0.3">
      <c r="A553" s="19">
        <f t="shared" si="8"/>
        <v>552</v>
      </c>
      <c r="B553" s="20" t="s">
        <v>87</v>
      </c>
      <c r="C553" s="20" t="s">
        <v>97</v>
      </c>
      <c r="D553" s="21" t="str">
        <f>IF($C553="","",IFERROR(VLOOKUP($C553,Map_Register!$A$2:$C$5,3,FALSE()),""))</f>
        <v>Military Zone</v>
      </c>
      <c r="E553" s="20" t="s">
        <v>111</v>
      </c>
      <c r="F553" s="22">
        <v>29166</v>
      </c>
      <c r="G553" s="19" t="s">
        <v>112</v>
      </c>
      <c r="H553" s="19" t="s">
        <v>734</v>
      </c>
      <c r="I553" s="19" t="s">
        <v>8</v>
      </c>
      <c r="J553" s="19" t="s">
        <v>114</v>
      </c>
      <c r="K553" s="19" t="s">
        <v>114</v>
      </c>
      <c r="L553" s="19" t="s">
        <v>151</v>
      </c>
      <c r="M553" s="20" t="s">
        <v>116</v>
      </c>
      <c r="P553" s="20" t="s">
        <v>117</v>
      </c>
    </row>
    <row r="554" spans="1:16" x14ac:dyDescent="0.3">
      <c r="A554" s="19">
        <f t="shared" si="8"/>
        <v>553</v>
      </c>
      <c r="B554" s="20" t="s">
        <v>87</v>
      </c>
      <c r="C554" s="20" t="s">
        <v>97</v>
      </c>
      <c r="D554" s="21" t="str">
        <f>IF($C554="","",IFERROR(VLOOKUP($C554,Map_Register!$A$2:$C$5,3,FALSE()),""))</f>
        <v>Military Zone</v>
      </c>
      <c r="E554" s="20" t="s">
        <v>111</v>
      </c>
      <c r="F554" s="22">
        <v>29167</v>
      </c>
      <c r="G554" s="19" t="s">
        <v>112</v>
      </c>
      <c r="H554" s="19" t="s">
        <v>735</v>
      </c>
      <c r="I554" s="19" t="s">
        <v>8</v>
      </c>
      <c r="J554" s="19" t="s">
        <v>114</v>
      </c>
      <c r="K554" s="19" t="s">
        <v>114</v>
      </c>
      <c r="L554" s="19" t="s">
        <v>151</v>
      </c>
      <c r="M554" s="20" t="s">
        <v>116</v>
      </c>
      <c r="P554" s="20" t="s">
        <v>117</v>
      </c>
    </row>
    <row r="555" spans="1:16" x14ac:dyDescent="0.3">
      <c r="A555" s="19">
        <f t="shared" si="8"/>
        <v>554</v>
      </c>
      <c r="B555" s="20" t="s">
        <v>87</v>
      </c>
      <c r="C555" s="20" t="s">
        <v>97</v>
      </c>
      <c r="D555" s="21" t="str">
        <f>IF($C555="","",IFERROR(VLOOKUP($C555,Map_Register!$A$2:$C$5,3,FALSE()),""))</f>
        <v>Military Zone</v>
      </c>
      <c r="E555" s="20" t="s">
        <v>111</v>
      </c>
      <c r="F555" s="22">
        <v>29168</v>
      </c>
      <c r="G555" s="19" t="s">
        <v>112</v>
      </c>
      <c r="H555" s="19" t="s">
        <v>736</v>
      </c>
      <c r="I555" s="19" t="s">
        <v>8</v>
      </c>
      <c r="J555" s="19" t="s">
        <v>114</v>
      </c>
      <c r="K555" s="19" t="s">
        <v>114</v>
      </c>
      <c r="L555" s="19" t="s">
        <v>151</v>
      </c>
      <c r="M555" s="20" t="s">
        <v>116</v>
      </c>
      <c r="P555" s="20" t="s">
        <v>117</v>
      </c>
    </row>
    <row r="556" spans="1:16" x14ac:dyDescent="0.3">
      <c r="A556" s="19">
        <f t="shared" si="8"/>
        <v>555</v>
      </c>
      <c r="B556" s="20" t="s">
        <v>87</v>
      </c>
      <c r="C556" s="20" t="s">
        <v>97</v>
      </c>
      <c r="D556" s="21" t="str">
        <f>IF($C556="","",IFERROR(VLOOKUP($C556,Map_Register!$A$2:$C$5,3,FALSE()),""))</f>
        <v>Military Zone</v>
      </c>
      <c r="E556" s="20" t="s">
        <v>111</v>
      </c>
      <c r="F556" s="22">
        <v>29169</v>
      </c>
      <c r="G556" s="19" t="s">
        <v>112</v>
      </c>
      <c r="H556" s="19" t="s">
        <v>737</v>
      </c>
      <c r="I556" s="19" t="s">
        <v>8</v>
      </c>
      <c r="J556" s="19" t="s">
        <v>114</v>
      </c>
      <c r="K556" t="s">
        <v>114</v>
      </c>
      <c r="L556" s="19" t="s">
        <v>165</v>
      </c>
      <c r="M556" s="20" t="s">
        <v>116</v>
      </c>
      <c r="P556" s="20" t="s">
        <v>117</v>
      </c>
    </row>
    <row r="557" spans="1:16" x14ac:dyDescent="0.3">
      <c r="A557" s="19">
        <f t="shared" si="8"/>
        <v>556</v>
      </c>
      <c r="B557" s="20" t="s">
        <v>87</v>
      </c>
      <c r="C557" s="20" t="s">
        <v>97</v>
      </c>
      <c r="D557" s="21" t="str">
        <f>IF($C557="","",IFERROR(VLOOKUP($C557,Map_Register!$A$2:$C$5,3,FALSE()),""))</f>
        <v>Military Zone</v>
      </c>
      <c r="E557" s="20" t="s">
        <v>111</v>
      </c>
      <c r="F557" s="22">
        <v>29170</v>
      </c>
      <c r="G557" s="19" t="s">
        <v>112</v>
      </c>
      <c r="H557" s="19" t="s">
        <v>738</v>
      </c>
      <c r="I557" s="19" t="s">
        <v>8</v>
      </c>
      <c r="J557" s="19" t="s">
        <v>114</v>
      </c>
      <c r="K557" s="19" t="s">
        <v>114</v>
      </c>
      <c r="L557" s="19" t="s">
        <v>151</v>
      </c>
      <c r="M557" s="20" t="s">
        <v>116</v>
      </c>
      <c r="P557" s="20" t="s">
        <v>117</v>
      </c>
    </row>
    <row r="558" spans="1:16" x14ac:dyDescent="0.3">
      <c r="A558" s="19">
        <f t="shared" si="8"/>
        <v>557</v>
      </c>
      <c r="B558" s="20" t="s">
        <v>87</v>
      </c>
      <c r="C558" s="20" t="s">
        <v>97</v>
      </c>
      <c r="D558" s="21" t="str">
        <f>IF($C558="","",IFERROR(VLOOKUP($C558,Map_Register!$A$2:$C$5,3,FALSE()),""))</f>
        <v>Military Zone</v>
      </c>
      <c r="E558" s="20" t="s">
        <v>111</v>
      </c>
      <c r="F558" s="22">
        <v>29171</v>
      </c>
      <c r="G558" s="19" t="s">
        <v>112</v>
      </c>
      <c r="H558" s="19" t="s">
        <v>739</v>
      </c>
      <c r="I558" s="19" t="s">
        <v>8</v>
      </c>
      <c r="J558" s="19" t="s">
        <v>114</v>
      </c>
      <c r="K558" s="19" t="s">
        <v>114</v>
      </c>
      <c r="L558" s="19" t="s">
        <v>151</v>
      </c>
      <c r="M558" s="20" t="s">
        <v>116</v>
      </c>
      <c r="P558" s="20" t="s">
        <v>117</v>
      </c>
    </row>
    <row r="559" spans="1:16" x14ac:dyDescent="0.3">
      <c r="A559" s="19">
        <f t="shared" si="8"/>
        <v>558</v>
      </c>
      <c r="B559" s="20" t="s">
        <v>87</v>
      </c>
      <c r="C559" s="20" t="s">
        <v>97</v>
      </c>
      <c r="D559" s="21" t="str">
        <f>IF($C559="","",IFERROR(VLOOKUP($C559,Map_Register!$A$2:$C$5,3,FALSE()),""))</f>
        <v>Military Zone</v>
      </c>
      <c r="E559" s="20" t="s">
        <v>111</v>
      </c>
      <c r="F559" s="22">
        <v>29172</v>
      </c>
      <c r="G559" s="19" t="s">
        <v>112</v>
      </c>
      <c r="H559" s="19" t="s">
        <v>740</v>
      </c>
      <c r="I559" s="19" t="s">
        <v>8</v>
      </c>
      <c r="J559" s="19" t="s">
        <v>114</v>
      </c>
      <c r="K559" s="19" t="s">
        <v>114</v>
      </c>
      <c r="L559" s="19" t="s">
        <v>151</v>
      </c>
      <c r="M559" s="20" t="s">
        <v>116</v>
      </c>
      <c r="P559" s="20" t="s">
        <v>117</v>
      </c>
    </row>
    <row r="560" spans="1:16" x14ac:dyDescent="0.3">
      <c r="A560" s="19">
        <f t="shared" si="8"/>
        <v>559</v>
      </c>
      <c r="B560" s="20" t="s">
        <v>87</v>
      </c>
      <c r="C560" s="20" t="s">
        <v>97</v>
      </c>
      <c r="D560" s="21" t="str">
        <f>IF($C560="","",IFERROR(VLOOKUP($C560,Map_Register!$A$2:$C$5,3,FALSE()),""))</f>
        <v>Military Zone</v>
      </c>
      <c r="E560" s="20" t="s">
        <v>111</v>
      </c>
      <c r="F560" s="22">
        <v>29173</v>
      </c>
      <c r="G560" s="19" t="s">
        <v>112</v>
      </c>
      <c r="H560" s="19" t="s">
        <v>741</v>
      </c>
      <c r="I560" s="19" t="s">
        <v>8</v>
      </c>
      <c r="J560" s="19" t="s">
        <v>114</v>
      </c>
      <c r="K560" s="19" t="s">
        <v>114</v>
      </c>
      <c r="L560" s="19" t="s">
        <v>151</v>
      </c>
      <c r="M560" s="20" t="s">
        <v>116</v>
      </c>
      <c r="P560" s="20" t="s">
        <v>117</v>
      </c>
    </row>
    <row r="561" spans="1:16" x14ac:dyDescent="0.3">
      <c r="A561" s="19">
        <f t="shared" si="8"/>
        <v>560</v>
      </c>
      <c r="B561" s="20" t="s">
        <v>87</v>
      </c>
      <c r="C561" s="20" t="s">
        <v>97</v>
      </c>
      <c r="D561" s="21" t="str">
        <f>IF($C561="","",IFERROR(VLOOKUP($C561,Map_Register!$A$2:$C$5,3,FALSE()),""))</f>
        <v>Military Zone</v>
      </c>
      <c r="E561" s="20" t="s">
        <v>111</v>
      </c>
      <c r="F561" s="22">
        <v>29174</v>
      </c>
      <c r="G561" s="19" t="s">
        <v>112</v>
      </c>
      <c r="H561" s="19" t="s">
        <v>742</v>
      </c>
      <c r="I561" s="19" t="s">
        <v>8</v>
      </c>
      <c r="J561" s="19" t="s">
        <v>114</v>
      </c>
      <c r="K561" s="19" t="s">
        <v>114</v>
      </c>
      <c r="L561" s="19" t="s">
        <v>151</v>
      </c>
      <c r="M561" s="20" t="s">
        <v>116</v>
      </c>
      <c r="P561" s="20" t="s">
        <v>117</v>
      </c>
    </row>
    <row r="562" spans="1:16" x14ac:dyDescent="0.3">
      <c r="A562" s="19">
        <f t="shared" si="8"/>
        <v>561</v>
      </c>
      <c r="B562" s="20" t="s">
        <v>87</v>
      </c>
      <c r="C562" s="20" t="s">
        <v>97</v>
      </c>
      <c r="D562" s="21" t="str">
        <f>IF($C562="","",IFERROR(VLOOKUP($C562,Map_Register!$A$2:$C$5,3,FALSE()),""))</f>
        <v>Military Zone</v>
      </c>
      <c r="E562" s="20" t="s">
        <v>111</v>
      </c>
      <c r="F562" s="22">
        <v>29175</v>
      </c>
      <c r="G562" s="19" t="s">
        <v>112</v>
      </c>
      <c r="H562" s="19" t="s">
        <v>743</v>
      </c>
      <c r="I562" s="19" t="s">
        <v>8</v>
      </c>
      <c r="J562" s="19" t="s">
        <v>114</v>
      </c>
      <c r="K562" s="19" t="s">
        <v>114</v>
      </c>
      <c r="L562" s="19" t="s">
        <v>151</v>
      </c>
      <c r="M562" s="20" t="s">
        <v>116</v>
      </c>
      <c r="P562" s="20" t="s">
        <v>117</v>
      </c>
    </row>
    <row r="563" spans="1:16" x14ac:dyDescent="0.3">
      <c r="A563" s="19">
        <f t="shared" si="8"/>
        <v>562</v>
      </c>
      <c r="B563" s="20" t="s">
        <v>87</v>
      </c>
      <c r="C563" s="20" t="s">
        <v>97</v>
      </c>
      <c r="D563" s="21" t="str">
        <f>IF($C563="","",IFERROR(VLOOKUP($C563,Map_Register!$A$2:$C$5,3,FALSE()),""))</f>
        <v>Military Zone</v>
      </c>
      <c r="E563" s="20" t="s">
        <v>111</v>
      </c>
      <c r="F563" s="22">
        <v>29176</v>
      </c>
      <c r="G563" s="19" t="s">
        <v>112</v>
      </c>
      <c r="H563" s="19" t="s">
        <v>744</v>
      </c>
      <c r="I563" s="19" t="s">
        <v>8</v>
      </c>
      <c r="J563" s="19" t="s">
        <v>114</v>
      </c>
      <c r="K563" t="s">
        <v>114</v>
      </c>
      <c r="L563" s="19" t="s">
        <v>165</v>
      </c>
      <c r="M563" s="20" t="s">
        <v>116</v>
      </c>
      <c r="P563" s="20" t="s">
        <v>117</v>
      </c>
    </row>
    <row r="564" spans="1:16" x14ac:dyDescent="0.3">
      <c r="A564" s="19">
        <f t="shared" si="8"/>
        <v>563</v>
      </c>
      <c r="B564" s="20" t="s">
        <v>87</v>
      </c>
      <c r="C564" s="20" t="s">
        <v>97</v>
      </c>
      <c r="D564" s="21" t="str">
        <f>IF($C564="","",IFERROR(VLOOKUP($C564,Map_Register!$A$2:$C$5,3,FALSE()),""))</f>
        <v>Military Zone</v>
      </c>
      <c r="E564" s="20" t="s">
        <v>111</v>
      </c>
      <c r="F564" s="22">
        <v>29177</v>
      </c>
      <c r="G564" s="19" t="s">
        <v>112</v>
      </c>
      <c r="H564" s="19" t="s">
        <v>745</v>
      </c>
      <c r="I564" s="19" t="s">
        <v>8</v>
      </c>
      <c r="J564" s="19" t="s">
        <v>114</v>
      </c>
      <c r="K564" s="19" t="s">
        <v>114</v>
      </c>
      <c r="L564" s="19" t="s">
        <v>151</v>
      </c>
      <c r="M564" s="20" t="s">
        <v>116</v>
      </c>
      <c r="P564" s="20" t="s">
        <v>117</v>
      </c>
    </row>
    <row r="565" spans="1:16" x14ac:dyDescent="0.3">
      <c r="A565" s="19">
        <f t="shared" si="8"/>
        <v>564</v>
      </c>
      <c r="B565" s="20" t="s">
        <v>87</v>
      </c>
      <c r="C565" s="20" t="s">
        <v>97</v>
      </c>
      <c r="D565" s="21" t="str">
        <f>IF($C565="","",IFERROR(VLOOKUP($C565,Map_Register!$A$2:$C$5,3,FALSE()),""))</f>
        <v>Military Zone</v>
      </c>
      <c r="E565" s="20" t="s">
        <v>111</v>
      </c>
      <c r="F565" s="22">
        <v>29178</v>
      </c>
      <c r="G565" s="19" t="s">
        <v>112</v>
      </c>
      <c r="H565" s="19" t="s">
        <v>746</v>
      </c>
      <c r="I565" s="19" t="s">
        <v>6</v>
      </c>
      <c r="J565" s="19"/>
      <c r="K565" s="19"/>
      <c r="L565" s="19" t="s">
        <v>225</v>
      </c>
      <c r="P565" s="20" t="s">
        <v>117</v>
      </c>
    </row>
    <row r="566" spans="1:16" x14ac:dyDescent="0.3">
      <c r="A566" s="19">
        <f t="shared" si="8"/>
        <v>565</v>
      </c>
      <c r="B566" s="20" t="s">
        <v>87</v>
      </c>
      <c r="C566" s="20" t="s">
        <v>97</v>
      </c>
      <c r="D566" s="21" t="str">
        <f>IF($C566="","",IFERROR(VLOOKUP($C566,Map_Register!$A$2:$C$5,3,FALSE()),""))</f>
        <v>Military Zone</v>
      </c>
      <c r="E566" s="20" t="s">
        <v>111</v>
      </c>
      <c r="F566" s="22">
        <v>29179</v>
      </c>
      <c r="G566" s="19" t="s">
        <v>112</v>
      </c>
      <c r="H566" s="19" t="s">
        <v>747</v>
      </c>
      <c r="I566" s="19" t="s">
        <v>8</v>
      </c>
      <c r="J566" s="19" t="s">
        <v>114</v>
      </c>
      <c r="K566" s="19" t="s">
        <v>114</v>
      </c>
      <c r="L566" s="19" t="s">
        <v>151</v>
      </c>
      <c r="M566" s="20" t="s">
        <v>116</v>
      </c>
      <c r="P566" s="20" t="s">
        <v>117</v>
      </c>
    </row>
    <row r="567" spans="1:16" x14ac:dyDescent="0.3">
      <c r="A567" s="19">
        <f t="shared" si="8"/>
        <v>566</v>
      </c>
      <c r="B567" s="20" t="s">
        <v>87</v>
      </c>
      <c r="C567" s="20" t="s">
        <v>97</v>
      </c>
      <c r="D567" s="21" t="str">
        <f>IF($C567="","",IFERROR(VLOOKUP($C567,Map_Register!$A$2:$C$5,3,FALSE()),""))</f>
        <v>Military Zone</v>
      </c>
      <c r="E567" s="20" t="s">
        <v>111</v>
      </c>
      <c r="F567" s="22">
        <v>29180</v>
      </c>
      <c r="G567" s="19" t="s">
        <v>112</v>
      </c>
      <c r="H567" s="19" t="s">
        <v>712</v>
      </c>
      <c r="I567" s="19" t="s">
        <v>6</v>
      </c>
      <c r="J567" s="19"/>
      <c r="K567" s="19"/>
      <c r="L567" s="19" t="s">
        <v>748</v>
      </c>
      <c r="P567" s="20" t="s">
        <v>117</v>
      </c>
    </row>
    <row r="568" spans="1:16" x14ac:dyDescent="0.3">
      <c r="A568" s="19">
        <f t="shared" si="8"/>
        <v>567</v>
      </c>
      <c r="B568" s="20" t="s">
        <v>87</v>
      </c>
      <c r="C568" s="20" t="s">
        <v>97</v>
      </c>
      <c r="D568" s="21" t="str">
        <f>IF($C568="","",IFERROR(VLOOKUP($C568,Map_Register!$A$2:$C$5,3,FALSE()),""))</f>
        <v>Military Zone</v>
      </c>
      <c r="E568" s="20" t="s">
        <v>111</v>
      </c>
      <c r="F568" s="22">
        <v>29181</v>
      </c>
      <c r="G568" s="19" t="s">
        <v>112</v>
      </c>
      <c r="H568" s="19" t="s">
        <v>749</v>
      </c>
      <c r="I568" s="19" t="s">
        <v>6</v>
      </c>
      <c r="J568" s="19"/>
      <c r="K568" s="19"/>
      <c r="L568" s="19" t="s">
        <v>225</v>
      </c>
      <c r="P568" s="20" t="s">
        <v>117</v>
      </c>
    </row>
    <row r="569" spans="1:16" x14ac:dyDescent="0.3">
      <c r="A569" s="19">
        <f t="shared" si="8"/>
        <v>568</v>
      </c>
      <c r="B569" s="20" t="s">
        <v>87</v>
      </c>
      <c r="C569" s="20" t="s">
        <v>97</v>
      </c>
      <c r="D569" s="21" t="str">
        <f>IF($C569="","",IFERROR(VLOOKUP($C569,Map_Register!$A$2:$C$5,3,FALSE()),""))</f>
        <v>Military Zone</v>
      </c>
      <c r="E569" s="20" t="s">
        <v>111</v>
      </c>
      <c r="F569" s="22">
        <v>29182</v>
      </c>
      <c r="G569" s="19" t="s">
        <v>112</v>
      </c>
      <c r="H569" s="19" t="s">
        <v>750</v>
      </c>
      <c r="I569" s="19" t="s">
        <v>8</v>
      </c>
      <c r="J569" s="19" t="s">
        <v>114</v>
      </c>
      <c r="K569" t="s">
        <v>114</v>
      </c>
      <c r="L569" s="19" t="s">
        <v>165</v>
      </c>
      <c r="M569" s="20" t="s">
        <v>116</v>
      </c>
      <c r="P569" s="20" t="s">
        <v>117</v>
      </c>
    </row>
    <row r="570" spans="1:16" x14ac:dyDescent="0.3">
      <c r="A570" s="19">
        <f t="shared" si="8"/>
        <v>569</v>
      </c>
      <c r="B570" s="20" t="s">
        <v>87</v>
      </c>
      <c r="C570" s="20" t="s">
        <v>97</v>
      </c>
      <c r="D570" s="21" t="str">
        <f>IF($C570="","",IFERROR(VLOOKUP($C570,Map_Register!$A$2:$C$5,3,FALSE()),""))</f>
        <v>Military Zone</v>
      </c>
      <c r="E570" s="20" t="s">
        <v>111</v>
      </c>
      <c r="F570" s="22">
        <v>29183</v>
      </c>
      <c r="G570" s="19" t="s">
        <v>112</v>
      </c>
      <c r="H570" s="19" t="s">
        <v>751</v>
      </c>
      <c r="I570" s="19" t="s">
        <v>6</v>
      </c>
      <c r="J570" s="19"/>
      <c r="K570" s="19"/>
      <c r="L570" s="19" t="s">
        <v>225</v>
      </c>
      <c r="P570" s="20" t="s">
        <v>117</v>
      </c>
    </row>
    <row r="571" spans="1:16" x14ac:dyDescent="0.3">
      <c r="A571" s="19">
        <f t="shared" si="8"/>
        <v>570</v>
      </c>
      <c r="B571" s="20" t="s">
        <v>87</v>
      </c>
      <c r="C571" s="20" t="s">
        <v>97</v>
      </c>
      <c r="D571" s="21" t="str">
        <f>IF($C571="","",IFERROR(VLOOKUP($C571,Map_Register!$A$2:$C$5,3,FALSE()),""))</f>
        <v>Military Zone</v>
      </c>
      <c r="E571" s="20" t="s">
        <v>111</v>
      </c>
      <c r="F571" s="22">
        <v>29184</v>
      </c>
      <c r="G571" s="19" t="s">
        <v>112</v>
      </c>
      <c r="H571" s="19" t="s">
        <v>752</v>
      </c>
      <c r="I571" s="19" t="s">
        <v>8</v>
      </c>
      <c r="J571" s="19" t="s">
        <v>114</v>
      </c>
      <c r="K571" s="19" t="s">
        <v>114</v>
      </c>
      <c r="L571" s="19" t="s">
        <v>151</v>
      </c>
      <c r="M571" s="20" t="s">
        <v>116</v>
      </c>
      <c r="P571" s="20" t="s">
        <v>117</v>
      </c>
    </row>
    <row r="572" spans="1:16" x14ac:dyDescent="0.3">
      <c r="A572" s="19">
        <f t="shared" si="8"/>
        <v>571</v>
      </c>
      <c r="B572" s="20" t="s">
        <v>87</v>
      </c>
      <c r="C572" s="20" t="s">
        <v>97</v>
      </c>
      <c r="D572" s="21" t="str">
        <f>IF($C572="","",IFERROR(VLOOKUP($C572,Map_Register!$A$2:$C$5,3,FALSE()),""))</f>
        <v>Military Zone</v>
      </c>
      <c r="E572" s="20" t="s">
        <v>111</v>
      </c>
      <c r="F572" s="22">
        <v>29185</v>
      </c>
      <c r="G572" s="19" t="s">
        <v>112</v>
      </c>
      <c r="H572" s="19" t="s">
        <v>753</v>
      </c>
      <c r="I572" s="19" t="s">
        <v>6</v>
      </c>
      <c r="J572" s="19"/>
      <c r="K572" s="19"/>
      <c r="L572" s="19" t="s">
        <v>225</v>
      </c>
      <c r="P572" s="20" t="s">
        <v>117</v>
      </c>
    </row>
    <row r="573" spans="1:16" x14ac:dyDescent="0.3">
      <c r="A573" s="19">
        <f t="shared" si="8"/>
        <v>572</v>
      </c>
      <c r="B573" s="20" t="s">
        <v>87</v>
      </c>
      <c r="C573" s="20" t="s">
        <v>97</v>
      </c>
      <c r="D573" s="21" t="str">
        <f>IF($C573="","",IFERROR(VLOOKUP($C573,Map_Register!$A$2:$C$5,3,FALSE()),""))</f>
        <v>Military Zone</v>
      </c>
      <c r="E573" s="20" t="s">
        <v>111</v>
      </c>
      <c r="F573" s="22">
        <v>29186</v>
      </c>
      <c r="G573" s="19" t="s">
        <v>112</v>
      </c>
      <c r="H573" s="19" t="s">
        <v>754</v>
      </c>
      <c r="I573" s="19" t="s">
        <v>8</v>
      </c>
      <c r="J573" s="19" t="s">
        <v>114</v>
      </c>
      <c r="K573" t="s">
        <v>114</v>
      </c>
      <c r="L573" s="19" t="s">
        <v>165</v>
      </c>
      <c r="M573" s="20" t="s">
        <v>116</v>
      </c>
      <c r="P573" s="20" t="s">
        <v>117</v>
      </c>
    </row>
    <row r="574" spans="1:16" x14ac:dyDescent="0.3">
      <c r="A574" s="19">
        <f t="shared" si="8"/>
        <v>573</v>
      </c>
      <c r="B574" s="20" t="s">
        <v>87</v>
      </c>
      <c r="C574" s="20" t="s">
        <v>97</v>
      </c>
      <c r="D574" s="21" t="str">
        <f>IF($C574="","",IFERROR(VLOOKUP($C574,Map_Register!$A$2:$C$5,3,FALSE()),""))</f>
        <v>Military Zone</v>
      </c>
      <c r="E574" s="20" t="s">
        <v>111</v>
      </c>
      <c r="F574" s="22">
        <v>29187</v>
      </c>
      <c r="G574" s="19" t="s">
        <v>112</v>
      </c>
      <c r="H574" s="19" t="s">
        <v>755</v>
      </c>
      <c r="I574" s="19" t="s">
        <v>6</v>
      </c>
      <c r="J574" s="19"/>
      <c r="K574" s="19"/>
      <c r="L574" s="19" t="s">
        <v>225</v>
      </c>
      <c r="P574" s="20" t="s">
        <v>117</v>
      </c>
    </row>
    <row r="575" spans="1:16" x14ac:dyDescent="0.3">
      <c r="A575" s="19">
        <f t="shared" si="8"/>
        <v>574</v>
      </c>
      <c r="B575" s="20" t="s">
        <v>87</v>
      </c>
      <c r="C575" s="20" t="s">
        <v>97</v>
      </c>
      <c r="D575" s="21" t="str">
        <f>IF($C575="","",IFERROR(VLOOKUP($C575,Map_Register!$A$2:$C$5,3,FALSE()),""))</f>
        <v>Military Zone</v>
      </c>
      <c r="E575" s="20" t="s">
        <v>111</v>
      </c>
      <c r="F575" s="22">
        <v>29188</v>
      </c>
      <c r="G575" s="19" t="s">
        <v>112</v>
      </c>
      <c r="H575" s="19" t="s">
        <v>756</v>
      </c>
      <c r="I575" s="19" t="s">
        <v>8</v>
      </c>
      <c r="J575" s="19" t="s">
        <v>114</v>
      </c>
      <c r="K575" s="19" t="s">
        <v>114</v>
      </c>
      <c r="L575" s="19" t="s">
        <v>165</v>
      </c>
      <c r="M575" s="20" t="s">
        <v>116</v>
      </c>
      <c r="P575" s="20" t="s">
        <v>117</v>
      </c>
    </row>
    <row r="576" spans="1:16" x14ac:dyDescent="0.3">
      <c r="A576" s="19">
        <f t="shared" si="8"/>
        <v>575</v>
      </c>
      <c r="B576" s="20" t="s">
        <v>87</v>
      </c>
      <c r="C576" s="20" t="s">
        <v>97</v>
      </c>
      <c r="D576" s="21" t="str">
        <f>IF($C576="","",IFERROR(VLOOKUP($C576,Map_Register!$A$2:$C$5,3,FALSE()),""))</f>
        <v>Military Zone</v>
      </c>
      <c r="E576" s="20" t="s">
        <v>111</v>
      </c>
      <c r="F576" s="22">
        <v>29189</v>
      </c>
      <c r="G576" s="19" t="s">
        <v>112</v>
      </c>
      <c r="H576" s="19" t="s">
        <v>757</v>
      </c>
      <c r="I576" s="19" t="s">
        <v>6</v>
      </c>
      <c r="J576" s="19"/>
      <c r="K576" s="19"/>
      <c r="L576" s="19" t="s">
        <v>225</v>
      </c>
      <c r="P576" s="20" t="s">
        <v>117</v>
      </c>
    </row>
    <row r="577" spans="1:16" x14ac:dyDescent="0.3">
      <c r="A577" s="19">
        <f t="shared" si="8"/>
        <v>576</v>
      </c>
      <c r="B577" s="20" t="s">
        <v>87</v>
      </c>
      <c r="C577" s="20" t="s">
        <v>97</v>
      </c>
      <c r="D577" s="21" t="str">
        <f>IF($C577="","",IFERROR(VLOOKUP($C577,Map_Register!$A$2:$C$5,3,FALSE()),""))</f>
        <v>Military Zone</v>
      </c>
      <c r="E577" s="20" t="s">
        <v>111</v>
      </c>
      <c r="F577" s="22">
        <v>29190</v>
      </c>
      <c r="G577" s="19" t="s">
        <v>112</v>
      </c>
      <c r="H577" s="19" t="s">
        <v>758</v>
      </c>
      <c r="I577" s="19" t="s">
        <v>8</v>
      </c>
      <c r="J577" s="19" t="s">
        <v>114</v>
      </c>
      <c r="K577" s="19" t="s">
        <v>114</v>
      </c>
      <c r="L577" s="19" t="s">
        <v>151</v>
      </c>
      <c r="M577" s="20" t="s">
        <v>116</v>
      </c>
      <c r="P577" s="20" t="s">
        <v>117</v>
      </c>
    </row>
    <row r="578" spans="1:16" x14ac:dyDescent="0.3">
      <c r="A578" s="19">
        <f t="shared" ref="A578:A641" si="9">IF($B578="","",ROW()-1)</f>
        <v>577</v>
      </c>
      <c r="B578" s="20" t="s">
        <v>87</v>
      </c>
      <c r="C578" s="20" t="s">
        <v>97</v>
      </c>
      <c r="D578" s="21" t="str">
        <f>IF($C578="","",IFERROR(VLOOKUP($C578,Map_Register!$A$2:$C$5,3,FALSE()),""))</f>
        <v>Military Zone</v>
      </c>
      <c r="E578" s="20" t="s">
        <v>111</v>
      </c>
      <c r="F578" s="22">
        <v>29191</v>
      </c>
      <c r="G578" s="19" t="s">
        <v>112</v>
      </c>
      <c r="H578" s="19" t="s">
        <v>759</v>
      </c>
      <c r="I578" s="19" t="s">
        <v>8</v>
      </c>
      <c r="J578" s="19" t="s">
        <v>114</v>
      </c>
      <c r="K578" s="19" t="s">
        <v>114</v>
      </c>
      <c r="L578" s="19" t="s">
        <v>151</v>
      </c>
      <c r="M578" s="20" t="s">
        <v>116</v>
      </c>
      <c r="P578" s="20" t="s">
        <v>117</v>
      </c>
    </row>
    <row r="579" spans="1:16" x14ac:dyDescent="0.3">
      <c r="A579" s="19">
        <f t="shared" si="9"/>
        <v>578</v>
      </c>
      <c r="B579" s="20" t="s">
        <v>87</v>
      </c>
      <c r="C579" s="20" t="s">
        <v>97</v>
      </c>
      <c r="D579" s="21" t="str">
        <f>IF($C579="","",IFERROR(VLOOKUP($C579,Map_Register!$A$2:$C$5,3,FALSE()),""))</f>
        <v>Military Zone</v>
      </c>
      <c r="E579" s="20" t="s">
        <v>111</v>
      </c>
      <c r="F579" s="22">
        <v>29192</v>
      </c>
      <c r="G579" s="19" t="s">
        <v>112</v>
      </c>
      <c r="H579" s="19" t="s">
        <v>760</v>
      </c>
      <c r="I579" s="19" t="s">
        <v>8</v>
      </c>
      <c r="J579" s="19" t="s">
        <v>114</v>
      </c>
      <c r="K579" s="19" t="s">
        <v>114</v>
      </c>
      <c r="L579" s="19" t="s">
        <v>151</v>
      </c>
      <c r="M579" s="20" t="s">
        <v>116</v>
      </c>
      <c r="P579" s="20" t="s">
        <v>117</v>
      </c>
    </row>
    <row r="580" spans="1:16" x14ac:dyDescent="0.3">
      <c r="A580" s="19">
        <f t="shared" si="9"/>
        <v>579</v>
      </c>
      <c r="B580" s="20" t="s">
        <v>87</v>
      </c>
      <c r="C580" s="20" t="s">
        <v>97</v>
      </c>
      <c r="D580" s="21" t="str">
        <f>IF($C580="","",IFERROR(VLOOKUP($C580,Map_Register!$A$2:$C$5,3,FALSE()),""))</f>
        <v>Military Zone</v>
      </c>
      <c r="E580" s="20" t="s">
        <v>111</v>
      </c>
      <c r="F580" s="22">
        <v>29193</v>
      </c>
      <c r="G580" s="19" t="s">
        <v>112</v>
      </c>
      <c r="H580" s="19" t="s">
        <v>448</v>
      </c>
      <c r="I580" s="19" t="s">
        <v>8</v>
      </c>
      <c r="J580" s="19" t="s">
        <v>114</v>
      </c>
      <c r="K580" s="19" t="s">
        <v>114</v>
      </c>
      <c r="L580" s="19" t="s">
        <v>151</v>
      </c>
      <c r="M580" s="20" t="s">
        <v>116</v>
      </c>
      <c r="P580" s="20" t="s">
        <v>117</v>
      </c>
    </row>
    <row r="581" spans="1:16" x14ac:dyDescent="0.3">
      <c r="A581" s="19">
        <f t="shared" si="9"/>
        <v>580</v>
      </c>
      <c r="B581" s="20" t="s">
        <v>87</v>
      </c>
      <c r="C581" s="20" t="s">
        <v>97</v>
      </c>
      <c r="D581" s="21" t="str">
        <f>IF($C581="","",IFERROR(VLOOKUP($C581,Map_Register!$A$2:$C$5,3,FALSE()),""))</f>
        <v>Military Zone</v>
      </c>
      <c r="E581" s="20" t="s">
        <v>111</v>
      </c>
      <c r="F581" s="22">
        <v>29194</v>
      </c>
      <c r="G581" s="19" t="s">
        <v>112</v>
      </c>
      <c r="H581" s="19" t="s">
        <v>761</v>
      </c>
      <c r="I581" s="19" t="s">
        <v>8</v>
      </c>
      <c r="J581" s="19" t="s">
        <v>114</v>
      </c>
      <c r="K581" s="19" t="s">
        <v>114</v>
      </c>
      <c r="L581" s="19" t="s">
        <v>151</v>
      </c>
      <c r="M581" s="20" t="s">
        <v>116</v>
      </c>
      <c r="P581" s="20" t="s">
        <v>117</v>
      </c>
    </row>
    <row r="582" spans="1:16" x14ac:dyDescent="0.3">
      <c r="A582" s="19">
        <f t="shared" si="9"/>
        <v>581</v>
      </c>
      <c r="B582" s="20" t="s">
        <v>87</v>
      </c>
      <c r="C582" s="20" t="s">
        <v>97</v>
      </c>
      <c r="D582" s="21" t="str">
        <f>IF($C582="","",IFERROR(VLOOKUP($C582,Map_Register!$A$2:$C$5,3,FALSE()),""))</f>
        <v>Military Zone</v>
      </c>
      <c r="E582" s="20" t="s">
        <v>111</v>
      </c>
      <c r="F582" s="22">
        <v>29195</v>
      </c>
      <c r="G582" s="19" t="s">
        <v>112</v>
      </c>
      <c r="H582" s="19" t="s">
        <v>762</v>
      </c>
      <c r="I582" s="19" t="s">
        <v>8</v>
      </c>
      <c r="J582" s="19" t="s">
        <v>114</v>
      </c>
      <c r="K582" t="s">
        <v>114</v>
      </c>
      <c r="L582" s="19" t="s">
        <v>165</v>
      </c>
      <c r="M582" s="20" t="s">
        <v>116</v>
      </c>
      <c r="P582" s="20" t="s">
        <v>117</v>
      </c>
    </row>
    <row r="583" spans="1:16" x14ac:dyDescent="0.3">
      <c r="A583" s="19">
        <f t="shared" si="9"/>
        <v>582</v>
      </c>
      <c r="B583" s="20" t="s">
        <v>87</v>
      </c>
      <c r="C583" s="20" t="s">
        <v>97</v>
      </c>
      <c r="D583" s="21" t="str">
        <f>IF($C583="","",IFERROR(VLOOKUP($C583,Map_Register!$A$2:$C$5,3,FALSE()),""))</f>
        <v>Military Zone</v>
      </c>
      <c r="E583" s="20" t="s">
        <v>111</v>
      </c>
      <c r="F583" s="22">
        <v>29196</v>
      </c>
      <c r="G583" s="19" t="s">
        <v>112</v>
      </c>
      <c r="H583" s="19" t="s">
        <v>763</v>
      </c>
      <c r="I583" s="19" t="s">
        <v>6</v>
      </c>
      <c r="J583" s="19"/>
      <c r="K583" s="19"/>
      <c r="L583" s="19" t="s">
        <v>225</v>
      </c>
      <c r="P583" s="20" t="s">
        <v>117</v>
      </c>
    </row>
    <row r="584" spans="1:16" x14ac:dyDescent="0.3">
      <c r="A584" s="19">
        <f t="shared" si="9"/>
        <v>583</v>
      </c>
      <c r="B584" s="20" t="s">
        <v>87</v>
      </c>
      <c r="C584" s="20" t="s">
        <v>97</v>
      </c>
      <c r="D584" s="21" t="str">
        <f>IF($C584="","",IFERROR(VLOOKUP($C584,Map_Register!$A$2:$C$5,3,FALSE()),""))</f>
        <v>Military Zone</v>
      </c>
      <c r="E584" s="20" t="s">
        <v>111</v>
      </c>
      <c r="F584" s="22">
        <v>29197</v>
      </c>
      <c r="G584" s="19" t="s">
        <v>112</v>
      </c>
      <c r="H584" s="19" t="s">
        <v>764</v>
      </c>
      <c r="I584" s="19" t="s">
        <v>6</v>
      </c>
      <c r="J584" s="19"/>
      <c r="K584" s="19"/>
      <c r="L584" s="19" t="s">
        <v>225</v>
      </c>
      <c r="P584" s="20" t="s">
        <v>117</v>
      </c>
    </row>
    <row r="585" spans="1:16" x14ac:dyDescent="0.3">
      <c r="A585" s="19">
        <f t="shared" si="9"/>
        <v>584</v>
      </c>
      <c r="B585" s="20" t="s">
        <v>87</v>
      </c>
      <c r="C585" s="20" t="s">
        <v>97</v>
      </c>
      <c r="D585" s="21" t="str">
        <f>IF($C585="","",IFERROR(VLOOKUP($C585,Map_Register!$A$2:$C$5,3,FALSE()),""))</f>
        <v>Military Zone</v>
      </c>
      <c r="E585" s="20" t="s">
        <v>111</v>
      </c>
      <c r="F585" s="22">
        <v>29198</v>
      </c>
      <c r="G585" s="19" t="s">
        <v>112</v>
      </c>
      <c r="H585" s="19" t="s">
        <v>765</v>
      </c>
      <c r="I585" s="19" t="s">
        <v>8</v>
      </c>
      <c r="J585" s="19" t="s">
        <v>114</v>
      </c>
      <c r="K585" t="s">
        <v>114</v>
      </c>
      <c r="L585" s="19" t="s">
        <v>766</v>
      </c>
      <c r="M585" s="20" t="s">
        <v>116</v>
      </c>
      <c r="P585" s="20" t="s">
        <v>117</v>
      </c>
    </row>
    <row r="586" spans="1:16" x14ac:dyDescent="0.3">
      <c r="A586" s="19">
        <f t="shared" si="9"/>
        <v>585</v>
      </c>
      <c r="B586" s="20" t="s">
        <v>87</v>
      </c>
      <c r="C586" s="20" t="s">
        <v>97</v>
      </c>
      <c r="D586" s="21" t="str">
        <f>IF($C586="","",IFERROR(VLOOKUP($C586,Map_Register!$A$2:$C$5,3,FALSE()),""))</f>
        <v>Military Zone</v>
      </c>
      <c r="E586" s="20" t="s">
        <v>111</v>
      </c>
      <c r="F586" s="22">
        <v>29199</v>
      </c>
      <c r="G586" s="19" t="s">
        <v>112</v>
      </c>
      <c r="H586" s="19" t="s">
        <v>767</v>
      </c>
      <c r="I586" s="19" t="s">
        <v>8</v>
      </c>
      <c r="J586" s="19" t="s">
        <v>114</v>
      </c>
      <c r="K586" t="s">
        <v>114</v>
      </c>
      <c r="L586" s="19" t="s">
        <v>766</v>
      </c>
      <c r="M586" s="20" t="s">
        <v>116</v>
      </c>
      <c r="P586" s="20" t="s">
        <v>117</v>
      </c>
    </row>
    <row r="587" spans="1:16" x14ac:dyDescent="0.3">
      <c r="A587" s="19">
        <f t="shared" si="9"/>
        <v>586</v>
      </c>
      <c r="B587" s="20" t="s">
        <v>87</v>
      </c>
      <c r="C587" s="20" t="s">
        <v>97</v>
      </c>
      <c r="D587" s="21" t="str">
        <f>IF($C587="","",IFERROR(VLOOKUP($C587,Map_Register!$A$2:$C$5,3,FALSE()),""))</f>
        <v>Military Zone</v>
      </c>
      <c r="E587" s="20" t="s">
        <v>111</v>
      </c>
      <c r="F587" s="22">
        <v>29200</v>
      </c>
      <c r="G587" s="19" t="s">
        <v>112</v>
      </c>
      <c r="H587" s="19" t="s">
        <v>768</v>
      </c>
      <c r="I587" s="19" t="s">
        <v>6</v>
      </c>
      <c r="J587" s="19"/>
      <c r="K587" s="19"/>
      <c r="L587" s="19" t="s">
        <v>225</v>
      </c>
      <c r="P587" s="20" t="s">
        <v>117</v>
      </c>
    </row>
    <row r="588" spans="1:16" x14ac:dyDescent="0.3">
      <c r="A588" s="19">
        <f t="shared" si="9"/>
        <v>587</v>
      </c>
      <c r="B588" s="20" t="s">
        <v>87</v>
      </c>
      <c r="C588" s="20" t="s">
        <v>97</v>
      </c>
      <c r="D588" s="21" t="str">
        <f>IF($C588="","",IFERROR(VLOOKUP($C588,Map_Register!$A$2:$C$5,3,FALSE()),""))</f>
        <v>Military Zone</v>
      </c>
      <c r="E588" s="20" t="s">
        <v>111</v>
      </c>
      <c r="F588" s="22">
        <v>29201</v>
      </c>
      <c r="G588" s="19" t="s">
        <v>112</v>
      </c>
      <c r="H588" s="19" t="s">
        <v>769</v>
      </c>
      <c r="I588" s="19" t="s">
        <v>6</v>
      </c>
      <c r="J588" s="19"/>
      <c r="K588" s="19"/>
      <c r="L588" s="19" t="s">
        <v>225</v>
      </c>
      <c r="P588" s="20" t="s">
        <v>117</v>
      </c>
    </row>
    <row r="589" spans="1:16" x14ac:dyDescent="0.3">
      <c r="A589" s="19">
        <f t="shared" si="9"/>
        <v>588</v>
      </c>
      <c r="B589" s="20" t="s">
        <v>87</v>
      </c>
      <c r="C589" s="20" t="s">
        <v>97</v>
      </c>
      <c r="D589" s="21" t="str">
        <f>IF($C589="","",IFERROR(VLOOKUP($C589,Map_Register!$A$2:$C$5,3,FALSE()),""))</f>
        <v>Military Zone</v>
      </c>
      <c r="E589" s="20" t="s">
        <v>111</v>
      </c>
      <c r="F589" s="22">
        <v>29202</v>
      </c>
      <c r="G589" s="19" t="s">
        <v>112</v>
      </c>
      <c r="H589" s="19" t="s">
        <v>770</v>
      </c>
      <c r="I589" s="19" t="s">
        <v>8</v>
      </c>
      <c r="J589" s="19" t="s">
        <v>114</v>
      </c>
      <c r="K589" s="19" t="s">
        <v>114</v>
      </c>
      <c r="L589" s="19" t="s">
        <v>151</v>
      </c>
      <c r="M589" s="20" t="s">
        <v>116</v>
      </c>
      <c r="P589" s="20" t="s">
        <v>117</v>
      </c>
    </row>
    <row r="590" spans="1:16" x14ac:dyDescent="0.3">
      <c r="A590" s="19">
        <f t="shared" si="9"/>
        <v>589</v>
      </c>
      <c r="B590" s="20" t="s">
        <v>87</v>
      </c>
      <c r="C590" s="20" t="s">
        <v>97</v>
      </c>
      <c r="D590" s="21" t="str">
        <f>IF($C590="","",IFERROR(VLOOKUP($C590,Map_Register!$A$2:$C$5,3,FALSE()),""))</f>
        <v>Military Zone</v>
      </c>
      <c r="E590" s="20" t="s">
        <v>111</v>
      </c>
      <c r="F590" s="22">
        <v>29203</v>
      </c>
      <c r="G590" s="19" t="s">
        <v>112</v>
      </c>
      <c r="H590" s="19" t="s">
        <v>771</v>
      </c>
      <c r="I590" s="19" t="s">
        <v>8</v>
      </c>
      <c r="J590" s="19" t="s">
        <v>114</v>
      </c>
      <c r="K590" s="19" t="s">
        <v>114</v>
      </c>
      <c r="L590" s="19" t="s">
        <v>151</v>
      </c>
      <c r="M590" s="20" t="s">
        <v>116</v>
      </c>
      <c r="P590" s="20" t="s">
        <v>117</v>
      </c>
    </row>
    <row r="591" spans="1:16" x14ac:dyDescent="0.3">
      <c r="A591" s="19">
        <f t="shared" si="9"/>
        <v>590</v>
      </c>
      <c r="B591" s="20" t="s">
        <v>87</v>
      </c>
      <c r="C591" s="20" t="s">
        <v>97</v>
      </c>
      <c r="D591" s="21" t="str">
        <f>IF($C591="","",IFERROR(VLOOKUP($C591,Map_Register!$A$2:$C$5,3,FALSE()),""))</f>
        <v>Military Zone</v>
      </c>
      <c r="E591" s="20" t="s">
        <v>111</v>
      </c>
      <c r="F591" s="22">
        <v>29204</v>
      </c>
      <c r="G591" s="19" t="s">
        <v>112</v>
      </c>
      <c r="H591" s="19" t="s">
        <v>772</v>
      </c>
      <c r="I591" s="19" t="s">
        <v>8</v>
      </c>
      <c r="J591" s="19" t="s">
        <v>114</v>
      </c>
      <c r="K591" s="19" t="s">
        <v>114</v>
      </c>
      <c r="L591" s="19" t="s">
        <v>151</v>
      </c>
      <c r="M591" s="20" t="s">
        <v>116</v>
      </c>
      <c r="P591" s="20" t="s">
        <v>117</v>
      </c>
    </row>
    <row r="592" spans="1:16" x14ac:dyDescent="0.3">
      <c r="A592" s="19">
        <f t="shared" si="9"/>
        <v>591</v>
      </c>
      <c r="B592" s="20" t="s">
        <v>87</v>
      </c>
      <c r="C592" s="20" t="s">
        <v>97</v>
      </c>
      <c r="D592" s="21" t="str">
        <f>IF($C592="","",IFERROR(VLOOKUP($C592,Map_Register!$A$2:$C$5,3,FALSE()),""))</f>
        <v>Military Zone</v>
      </c>
      <c r="E592" s="20" t="s">
        <v>111</v>
      </c>
      <c r="F592" s="22">
        <v>29205</v>
      </c>
      <c r="G592" s="19" t="s">
        <v>112</v>
      </c>
      <c r="H592" s="19" t="s">
        <v>773</v>
      </c>
      <c r="I592" s="19" t="s">
        <v>8</v>
      </c>
      <c r="J592" s="19" t="s">
        <v>114</v>
      </c>
      <c r="K592" s="19" t="s">
        <v>114</v>
      </c>
      <c r="L592" s="19" t="s">
        <v>151</v>
      </c>
      <c r="M592" s="20" t="s">
        <v>116</v>
      </c>
      <c r="P592" s="20" t="s">
        <v>117</v>
      </c>
    </row>
    <row r="593" spans="1:16" x14ac:dyDescent="0.3">
      <c r="A593" s="19">
        <f t="shared" si="9"/>
        <v>592</v>
      </c>
      <c r="B593" s="20" t="s">
        <v>87</v>
      </c>
      <c r="C593" s="20" t="s">
        <v>97</v>
      </c>
      <c r="D593" s="21" t="str">
        <f>IF($C593="","",IFERROR(VLOOKUP($C593,Map_Register!$A$2:$C$5,3,FALSE()),""))</f>
        <v>Military Zone</v>
      </c>
      <c r="E593" s="20" t="s">
        <v>111</v>
      </c>
      <c r="F593" s="22">
        <v>29206</v>
      </c>
      <c r="G593" s="19" t="s">
        <v>112</v>
      </c>
      <c r="H593" s="19" t="s">
        <v>774</v>
      </c>
      <c r="I593" s="19" t="s">
        <v>6</v>
      </c>
      <c r="J593" s="19"/>
      <c r="K593" s="19"/>
      <c r="L593" s="19" t="s">
        <v>225</v>
      </c>
      <c r="P593" s="20" t="s">
        <v>117</v>
      </c>
    </row>
    <row r="594" spans="1:16" x14ac:dyDescent="0.3">
      <c r="A594" s="19">
        <f t="shared" si="9"/>
        <v>593</v>
      </c>
      <c r="B594" s="20" t="s">
        <v>87</v>
      </c>
      <c r="C594" s="20" t="s">
        <v>97</v>
      </c>
      <c r="D594" s="21" t="str">
        <f>IF($C594="","",IFERROR(VLOOKUP($C594,Map_Register!$A$2:$C$5,3,FALSE()),""))</f>
        <v>Military Zone</v>
      </c>
      <c r="E594" s="20" t="s">
        <v>111</v>
      </c>
      <c r="F594" s="22">
        <v>29207</v>
      </c>
      <c r="G594" s="19" t="s">
        <v>112</v>
      </c>
      <c r="H594" s="19" t="s">
        <v>775</v>
      </c>
      <c r="I594" s="19" t="s">
        <v>8</v>
      </c>
      <c r="J594" s="19" t="s">
        <v>114</v>
      </c>
      <c r="K594" t="s">
        <v>114</v>
      </c>
      <c r="L594" s="19" t="s">
        <v>165</v>
      </c>
      <c r="M594" s="20" t="s">
        <v>116</v>
      </c>
      <c r="P594" s="20" t="s">
        <v>117</v>
      </c>
    </row>
    <row r="595" spans="1:16" x14ac:dyDescent="0.3">
      <c r="A595" s="19">
        <f t="shared" si="9"/>
        <v>594</v>
      </c>
      <c r="B595" s="20" t="s">
        <v>87</v>
      </c>
      <c r="C595" s="20" t="s">
        <v>97</v>
      </c>
      <c r="D595" s="21" t="str">
        <f>IF($C595="","",IFERROR(VLOOKUP($C595,Map_Register!$A$2:$C$5,3,FALSE()),""))</f>
        <v>Military Zone</v>
      </c>
      <c r="E595" s="20" t="s">
        <v>111</v>
      </c>
      <c r="F595" s="22">
        <v>29208</v>
      </c>
      <c r="G595" s="19" t="s">
        <v>112</v>
      </c>
      <c r="H595" s="19" t="s">
        <v>776</v>
      </c>
      <c r="I595" s="19" t="s">
        <v>6</v>
      </c>
      <c r="J595" s="19"/>
      <c r="K595" s="19"/>
      <c r="L595" s="19" t="s">
        <v>225</v>
      </c>
      <c r="P595" s="20" t="s">
        <v>117</v>
      </c>
    </row>
    <row r="596" spans="1:16" x14ac:dyDescent="0.3">
      <c r="A596" s="19">
        <f t="shared" si="9"/>
        <v>595</v>
      </c>
      <c r="B596" s="20" t="s">
        <v>87</v>
      </c>
      <c r="C596" s="20" t="s">
        <v>97</v>
      </c>
      <c r="D596" s="21" t="str">
        <f>IF($C596="","",IFERROR(VLOOKUP($C596,Map_Register!$A$2:$C$5,3,FALSE()),""))</f>
        <v>Military Zone</v>
      </c>
      <c r="E596" s="20" t="s">
        <v>111</v>
      </c>
      <c r="F596" s="22">
        <v>29209</v>
      </c>
      <c r="G596" s="19" t="s">
        <v>112</v>
      </c>
      <c r="H596" s="19" t="s">
        <v>777</v>
      </c>
      <c r="I596" s="19" t="s">
        <v>8</v>
      </c>
      <c r="J596" s="19" t="s">
        <v>114</v>
      </c>
      <c r="K596" s="19" t="s">
        <v>114</v>
      </c>
      <c r="L596" s="19" t="s">
        <v>151</v>
      </c>
      <c r="M596" s="20" t="s">
        <v>116</v>
      </c>
      <c r="P596" s="20" t="s">
        <v>117</v>
      </c>
    </row>
    <row r="597" spans="1:16" x14ac:dyDescent="0.3">
      <c r="A597" s="19">
        <f t="shared" si="9"/>
        <v>596</v>
      </c>
      <c r="B597" s="20" t="s">
        <v>87</v>
      </c>
      <c r="C597" s="20" t="s">
        <v>97</v>
      </c>
      <c r="D597" s="21" t="str">
        <f>IF($C597="","",IFERROR(VLOOKUP($C597,Map_Register!$A$2:$C$5,3,FALSE()),""))</f>
        <v>Military Zone</v>
      </c>
      <c r="E597" s="20" t="s">
        <v>111</v>
      </c>
      <c r="F597" s="22">
        <v>29210</v>
      </c>
      <c r="G597" s="19" t="s">
        <v>112</v>
      </c>
      <c r="H597" s="19" t="s">
        <v>778</v>
      </c>
      <c r="I597" s="19" t="s">
        <v>8</v>
      </c>
      <c r="J597" s="19" t="s">
        <v>114</v>
      </c>
      <c r="K597" s="19" t="s">
        <v>114</v>
      </c>
      <c r="L597" s="19" t="s">
        <v>151</v>
      </c>
      <c r="M597" s="20" t="s">
        <v>116</v>
      </c>
      <c r="P597" s="20" t="s">
        <v>117</v>
      </c>
    </row>
    <row r="598" spans="1:16" x14ac:dyDescent="0.3">
      <c r="A598" s="19">
        <f t="shared" si="9"/>
        <v>597</v>
      </c>
      <c r="B598" s="20" t="s">
        <v>87</v>
      </c>
      <c r="C598" s="20" t="s">
        <v>97</v>
      </c>
      <c r="D598" s="21" t="str">
        <f>IF($C598="","",IFERROR(VLOOKUP($C598,Map_Register!$A$2:$C$5,3,FALSE()),""))</f>
        <v>Military Zone</v>
      </c>
      <c r="E598" s="20" t="s">
        <v>111</v>
      </c>
      <c r="F598" s="22">
        <v>29211</v>
      </c>
      <c r="G598" s="19" t="s">
        <v>112</v>
      </c>
      <c r="H598" s="19" t="s">
        <v>779</v>
      </c>
      <c r="I598" s="19" t="s">
        <v>8</v>
      </c>
      <c r="J598" s="19" t="s">
        <v>114</v>
      </c>
      <c r="K598" t="s">
        <v>114</v>
      </c>
      <c r="L598" s="19" t="s">
        <v>165</v>
      </c>
      <c r="M598" s="20" t="s">
        <v>116</v>
      </c>
      <c r="P598" s="20" t="s">
        <v>117</v>
      </c>
    </row>
    <row r="599" spans="1:16" x14ac:dyDescent="0.3">
      <c r="A599" s="19">
        <f t="shared" si="9"/>
        <v>598</v>
      </c>
      <c r="B599" s="20" t="s">
        <v>87</v>
      </c>
      <c r="C599" s="20" t="s">
        <v>97</v>
      </c>
      <c r="D599" s="21" t="str">
        <f>IF($C599="","",IFERROR(VLOOKUP($C599,Map_Register!$A$2:$C$5,3,FALSE()),""))</f>
        <v>Military Zone</v>
      </c>
      <c r="E599" s="20" t="s">
        <v>111</v>
      </c>
      <c r="F599" s="22">
        <v>29212</v>
      </c>
      <c r="G599" s="19" t="s">
        <v>112</v>
      </c>
      <c r="H599" s="19" t="s">
        <v>780</v>
      </c>
      <c r="I599" s="19" t="s">
        <v>8</v>
      </c>
      <c r="J599" s="19" t="s">
        <v>114</v>
      </c>
      <c r="K599" s="19" t="s">
        <v>114</v>
      </c>
      <c r="L599" s="19" t="s">
        <v>151</v>
      </c>
      <c r="M599" s="20" t="s">
        <v>116</v>
      </c>
      <c r="P599" s="20" t="s">
        <v>117</v>
      </c>
    </row>
    <row r="600" spans="1:16" x14ac:dyDescent="0.3">
      <c r="A600" s="19">
        <f t="shared" si="9"/>
        <v>599</v>
      </c>
      <c r="B600" s="20" t="s">
        <v>87</v>
      </c>
      <c r="C600" s="20" t="s">
        <v>97</v>
      </c>
      <c r="D600" s="21" t="str">
        <f>IF($C600="","",IFERROR(VLOOKUP($C600,Map_Register!$A$2:$C$5,3,FALSE()),""))</f>
        <v>Military Zone</v>
      </c>
      <c r="E600" s="20" t="s">
        <v>111</v>
      </c>
      <c r="F600" s="22">
        <v>29213</v>
      </c>
      <c r="G600" s="19" t="s">
        <v>112</v>
      </c>
      <c r="H600" s="19" t="s">
        <v>781</v>
      </c>
      <c r="I600" s="19" t="s">
        <v>6</v>
      </c>
      <c r="J600" s="19"/>
      <c r="K600" s="19"/>
      <c r="L600" s="19" t="s">
        <v>782</v>
      </c>
      <c r="P600" s="20" t="s">
        <v>117</v>
      </c>
    </row>
    <row r="601" spans="1:16" x14ac:dyDescent="0.3">
      <c r="A601" s="19">
        <f t="shared" si="9"/>
        <v>600</v>
      </c>
      <c r="B601" s="20" t="s">
        <v>87</v>
      </c>
      <c r="C601" s="20" t="s">
        <v>97</v>
      </c>
      <c r="D601" s="21" t="str">
        <f>IF($C601="","",IFERROR(VLOOKUP($C601,Map_Register!$A$2:$C$5,3,FALSE()),""))</f>
        <v>Military Zone</v>
      </c>
      <c r="E601" s="20" t="s">
        <v>111</v>
      </c>
      <c r="F601" s="22">
        <v>29214</v>
      </c>
      <c r="G601" s="19" t="s">
        <v>112</v>
      </c>
      <c r="H601" s="19" t="s">
        <v>783</v>
      </c>
      <c r="I601" s="19" t="s">
        <v>8</v>
      </c>
      <c r="J601" s="19" t="s">
        <v>114</v>
      </c>
      <c r="K601" t="s">
        <v>114</v>
      </c>
      <c r="L601" s="19" t="s">
        <v>165</v>
      </c>
      <c r="M601" s="20" t="s">
        <v>116</v>
      </c>
      <c r="P601" s="20" t="s">
        <v>117</v>
      </c>
    </row>
    <row r="602" spans="1:16" x14ac:dyDescent="0.3">
      <c r="A602" s="19">
        <f t="shared" si="9"/>
        <v>601</v>
      </c>
      <c r="B602" s="20" t="s">
        <v>87</v>
      </c>
      <c r="C602" s="20" t="s">
        <v>97</v>
      </c>
      <c r="D602" s="21" t="str">
        <f>IF($C602="","",IFERROR(VLOOKUP($C602,Map_Register!$A$2:$C$5,3,FALSE()),""))</f>
        <v>Military Zone</v>
      </c>
      <c r="E602" s="20" t="s">
        <v>111</v>
      </c>
      <c r="F602" s="22">
        <v>29215</v>
      </c>
      <c r="G602" s="19" t="s">
        <v>112</v>
      </c>
      <c r="H602" s="19" t="s">
        <v>784</v>
      </c>
      <c r="I602" s="19" t="s">
        <v>6</v>
      </c>
      <c r="J602" s="19"/>
      <c r="K602" s="19"/>
      <c r="L602" s="19" t="s">
        <v>225</v>
      </c>
      <c r="P602" s="20" t="s">
        <v>117</v>
      </c>
    </row>
    <row r="603" spans="1:16" x14ac:dyDescent="0.3">
      <c r="A603" s="19">
        <f t="shared" si="9"/>
        <v>602</v>
      </c>
      <c r="B603" s="20" t="s">
        <v>87</v>
      </c>
      <c r="C603" s="20" t="s">
        <v>97</v>
      </c>
      <c r="D603" s="21" t="str">
        <f>IF($C603="","",IFERROR(VLOOKUP($C603,Map_Register!$A$2:$C$5,3,FALSE()),""))</f>
        <v>Military Zone</v>
      </c>
      <c r="E603" s="20" t="s">
        <v>111</v>
      </c>
      <c r="F603" s="22">
        <v>29216</v>
      </c>
      <c r="G603" s="19" t="s">
        <v>112</v>
      </c>
      <c r="H603" s="19" t="s">
        <v>785</v>
      </c>
      <c r="I603" s="19" t="s">
        <v>6</v>
      </c>
      <c r="J603" s="19"/>
      <c r="K603" s="19"/>
      <c r="L603" s="19" t="s">
        <v>225</v>
      </c>
      <c r="P603" s="20" t="s">
        <v>117</v>
      </c>
    </row>
    <row r="604" spans="1:16" x14ac:dyDescent="0.3">
      <c r="A604" s="19">
        <f t="shared" si="9"/>
        <v>603</v>
      </c>
      <c r="B604" s="20" t="s">
        <v>87</v>
      </c>
      <c r="C604" s="20" t="s">
        <v>97</v>
      </c>
      <c r="D604" s="21" t="str">
        <f>IF($C604="","",IFERROR(VLOOKUP($C604,Map_Register!$A$2:$C$5,3,FALSE()),""))</f>
        <v>Military Zone</v>
      </c>
      <c r="E604" s="20" t="s">
        <v>111</v>
      </c>
      <c r="F604" s="22">
        <v>29217</v>
      </c>
      <c r="G604" s="19" t="s">
        <v>112</v>
      </c>
      <c r="H604" s="19" t="s">
        <v>786</v>
      </c>
      <c r="I604" s="19" t="s">
        <v>6</v>
      </c>
      <c r="J604" s="19"/>
      <c r="K604" s="19"/>
      <c r="L604" s="19" t="s">
        <v>225</v>
      </c>
      <c r="P604" s="20" t="s">
        <v>117</v>
      </c>
    </row>
    <row r="605" spans="1:16" x14ac:dyDescent="0.3">
      <c r="A605" s="19">
        <f t="shared" si="9"/>
        <v>604</v>
      </c>
      <c r="B605" s="20" t="s">
        <v>87</v>
      </c>
      <c r="C605" s="20" t="s">
        <v>97</v>
      </c>
      <c r="D605" s="21" t="str">
        <f>IF($C605="","",IFERROR(VLOOKUP($C605,Map_Register!$A$2:$C$5,3,FALSE()),""))</f>
        <v>Military Zone</v>
      </c>
      <c r="E605" s="20" t="s">
        <v>111</v>
      </c>
      <c r="F605" s="22">
        <v>29218</v>
      </c>
      <c r="G605" s="19" t="s">
        <v>112</v>
      </c>
      <c r="H605" s="19" t="s">
        <v>787</v>
      </c>
      <c r="I605" s="19" t="s">
        <v>6</v>
      </c>
      <c r="J605" s="19"/>
      <c r="K605" s="19"/>
      <c r="L605" s="19" t="s">
        <v>225</v>
      </c>
      <c r="P605" s="20" t="s">
        <v>117</v>
      </c>
    </row>
    <row r="606" spans="1:16" x14ac:dyDescent="0.3">
      <c r="A606" s="19">
        <f t="shared" si="9"/>
        <v>605</v>
      </c>
      <c r="B606" s="20" t="s">
        <v>87</v>
      </c>
      <c r="C606" s="20" t="s">
        <v>97</v>
      </c>
      <c r="D606" s="21" t="str">
        <f>IF($C606="","",IFERROR(VLOOKUP($C606,Map_Register!$A$2:$C$5,3,FALSE()),""))</f>
        <v>Military Zone</v>
      </c>
      <c r="E606" s="20" t="s">
        <v>111</v>
      </c>
      <c r="F606" s="22">
        <v>29219</v>
      </c>
      <c r="G606" s="19" t="s">
        <v>112</v>
      </c>
      <c r="H606" s="19" t="s">
        <v>788</v>
      </c>
      <c r="I606" s="19" t="s">
        <v>6</v>
      </c>
      <c r="J606" s="19"/>
      <c r="K606" s="19"/>
      <c r="L606" s="19" t="s">
        <v>225</v>
      </c>
      <c r="P606" s="20" t="s">
        <v>117</v>
      </c>
    </row>
    <row r="607" spans="1:16" x14ac:dyDescent="0.3">
      <c r="A607" s="19">
        <f t="shared" si="9"/>
        <v>606</v>
      </c>
      <c r="B607" s="20" t="s">
        <v>87</v>
      </c>
      <c r="C607" s="20" t="s">
        <v>97</v>
      </c>
      <c r="D607" s="21" t="str">
        <f>IF($C607="","",IFERROR(VLOOKUP($C607,Map_Register!$A$2:$C$5,3,FALSE()),""))</f>
        <v>Military Zone</v>
      </c>
      <c r="E607" s="20" t="s">
        <v>111</v>
      </c>
      <c r="F607" s="22">
        <v>29220</v>
      </c>
      <c r="G607" s="19" t="s">
        <v>112</v>
      </c>
      <c r="H607" s="19" t="s">
        <v>789</v>
      </c>
      <c r="I607" s="19" t="s">
        <v>8</v>
      </c>
      <c r="J607" s="19" t="s">
        <v>114</v>
      </c>
      <c r="K607" s="19" t="s">
        <v>114</v>
      </c>
      <c r="L607" s="19" t="s">
        <v>151</v>
      </c>
      <c r="M607" s="20" t="s">
        <v>116</v>
      </c>
      <c r="P607" s="20" t="s">
        <v>117</v>
      </c>
    </row>
    <row r="608" spans="1:16" x14ac:dyDescent="0.3">
      <c r="A608" s="19">
        <f t="shared" si="9"/>
        <v>607</v>
      </c>
      <c r="B608" s="20" t="s">
        <v>87</v>
      </c>
      <c r="C608" s="20" t="s">
        <v>97</v>
      </c>
      <c r="D608" s="21" t="str">
        <f>IF($C608="","",IFERROR(VLOOKUP($C608,Map_Register!$A$2:$C$5,3,FALSE()),""))</f>
        <v>Military Zone</v>
      </c>
      <c r="E608" s="20" t="s">
        <v>111</v>
      </c>
      <c r="F608" s="22">
        <v>29221</v>
      </c>
      <c r="G608" s="19" t="s">
        <v>112</v>
      </c>
      <c r="H608" s="19" t="s">
        <v>790</v>
      </c>
      <c r="I608" s="19" t="s">
        <v>8</v>
      </c>
      <c r="J608" s="19" t="s">
        <v>114</v>
      </c>
      <c r="K608" s="19" t="s">
        <v>114</v>
      </c>
      <c r="L608" s="19" t="s">
        <v>165</v>
      </c>
      <c r="M608" s="20" t="s">
        <v>116</v>
      </c>
      <c r="P608" s="20" t="s">
        <v>117</v>
      </c>
    </row>
    <row r="609" spans="1:16" x14ac:dyDescent="0.3">
      <c r="A609" s="19">
        <f t="shared" si="9"/>
        <v>608</v>
      </c>
      <c r="B609" s="20" t="s">
        <v>87</v>
      </c>
      <c r="C609" s="20" t="s">
        <v>97</v>
      </c>
      <c r="D609" s="21" t="str">
        <f>IF($C609="","",IFERROR(VLOOKUP($C609,Map_Register!$A$2:$C$5,3,FALSE()),""))</f>
        <v>Military Zone</v>
      </c>
      <c r="E609" s="20" t="s">
        <v>111</v>
      </c>
      <c r="F609" s="22">
        <v>29222</v>
      </c>
      <c r="G609" s="19" t="s">
        <v>112</v>
      </c>
      <c r="H609" s="19" t="s">
        <v>791</v>
      </c>
      <c r="I609" s="19" t="s">
        <v>8</v>
      </c>
      <c r="J609" s="19" t="s">
        <v>114</v>
      </c>
      <c r="K609" s="19" t="s">
        <v>114</v>
      </c>
      <c r="L609" s="19" t="s">
        <v>151</v>
      </c>
      <c r="M609" s="20" t="s">
        <v>116</v>
      </c>
      <c r="P609" s="20" t="s">
        <v>117</v>
      </c>
    </row>
    <row r="610" spans="1:16" x14ac:dyDescent="0.3">
      <c r="A610" s="19">
        <f t="shared" si="9"/>
        <v>609</v>
      </c>
      <c r="B610" s="20" t="s">
        <v>87</v>
      </c>
      <c r="C610" s="20" t="s">
        <v>97</v>
      </c>
      <c r="D610" s="21" t="str">
        <f>IF($C610="","",IFERROR(VLOOKUP($C610,Map_Register!$A$2:$C$5,3,FALSE()),""))</f>
        <v>Military Zone</v>
      </c>
      <c r="E610" s="20" t="s">
        <v>111</v>
      </c>
      <c r="F610" s="22">
        <v>29223</v>
      </c>
      <c r="G610" s="19" t="s">
        <v>112</v>
      </c>
      <c r="H610" s="19" t="s">
        <v>311</v>
      </c>
      <c r="I610" s="19" t="s">
        <v>8</v>
      </c>
      <c r="J610" s="19" t="s">
        <v>114</v>
      </c>
      <c r="K610" s="19" t="s">
        <v>114</v>
      </c>
      <c r="L610" s="19" t="s">
        <v>151</v>
      </c>
      <c r="M610" s="20" t="s">
        <v>116</v>
      </c>
      <c r="P610" s="20" t="s">
        <v>117</v>
      </c>
    </row>
    <row r="611" spans="1:16" x14ac:dyDescent="0.3">
      <c r="A611" s="19">
        <f t="shared" si="9"/>
        <v>610</v>
      </c>
      <c r="B611" s="20" t="s">
        <v>87</v>
      </c>
      <c r="C611" s="20" t="s">
        <v>97</v>
      </c>
      <c r="D611" s="21" t="str">
        <f>IF($C611="","",IFERROR(VLOOKUP($C611,Map_Register!$A$2:$C$5,3,FALSE()),""))</f>
        <v>Military Zone</v>
      </c>
      <c r="E611" s="20" t="s">
        <v>111</v>
      </c>
      <c r="F611" s="22">
        <v>29224</v>
      </c>
      <c r="G611" s="19" t="s">
        <v>112</v>
      </c>
      <c r="H611" s="19" t="s">
        <v>792</v>
      </c>
      <c r="I611" s="19" t="s">
        <v>8</v>
      </c>
      <c r="J611" s="19" t="s">
        <v>114</v>
      </c>
      <c r="K611" s="19" t="s">
        <v>114</v>
      </c>
      <c r="L611" s="19" t="s">
        <v>151</v>
      </c>
      <c r="M611" s="20" t="s">
        <v>116</v>
      </c>
      <c r="P611" s="20" t="s">
        <v>117</v>
      </c>
    </row>
    <row r="612" spans="1:16" x14ac:dyDescent="0.3">
      <c r="A612" s="19">
        <f t="shared" si="9"/>
        <v>611</v>
      </c>
      <c r="B612" s="20" t="s">
        <v>87</v>
      </c>
      <c r="C612" s="20" t="s">
        <v>97</v>
      </c>
      <c r="D612" s="21" t="str">
        <f>IF($C612="","",IFERROR(VLOOKUP($C612,Map_Register!$A$2:$C$5,3,FALSE()),""))</f>
        <v>Military Zone</v>
      </c>
      <c r="E612" s="20" t="s">
        <v>111</v>
      </c>
      <c r="F612" s="22">
        <v>29262</v>
      </c>
      <c r="G612" s="19" t="s">
        <v>112</v>
      </c>
      <c r="H612" s="19" t="s">
        <v>793</v>
      </c>
      <c r="I612" s="19" t="s">
        <v>8</v>
      </c>
      <c r="J612" s="19" t="s">
        <v>114</v>
      </c>
      <c r="K612" s="19" t="s">
        <v>114</v>
      </c>
      <c r="L612" s="19" t="s">
        <v>151</v>
      </c>
      <c r="M612" s="20" t="s">
        <v>116</v>
      </c>
      <c r="P612" s="20" t="s">
        <v>117</v>
      </c>
    </row>
    <row r="613" spans="1:16" x14ac:dyDescent="0.3">
      <c r="A613" s="19">
        <f t="shared" si="9"/>
        <v>612</v>
      </c>
      <c r="B613" s="20" t="s">
        <v>87</v>
      </c>
      <c r="C613" s="20" t="s">
        <v>97</v>
      </c>
      <c r="D613" s="21" t="str">
        <f>IF($C613="","",IFERROR(VLOOKUP($C613,Map_Register!$A$2:$C$5,3,FALSE()),""))</f>
        <v>Military Zone</v>
      </c>
      <c r="E613" s="20" t="s">
        <v>111</v>
      </c>
      <c r="F613" s="22">
        <v>29263</v>
      </c>
      <c r="G613" s="19" t="s">
        <v>112</v>
      </c>
      <c r="H613" s="19" t="s">
        <v>794</v>
      </c>
      <c r="I613" s="19" t="s">
        <v>8</v>
      </c>
      <c r="J613" s="19" t="s">
        <v>114</v>
      </c>
      <c r="K613" t="s">
        <v>114</v>
      </c>
      <c r="L613" s="19" t="s">
        <v>165</v>
      </c>
      <c r="M613" s="20" t="s">
        <v>116</v>
      </c>
      <c r="P613" s="20" t="s">
        <v>117</v>
      </c>
    </row>
    <row r="614" spans="1:16" x14ac:dyDescent="0.3">
      <c r="A614" s="19">
        <f t="shared" si="9"/>
        <v>613</v>
      </c>
      <c r="B614" s="20" t="s">
        <v>87</v>
      </c>
      <c r="C614" s="20" t="s">
        <v>97</v>
      </c>
      <c r="D614" s="21" t="str">
        <f>IF($C614="","",IFERROR(VLOOKUP($C614,Map_Register!$A$2:$C$5,3,FALSE()),""))</f>
        <v>Military Zone</v>
      </c>
      <c r="E614" s="20" t="s">
        <v>111</v>
      </c>
      <c r="F614" s="22">
        <v>29264</v>
      </c>
      <c r="G614" s="19" t="s">
        <v>112</v>
      </c>
      <c r="H614" s="19" t="s">
        <v>795</v>
      </c>
      <c r="I614" s="19" t="s">
        <v>8</v>
      </c>
      <c r="J614" s="19" t="s">
        <v>114</v>
      </c>
      <c r="K614" t="s">
        <v>114</v>
      </c>
      <c r="L614" s="19" t="s">
        <v>165</v>
      </c>
      <c r="M614" s="20" t="s">
        <v>116</v>
      </c>
      <c r="P614" s="20" t="s">
        <v>117</v>
      </c>
    </row>
    <row r="615" spans="1:16" x14ac:dyDescent="0.3">
      <c r="A615" s="19">
        <f t="shared" si="9"/>
        <v>614</v>
      </c>
      <c r="B615" s="20" t="s">
        <v>87</v>
      </c>
      <c r="C615" s="20" t="s">
        <v>97</v>
      </c>
      <c r="D615" s="21" t="str">
        <f>IF($C615="","",IFERROR(VLOOKUP($C615,Map_Register!$A$2:$C$5,3,FALSE()),""))</f>
        <v>Military Zone</v>
      </c>
      <c r="E615" s="20" t="s">
        <v>111</v>
      </c>
      <c r="F615" s="22">
        <v>29272</v>
      </c>
      <c r="G615" s="19" t="s">
        <v>112</v>
      </c>
      <c r="H615" s="19" t="s">
        <v>796</v>
      </c>
      <c r="I615" s="19" t="s">
        <v>8</v>
      </c>
      <c r="J615" s="19" t="s">
        <v>114</v>
      </c>
      <c r="K615" s="19" t="s">
        <v>114</v>
      </c>
      <c r="L615" s="19" t="s">
        <v>151</v>
      </c>
      <c r="M615" s="20" t="s">
        <v>116</v>
      </c>
      <c r="P615" s="20" t="s">
        <v>117</v>
      </c>
    </row>
    <row r="616" spans="1:16" x14ac:dyDescent="0.3">
      <c r="A616" s="19">
        <f t="shared" si="9"/>
        <v>615</v>
      </c>
      <c r="B616" s="20" t="s">
        <v>87</v>
      </c>
      <c r="C616" s="20" t="s">
        <v>97</v>
      </c>
      <c r="D616" s="21" t="str">
        <f>IF($C616="","",IFERROR(VLOOKUP($C616,Map_Register!$A$2:$C$5,3,FALSE()),""))</f>
        <v>Military Zone</v>
      </c>
      <c r="E616" s="20" t="s">
        <v>111</v>
      </c>
      <c r="F616" s="22">
        <v>29273</v>
      </c>
      <c r="G616" s="19" t="s">
        <v>112</v>
      </c>
      <c r="H616" s="19" t="s">
        <v>797</v>
      </c>
      <c r="I616" s="19" t="s">
        <v>6</v>
      </c>
      <c r="J616" s="19"/>
      <c r="K616" s="19"/>
      <c r="L616" s="19" t="s">
        <v>227</v>
      </c>
      <c r="P616" s="20" t="s">
        <v>117</v>
      </c>
    </row>
    <row r="617" spans="1:16" x14ac:dyDescent="0.3">
      <c r="A617" s="19">
        <f t="shared" si="9"/>
        <v>616</v>
      </c>
      <c r="B617" s="20" t="s">
        <v>87</v>
      </c>
      <c r="C617" s="20" t="s">
        <v>97</v>
      </c>
      <c r="D617" s="21" t="str">
        <f>IF($C617="","",IFERROR(VLOOKUP($C617,Map_Register!$A$2:$C$5,3,FALSE()),""))</f>
        <v>Military Zone</v>
      </c>
      <c r="E617" s="20" t="s">
        <v>111</v>
      </c>
      <c r="F617" s="22">
        <v>29559</v>
      </c>
      <c r="G617" s="19" t="s">
        <v>112</v>
      </c>
      <c r="H617" s="19" t="s">
        <v>798</v>
      </c>
      <c r="I617" s="19" t="s">
        <v>8</v>
      </c>
      <c r="J617" s="19" t="s">
        <v>114</v>
      </c>
      <c r="K617" s="19" t="s">
        <v>114</v>
      </c>
      <c r="L617" s="19" t="s">
        <v>640</v>
      </c>
      <c r="M617" s="20" t="s">
        <v>116</v>
      </c>
      <c r="P617" s="20" t="s">
        <v>117</v>
      </c>
    </row>
    <row r="618" spans="1:16" x14ac:dyDescent="0.3">
      <c r="A618" s="19">
        <f t="shared" si="9"/>
        <v>617</v>
      </c>
      <c r="B618" s="20" t="s">
        <v>87</v>
      </c>
      <c r="C618" s="20" t="s">
        <v>97</v>
      </c>
      <c r="D618" s="21" t="str">
        <f>IF($C618="","",IFERROR(VLOOKUP($C618,Map_Register!$A$2:$C$5,3,FALSE()),""))</f>
        <v>Military Zone</v>
      </c>
      <c r="E618" s="20" t="s">
        <v>111</v>
      </c>
      <c r="F618" s="22">
        <v>29962</v>
      </c>
      <c r="G618" s="19" t="s">
        <v>112</v>
      </c>
      <c r="H618" s="19" t="s">
        <v>799</v>
      </c>
      <c r="I618" s="19" t="s">
        <v>6</v>
      </c>
      <c r="J618" s="19"/>
      <c r="K618" s="19"/>
      <c r="L618" s="19" t="s">
        <v>700</v>
      </c>
      <c r="P618" s="20" t="s">
        <v>117</v>
      </c>
    </row>
    <row r="619" spans="1:16" x14ac:dyDescent="0.3">
      <c r="A619" s="19">
        <f t="shared" si="9"/>
        <v>618</v>
      </c>
      <c r="B619" s="20" t="s">
        <v>87</v>
      </c>
      <c r="C619" s="20" t="s">
        <v>97</v>
      </c>
      <c r="D619" s="21" t="str">
        <f>IF($C619="","",IFERROR(VLOOKUP($C619,Map_Register!$A$2:$C$5,3,FALSE()),""))</f>
        <v>Military Zone</v>
      </c>
      <c r="E619" s="20" t="s">
        <v>111</v>
      </c>
      <c r="F619" s="22">
        <v>29963</v>
      </c>
      <c r="G619" s="19" t="s">
        <v>112</v>
      </c>
      <c r="H619" s="19" t="s">
        <v>800</v>
      </c>
      <c r="I619" s="19" t="s">
        <v>8</v>
      </c>
      <c r="J619" s="19" t="s">
        <v>114</v>
      </c>
      <c r="K619" t="s">
        <v>114</v>
      </c>
      <c r="L619" s="19" t="s">
        <v>801</v>
      </c>
      <c r="M619" s="20" t="s">
        <v>116</v>
      </c>
      <c r="P619" s="20" t="s">
        <v>117</v>
      </c>
    </row>
    <row r="620" spans="1:16" x14ac:dyDescent="0.3">
      <c r="A620" s="19">
        <f t="shared" si="9"/>
        <v>619</v>
      </c>
      <c r="B620" s="20" t="s">
        <v>87</v>
      </c>
      <c r="C620" s="20" t="s">
        <v>97</v>
      </c>
      <c r="D620" s="21" t="str">
        <f>IF($C620="","",IFERROR(VLOOKUP($C620,Map_Register!$A$2:$C$5,3,FALSE()),""))</f>
        <v>Military Zone</v>
      </c>
      <c r="E620" s="20" t="s">
        <v>111</v>
      </c>
      <c r="F620" s="22">
        <v>29969</v>
      </c>
      <c r="G620" s="19" t="s">
        <v>112</v>
      </c>
      <c r="H620" s="19" t="s">
        <v>802</v>
      </c>
      <c r="I620" s="19" t="s">
        <v>6</v>
      </c>
      <c r="J620" s="19"/>
      <c r="K620" s="19"/>
      <c r="L620" s="19" t="s">
        <v>225</v>
      </c>
      <c r="P620" s="20" t="s">
        <v>117</v>
      </c>
    </row>
    <row r="621" spans="1:16" x14ac:dyDescent="0.3">
      <c r="A621" s="19">
        <f t="shared" si="9"/>
        <v>620</v>
      </c>
      <c r="B621" s="20" t="s">
        <v>87</v>
      </c>
      <c r="C621" s="20" t="s">
        <v>97</v>
      </c>
      <c r="D621" s="21" t="str">
        <f>IF($C621="","",IFERROR(VLOOKUP($C621,Map_Register!$A$2:$C$5,3,FALSE()),""))</f>
        <v>Military Zone</v>
      </c>
      <c r="E621" s="20" t="s">
        <v>111</v>
      </c>
      <c r="F621" s="22">
        <v>29970</v>
      </c>
      <c r="G621" s="19" t="s">
        <v>112</v>
      </c>
      <c r="H621" s="19" t="s">
        <v>803</v>
      </c>
      <c r="I621" s="19" t="s">
        <v>6</v>
      </c>
      <c r="J621" s="19"/>
      <c r="K621" s="19"/>
      <c r="L621" s="19" t="s">
        <v>225</v>
      </c>
      <c r="P621" s="20" t="s">
        <v>117</v>
      </c>
    </row>
    <row r="622" spans="1:16" x14ac:dyDescent="0.3">
      <c r="A622" s="19">
        <f t="shared" si="9"/>
        <v>621</v>
      </c>
      <c r="B622" s="20" t="s">
        <v>87</v>
      </c>
      <c r="C622" s="20" t="s">
        <v>97</v>
      </c>
      <c r="D622" s="21" t="str">
        <f>IF($C622="","",IFERROR(VLOOKUP($C622,Map_Register!$A$2:$C$5,3,FALSE()),""))</f>
        <v>Military Zone</v>
      </c>
      <c r="E622" s="20" t="s">
        <v>111</v>
      </c>
      <c r="F622" s="22">
        <v>29971</v>
      </c>
      <c r="G622" s="19" t="s">
        <v>112</v>
      </c>
      <c r="H622" s="19" t="s">
        <v>804</v>
      </c>
      <c r="I622" s="19" t="s">
        <v>6</v>
      </c>
      <c r="J622" s="19"/>
      <c r="K622" s="19"/>
      <c r="L622" s="19" t="s">
        <v>225</v>
      </c>
      <c r="P622" s="20" t="s">
        <v>117</v>
      </c>
    </row>
    <row r="623" spans="1:16" x14ac:dyDescent="0.3">
      <c r="A623" s="19">
        <f t="shared" si="9"/>
        <v>622</v>
      </c>
      <c r="B623" s="20" t="s">
        <v>87</v>
      </c>
      <c r="C623" s="20" t="s">
        <v>97</v>
      </c>
      <c r="D623" s="21" t="str">
        <f>IF($C623="","",IFERROR(VLOOKUP($C623,Map_Register!$A$2:$C$5,3,FALSE()),""))</f>
        <v>Military Zone</v>
      </c>
      <c r="E623" s="20" t="s">
        <v>111</v>
      </c>
      <c r="F623" s="22">
        <v>29972</v>
      </c>
      <c r="G623" s="19" t="s">
        <v>112</v>
      </c>
      <c r="H623" s="19" t="s">
        <v>805</v>
      </c>
      <c r="I623" s="19" t="s">
        <v>8</v>
      </c>
      <c r="J623" s="19" t="s">
        <v>114</v>
      </c>
      <c r="K623" s="19" t="s">
        <v>114</v>
      </c>
      <c r="L623" s="19" t="s">
        <v>806</v>
      </c>
      <c r="M623" s="20" t="s">
        <v>116</v>
      </c>
      <c r="P623" s="20" t="s">
        <v>117</v>
      </c>
    </row>
    <row r="624" spans="1:16" x14ac:dyDescent="0.3">
      <c r="A624" s="19">
        <f t="shared" si="9"/>
        <v>623</v>
      </c>
      <c r="B624" s="20" t="s">
        <v>87</v>
      </c>
      <c r="C624" s="20" t="s">
        <v>97</v>
      </c>
      <c r="D624" s="21" t="str">
        <f>IF($C624="","",IFERROR(VLOOKUP($C624,Map_Register!$A$2:$C$5,3,FALSE()),""))</f>
        <v>Military Zone</v>
      </c>
      <c r="E624" s="20" t="s">
        <v>111</v>
      </c>
      <c r="F624" s="22">
        <v>29973</v>
      </c>
      <c r="G624" s="19" t="s">
        <v>112</v>
      </c>
      <c r="H624" s="19" t="s">
        <v>807</v>
      </c>
      <c r="I624" s="19" t="s">
        <v>8</v>
      </c>
      <c r="J624" s="19" t="s">
        <v>114</v>
      </c>
      <c r="K624" s="19" t="s">
        <v>114</v>
      </c>
      <c r="L624" s="19" t="s">
        <v>151</v>
      </c>
      <c r="M624" s="20" t="s">
        <v>116</v>
      </c>
      <c r="P624" s="20" t="s">
        <v>117</v>
      </c>
    </row>
    <row r="625" spans="1:16" x14ac:dyDescent="0.3">
      <c r="A625" s="19">
        <f t="shared" si="9"/>
        <v>624</v>
      </c>
      <c r="B625" s="20" t="s">
        <v>87</v>
      </c>
      <c r="C625" s="20" t="s">
        <v>97</v>
      </c>
      <c r="D625" s="21" t="str">
        <f>IF($C625="","",IFERROR(VLOOKUP($C625,Map_Register!$A$2:$C$5,3,FALSE()),""))</f>
        <v>Military Zone</v>
      </c>
      <c r="E625" s="20" t="s">
        <v>111</v>
      </c>
      <c r="F625" s="22">
        <v>29976</v>
      </c>
      <c r="G625" s="19" t="s">
        <v>112</v>
      </c>
      <c r="H625" s="19" t="s">
        <v>808</v>
      </c>
      <c r="I625" s="19" t="s">
        <v>6</v>
      </c>
      <c r="J625" s="19"/>
      <c r="K625" s="19"/>
      <c r="L625" s="19" t="s">
        <v>225</v>
      </c>
      <c r="P625" s="20" t="s">
        <v>117</v>
      </c>
    </row>
    <row r="626" spans="1:16" x14ac:dyDescent="0.3">
      <c r="A626" s="19">
        <f t="shared" si="9"/>
        <v>625</v>
      </c>
      <c r="B626" s="20" t="s">
        <v>87</v>
      </c>
      <c r="C626" s="20" t="s">
        <v>97</v>
      </c>
      <c r="D626" s="21" t="str">
        <f>IF($C626="","",IFERROR(VLOOKUP($C626,Map_Register!$A$2:$C$5,3,FALSE()),""))</f>
        <v>Military Zone</v>
      </c>
      <c r="E626" s="20" t="s">
        <v>111</v>
      </c>
      <c r="F626" s="22">
        <v>29977</v>
      </c>
      <c r="G626" s="19" t="s">
        <v>112</v>
      </c>
      <c r="H626" s="19" t="s">
        <v>809</v>
      </c>
      <c r="I626" s="19" t="s">
        <v>8</v>
      </c>
      <c r="J626" s="19" t="s">
        <v>114</v>
      </c>
      <c r="K626" t="s">
        <v>114</v>
      </c>
      <c r="L626" s="19" t="s">
        <v>180</v>
      </c>
      <c r="M626" s="20" t="s">
        <v>116</v>
      </c>
      <c r="P626" s="20" t="s">
        <v>117</v>
      </c>
    </row>
    <row r="627" spans="1:16" x14ac:dyDescent="0.3">
      <c r="A627" s="19">
        <f t="shared" si="9"/>
        <v>626</v>
      </c>
      <c r="B627" s="20" t="s">
        <v>87</v>
      </c>
      <c r="C627" s="20" t="s">
        <v>97</v>
      </c>
      <c r="D627" s="21" t="str">
        <f>IF($C627="","",IFERROR(VLOOKUP($C627,Map_Register!$A$2:$C$5,3,FALSE()),""))</f>
        <v>Military Zone</v>
      </c>
      <c r="E627" s="20" t="s">
        <v>111</v>
      </c>
      <c r="F627" s="22">
        <v>29978</v>
      </c>
      <c r="G627" s="19" t="s">
        <v>112</v>
      </c>
      <c r="H627" s="19" t="s">
        <v>810</v>
      </c>
      <c r="I627" s="19" t="s">
        <v>6</v>
      </c>
      <c r="J627" s="19"/>
      <c r="K627" s="19"/>
      <c r="L627" s="19" t="s">
        <v>225</v>
      </c>
      <c r="P627" s="20" t="s">
        <v>117</v>
      </c>
    </row>
    <row r="628" spans="1:16" x14ac:dyDescent="0.3">
      <c r="A628" s="19">
        <f t="shared" si="9"/>
        <v>627</v>
      </c>
      <c r="B628" s="20" t="s">
        <v>87</v>
      </c>
      <c r="C628" s="20" t="s">
        <v>97</v>
      </c>
      <c r="D628" s="21" t="str">
        <f>IF($C628="","",IFERROR(VLOOKUP($C628,Map_Register!$A$2:$C$5,3,FALSE()),""))</f>
        <v>Military Zone</v>
      </c>
      <c r="E628" s="20" t="s">
        <v>111</v>
      </c>
      <c r="F628" s="22">
        <v>29979</v>
      </c>
      <c r="G628" s="19" t="s">
        <v>112</v>
      </c>
      <c r="H628" s="19" t="s">
        <v>811</v>
      </c>
      <c r="I628" s="19" t="s">
        <v>6</v>
      </c>
      <c r="J628" s="19"/>
      <c r="K628" s="19"/>
      <c r="L628" s="19" t="s">
        <v>225</v>
      </c>
      <c r="P628" s="20" t="s">
        <v>117</v>
      </c>
    </row>
    <row r="629" spans="1:16" x14ac:dyDescent="0.3">
      <c r="A629" s="19">
        <f t="shared" si="9"/>
        <v>628</v>
      </c>
      <c r="B629" s="20" t="s">
        <v>87</v>
      </c>
      <c r="C629" s="20" t="s">
        <v>97</v>
      </c>
      <c r="D629" s="21" t="str">
        <f>IF($C629="","",IFERROR(VLOOKUP($C629,Map_Register!$A$2:$C$5,3,FALSE()),""))</f>
        <v>Military Zone</v>
      </c>
      <c r="E629" s="20" t="s">
        <v>111</v>
      </c>
      <c r="F629" s="22">
        <v>29980</v>
      </c>
      <c r="G629" s="19" t="s">
        <v>112</v>
      </c>
      <c r="H629" s="19" t="s">
        <v>812</v>
      </c>
      <c r="I629" s="19" t="s">
        <v>6</v>
      </c>
      <c r="J629" s="19"/>
      <c r="K629" s="19"/>
      <c r="L629" s="19" t="s">
        <v>225</v>
      </c>
      <c r="P629" s="20" t="s">
        <v>117</v>
      </c>
    </row>
    <row r="630" spans="1:16" x14ac:dyDescent="0.3">
      <c r="A630" s="19">
        <f t="shared" si="9"/>
        <v>629</v>
      </c>
      <c r="B630" s="20" t="s">
        <v>87</v>
      </c>
      <c r="C630" s="20" t="s">
        <v>97</v>
      </c>
      <c r="D630" s="21" t="str">
        <f>IF($C630="","",IFERROR(VLOOKUP($C630,Map_Register!$A$2:$C$5,3,FALSE()),""))</f>
        <v>Military Zone</v>
      </c>
      <c r="E630" s="20" t="s">
        <v>111</v>
      </c>
      <c r="F630" s="22">
        <v>29981</v>
      </c>
      <c r="G630" s="19" t="s">
        <v>112</v>
      </c>
      <c r="H630" s="19" t="s">
        <v>813</v>
      </c>
      <c r="I630" s="19" t="s">
        <v>6</v>
      </c>
      <c r="J630" s="19"/>
      <c r="K630" s="19"/>
      <c r="L630" s="19" t="s">
        <v>225</v>
      </c>
      <c r="P630" s="20" t="s">
        <v>117</v>
      </c>
    </row>
    <row r="631" spans="1:16" x14ac:dyDescent="0.3">
      <c r="A631" s="19">
        <f t="shared" si="9"/>
        <v>630</v>
      </c>
      <c r="B631" s="20" t="s">
        <v>87</v>
      </c>
      <c r="C631" s="20" t="s">
        <v>97</v>
      </c>
      <c r="D631" s="21" t="str">
        <f>IF($C631="","",IFERROR(VLOOKUP($C631,Map_Register!$A$2:$C$5,3,FALSE()),""))</f>
        <v>Military Zone</v>
      </c>
      <c r="E631" s="20" t="s">
        <v>111</v>
      </c>
      <c r="F631" s="22">
        <v>29983</v>
      </c>
      <c r="G631" s="19" t="s">
        <v>112</v>
      </c>
      <c r="H631" s="19" t="s">
        <v>814</v>
      </c>
      <c r="I631" s="19" t="s">
        <v>6</v>
      </c>
      <c r="J631" s="19"/>
      <c r="K631" s="19"/>
      <c r="L631" s="19" t="s">
        <v>225</v>
      </c>
      <c r="P631" s="20" t="s">
        <v>117</v>
      </c>
    </row>
    <row r="632" spans="1:16" x14ac:dyDescent="0.3">
      <c r="A632" s="19">
        <f t="shared" si="9"/>
        <v>631</v>
      </c>
      <c r="B632" s="20" t="s">
        <v>87</v>
      </c>
      <c r="C632" s="20" t="s">
        <v>97</v>
      </c>
      <c r="D632" s="21" t="str">
        <f>IF($C632="","",IFERROR(VLOOKUP($C632,Map_Register!$A$2:$C$5,3,FALSE()),""))</f>
        <v>Military Zone</v>
      </c>
      <c r="E632" s="20" t="s">
        <v>111</v>
      </c>
      <c r="F632" s="22">
        <v>30036</v>
      </c>
      <c r="G632" s="19" t="s">
        <v>112</v>
      </c>
      <c r="H632" s="19" t="s">
        <v>815</v>
      </c>
      <c r="I632" s="19" t="s">
        <v>8</v>
      </c>
      <c r="J632" s="19" t="s">
        <v>114</v>
      </c>
      <c r="K632" s="19" t="s">
        <v>114</v>
      </c>
      <c r="L632" s="19" t="s">
        <v>640</v>
      </c>
      <c r="M632" s="20" t="s">
        <v>116</v>
      </c>
      <c r="P632" s="20" t="s">
        <v>117</v>
      </c>
    </row>
    <row r="633" spans="1:16" x14ac:dyDescent="0.3">
      <c r="A633" s="19">
        <f t="shared" si="9"/>
        <v>632</v>
      </c>
      <c r="B633" s="20" t="s">
        <v>87</v>
      </c>
      <c r="C633" s="20" t="s">
        <v>97</v>
      </c>
      <c r="D633" s="21" t="str">
        <f>IF($C633="","",IFERROR(VLOOKUP($C633,Map_Register!$A$2:$C$5,3,FALSE()),""))</f>
        <v>Military Zone</v>
      </c>
      <c r="E633" s="20" t="s">
        <v>111</v>
      </c>
      <c r="F633" s="22">
        <v>30298</v>
      </c>
      <c r="G633" s="19" t="s">
        <v>112</v>
      </c>
      <c r="H633" s="19" t="s">
        <v>816</v>
      </c>
      <c r="I633" s="19" t="s">
        <v>8</v>
      </c>
      <c r="J633" s="19" t="s">
        <v>114</v>
      </c>
      <c r="K633" s="19" t="s">
        <v>114</v>
      </c>
      <c r="L633" s="19" t="s">
        <v>817</v>
      </c>
      <c r="M633" s="20" t="s">
        <v>116</v>
      </c>
      <c r="P633" s="20" t="s">
        <v>117</v>
      </c>
    </row>
    <row r="634" spans="1:16" x14ac:dyDescent="0.3">
      <c r="A634" s="19">
        <f t="shared" si="9"/>
        <v>633</v>
      </c>
      <c r="B634" s="20" t="s">
        <v>87</v>
      </c>
      <c r="C634" s="20" t="s">
        <v>97</v>
      </c>
      <c r="D634" s="21" t="str">
        <f>IF($C634="","",IFERROR(VLOOKUP($C634,Map_Register!$A$2:$C$5,3,FALSE()),""))</f>
        <v>Military Zone</v>
      </c>
      <c r="E634" s="20" t="s">
        <v>111</v>
      </c>
      <c r="F634" s="22">
        <v>35497</v>
      </c>
      <c r="G634" s="19" t="s">
        <v>112</v>
      </c>
      <c r="H634" s="19" t="s">
        <v>818</v>
      </c>
      <c r="I634" s="19" t="s">
        <v>6</v>
      </c>
      <c r="J634" s="19"/>
      <c r="K634" s="19"/>
      <c r="L634" s="19" t="s">
        <v>225</v>
      </c>
      <c r="P634" s="20" t="s">
        <v>117</v>
      </c>
    </row>
    <row r="635" spans="1:16" x14ac:dyDescent="0.3">
      <c r="A635" s="19">
        <f t="shared" si="9"/>
        <v>634</v>
      </c>
      <c r="B635" s="20" t="s">
        <v>87</v>
      </c>
      <c r="C635" s="20" t="s">
        <v>97</v>
      </c>
      <c r="D635" s="21" t="str">
        <f>IF($C635="","",IFERROR(VLOOKUP($C635,Map_Register!$A$2:$C$5,3,FALSE()),""))</f>
        <v>Military Zone</v>
      </c>
      <c r="E635" s="20" t="s">
        <v>111</v>
      </c>
      <c r="F635" s="22">
        <v>35523</v>
      </c>
      <c r="G635" s="19" t="s">
        <v>112</v>
      </c>
      <c r="H635" s="19" t="s">
        <v>819</v>
      </c>
      <c r="I635" s="19" t="s">
        <v>6</v>
      </c>
      <c r="J635" s="19"/>
      <c r="K635" s="19"/>
      <c r="L635" s="19" t="s">
        <v>225</v>
      </c>
      <c r="P635" s="20" t="s">
        <v>117</v>
      </c>
    </row>
    <row r="636" spans="1:16" x14ac:dyDescent="0.3">
      <c r="A636" s="19">
        <f t="shared" si="9"/>
        <v>635</v>
      </c>
      <c r="B636" s="20" t="s">
        <v>87</v>
      </c>
      <c r="C636" s="20" t="s">
        <v>97</v>
      </c>
      <c r="D636" s="21" t="str">
        <f>IF($C636="","",IFERROR(VLOOKUP($C636,Map_Register!$A$2:$C$5,3,FALSE()),""))</f>
        <v>Military Zone</v>
      </c>
      <c r="E636" s="20" t="s">
        <v>111</v>
      </c>
      <c r="F636" s="22">
        <v>35526</v>
      </c>
      <c r="G636" s="19" t="s">
        <v>112</v>
      </c>
      <c r="H636" s="19" t="s">
        <v>820</v>
      </c>
      <c r="I636" s="19" t="s">
        <v>6</v>
      </c>
      <c r="J636" s="19"/>
      <c r="K636" s="19"/>
      <c r="L636" s="19" t="s">
        <v>821</v>
      </c>
      <c r="P636" s="20" t="s">
        <v>117</v>
      </c>
    </row>
    <row r="637" spans="1:16" x14ac:dyDescent="0.3">
      <c r="A637" s="19">
        <f t="shared" si="9"/>
        <v>636</v>
      </c>
      <c r="B637" s="20" t="s">
        <v>87</v>
      </c>
      <c r="C637" s="20" t="s">
        <v>97</v>
      </c>
      <c r="D637" s="21" t="str">
        <f>IF($C637="","",IFERROR(VLOOKUP($C637,Map_Register!$A$2:$C$5,3,FALSE()),""))</f>
        <v>Military Zone</v>
      </c>
      <c r="E637" s="20" t="s">
        <v>111</v>
      </c>
      <c r="F637" s="22">
        <v>35527</v>
      </c>
      <c r="G637" s="19" t="s">
        <v>112</v>
      </c>
      <c r="H637" s="19" t="s">
        <v>822</v>
      </c>
      <c r="I637" s="19" t="s">
        <v>6</v>
      </c>
      <c r="J637" s="19"/>
      <c r="K637" s="19"/>
      <c r="L637" s="19" t="s">
        <v>823</v>
      </c>
      <c r="P637" s="20" t="s">
        <v>117</v>
      </c>
    </row>
    <row r="638" spans="1:16" x14ac:dyDescent="0.3">
      <c r="A638" s="19">
        <f t="shared" si="9"/>
        <v>637</v>
      </c>
      <c r="B638" s="20" t="s">
        <v>87</v>
      </c>
      <c r="C638" s="20" t="s">
        <v>97</v>
      </c>
      <c r="D638" s="21" t="str">
        <f>IF($C638="","",IFERROR(VLOOKUP($C638,Map_Register!$A$2:$C$5,3,FALSE()),""))</f>
        <v>Military Zone</v>
      </c>
      <c r="E638" s="20" t="s">
        <v>111</v>
      </c>
      <c r="F638" s="22">
        <v>35528</v>
      </c>
      <c r="G638" s="19" t="s">
        <v>112</v>
      </c>
      <c r="H638" s="19" t="s">
        <v>824</v>
      </c>
      <c r="I638" s="19" t="s">
        <v>6</v>
      </c>
      <c r="J638" s="19"/>
      <c r="K638" s="19"/>
      <c r="L638" s="19" t="s">
        <v>227</v>
      </c>
      <c r="P638" s="20" t="s">
        <v>117</v>
      </c>
    </row>
    <row r="639" spans="1:16" x14ac:dyDescent="0.3">
      <c r="A639" s="19">
        <f t="shared" si="9"/>
        <v>638</v>
      </c>
      <c r="B639" s="20" t="s">
        <v>87</v>
      </c>
      <c r="C639" s="20" t="s">
        <v>97</v>
      </c>
      <c r="D639" s="21" t="str">
        <f>IF($C639="","",IFERROR(VLOOKUP($C639,Map_Register!$A$2:$C$5,3,FALSE()),""))</f>
        <v>Military Zone</v>
      </c>
      <c r="E639" s="20" t="s">
        <v>111</v>
      </c>
      <c r="F639" s="22">
        <v>35529</v>
      </c>
      <c r="G639" s="19" t="s">
        <v>112</v>
      </c>
      <c r="H639" s="19" t="s">
        <v>825</v>
      </c>
      <c r="I639" s="19" t="s">
        <v>6</v>
      </c>
      <c r="J639" s="19"/>
      <c r="K639" s="19"/>
      <c r="L639" s="19" t="s">
        <v>826</v>
      </c>
      <c r="P639" s="20" t="s">
        <v>117</v>
      </c>
    </row>
    <row r="640" spans="1:16" x14ac:dyDescent="0.3">
      <c r="A640" s="19">
        <f t="shared" si="9"/>
        <v>639</v>
      </c>
      <c r="B640" s="20" t="s">
        <v>87</v>
      </c>
      <c r="C640" s="20" t="s">
        <v>97</v>
      </c>
      <c r="D640" s="21" t="str">
        <f>IF($C640="","",IFERROR(VLOOKUP($C640,Map_Register!$A$2:$C$5,3,FALSE()),""))</f>
        <v>Military Zone</v>
      </c>
      <c r="E640" s="20" t="s">
        <v>111</v>
      </c>
      <c r="F640" s="22">
        <v>35530</v>
      </c>
      <c r="G640" s="19" t="s">
        <v>112</v>
      </c>
      <c r="H640" s="19" t="s">
        <v>827</v>
      </c>
      <c r="I640" s="19" t="s">
        <v>6</v>
      </c>
      <c r="J640" s="19"/>
      <c r="K640" s="19"/>
      <c r="L640" s="19" t="s">
        <v>828</v>
      </c>
      <c r="P640" s="20" t="s">
        <v>117</v>
      </c>
    </row>
    <row r="641" spans="1:16" x14ac:dyDescent="0.3">
      <c r="A641" s="19">
        <f t="shared" si="9"/>
        <v>640</v>
      </c>
      <c r="B641" s="20" t="s">
        <v>87</v>
      </c>
      <c r="C641" s="20" t="s">
        <v>97</v>
      </c>
      <c r="D641" s="21" t="str">
        <f>IF($C641="","",IFERROR(VLOOKUP($C641,Map_Register!$A$2:$C$5,3,FALSE()),""))</f>
        <v>Military Zone</v>
      </c>
      <c r="E641" s="20" t="s">
        <v>111</v>
      </c>
      <c r="F641" s="22">
        <v>35531</v>
      </c>
      <c r="G641" s="19" t="s">
        <v>112</v>
      </c>
      <c r="H641" s="19" t="s">
        <v>829</v>
      </c>
      <c r="I641" s="19" t="s">
        <v>6</v>
      </c>
      <c r="J641" s="19"/>
      <c r="K641" s="19"/>
      <c r="L641" s="19" t="s">
        <v>830</v>
      </c>
      <c r="P641" s="20" t="s">
        <v>117</v>
      </c>
    </row>
    <row r="642" spans="1:16" x14ac:dyDescent="0.3">
      <c r="A642" s="19">
        <f t="shared" ref="A642:A705" si="10">IF($B642="","",ROW()-1)</f>
        <v>641</v>
      </c>
      <c r="B642" s="20" t="s">
        <v>87</v>
      </c>
      <c r="C642" s="20" t="s">
        <v>97</v>
      </c>
      <c r="D642" s="21" t="str">
        <f>IF($C642="","",IFERROR(VLOOKUP($C642,Map_Register!$A$2:$C$5,3,FALSE()),""))</f>
        <v>Military Zone</v>
      </c>
      <c r="E642" s="20" t="s">
        <v>111</v>
      </c>
      <c r="F642" s="22">
        <v>35532</v>
      </c>
      <c r="G642" s="19" t="s">
        <v>112</v>
      </c>
      <c r="H642" s="19" t="s">
        <v>831</v>
      </c>
      <c r="I642" s="19" t="s">
        <v>6</v>
      </c>
      <c r="J642" s="19"/>
      <c r="K642" s="19"/>
      <c r="L642" s="19" t="s">
        <v>832</v>
      </c>
      <c r="P642" s="20" t="s">
        <v>117</v>
      </c>
    </row>
    <row r="643" spans="1:16" x14ac:dyDescent="0.3">
      <c r="A643" s="19">
        <f t="shared" si="10"/>
        <v>642</v>
      </c>
      <c r="B643" s="20" t="s">
        <v>87</v>
      </c>
      <c r="C643" s="20" t="s">
        <v>97</v>
      </c>
      <c r="D643" s="21" t="str">
        <f>IF($C643="","",IFERROR(VLOOKUP($C643,Map_Register!$A$2:$C$5,3,FALSE()),""))</f>
        <v>Military Zone</v>
      </c>
      <c r="E643" s="20" t="s">
        <v>111</v>
      </c>
      <c r="F643" s="22">
        <v>35533</v>
      </c>
      <c r="G643" s="19" t="s">
        <v>112</v>
      </c>
      <c r="H643" s="19" t="s">
        <v>833</v>
      </c>
      <c r="I643" s="19" t="s">
        <v>6</v>
      </c>
      <c r="J643" s="19"/>
      <c r="K643" s="19"/>
      <c r="L643" s="19" t="s">
        <v>227</v>
      </c>
      <c r="P643" s="20" t="s">
        <v>117</v>
      </c>
    </row>
    <row r="644" spans="1:16" x14ac:dyDescent="0.3">
      <c r="A644" s="19">
        <f t="shared" si="10"/>
        <v>643</v>
      </c>
      <c r="B644" s="20" t="s">
        <v>87</v>
      </c>
      <c r="C644" s="20" t="s">
        <v>97</v>
      </c>
      <c r="D644" s="21" t="str">
        <f>IF($C644="","",IFERROR(VLOOKUP($C644,Map_Register!$A$2:$C$5,3,FALSE()),""))</f>
        <v>Military Zone</v>
      </c>
      <c r="E644" s="20" t="s">
        <v>111</v>
      </c>
      <c r="F644" s="22">
        <v>35534</v>
      </c>
      <c r="G644" s="19" t="s">
        <v>112</v>
      </c>
      <c r="H644" s="19" t="s">
        <v>834</v>
      </c>
      <c r="I644" s="19" t="s">
        <v>8</v>
      </c>
      <c r="J644" s="19" t="s">
        <v>114</v>
      </c>
      <c r="K644" s="19" t="s">
        <v>114</v>
      </c>
      <c r="L644" s="19" t="s">
        <v>151</v>
      </c>
      <c r="M644" s="20" t="s">
        <v>116</v>
      </c>
      <c r="P644" s="20" t="s">
        <v>117</v>
      </c>
    </row>
    <row r="645" spans="1:16" x14ac:dyDescent="0.3">
      <c r="A645" s="19">
        <f t="shared" si="10"/>
        <v>644</v>
      </c>
      <c r="B645" s="20" t="s">
        <v>87</v>
      </c>
      <c r="C645" s="20" t="s">
        <v>97</v>
      </c>
      <c r="D645" s="21" t="str">
        <f>IF($C645="","",IFERROR(VLOOKUP($C645,Map_Register!$A$2:$C$5,3,FALSE()),""))</f>
        <v>Military Zone</v>
      </c>
      <c r="E645" s="20" t="s">
        <v>111</v>
      </c>
      <c r="F645" s="22">
        <v>35535</v>
      </c>
      <c r="G645" s="19" t="s">
        <v>112</v>
      </c>
      <c r="H645" s="19" t="s">
        <v>835</v>
      </c>
      <c r="I645" s="19" t="s">
        <v>6</v>
      </c>
      <c r="J645" s="19"/>
      <c r="K645" s="19"/>
      <c r="L645" s="19" t="s">
        <v>227</v>
      </c>
      <c r="P645" s="20" t="s">
        <v>117</v>
      </c>
    </row>
    <row r="646" spans="1:16" x14ac:dyDescent="0.3">
      <c r="A646" s="19">
        <f t="shared" si="10"/>
        <v>645</v>
      </c>
      <c r="B646" s="20" t="s">
        <v>87</v>
      </c>
      <c r="C646" s="20" t="s">
        <v>97</v>
      </c>
      <c r="D646" s="21" t="str">
        <f>IF($C646="","",IFERROR(VLOOKUP($C646,Map_Register!$A$2:$C$5,3,FALSE()),""))</f>
        <v>Military Zone</v>
      </c>
      <c r="E646" s="20" t="s">
        <v>111</v>
      </c>
      <c r="F646" s="22">
        <v>35536</v>
      </c>
      <c r="G646" s="19" t="s">
        <v>112</v>
      </c>
      <c r="H646" s="19" t="s">
        <v>836</v>
      </c>
      <c r="I646" s="19" t="s">
        <v>6</v>
      </c>
      <c r="J646" s="19"/>
      <c r="K646" s="19"/>
      <c r="L646" s="19" t="s">
        <v>225</v>
      </c>
      <c r="P646" s="20" t="s">
        <v>117</v>
      </c>
    </row>
    <row r="647" spans="1:16" x14ac:dyDescent="0.3">
      <c r="A647" s="19">
        <f t="shared" si="10"/>
        <v>646</v>
      </c>
      <c r="B647" s="20" t="s">
        <v>87</v>
      </c>
      <c r="C647" s="20" t="s">
        <v>97</v>
      </c>
      <c r="D647" s="21" t="str">
        <f>IF($C647="","",IFERROR(VLOOKUP($C647,Map_Register!$A$2:$C$5,3,FALSE()),""))</f>
        <v>Military Zone</v>
      </c>
      <c r="E647" s="20" t="s">
        <v>111</v>
      </c>
      <c r="F647" s="22">
        <v>35537</v>
      </c>
      <c r="G647" s="19" t="s">
        <v>112</v>
      </c>
      <c r="H647" s="19" t="s">
        <v>837</v>
      </c>
      <c r="I647" s="19" t="s">
        <v>8</v>
      </c>
      <c r="J647" s="19" t="s">
        <v>114</v>
      </c>
      <c r="K647" t="s">
        <v>114</v>
      </c>
      <c r="L647" s="19" t="s">
        <v>165</v>
      </c>
      <c r="M647" s="20" t="s">
        <v>116</v>
      </c>
      <c r="P647" s="20" t="s">
        <v>117</v>
      </c>
    </row>
    <row r="648" spans="1:16" x14ac:dyDescent="0.3">
      <c r="A648" s="19">
        <f t="shared" si="10"/>
        <v>647</v>
      </c>
      <c r="B648" s="20" t="s">
        <v>87</v>
      </c>
      <c r="C648" s="20" t="s">
        <v>97</v>
      </c>
      <c r="D648" s="21" t="str">
        <f>IF($C648="","",IFERROR(VLOOKUP($C648,Map_Register!$A$2:$C$5,3,FALSE()),""))</f>
        <v>Military Zone</v>
      </c>
      <c r="E648" s="20" t="s">
        <v>111</v>
      </c>
      <c r="F648" s="22">
        <v>35538</v>
      </c>
      <c r="G648" s="19" t="s">
        <v>112</v>
      </c>
      <c r="H648" s="19" t="s">
        <v>838</v>
      </c>
      <c r="I648" s="19" t="s">
        <v>8</v>
      </c>
      <c r="J648" s="19" t="s">
        <v>114</v>
      </c>
      <c r="K648" s="19" t="s">
        <v>114</v>
      </c>
      <c r="L648" s="19" t="s">
        <v>151</v>
      </c>
      <c r="M648" s="20" t="s">
        <v>116</v>
      </c>
      <c r="P648" s="20" t="s">
        <v>117</v>
      </c>
    </row>
    <row r="649" spans="1:16" x14ac:dyDescent="0.3">
      <c r="A649" s="19">
        <f t="shared" si="10"/>
        <v>648</v>
      </c>
      <c r="B649" s="20" t="s">
        <v>87</v>
      </c>
      <c r="C649" s="20" t="s">
        <v>97</v>
      </c>
      <c r="D649" s="21" t="str">
        <f>IF($C649="","",IFERROR(VLOOKUP($C649,Map_Register!$A$2:$C$5,3,FALSE()),""))</f>
        <v>Military Zone</v>
      </c>
      <c r="E649" s="20" t="s">
        <v>111</v>
      </c>
      <c r="F649" s="22">
        <v>38064</v>
      </c>
      <c r="G649" s="19" t="s">
        <v>112</v>
      </c>
      <c r="H649" s="19" t="s">
        <v>839</v>
      </c>
      <c r="I649" s="19" t="s">
        <v>8</v>
      </c>
      <c r="J649" s="19" t="s">
        <v>114</v>
      </c>
      <c r="K649" s="19" t="s">
        <v>114</v>
      </c>
      <c r="L649" s="19" t="s">
        <v>151</v>
      </c>
      <c r="M649" s="20" t="s">
        <v>116</v>
      </c>
      <c r="P649" s="20" t="s">
        <v>117</v>
      </c>
    </row>
    <row r="650" spans="1:16" x14ac:dyDescent="0.3">
      <c r="A650" s="19">
        <f t="shared" si="10"/>
        <v>649</v>
      </c>
      <c r="B650" s="20" t="s">
        <v>87</v>
      </c>
      <c r="C650" s="20" t="s">
        <v>97</v>
      </c>
      <c r="D650" s="21" t="str">
        <f>IF($C650="","",IFERROR(VLOOKUP($C650,Map_Register!$A$2:$C$5,3,FALSE()),""))</f>
        <v>Military Zone</v>
      </c>
      <c r="E650" s="20" t="s">
        <v>111</v>
      </c>
      <c r="F650" s="22">
        <v>38065</v>
      </c>
      <c r="G650" s="19" t="s">
        <v>112</v>
      </c>
      <c r="H650" s="19" t="s">
        <v>840</v>
      </c>
      <c r="I650" s="19" t="s">
        <v>8</v>
      </c>
      <c r="J650" s="19" t="s">
        <v>114</v>
      </c>
      <c r="K650" s="19" t="s">
        <v>114</v>
      </c>
      <c r="L650" s="19" t="s">
        <v>151</v>
      </c>
      <c r="M650" s="20" t="s">
        <v>116</v>
      </c>
      <c r="P650" s="20" t="s">
        <v>117</v>
      </c>
    </row>
    <row r="651" spans="1:16" x14ac:dyDescent="0.3">
      <c r="A651" s="19">
        <f t="shared" si="10"/>
        <v>650</v>
      </c>
      <c r="B651" s="20" t="s">
        <v>87</v>
      </c>
      <c r="C651" s="20" t="s">
        <v>97</v>
      </c>
      <c r="D651" s="21" t="str">
        <f>IF($C651="","",IFERROR(VLOOKUP($C651,Map_Register!$A$2:$C$5,3,FALSE()),""))</f>
        <v>Military Zone</v>
      </c>
      <c r="E651" s="20" t="s">
        <v>111</v>
      </c>
      <c r="F651" s="22">
        <v>38066</v>
      </c>
      <c r="G651" s="19" t="s">
        <v>112</v>
      </c>
      <c r="H651" s="19" t="s">
        <v>841</v>
      </c>
      <c r="I651" s="19" t="s">
        <v>8</v>
      </c>
      <c r="J651" s="19" t="s">
        <v>114</v>
      </c>
      <c r="K651" s="19" t="s">
        <v>114</v>
      </c>
      <c r="L651" s="19" t="s">
        <v>151</v>
      </c>
      <c r="M651" s="20" t="s">
        <v>116</v>
      </c>
      <c r="P651" s="20" t="s">
        <v>117</v>
      </c>
    </row>
    <row r="652" spans="1:16" x14ac:dyDescent="0.3">
      <c r="A652" s="19">
        <f t="shared" si="10"/>
        <v>651</v>
      </c>
      <c r="B652" s="20" t="s">
        <v>87</v>
      </c>
      <c r="C652" s="20" t="s">
        <v>97</v>
      </c>
      <c r="D652" s="21" t="str">
        <f>IF($C652="","",IFERROR(VLOOKUP($C652,Map_Register!$A$2:$C$5,3,FALSE()),""))</f>
        <v>Military Zone</v>
      </c>
      <c r="E652" s="20" t="s">
        <v>111</v>
      </c>
      <c r="F652" s="22">
        <v>38067</v>
      </c>
      <c r="G652" s="19" t="s">
        <v>112</v>
      </c>
      <c r="H652" s="19" t="s">
        <v>842</v>
      </c>
      <c r="I652" s="19" t="s">
        <v>8</v>
      </c>
      <c r="J652" s="19" t="s">
        <v>114</v>
      </c>
      <c r="K652" s="19" t="s">
        <v>114</v>
      </c>
      <c r="L652" s="19" t="s">
        <v>843</v>
      </c>
      <c r="M652" s="20" t="s">
        <v>116</v>
      </c>
      <c r="P652" s="20" t="s">
        <v>117</v>
      </c>
    </row>
    <row r="653" spans="1:16" x14ac:dyDescent="0.3">
      <c r="A653" s="19">
        <f t="shared" si="10"/>
        <v>652</v>
      </c>
      <c r="B653" s="20" t="s">
        <v>87</v>
      </c>
      <c r="C653" s="20" t="s">
        <v>97</v>
      </c>
      <c r="D653" s="21" t="str">
        <f>IF($C653="","",IFERROR(VLOOKUP($C653,Map_Register!$A$2:$C$5,3,FALSE()),""))</f>
        <v>Military Zone</v>
      </c>
      <c r="E653" s="20" t="s">
        <v>111</v>
      </c>
      <c r="F653" s="22">
        <v>38099</v>
      </c>
      <c r="G653" s="19" t="s">
        <v>112</v>
      </c>
      <c r="H653" s="19" t="s">
        <v>844</v>
      </c>
      <c r="I653" s="19" t="s">
        <v>6</v>
      </c>
      <c r="J653" s="19"/>
      <c r="K653" s="19"/>
      <c r="L653" s="19" t="s">
        <v>225</v>
      </c>
      <c r="P653" s="20" t="s">
        <v>117</v>
      </c>
    </row>
    <row r="654" spans="1:16" x14ac:dyDescent="0.3">
      <c r="A654" s="19">
        <f t="shared" si="10"/>
        <v>653</v>
      </c>
      <c r="B654" s="20" t="s">
        <v>87</v>
      </c>
      <c r="C654" s="20" t="s">
        <v>97</v>
      </c>
      <c r="D654" s="21" t="str">
        <f>IF($C654="","",IFERROR(VLOOKUP($C654,Map_Register!$A$2:$C$5,3,FALSE()),""))</f>
        <v>Military Zone</v>
      </c>
      <c r="E654" s="20" t="s">
        <v>111</v>
      </c>
      <c r="F654" s="22">
        <v>38100</v>
      </c>
      <c r="G654" s="19" t="s">
        <v>112</v>
      </c>
      <c r="H654" s="19" t="s">
        <v>845</v>
      </c>
      <c r="I654" s="19" t="s">
        <v>6</v>
      </c>
      <c r="J654" s="19"/>
      <c r="K654" s="19"/>
      <c r="L654" s="19" t="s">
        <v>225</v>
      </c>
      <c r="P654" s="20" t="s">
        <v>117</v>
      </c>
    </row>
    <row r="655" spans="1:16" x14ac:dyDescent="0.3">
      <c r="A655" s="19">
        <f t="shared" si="10"/>
        <v>654</v>
      </c>
      <c r="B655" s="20" t="s">
        <v>87</v>
      </c>
      <c r="C655" s="20" t="s">
        <v>97</v>
      </c>
      <c r="D655" s="21" t="str">
        <f>IF($C655="","",IFERROR(VLOOKUP($C655,Map_Register!$A$2:$C$5,3,FALSE()),""))</f>
        <v>Military Zone</v>
      </c>
      <c r="E655" s="20" t="s">
        <v>111</v>
      </c>
      <c r="F655" s="22">
        <v>38101</v>
      </c>
      <c r="G655" s="19" t="s">
        <v>112</v>
      </c>
      <c r="H655" s="19" t="s">
        <v>846</v>
      </c>
      <c r="I655" s="19" t="s">
        <v>6</v>
      </c>
      <c r="J655" s="19"/>
      <c r="K655" s="19"/>
      <c r="L655" s="19" t="s">
        <v>133</v>
      </c>
      <c r="P655" s="20" t="s">
        <v>117</v>
      </c>
    </row>
    <row r="656" spans="1:16" x14ac:dyDescent="0.3">
      <c r="A656" s="19">
        <f t="shared" si="10"/>
        <v>655</v>
      </c>
      <c r="B656" s="20" t="s">
        <v>87</v>
      </c>
      <c r="C656" s="20" t="s">
        <v>97</v>
      </c>
      <c r="D656" s="21" t="str">
        <f>IF($C656="","",IFERROR(VLOOKUP($C656,Map_Register!$A$2:$C$5,3,FALSE()),""))</f>
        <v>Military Zone</v>
      </c>
      <c r="E656" s="20" t="s">
        <v>111</v>
      </c>
      <c r="F656" s="22">
        <v>38102</v>
      </c>
      <c r="G656" s="19" t="s">
        <v>112</v>
      </c>
      <c r="H656" s="19" t="s">
        <v>847</v>
      </c>
      <c r="I656" s="19" t="s">
        <v>6</v>
      </c>
      <c r="J656" s="19"/>
      <c r="K656" s="19"/>
      <c r="L656" s="19" t="s">
        <v>830</v>
      </c>
      <c r="P656" s="20" t="s">
        <v>117</v>
      </c>
    </row>
    <row r="657" spans="1:16" x14ac:dyDescent="0.3">
      <c r="A657" s="19">
        <f t="shared" si="10"/>
        <v>656</v>
      </c>
      <c r="B657" s="20" t="s">
        <v>87</v>
      </c>
      <c r="C657" s="20" t="s">
        <v>97</v>
      </c>
      <c r="D657" s="21" t="str">
        <f>IF($C657="","",IFERROR(VLOOKUP($C657,Map_Register!$A$2:$C$5,3,FALSE()),""))</f>
        <v>Military Zone</v>
      </c>
      <c r="E657" s="20" t="s">
        <v>111</v>
      </c>
      <c r="F657" s="22">
        <v>38103</v>
      </c>
      <c r="G657" s="19" t="s">
        <v>112</v>
      </c>
      <c r="H657" s="19" t="s">
        <v>848</v>
      </c>
      <c r="I657" s="19" t="s">
        <v>6</v>
      </c>
      <c r="J657" s="19"/>
      <c r="K657" s="19"/>
      <c r="L657" s="19" t="s">
        <v>700</v>
      </c>
      <c r="P657" s="20" t="s">
        <v>117</v>
      </c>
    </row>
    <row r="658" spans="1:16" x14ac:dyDescent="0.3">
      <c r="A658" s="19">
        <f t="shared" si="10"/>
        <v>657</v>
      </c>
      <c r="B658" s="20" t="s">
        <v>87</v>
      </c>
      <c r="C658" s="20" t="s">
        <v>97</v>
      </c>
      <c r="D658" s="21" t="str">
        <f>IF($C658="","",IFERROR(VLOOKUP($C658,Map_Register!$A$2:$C$5,3,FALSE()),""))</f>
        <v>Military Zone</v>
      </c>
      <c r="E658" s="20" t="s">
        <v>111</v>
      </c>
      <c r="F658" s="22">
        <v>38104</v>
      </c>
      <c r="G658" s="19" t="s">
        <v>112</v>
      </c>
      <c r="H658" s="19" t="s">
        <v>849</v>
      </c>
      <c r="I658" s="19" t="s">
        <v>6</v>
      </c>
      <c r="J658" s="19"/>
      <c r="K658" s="19"/>
      <c r="L658" s="19" t="s">
        <v>225</v>
      </c>
      <c r="P658" s="20" t="s">
        <v>117</v>
      </c>
    </row>
    <row r="659" spans="1:16" x14ac:dyDescent="0.3">
      <c r="A659" s="19">
        <f t="shared" si="10"/>
        <v>658</v>
      </c>
      <c r="B659" s="20" t="s">
        <v>87</v>
      </c>
      <c r="C659" s="20" t="s">
        <v>97</v>
      </c>
      <c r="D659" s="21" t="str">
        <f>IF($C659="","",IFERROR(VLOOKUP($C659,Map_Register!$A$2:$C$5,3,FALSE()),""))</f>
        <v>Military Zone</v>
      </c>
      <c r="E659" s="20" t="s">
        <v>111</v>
      </c>
      <c r="F659" s="22">
        <v>38105</v>
      </c>
      <c r="G659" s="19" t="s">
        <v>112</v>
      </c>
      <c r="H659" s="19" t="s">
        <v>850</v>
      </c>
      <c r="I659" s="19" t="s">
        <v>6</v>
      </c>
      <c r="J659" s="19"/>
      <c r="K659" s="19"/>
      <c r="L659" s="19" t="s">
        <v>225</v>
      </c>
      <c r="P659" s="20" t="s">
        <v>117</v>
      </c>
    </row>
    <row r="660" spans="1:16" x14ac:dyDescent="0.3">
      <c r="A660" s="19">
        <f t="shared" si="10"/>
        <v>659</v>
      </c>
      <c r="B660" s="20" t="s">
        <v>87</v>
      </c>
      <c r="C660" s="20" t="s">
        <v>97</v>
      </c>
      <c r="D660" s="21" t="str">
        <f>IF($C660="","",IFERROR(VLOOKUP($C660,Map_Register!$A$2:$C$5,3,FALSE()),""))</f>
        <v>Military Zone</v>
      </c>
      <c r="E660" s="20" t="s">
        <v>111</v>
      </c>
      <c r="F660" s="22">
        <v>38109</v>
      </c>
      <c r="G660" s="19" t="s">
        <v>112</v>
      </c>
      <c r="H660" s="19" t="s">
        <v>851</v>
      </c>
      <c r="I660" s="19" t="s">
        <v>8</v>
      </c>
      <c r="J660" s="19" t="s">
        <v>114</v>
      </c>
      <c r="K660" t="s">
        <v>114</v>
      </c>
      <c r="L660" s="19" t="s">
        <v>165</v>
      </c>
      <c r="M660" s="20" t="s">
        <v>116</v>
      </c>
      <c r="P660" s="20" t="s">
        <v>117</v>
      </c>
    </row>
    <row r="661" spans="1:16" x14ac:dyDescent="0.3">
      <c r="A661" s="19">
        <f t="shared" si="10"/>
        <v>660</v>
      </c>
      <c r="B661" s="20" t="s">
        <v>87</v>
      </c>
      <c r="C661" s="20" t="s">
        <v>97</v>
      </c>
      <c r="D661" s="21" t="str">
        <f>IF($C661="","",IFERROR(VLOOKUP($C661,Map_Register!$A$2:$C$5,3,FALSE()),""))</f>
        <v>Military Zone</v>
      </c>
      <c r="E661" s="20" t="s">
        <v>111</v>
      </c>
      <c r="F661" s="22">
        <v>39159</v>
      </c>
      <c r="G661" s="19" t="s">
        <v>112</v>
      </c>
      <c r="H661" s="19" t="s">
        <v>852</v>
      </c>
      <c r="I661" s="19" t="s">
        <v>8</v>
      </c>
      <c r="J661" s="19" t="s">
        <v>114</v>
      </c>
      <c r="K661" s="19" t="s">
        <v>114</v>
      </c>
      <c r="L661" s="19" t="s">
        <v>151</v>
      </c>
      <c r="M661" s="20" t="s">
        <v>116</v>
      </c>
      <c r="P661" s="20" t="s">
        <v>117</v>
      </c>
    </row>
    <row r="662" spans="1:16" x14ac:dyDescent="0.3">
      <c r="A662" s="19">
        <f t="shared" si="10"/>
        <v>661</v>
      </c>
      <c r="B662" s="20" t="s">
        <v>87</v>
      </c>
      <c r="C662" s="20" t="s">
        <v>97</v>
      </c>
      <c r="D662" s="21" t="str">
        <f>IF($C662="","",IFERROR(VLOOKUP($C662,Map_Register!$A$2:$C$5,3,FALSE()),""))</f>
        <v>Military Zone</v>
      </c>
      <c r="E662" s="20" t="s">
        <v>111</v>
      </c>
      <c r="F662" s="22">
        <v>39160</v>
      </c>
      <c r="G662" s="19" t="s">
        <v>112</v>
      </c>
      <c r="H662" s="19" t="s">
        <v>853</v>
      </c>
      <c r="I662" s="19" t="s">
        <v>8</v>
      </c>
      <c r="J662" s="19" t="s">
        <v>114</v>
      </c>
      <c r="K662" s="19" t="s">
        <v>114</v>
      </c>
      <c r="L662" s="19" t="s">
        <v>151</v>
      </c>
      <c r="M662" s="20" t="s">
        <v>116</v>
      </c>
      <c r="P662" s="20" t="s">
        <v>117</v>
      </c>
    </row>
    <row r="663" spans="1:16" x14ac:dyDescent="0.3">
      <c r="A663" s="19">
        <f t="shared" si="10"/>
        <v>662</v>
      </c>
      <c r="B663" s="20" t="s">
        <v>87</v>
      </c>
      <c r="C663" s="20" t="s">
        <v>97</v>
      </c>
      <c r="D663" s="21" t="str">
        <f>IF($C663="","",IFERROR(VLOOKUP($C663,Map_Register!$A$2:$C$5,3,FALSE()),""))</f>
        <v>Military Zone</v>
      </c>
      <c r="E663" s="20" t="s">
        <v>111</v>
      </c>
      <c r="F663" s="22">
        <v>39235</v>
      </c>
      <c r="G663" s="19" t="s">
        <v>112</v>
      </c>
      <c r="H663" s="19" t="s">
        <v>854</v>
      </c>
      <c r="I663" s="19" t="s">
        <v>6</v>
      </c>
      <c r="J663" s="19"/>
      <c r="K663" s="19"/>
      <c r="L663" s="19" t="s">
        <v>700</v>
      </c>
      <c r="P663" s="20" t="s">
        <v>117</v>
      </c>
    </row>
    <row r="664" spans="1:16" x14ac:dyDescent="0.3">
      <c r="A664" s="19">
        <f t="shared" si="10"/>
        <v>663</v>
      </c>
      <c r="B664" s="20" t="s">
        <v>87</v>
      </c>
      <c r="C664" s="20" t="s">
        <v>97</v>
      </c>
      <c r="D664" s="21" t="str">
        <f>IF($C664="","",IFERROR(VLOOKUP($C664,Map_Register!$A$2:$C$5,3,FALSE()),""))</f>
        <v>Military Zone</v>
      </c>
      <c r="E664" s="20" t="s">
        <v>111</v>
      </c>
      <c r="F664" s="22">
        <v>39236</v>
      </c>
      <c r="G664" s="19" t="s">
        <v>112</v>
      </c>
      <c r="H664" s="19" t="s">
        <v>855</v>
      </c>
      <c r="I664" s="19" t="s">
        <v>6</v>
      </c>
      <c r="J664" s="19"/>
      <c r="K664" s="19"/>
      <c r="L664" s="19" t="s">
        <v>225</v>
      </c>
      <c r="P664" s="20" t="s">
        <v>117</v>
      </c>
    </row>
    <row r="665" spans="1:16" x14ac:dyDescent="0.3">
      <c r="A665" s="19">
        <f t="shared" si="10"/>
        <v>664</v>
      </c>
      <c r="B665" s="20" t="s">
        <v>87</v>
      </c>
      <c r="C665" s="20" t="s">
        <v>97</v>
      </c>
      <c r="D665" s="21" t="str">
        <f>IF($C665="","",IFERROR(VLOOKUP($C665,Map_Register!$A$2:$C$5,3,FALSE()),""))</f>
        <v>Military Zone</v>
      </c>
      <c r="E665" s="20" t="s">
        <v>111</v>
      </c>
      <c r="F665" s="22">
        <v>39237</v>
      </c>
      <c r="G665" s="19" t="s">
        <v>112</v>
      </c>
      <c r="H665" s="19" t="s">
        <v>856</v>
      </c>
      <c r="I665" s="19" t="s">
        <v>8</v>
      </c>
      <c r="J665" s="19" t="s">
        <v>114</v>
      </c>
      <c r="K665" t="s">
        <v>114</v>
      </c>
      <c r="L665" s="19" t="s">
        <v>154</v>
      </c>
      <c r="M665" s="20" t="s">
        <v>116</v>
      </c>
      <c r="P665" s="20" t="s">
        <v>117</v>
      </c>
    </row>
    <row r="666" spans="1:16" x14ac:dyDescent="0.3">
      <c r="A666" s="19">
        <f t="shared" si="10"/>
        <v>665</v>
      </c>
      <c r="B666" s="20" t="s">
        <v>87</v>
      </c>
      <c r="C666" s="20" t="s">
        <v>97</v>
      </c>
      <c r="D666" s="21" t="str">
        <f>IF($C666="","",IFERROR(VLOOKUP($C666,Map_Register!$A$2:$C$5,3,FALSE()),""))</f>
        <v>Military Zone</v>
      </c>
      <c r="E666" s="20" t="s">
        <v>111</v>
      </c>
      <c r="F666" s="22">
        <v>39240</v>
      </c>
      <c r="G666" s="19" t="s">
        <v>112</v>
      </c>
      <c r="H666" s="19" t="s">
        <v>857</v>
      </c>
      <c r="I666" s="19" t="s">
        <v>8</v>
      </c>
      <c r="J666" s="19" t="s">
        <v>114</v>
      </c>
      <c r="K666" s="19" t="s">
        <v>114</v>
      </c>
      <c r="L666" s="19" t="s">
        <v>151</v>
      </c>
      <c r="M666" s="20" t="s">
        <v>116</v>
      </c>
      <c r="P666" s="20" t="s">
        <v>117</v>
      </c>
    </row>
    <row r="667" spans="1:16" x14ac:dyDescent="0.3">
      <c r="A667" s="19">
        <f t="shared" si="10"/>
        <v>666</v>
      </c>
      <c r="B667" s="20" t="s">
        <v>87</v>
      </c>
      <c r="C667" s="20" t="s">
        <v>97</v>
      </c>
      <c r="D667" s="21" t="str">
        <f>IF($C667="","",IFERROR(VLOOKUP($C667,Map_Register!$A$2:$C$5,3,FALSE()),""))</f>
        <v>Military Zone</v>
      </c>
      <c r="E667" s="20" t="s">
        <v>111</v>
      </c>
      <c r="F667" s="22">
        <v>39241</v>
      </c>
      <c r="G667" s="19" t="s">
        <v>112</v>
      </c>
      <c r="H667" s="19" t="s">
        <v>858</v>
      </c>
      <c r="I667" s="19" t="s">
        <v>8</v>
      </c>
      <c r="J667" s="19" t="s">
        <v>114</v>
      </c>
      <c r="K667" s="19" t="s">
        <v>114</v>
      </c>
      <c r="L667" s="19" t="s">
        <v>151</v>
      </c>
      <c r="M667" s="20" t="s">
        <v>116</v>
      </c>
      <c r="P667" s="20" t="s">
        <v>117</v>
      </c>
    </row>
    <row r="668" spans="1:16" x14ac:dyDescent="0.3">
      <c r="A668" s="19">
        <f t="shared" si="10"/>
        <v>667</v>
      </c>
      <c r="B668" s="20" t="s">
        <v>87</v>
      </c>
      <c r="C668" s="20" t="s">
        <v>97</v>
      </c>
      <c r="D668" s="21" t="str">
        <f>IF($C668="","",IFERROR(VLOOKUP($C668,Map_Register!$A$2:$C$5,3,FALSE()),""))</f>
        <v>Military Zone</v>
      </c>
      <c r="E668" s="20" t="s">
        <v>111</v>
      </c>
      <c r="F668" s="22">
        <v>39246</v>
      </c>
      <c r="G668" s="19" t="s">
        <v>112</v>
      </c>
      <c r="H668" s="19" t="s">
        <v>859</v>
      </c>
      <c r="I668" s="19" t="s">
        <v>6</v>
      </c>
      <c r="J668" s="19"/>
      <c r="K668" s="19"/>
      <c r="L668" s="19" t="s">
        <v>782</v>
      </c>
      <c r="P668" s="20" t="s">
        <v>117</v>
      </c>
    </row>
    <row r="669" spans="1:16" x14ac:dyDescent="0.3">
      <c r="A669" s="19">
        <f t="shared" si="10"/>
        <v>668</v>
      </c>
      <c r="B669" s="20" t="s">
        <v>87</v>
      </c>
      <c r="C669" s="20" t="s">
        <v>97</v>
      </c>
      <c r="D669" s="21" t="str">
        <f>IF($C669="","",IFERROR(VLOOKUP($C669,Map_Register!$A$2:$C$5,3,FALSE()),""))</f>
        <v>Military Zone</v>
      </c>
      <c r="E669" s="20" t="s">
        <v>111</v>
      </c>
      <c r="F669" s="22">
        <v>39247</v>
      </c>
      <c r="G669" s="19" t="s">
        <v>112</v>
      </c>
      <c r="H669" s="19" t="s">
        <v>860</v>
      </c>
      <c r="I669" s="19" t="s">
        <v>6</v>
      </c>
      <c r="J669" s="19"/>
      <c r="K669" s="19"/>
      <c r="L669" s="19" t="s">
        <v>225</v>
      </c>
      <c r="P669" s="20" t="s">
        <v>117</v>
      </c>
    </row>
    <row r="670" spans="1:16" x14ac:dyDescent="0.3">
      <c r="A670" s="19">
        <f t="shared" si="10"/>
        <v>669</v>
      </c>
      <c r="B670" s="20" t="s">
        <v>87</v>
      </c>
      <c r="C670" s="20" t="s">
        <v>97</v>
      </c>
      <c r="D670" s="21" t="str">
        <f>IF($C670="","",IFERROR(VLOOKUP($C670,Map_Register!$A$2:$C$5,3,FALSE()),""))</f>
        <v>Military Zone</v>
      </c>
      <c r="E670" s="20" t="s">
        <v>111</v>
      </c>
      <c r="F670" s="22">
        <v>39248</v>
      </c>
      <c r="G670" s="19" t="s">
        <v>112</v>
      </c>
      <c r="H670" s="19" t="s">
        <v>861</v>
      </c>
      <c r="I670" s="19" t="s">
        <v>6</v>
      </c>
      <c r="J670" s="19"/>
      <c r="K670" s="19"/>
      <c r="L670" s="19" t="s">
        <v>225</v>
      </c>
      <c r="P670" s="20" t="s">
        <v>117</v>
      </c>
    </row>
    <row r="671" spans="1:16" x14ac:dyDescent="0.3">
      <c r="A671" s="19">
        <f t="shared" si="10"/>
        <v>670</v>
      </c>
      <c r="B671" s="20" t="s">
        <v>87</v>
      </c>
      <c r="C671" s="20" t="s">
        <v>97</v>
      </c>
      <c r="D671" s="21" t="str">
        <f>IF($C671="","",IFERROR(VLOOKUP($C671,Map_Register!$A$2:$C$5,3,FALSE()),""))</f>
        <v>Military Zone</v>
      </c>
      <c r="E671" s="20" t="s">
        <v>111</v>
      </c>
      <c r="F671" s="22">
        <v>39249</v>
      </c>
      <c r="G671" s="19" t="s">
        <v>112</v>
      </c>
      <c r="H671" s="19" t="s">
        <v>862</v>
      </c>
      <c r="I671" s="19" t="s">
        <v>6</v>
      </c>
      <c r="J671" s="19"/>
      <c r="K671" s="19"/>
      <c r="L671" s="19" t="s">
        <v>225</v>
      </c>
      <c r="P671" s="20" t="s">
        <v>117</v>
      </c>
    </row>
    <row r="672" spans="1:16" x14ac:dyDescent="0.3">
      <c r="A672" s="19">
        <f t="shared" si="10"/>
        <v>671</v>
      </c>
      <c r="B672" s="20" t="s">
        <v>87</v>
      </c>
      <c r="C672" s="20" t="s">
        <v>97</v>
      </c>
      <c r="D672" s="21" t="str">
        <f>IF($C672="","",IFERROR(VLOOKUP($C672,Map_Register!$A$2:$C$5,3,FALSE()),""))</f>
        <v>Military Zone</v>
      </c>
      <c r="E672" s="20" t="s">
        <v>111</v>
      </c>
      <c r="F672" s="22">
        <v>39250</v>
      </c>
      <c r="G672" s="19" t="s">
        <v>112</v>
      </c>
      <c r="H672" s="19" t="s">
        <v>863</v>
      </c>
      <c r="I672" s="19" t="s">
        <v>6</v>
      </c>
      <c r="J672" s="19"/>
      <c r="K672" s="19"/>
      <c r="L672" s="19" t="s">
        <v>225</v>
      </c>
      <c r="P672" s="20" t="s">
        <v>117</v>
      </c>
    </row>
    <row r="673" spans="1:16" x14ac:dyDescent="0.3">
      <c r="A673" s="19">
        <f t="shared" si="10"/>
        <v>672</v>
      </c>
      <c r="B673" s="20" t="s">
        <v>87</v>
      </c>
      <c r="C673" s="20" t="s">
        <v>97</v>
      </c>
      <c r="D673" s="21" t="str">
        <f>IF($C673="","",IFERROR(VLOOKUP($C673,Map_Register!$A$2:$C$5,3,FALSE()),""))</f>
        <v>Military Zone</v>
      </c>
      <c r="E673" s="20" t="s">
        <v>111</v>
      </c>
      <c r="F673" s="22">
        <v>39251</v>
      </c>
      <c r="G673" s="19" t="s">
        <v>112</v>
      </c>
      <c r="H673" s="19" t="s">
        <v>864</v>
      </c>
      <c r="I673" s="19" t="s">
        <v>6</v>
      </c>
      <c r="J673" s="19"/>
      <c r="K673" s="19"/>
      <c r="L673" s="19" t="s">
        <v>700</v>
      </c>
      <c r="P673" s="20" t="s">
        <v>117</v>
      </c>
    </row>
    <row r="674" spans="1:16" x14ac:dyDescent="0.3">
      <c r="A674" s="19">
        <f t="shared" si="10"/>
        <v>673</v>
      </c>
      <c r="B674" s="20" t="s">
        <v>87</v>
      </c>
      <c r="C674" s="20" t="s">
        <v>97</v>
      </c>
      <c r="D674" s="21" t="str">
        <f>IF($C674="","",IFERROR(VLOOKUP($C674,Map_Register!$A$2:$C$5,3,FALSE()),""))</f>
        <v>Military Zone</v>
      </c>
      <c r="E674" s="20" t="s">
        <v>111</v>
      </c>
      <c r="F674" s="22">
        <v>39252</v>
      </c>
      <c r="G674" s="19" t="s">
        <v>112</v>
      </c>
      <c r="H674" s="19" t="s">
        <v>865</v>
      </c>
      <c r="I674" s="19" t="s">
        <v>6</v>
      </c>
      <c r="J674" s="19"/>
      <c r="K674" s="19"/>
      <c r="L674" s="19" t="s">
        <v>225</v>
      </c>
      <c r="P674" s="20" t="s">
        <v>117</v>
      </c>
    </row>
    <row r="675" spans="1:16" x14ac:dyDescent="0.3">
      <c r="A675" s="19">
        <f t="shared" si="10"/>
        <v>674</v>
      </c>
      <c r="B675" s="20" t="s">
        <v>87</v>
      </c>
      <c r="C675" s="20" t="s">
        <v>97</v>
      </c>
      <c r="D675" s="21" t="str">
        <f>IF($C675="","",IFERROR(VLOOKUP($C675,Map_Register!$A$2:$C$5,3,FALSE()),""))</f>
        <v>Military Zone</v>
      </c>
      <c r="E675" s="20" t="s">
        <v>111</v>
      </c>
      <c r="F675" s="22">
        <v>39255</v>
      </c>
      <c r="G675" s="19" t="s">
        <v>112</v>
      </c>
      <c r="H675" s="19" t="s">
        <v>866</v>
      </c>
      <c r="I675" s="19" t="s">
        <v>8</v>
      </c>
      <c r="J675" s="19" t="s">
        <v>114</v>
      </c>
      <c r="K675" s="19" t="s">
        <v>114</v>
      </c>
      <c r="L675" s="19" t="s">
        <v>766</v>
      </c>
      <c r="M675" s="20" t="s">
        <v>116</v>
      </c>
      <c r="P675" s="20" t="s">
        <v>117</v>
      </c>
    </row>
    <row r="676" spans="1:16" x14ac:dyDescent="0.3">
      <c r="A676" s="19">
        <f t="shared" si="10"/>
        <v>675</v>
      </c>
      <c r="B676" s="20" t="s">
        <v>87</v>
      </c>
      <c r="C676" s="20" t="s">
        <v>102</v>
      </c>
      <c r="D676" s="21" t="str">
        <f>IF($C676="","",IFERROR(VLOOKUP($C676,Map_Register!$A$2:$C$5,3,FALSE()),""))</f>
        <v>Toponym Labels</v>
      </c>
      <c r="E676" s="20" t="s">
        <v>111</v>
      </c>
      <c r="F676" s="22">
        <v>2014</v>
      </c>
      <c r="G676" s="19" t="s">
        <v>112</v>
      </c>
      <c r="H676" s="19" t="s">
        <v>867</v>
      </c>
      <c r="I676" s="19" t="s">
        <v>8</v>
      </c>
      <c r="J676" s="19" t="s">
        <v>114</v>
      </c>
      <c r="K676" s="19" t="s">
        <v>114</v>
      </c>
      <c r="L676" s="19" t="s">
        <v>868</v>
      </c>
      <c r="M676" s="20" t="s">
        <v>116</v>
      </c>
      <c r="P676" s="20" t="s">
        <v>117</v>
      </c>
    </row>
    <row r="677" spans="1:16" x14ac:dyDescent="0.3">
      <c r="A677" s="19">
        <f t="shared" si="10"/>
        <v>676</v>
      </c>
      <c r="B677" s="20" t="s">
        <v>87</v>
      </c>
      <c r="C677" s="20" t="s">
        <v>102</v>
      </c>
      <c r="D677" s="21" t="str">
        <f>IF($C677="","",IFERROR(VLOOKUP($C677,Map_Register!$A$2:$C$5,3,FALSE()),""))</f>
        <v>Toponym Labels</v>
      </c>
      <c r="E677" s="20" t="s">
        <v>111</v>
      </c>
      <c r="F677" s="22">
        <v>2015</v>
      </c>
      <c r="G677" s="19" t="s">
        <v>112</v>
      </c>
      <c r="H677" s="19" t="s">
        <v>869</v>
      </c>
      <c r="I677" s="19" t="s">
        <v>8</v>
      </c>
      <c r="J677" s="19" t="s">
        <v>114</v>
      </c>
      <c r="K677" s="19" t="s">
        <v>114</v>
      </c>
      <c r="L677" s="19" t="s">
        <v>868</v>
      </c>
      <c r="M677" s="20" t="s">
        <v>116</v>
      </c>
      <c r="P677" s="20" t="s">
        <v>117</v>
      </c>
    </row>
    <row r="678" spans="1:16" x14ac:dyDescent="0.3">
      <c r="A678" s="19">
        <f t="shared" si="10"/>
        <v>677</v>
      </c>
      <c r="B678" s="20" t="s">
        <v>87</v>
      </c>
      <c r="C678" s="20" t="s">
        <v>102</v>
      </c>
      <c r="D678" s="21" t="str">
        <f>IF($C678="","",IFERROR(VLOOKUP($C678,Map_Register!$A$2:$C$5,3,FALSE()),""))</f>
        <v>Toponym Labels</v>
      </c>
      <c r="E678" s="20" t="s">
        <v>111</v>
      </c>
      <c r="F678" s="22">
        <v>2017</v>
      </c>
      <c r="G678" s="19" t="s">
        <v>112</v>
      </c>
      <c r="H678" s="19" t="s">
        <v>870</v>
      </c>
      <c r="I678" s="19" t="s">
        <v>6</v>
      </c>
      <c r="J678" s="19"/>
      <c r="K678" s="19"/>
      <c r="L678" s="19" t="s">
        <v>398</v>
      </c>
      <c r="P678" s="20" t="s">
        <v>117</v>
      </c>
    </row>
    <row r="679" spans="1:16" x14ac:dyDescent="0.3">
      <c r="A679" s="19">
        <f t="shared" si="10"/>
        <v>678</v>
      </c>
      <c r="B679" s="20" t="s">
        <v>87</v>
      </c>
      <c r="C679" s="20" t="s">
        <v>102</v>
      </c>
      <c r="D679" s="21" t="str">
        <f>IF($C679="","",IFERROR(VLOOKUP($C679,Map_Register!$A$2:$C$5,3,FALSE()),""))</f>
        <v>Toponym Labels</v>
      </c>
      <c r="E679" s="20" t="s">
        <v>111</v>
      </c>
      <c r="F679" s="22">
        <v>2026</v>
      </c>
      <c r="G679" s="19" t="s">
        <v>112</v>
      </c>
      <c r="H679" s="19" t="s">
        <v>871</v>
      </c>
      <c r="I679" s="19" t="s">
        <v>8</v>
      </c>
      <c r="J679" s="19" t="s">
        <v>114</v>
      </c>
      <c r="K679" s="19" t="s">
        <v>114</v>
      </c>
      <c r="L679" s="19" t="s">
        <v>872</v>
      </c>
      <c r="M679" s="20" t="s">
        <v>116</v>
      </c>
      <c r="P679" s="20" t="s">
        <v>117</v>
      </c>
    </row>
    <row r="680" spans="1:16" x14ac:dyDescent="0.3">
      <c r="A680" s="19">
        <f t="shared" si="10"/>
        <v>679</v>
      </c>
      <c r="B680" s="20" t="s">
        <v>87</v>
      </c>
      <c r="C680" s="20" t="s">
        <v>102</v>
      </c>
      <c r="D680" s="21" t="str">
        <f>IF($C680="","",IFERROR(VLOOKUP($C680,Map_Register!$A$2:$C$5,3,FALSE()),""))</f>
        <v>Toponym Labels</v>
      </c>
      <c r="E680" s="20" t="s">
        <v>111</v>
      </c>
      <c r="F680" s="22">
        <v>2031</v>
      </c>
      <c r="G680" s="19" t="s">
        <v>112</v>
      </c>
      <c r="H680" s="19" t="s">
        <v>873</v>
      </c>
      <c r="I680" s="19" t="s">
        <v>8</v>
      </c>
      <c r="J680" s="19" t="s">
        <v>114</v>
      </c>
      <c r="K680" s="19" t="s">
        <v>114</v>
      </c>
      <c r="L680" s="19" t="s">
        <v>874</v>
      </c>
      <c r="M680" s="20" t="s">
        <v>116</v>
      </c>
      <c r="P680" s="20" t="s">
        <v>117</v>
      </c>
    </row>
    <row r="681" spans="1:16" x14ac:dyDescent="0.3">
      <c r="A681" s="19">
        <f t="shared" si="10"/>
        <v>680</v>
      </c>
      <c r="B681" s="20" t="s">
        <v>87</v>
      </c>
      <c r="C681" s="20" t="s">
        <v>102</v>
      </c>
      <c r="D681" s="21" t="str">
        <f>IF($C681="","",IFERROR(VLOOKUP($C681,Map_Register!$A$2:$C$5,3,FALSE()),""))</f>
        <v>Toponym Labels</v>
      </c>
      <c r="E681" s="20" t="s">
        <v>111</v>
      </c>
      <c r="F681" s="22">
        <v>5102</v>
      </c>
      <c r="G681" s="19" t="s">
        <v>112</v>
      </c>
      <c r="H681" s="19" t="s">
        <v>875</v>
      </c>
      <c r="I681" s="19" t="s">
        <v>8</v>
      </c>
      <c r="J681" s="19" t="s">
        <v>114</v>
      </c>
      <c r="K681" s="19" t="s">
        <v>114</v>
      </c>
      <c r="L681" s="19" t="s">
        <v>876</v>
      </c>
      <c r="M681" s="20" t="s">
        <v>116</v>
      </c>
      <c r="P681" s="20" t="s">
        <v>117</v>
      </c>
    </row>
    <row r="682" spans="1:16" x14ac:dyDescent="0.3">
      <c r="A682" s="19">
        <f t="shared" si="10"/>
        <v>681</v>
      </c>
      <c r="B682" s="20" t="s">
        <v>87</v>
      </c>
      <c r="C682" s="20" t="s">
        <v>102</v>
      </c>
      <c r="D682" s="21" t="str">
        <f>IF($C682="","",IFERROR(VLOOKUP($C682,Map_Register!$A$2:$C$5,3,FALSE()),""))</f>
        <v>Toponym Labels</v>
      </c>
      <c r="E682" s="20" t="s">
        <v>111</v>
      </c>
      <c r="F682" s="22">
        <v>5118</v>
      </c>
      <c r="G682" s="19" t="s">
        <v>112</v>
      </c>
      <c r="H682" s="19" t="s">
        <v>877</v>
      </c>
      <c r="I682" s="19" t="s">
        <v>6</v>
      </c>
      <c r="J682" s="19"/>
      <c r="K682" s="19"/>
      <c r="L682" s="19" t="s">
        <v>225</v>
      </c>
      <c r="P682" s="20" t="s">
        <v>117</v>
      </c>
    </row>
    <row r="683" spans="1:16" x14ac:dyDescent="0.3">
      <c r="A683" s="19">
        <f t="shared" si="10"/>
        <v>682</v>
      </c>
      <c r="B683" s="20" t="s">
        <v>87</v>
      </c>
      <c r="C683" s="20" t="s">
        <v>102</v>
      </c>
      <c r="D683" s="21" t="str">
        <f>IF($C683="","",IFERROR(VLOOKUP($C683,Map_Register!$A$2:$C$5,3,FALSE()),""))</f>
        <v>Toponym Labels</v>
      </c>
      <c r="E683" s="20" t="s">
        <v>111</v>
      </c>
      <c r="F683" s="22">
        <v>5165</v>
      </c>
      <c r="G683" s="19" t="s">
        <v>112</v>
      </c>
      <c r="H683" s="19" t="s">
        <v>878</v>
      </c>
      <c r="I683" s="19" t="s">
        <v>8</v>
      </c>
      <c r="J683" s="19" t="s">
        <v>114</v>
      </c>
      <c r="K683" s="19" t="s">
        <v>114</v>
      </c>
      <c r="L683" s="19" t="s">
        <v>868</v>
      </c>
      <c r="M683" s="20" t="s">
        <v>116</v>
      </c>
      <c r="P683" s="20" t="s">
        <v>117</v>
      </c>
    </row>
    <row r="684" spans="1:16" x14ac:dyDescent="0.3">
      <c r="A684" s="19">
        <f t="shared" si="10"/>
        <v>683</v>
      </c>
      <c r="B684" s="20" t="s">
        <v>87</v>
      </c>
      <c r="C684" s="20" t="s">
        <v>102</v>
      </c>
      <c r="D684" s="21" t="str">
        <f>IF($C684="","",IFERROR(VLOOKUP($C684,Map_Register!$A$2:$C$5,3,FALSE()),""))</f>
        <v>Toponym Labels</v>
      </c>
      <c r="E684" s="20" t="s">
        <v>111</v>
      </c>
      <c r="F684" s="22">
        <v>5202</v>
      </c>
      <c r="G684" s="19" t="s">
        <v>112</v>
      </c>
      <c r="H684" s="19" t="s">
        <v>879</v>
      </c>
      <c r="I684" s="19" t="s">
        <v>8</v>
      </c>
      <c r="J684" s="19" t="s">
        <v>114</v>
      </c>
      <c r="K684" s="19" t="s">
        <v>114</v>
      </c>
      <c r="L684" s="19" t="s">
        <v>868</v>
      </c>
      <c r="M684" s="20" t="s">
        <v>116</v>
      </c>
      <c r="P684" s="20" t="s">
        <v>117</v>
      </c>
    </row>
    <row r="685" spans="1:16" x14ac:dyDescent="0.3">
      <c r="A685" s="19">
        <f t="shared" si="10"/>
        <v>684</v>
      </c>
      <c r="B685" s="20" t="s">
        <v>87</v>
      </c>
      <c r="C685" s="20" t="s">
        <v>102</v>
      </c>
      <c r="D685" s="21" t="str">
        <f>IF($C685="","",IFERROR(VLOOKUP($C685,Map_Register!$A$2:$C$5,3,FALSE()),""))</f>
        <v>Toponym Labels</v>
      </c>
      <c r="E685" s="20" t="s">
        <v>111</v>
      </c>
      <c r="F685" s="22">
        <v>5236</v>
      </c>
      <c r="G685" s="19" t="s">
        <v>112</v>
      </c>
      <c r="H685" s="19" t="s">
        <v>880</v>
      </c>
      <c r="I685" s="19" t="s">
        <v>8</v>
      </c>
      <c r="J685" s="19" t="s">
        <v>114</v>
      </c>
      <c r="K685" s="19" t="s">
        <v>114</v>
      </c>
      <c r="L685" s="19" t="s">
        <v>876</v>
      </c>
      <c r="M685" s="20" t="s">
        <v>116</v>
      </c>
      <c r="P685" s="20" t="s">
        <v>117</v>
      </c>
    </row>
    <row r="686" spans="1:16" x14ac:dyDescent="0.3">
      <c r="A686" s="19">
        <f t="shared" si="10"/>
        <v>685</v>
      </c>
      <c r="B686" s="20" t="s">
        <v>87</v>
      </c>
      <c r="C686" s="20" t="s">
        <v>102</v>
      </c>
      <c r="D686" s="21" t="str">
        <f>IF($C686="","",IFERROR(VLOOKUP($C686,Map_Register!$A$2:$C$5,3,FALSE()),""))</f>
        <v>Toponym Labels</v>
      </c>
      <c r="E686" s="20" t="s">
        <v>111</v>
      </c>
      <c r="F686" s="22">
        <v>5237</v>
      </c>
      <c r="G686" s="19" t="s">
        <v>112</v>
      </c>
      <c r="H686" s="19" t="s">
        <v>881</v>
      </c>
      <c r="I686" s="19" t="s">
        <v>8</v>
      </c>
      <c r="J686" s="19" t="s">
        <v>114</v>
      </c>
      <c r="K686" s="19" t="s">
        <v>114</v>
      </c>
      <c r="L686" s="19" t="s">
        <v>868</v>
      </c>
      <c r="M686" s="20" t="s">
        <v>116</v>
      </c>
      <c r="P686" s="20" t="s">
        <v>117</v>
      </c>
    </row>
    <row r="687" spans="1:16" x14ac:dyDescent="0.3">
      <c r="A687" s="19">
        <f t="shared" si="10"/>
        <v>686</v>
      </c>
      <c r="B687" s="20" t="s">
        <v>87</v>
      </c>
      <c r="C687" s="20" t="s">
        <v>102</v>
      </c>
      <c r="D687" s="21" t="str">
        <f>IF($C687="","",IFERROR(VLOOKUP($C687,Map_Register!$A$2:$C$5,3,FALSE()),""))</f>
        <v>Toponym Labels</v>
      </c>
      <c r="E687" s="20" t="s">
        <v>111</v>
      </c>
      <c r="F687" s="22">
        <v>5455</v>
      </c>
      <c r="G687" s="19" t="s">
        <v>112</v>
      </c>
      <c r="H687" s="19" t="s">
        <v>882</v>
      </c>
      <c r="I687" s="19" t="s">
        <v>8</v>
      </c>
      <c r="J687" s="19" t="s">
        <v>114</v>
      </c>
      <c r="K687" s="19" t="s">
        <v>114</v>
      </c>
      <c r="L687" s="19" t="s">
        <v>876</v>
      </c>
      <c r="M687" s="20" t="s">
        <v>116</v>
      </c>
      <c r="P687" s="20" t="s">
        <v>117</v>
      </c>
    </row>
    <row r="688" spans="1:16" x14ac:dyDescent="0.3">
      <c r="A688" s="19">
        <f t="shared" si="10"/>
        <v>687</v>
      </c>
      <c r="B688" s="20" t="s">
        <v>87</v>
      </c>
      <c r="C688" s="20" t="s">
        <v>102</v>
      </c>
      <c r="D688" s="21" t="str">
        <f>IF($C688="","",IFERROR(VLOOKUP($C688,Map_Register!$A$2:$C$5,3,FALSE()),""))</f>
        <v>Toponym Labels</v>
      </c>
      <c r="E688" s="20" t="s">
        <v>111</v>
      </c>
      <c r="F688" s="22">
        <v>6141</v>
      </c>
      <c r="G688" s="19" t="s">
        <v>112</v>
      </c>
      <c r="H688" s="19" t="s">
        <v>883</v>
      </c>
      <c r="I688" s="19" t="s">
        <v>8</v>
      </c>
      <c r="J688" s="19" t="s">
        <v>114</v>
      </c>
      <c r="K688" s="19" t="s">
        <v>114</v>
      </c>
      <c r="L688" s="19" t="s">
        <v>876</v>
      </c>
      <c r="M688" s="20" t="s">
        <v>116</v>
      </c>
      <c r="P688" s="20" t="s">
        <v>117</v>
      </c>
    </row>
    <row r="689" spans="1:16" x14ac:dyDescent="0.3">
      <c r="A689" s="19">
        <f t="shared" si="10"/>
        <v>688</v>
      </c>
      <c r="B689" s="20" t="s">
        <v>87</v>
      </c>
      <c r="C689" s="20" t="s">
        <v>102</v>
      </c>
      <c r="D689" s="21" t="str">
        <f>IF($C689="","",IFERROR(VLOOKUP($C689,Map_Register!$A$2:$C$5,3,FALSE()),""))</f>
        <v>Toponym Labels</v>
      </c>
      <c r="E689" s="20" t="s">
        <v>111</v>
      </c>
      <c r="F689" s="22">
        <v>6144</v>
      </c>
      <c r="G689" s="19" t="s">
        <v>112</v>
      </c>
      <c r="H689" s="19" t="s">
        <v>884</v>
      </c>
      <c r="I689" s="19" t="s">
        <v>8</v>
      </c>
      <c r="J689" s="19" t="s">
        <v>114</v>
      </c>
      <c r="K689" s="19" t="s">
        <v>114</v>
      </c>
      <c r="L689" s="19" t="s">
        <v>868</v>
      </c>
      <c r="M689" s="20" t="s">
        <v>116</v>
      </c>
      <c r="P689" s="20" t="s">
        <v>117</v>
      </c>
    </row>
    <row r="690" spans="1:16" x14ac:dyDescent="0.3">
      <c r="A690" s="19">
        <f t="shared" si="10"/>
        <v>689</v>
      </c>
      <c r="B690" s="20" t="s">
        <v>87</v>
      </c>
      <c r="C690" s="20" t="s">
        <v>102</v>
      </c>
      <c r="D690" s="21" t="str">
        <f>IF($C690="","",IFERROR(VLOOKUP($C690,Map_Register!$A$2:$C$5,3,FALSE()),""))</f>
        <v>Toponym Labels</v>
      </c>
      <c r="E690" s="20" t="s">
        <v>111</v>
      </c>
      <c r="F690" s="22">
        <v>6449</v>
      </c>
      <c r="G690" s="19" t="s">
        <v>112</v>
      </c>
      <c r="H690" s="19" t="s">
        <v>885</v>
      </c>
      <c r="I690" s="19" t="s">
        <v>8</v>
      </c>
      <c r="J690" s="19" t="s">
        <v>114</v>
      </c>
      <c r="K690" s="19" t="s">
        <v>114</v>
      </c>
      <c r="L690" s="19" t="s">
        <v>886</v>
      </c>
      <c r="M690" s="20" t="s">
        <v>116</v>
      </c>
      <c r="P690" s="20" t="s">
        <v>117</v>
      </c>
    </row>
    <row r="691" spans="1:16" x14ac:dyDescent="0.3">
      <c r="A691" s="19">
        <f t="shared" si="10"/>
        <v>690</v>
      </c>
      <c r="B691" s="20" t="s">
        <v>87</v>
      </c>
      <c r="C691" s="20" t="s">
        <v>102</v>
      </c>
      <c r="D691" s="21" t="str">
        <f>IF($C691="","",IFERROR(VLOOKUP($C691,Map_Register!$A$2:$C$5,3,FALSE()),""))</f>
        <v>Toponym Labels</v>
      </c>
      <c r="E691" s="20" t="s">
        <v>111</v>
      </c>
      <c r="F691" s="22">
        <v>6537</v>
      </c>
      <c r="G691" s="19" t="s">
        <v>112</v>
      </c>
      <c r="H691" s="19" t="s">
        <v>887</v>
      </c>
      <c r="I691" s="19" t="s">
        <v>6</v>
      </c>
      <c r="J691" s="19"/>
      <c r="K691" s="19"/>
      <c r="L691" s="19" t="s">
        <v>225</v>
      </c>
      <c r="P691" s="20" t="s">
        <v>117</v>
      </c>
    </row>
    <row r="692" spans="1:16" x14ac:dyDescent="0.3">
      <c r="A692" s="19">
        <f t="shared" si="10"/>
        <v>691</v>
      </c>
      <c r="B692" s="20" t="s">
        <v>87</v>
      </c>
      <c r="C692" s="20" t="s">
        <v>102</v>
      </c>
      <c r="D692" s="21" t="str">
        <f>IF($C692="","",IFERROR(VLOOKUP($C692,Map_Register!$A$2:$C$5,3,FALSE()),""))</f>
        <v>Toponym Labels</v>
      </c>
      <c r="E692" s="20" t="s">
        <v>111</v>
      </c>
      <c r="F692" s="22">
        <v>6545</v>
      </c>
      <c r="G692" s="19" t="s">
        <v>112</v>
      </c>
      <c r="H692" s="19" t="s">
        <v>888</v>
      </c>
      <c r="I692" s="19" t="s">
        <v>8</v>
      </c>
      <c r="J692" s="19" t="s">
        <v>114</v>
      </c>
      <c r="K692" s="19" t="s">
        <v>114</v>
      </c>
      <c r="L692" s="19" t="s">
        <v>868</v>
      </c>
      <c r="M692" s="20" t="s">
        <v>116</v>
      </c>
      <c r="P692" s="20" t="s">
        <v>117</v>
      </c>
    </row>
    <row r="693" spans="1:16" x14ac:dyDescent="0.3">
      <c r="A693" s="19">
        <f t="shared" si="10"/>
        <v>692</v>
      </c>
      <c r="B693" s="20" t="s">
        <v>87</v>
      </c>
      <c r="C693" s="20" t="s">
        <v>102</v>
      </c>
      <c r="D693" s="21" t="str">
        <f>IF($C693="","",IFERROR(VLOOKUP($C693,Map_Register!$A$2:$C$5,3,FALSE()),""))</f>
        <v>Toponym Labels</v>
      </c>
      <c r="E693" s="20" t="s">
        <v>111</v>
      </c>
      <c r="F693" s="22">
        <v>6547</v>
      </c>
      <c r="G693" s="19" t="s">
        <v>112</v>
      </c>
      <c r="H693" s="19" t="s">
        <v>889</v>
      </c>
      <c r="I693" s="19" t="s">
        <v>6</v>
      </c>
      <c r="J693" s="19"/>
      <c r="K693" s="19"/>
      <c r="L693" s="19" t="s">
        <v>890</v>
      </c>
      <c r="P693" s="20" t="s">
        <v>117</v>
      </c>
    </row>
    <row r="694" spans="1:16" x14ac:dyDescent="0.3">
      <c r="A694" s="19">
        <f t="shared" si="10"/>
        <v>693</v>
      </c>
      <c r="B694" s="20" t="s">
        <v>87</v>
      </c>
      <c r="C694" s="20" t="s">
        <v>102</v>
      </c>
      <c r="D694" s="21" t="str">
        <f>IF($C694="","",IFERROR(VLOOKUP($C694,Map_Register!$A$2:$C$5,3,FALSE()),""))</f>
        <v>Toponym Labels</v>
      </c>
      <c r="E694" s="20" t="s">
        <v>111</v>
      </c>
      <c r="F694" s="22">
        <v>6731</v>
      </c>
      <c r="G694" s="19" t="s">
        <v>112</v>
      </c>
      <c r="H694" s="19" t="s">
        <v>891</v>
      </c>
      <c r="I694" s="19" t="s">
        <v>8</v>
      </c>
      <c r="J694" s="19" t="s">
        <v>114</v>
      </c>
      <c r="K694" s="19" t="s">
        <v>114</v>
      </c>
      <c r="L694" s="19" t="s">
        <v>876</v>
      </c>
      <c r="M694" s="20" t="s">
        <v>116</v>
      </c>
      <c r="P694" s="20" t="s">
        <v>117</v>
      </c>
    </row>
    <row r="695" spans="1:16" x14ac:dyDescent="0.3">
      <c r="A695" s="19">
        <f t="shared" si="10"/>
        <v>694</v>
      </c>
      <c r="B695" s="20" t="s">
        <v>87</v>
      </c>
      <c r="C695" s="20" t="s">
        <v>102</v>
      </c>
      <c r="D695" s="21" t="str">
        <f>IF($C695="","",IFERROR(VLOOKUP($C695,Map_Register!$A$2:$C$5,3,FALSE()),""))</f>
        <v>Toponym Labels</v>
      </c>
      <c r="E695" s="20" t="s">
        <v>111</v>
      </c>
      <c r="F695" s="22">
        <v>6905</v>
      </c>
      <c r="G695" s="19" t="s">
        <v>112</v>
      </c>
      <c r="H695" s="19" t="s">
        <v>892</v>
      </c>
      <c r="I695" s="19" t="s">
        <v>8</v>
      </c>
      <c r="J695" s="19" t="s">
        <v>114</v>
      </c>
      <c r="K695" s="19" t="s">
        <v>114</v>
      </c>
      <c r="L695" s="19" t="s">
        <v>876</v>
      </c>
      <c r="M695" s="20" t="s">
        <v>116</v>
      </c>
      <c r="P695" s="20" t="s">
        <v>117</v>
      </c>
    </row>
    <row r="696" spans="1:16" x14ac:dyDescent="0.3">
      <c r="A696" s="19">
        <f t="shared" si="10"/>
        <v>695</v>
      </c>
      <c r="B696" s="20" t="s">
        <v>87</v>
      </c>
      <c r="C696" s="20" t="s">
        <v>102</v>
      </c>
      <c r="D696" s="21" t="str">
        <f>IF($C696="","",IFERROR(VLOOKUP($C696,Map_Register!$A$2:$C$5,3,FALSE()),""))</f>
        <v>Toponym Labels</v>
      </c>
      <c r="E696" s="20" t="s">
        <v>111</v>
      </c>
      <c r="F696" s="22">
        <v>7156</v>
      </c>
      <c r="G696" s="19" t="s">
        <v>112</v>
      </c>
      <c r="H696" s="19" t="s">
        <v>893</v>
      </c>
      <c r="I696" s="19" t="s">
        <v>6</v>
      </c>
      <c r="J696" s="19"/>
      <c r="K696" s="19"/>
      <c r="L696" s="19" t="s">
        <v>225</v>
      </c>
      <c r="P696" s="20" t="s">
        <v>117</v>
      </c>
    </row>
    <row r="697" spans="1:16" x14ac:dyDescent="0.3">
      <c r="A697" s="19">
        <f t="shared" si="10"/>
        <v>696</v>
      </c>
      <c r="B697" s="20" t="s">
        <v>87</v>
      </c>
      <c r="C697" s="20" t="s">
        <v>102</v>
      </c>
      <c r="D697" s="21" t="str">
        <f>IF($C697="","",IFERROR(VLOOKUP($C697,Map_Register!$A$2:$C$5,3,FALSE()),""))</f>
        <v>Toponym Labels</v>
      </c>
      <c r="E697" s="20" t="s">
        <v>111</v>
      </c>
      <c r="F697" s="22">
        <v>7160</v>
      </c>
      <c r="G697" s="19" t="s">
        <v>112</v>
      </c>
      <c r="H697" s="19" t="s">
        <v>894</v>
      </c>
      <c r="I697" s="19" t="s">
        <v>8</v>
      </c>
      <c r="J697" s="19" t="s">
        <v>114</v>
      </c>
      <c r="K697" s="19" t="s">
        <v>114</v>
      </c>
      <c r="L697" s="19" t="s">
        <v>876</v>
      </c>
      <c r="M697" s="20" t="s">
        <v>116</v>
      </c>
      <c r="P697" s="20" t="s">
        <v>117</v>
      </c>
    </row>
    <row r="698" spans="1:16" x14ac:dyDescent="0.3">
      <c r="A698" s="19">
        <f t="shared" si="10"/>
        <v>697</v>
      </c>
      <c r="B698" s="20" t="s">
        <v>87</v>
      </c>
      <c r="C698" s="20" t="s">
        <v>102</v>
      </c>
      <c r="D698" s="21" t="str">
        <f>IF($C698="","",IFERROR(VLOOKUP($C698,Map_Register!$A$2:$C$5,3,FALSE()),""))</f>
        <v>Toponym Labels</v>
      </c>
      <c r="E698" s="20" t="s">
        <v>111</v>
      </c>
      <c r="F698" s="22">
        <v>7161</v>
      </c>
      <c r="G698" s="19" t="s">
        <v>112</v>
      </c>
      <c r="H698" s="19" t="s">
        <v>895</v>
      </c>
      <c r="I698" s="19" t="s">
        <v>8</v>
      </c>
      <c r="J698" s="19" t="s">
        <v>114</v>
      </c>
      <c r="K698" s="19" t="s">
        <v>114</v>
      </c>
      <c r="L698" s="19" t="s">
        <v>876</v>
      </c>
      <c r="M698" s="20" t="s">
        <v>116</v>
      </c>
      <c r="P698" s="20" t="s">
        <v>117</v>
      </c>
    </row>
    <row r="699" spans="1:16" x14ac:dyDescent="0.3">
      <c r="A699" s="19">
        <f t="shared" si="10"/>
        <v>698</v>
      </c>
      <c r="B699" s="20" t="s">
        <v>87</v>
      </c>
      <c r="C699" s="20" t="s">
        <v>102</v>
      </c>
      <c r="D699" s="21" t="str">
        <f>IF($C699="","",IFERROR(VLOOKUP($C699,Map_Register!$A$2:$C$5,3,FALSE()),""))</f>
        <v>Toponym Labels</v>
      </c>
      <c r="E699" s="20" t="s">
        <v>111</v>
      </c>
      <c r="F699" s="22">
        <v>7196</v>
      </c>
      <c r="G699" s="19" t="s">
        <v>112</v>
      </c>
      <c r="H699" s="19" t="s">
        <v>896</v>
      </c>
      <c r="I699" s="19" t="s">
        <v>6</v>
      </c>
      <c r="J699" s="19"/>
      <c r="K699" s="19"/>
      <c r="L699" s="19" t="s">
        <v>897</v>
      </c>
      <c r="P699" s="20" t="s">
        <v>117</v>
      </c>
    </row>
    <row r="700" spans="1:16" x14ac:dyDescent="0.3">
      <c r="A700" s="19">
        <f t="shared" si="10"/>
        <v>699</v>
      </c>
      <c r="B700" s="20" t="s">
        <v>87</v>
      </c>
      <c r="C700" s="20" t="s">
        <v>102</v>
      </c>
      <c r="D700" s="21" t="str">
        <f>IF($C700="","",IFERROR(VLOOKUP($C700,Map_Register!$A$2:$C$5,3,FALSE()),""))</f>
        <v>Toponym Labels</v>
      </c>
      <c r="E700" s="20" t="s">
        <v>111</v>
      </c>
      <c r="F700" s="22">
        <v>7204</v>
      </c>
      <c r="G700" s="19" t="s">
        <v>112</v>
      </c>
      <c r="H700" s="19" t="s">
        <v>898</v>
      </c>
      <c r="I700" s="19" t="s">
        <v>8</v>
      </c>
      <c r="J700" s="19" t="s">
        <v>114</v>
      </c>
      <c r="K700" s="19" t="s">
        <v>114</v>
      </c>
      <c r="L700" s="19" t="s">
        <v>876</v>
      </c>
      <c r="M700" s="20" t="s">
        <v>116</v>
      </c>
      <c r="P700" s="20" t="s">
        <v>117</v>
      </c>
    </row>
    <row r="701" spans="1:16" x14ac:dyDescent="0.3">
      <c r="A701" s="19">
        <f t="shared" si="10"/>
        <v>700</v>
      </c>
      <c r="B701" s="20" t="s">
        <v>87</v>
      </c>
      <c r="C701" s="20" t="s">
        <v>102</v>
      </c>
      <c r="D701" s="21" t="str">
        <f>IF($C701="","",IFERROR(VLOOKUP($C701,Map_Register!$A$2:$C$5,3,FALSE()),""))</f>
        <v>Toponym Labels</v>
      </c>
      <c r="E701" s="20" t="s">
        <v>111</v>
      </c>
      <c r="F701" s="22">
        <v>7206</v>
      </c>
      <c r="G701" s="19" t="s">
        <v>112</v>
      </c>
      <c r="H701" s="19" t="s">
        <v>899</v>
      </c>
      <c r="I701" s="19" t="s">
        <v>6</v>
      </c>
      <c r="J701" s="19"/>
      <c r="K701" s="19"/>
      <c r="L701" s="19" t="s">
        <v>900</v>
      </c>
      <c r="P701" s="20" t="s">
        <v>117</v>
      </c>
    </row>
    <row r="702" spans="1:16" x14ac:dyDescent="0.3">
      <c r="A702" s="19">
        <f t="shared" si="10"/>
        <v>701</v>
      </c>
      <c r="B702" s="20" t="s">
        <v>87</v>
      </c>
      <c r="C702" s="20" t="s">
        <v>102</v>
      </c>
      <c r="D702" s="21" t="str">
        <f>IF($C702="","",IFERROR(VLOOKUP($C702,Map_Register!$A$2:$C$5,3,FALSE()),""))</f>
        <v>Toponym Labels</v>
      </c>
      <c r="E702" s="20" t="s">
        <v>111</v>
      </c>
      <c r="F702" s="22">
        <v>7207</v>
      </c>
      <c r="G702" s="19" t="s">
        <v>112</v>
      </c>
      <c r="H702" s="19" t="s">
        <v>901</v>
      </c>
      <c r="I702" s="19" t="s">
        <v>6</v>
      </c>
      <c r="J702" s="19"/>
      <c r="K702" s="19"/>
      <c r="L702" s="19" t="s">
        <v>225</v>
      </c>
      <c r="P702" s="20" t="s">
        <v>117</v>
      </c>
    </row>
    <row r="703" spans="1:16" x14ac:dyDescent="0.3">
      <c r="A703" s="19">
        <f t="shared" si="10"/>
        <v>702</v>
      </c>
      <c r="B703" s="20" t="s">
        <v>87</v>
      </c>
      <c r="C703" s="20" t="s">
        <v>102</v>
      </c>
      <c r="D703" s="21" t="str">
        <f>IF($C703="","",IFERROR(VLOOKUP($C703,Map_Register!$A$2:$C$5,3,FALSE()),""))</f>
        <v>Toponym Labels</v>
      </c>
      <c r="E703" s="20" t="s">
        <v>111</v>
      </c>
      <c r="F703" s="22">
        <v>7209</v>
      </c>
      <c r="G703" s="19" t="s">
        <v>112</v>
      </c>
      <c r="H703" s="19" t="s">
        <v>902</v>
      </c>
      <c r="I703" s="19" t="s">
        <v>6</v>
      </c>
      <c r="J703" s="19"/>
      <c r="K703" s="19"/>
      <c r="L703" s="19" t="s">
        <v>225</v>
      </c>
      <c r="P703" s="20" t="s">
        <v>117</v>
      </c>
    </row>
    <row r="704" spans="1:16" x14ac:dyDescent="0.3">
      <c r="A704" s="19">
        <f t="shared" si="10"/>
        <v>703</v>
      </c>
      <c r="B704" s="20" t="s">
        <v>87</v>
      </c>
      <c r="C704" s="20" t="s">
        <v>102</v>
      </c>
      <c r="D704" s="21" t="str">
        <f>IF($C704="","",IFERROR(VLOOKUP($C704,Map_Register!$A$2:$C$5,3,FALSE()),""))</f>
        <v>Toponym Labels</v>
      </c>
      <c r="E704" s="20" t="s">
        <v>111</v>
      </c>
      <c r="F704" s="22">
        <v>7210</v>
      </c>
      <c r="G704" s="19" t="s">
        <v>112</v>
      </c>
      <c r="H704" s="19" t="s">
        <v>903</v>
      </c>
      <c r="I704" s="19" t="s">
        <v>8</v>
      </c>
      <c r="J704" s="19" t="s">
        <v>114</v>
      </c>
      <c r="K704" s="19" t="s">
        <v>114</v>
      </c>
      <c r="L704" s="19" t="s">
        <v>876</v>
      </c>
      <c r="M704" s="20" t="s">
        <v>116</v>
      </c>
      <c r="P704" s="20" t="s">
        <v>117</v>
      </c>
    </row>
    <row r="705" spans="1:16" x14ac:dyDescent="0.3">
      <c r="A705" s="19">
        <f t="shared" si="10"/>
        <v>704</v>
      </c>
      <c r="B705" s="20" t="s">
        <v>87</v>
      </c>
      <c r="C705" s="20" t="s">
        <v>102</v>
      </c>
      <c r="D705" s="21" t="str">
        <f>IF($C705="","",IFERROR(VLOOKUP($C705,Map_Register!$A$2:$C$5,3,FALSE()),""))</f>
        <v>Toponym Labels</v>
      </c>
      <c r="E705" s="20" t="s">
        <v>111</v>
      </c>
      <c r="F705" s="22">
        <v>7220</v>
      </c>
      <c r="G705" s="19" t="s">
        <v>112</v>
      </c>
      <c r="H705" s="19" t="s">
        <v>904</v>
      </c>
      <c r="I705" s="19" t="s">
        <v>8</v>
      </c>
      <c r="J705" s="19" t="s">
        <v>114</v>
      </c>
      <c r="K705" s="19" t="s">
        <v>114</v>
      </c>
      <c r="L705" s="19" t="s">
        <v>876</v>
      </c>
      <c r="M705" s="20" t="s">
        <v>116</v>
      </c>
      <c r="P705" s="20" t="s">
        <v>117</v>
      </c>
    </row>
    <row r="706" spans="1:16" x14ac:dyDescent="0.3">
      <c r="A706" s="19">
        <f t="shared" ref="A706:A769" si="11">IF($B706="","",ROW()-1)</f>
        <v>705</v>
      </c>
      <c r="B706" s="20" t="s">
        <v>87</v>
      </c>
      <c r="C706" s="20" t="s">
        <v>102</v>
      </c>
      <c r="D706" s="21" t="str">
        <f>IF($C706="","",IFERROR(VLOOKUP($C706,Map_Register!$A$2:$C$5,3,FALSE()),""))</f>
        <v>Toponym Labels</v>
      </c>
      <c r="E706" s="20" t="s">
        <v>111</v>
      </c>
      <c r="F706" s="22">
        <v>11261</v>
      </c>
      <c r="G706" s="19" t="s">
        <v>112</v>
      </c>
      <c r="H706" s="19" t="s">
        <v>905</v>
      </c>
      <c r="I706" s="19" t="s">
        <v>8</v>
      </c>
      <c r="J706" s="19" t="s">
        <v>114</v>
      </c>
      <c r="K706" s="19" t="s">
        <v>114</v>
      </c>
      <c r="L706" s="19" t="s">
        <v>868</v>
      </c>
      <c r="M706" s="20" t="s">
        <v>116</v>
      </c>
      <c r="P706" s="20" t="s">
        <v>117</v>
      </c>
    </row>
    <row r="707" spans="1:16" x14ac:dyDescent="0.3">
      <c r="A707" s="19">
        <f t="shared" si="11"/>
        <v>706</v>
      </c>
      <c r="B707" s="20" t="s">
        <v>87</v>
      </c>
      <c r="C707" s="20" t="s">
        <v>102</v>
      </c>
      <c r="D707" s="21" t="str">
        <f>IF($C707="","",IFERROR(VLOOKUP($C707,Map_Register!$A$2:$C$5,3,FALSE()),""))</f>
        <v>Toponym Labels</v>
      </c>
      <c r="E707" s="20" t="s">
        <v>111</v>
      </c>
      <c r="F707" s="22">
        <v>11263</v>
      </c>
      <c r="G707" s="19" t="s">
        <v>112</v>
      </c>
      <c r="H707" s="19" t="s">
        <v>906</v>
      </c>
      <c r="I707" s="19" t="s">
        <v>8</v>
      </c>
      <c r="J707" s="19" t="s">
        <v>114</v>
      </c>
      <c r="K707" s="19" t="s">
        <v>114</v>
      </c>
      <c r="L707" s="19" t="s">
        <v>868</v>
      </c>
      <c r="M707" s="20" t="s">
        <v>116</v>
      </c>
      <c r="P707" s="20" t="s">
        <v>117</v>
      </c>
    </row>
    <row r="708" spans="1:16" x14ac:dyDescent="0.3">
      <c r="A708" s="19">
        <f t="shared" si="11"/>
        <v>707</v>
      </c>
      <c r="B708" s="20" t="s">
        <v>87</v>
      </c>
      <c r="C708" s="20" t="s">
        <v>102</v>
      </c>
      <c r="D708" s="21" t="str">
        <f>IF($C708="","",IFERROR(VLOOKUP($C708,Map_Register!$A$2:$C$5,3,FALSE()),""))</f>
        <v>Toponym Labels</v>
      </c>
      <c r="E708" s="20" t="s">
        <v>111</v>
      </c>
      <c r="F708" s="22">
        <v>12219</v>
      </c>
      <c r="G708" s="19" t="s">
        <v>112</v>
      </c>
      <c r="H708" s="19" t="s">
        <v>907</v>
      </c>
      <c r="I708" s="19" t="s">
        <v>6</v>
      </c>
      <c r="J708" s="19"/>
      <c r="K708" s="19"/>
      <c r="L708" s="19" t="s">
        <v>225</v>
      </c>
      <c r="P708" s="20" t="s">
        <v>117</v>
      </c>
    </row>
    <row r="709" spans="1:16" x14ac:dyDescent="0.3">
      <c r="A709" s="19">
        <f t="shared" si="11"/>
        <v>708</v>
      </c>
      <c r="B709" s="20" t="s">
        <v>87</v>
      </c>
      <c r="C709" s="20" t="s">
        <v>102</v>
      </c>
      <c r="D709" s="21" t="str">
        <f>IF($C709="","",IFERROR(VLOOKUP($C709,Map_Register!$A$2:$C$5,3,FALSE()),""))</f>
        <v>Toponym Labels</v>
      </c>
      <c r="E709" s="20" t="s">
        <v>111</v>
      </c>
      <c r="F709" s="22">
        <v>12230</v>
      </c>
      <c r="G709" s="19" t="s">
        <v>112</v>
      </c>
      <c r="H709" s="19" t="s">
        <v>908</v>
      </c>
      <c r="I709" s="19" t="s">
        <v>8</v>
      </c>
      <c r="J709" s="19" t="s">
        <v>114</v>
      </c>
      <c r="K709" s="19" t="s">
        <v>114</v>
      </c>
      <c r="L709" s="19" t="s">
        <v>868</v>
      </c>
      <c r="M709" s="20" t="s">
        <v>116</v>
      </c>
      <c r="P709" s="20" t="s">
        <v>117</v>
      </c>
    </row>
    <row r="710" spans="1:16" x14ac:dyDescent="0.3">
      <c r="A710" s="19">
        <f t="shared" si="11"/>
        <v>709</v>
      </c>
      <c r="B710" s="20" t="s">
        <v>87</v>
      </c>
      <c r="C710" s="20" t="s">
        <v>102</v>
      </c>
      <c r="D710" s="21" t="str">
        <f>IF($C710="","",IFERROR(VLOOKUP($C710,Map_Register!$A$2:$C$5,3,FALSE()),""))</f>
        <v>Toponym Labels</v>
      </c>
      <c r="E710" s="20" t="s">
        <v>111</v>
      </c>
      <c r="F710" s="22">
        <v>12232</v>
      </c>
      <c r="G710" s="19" t="s">
        <v>112</v>
      </c>
      <c r="H710" s="19" t="s">
        <v>909</v>
      </c>
      <c r="I710" s="19" t="s">
        <v>6</v>
      </c>
      <c r="J710" s="19"/>
      <c r="K710" s="19"/>
      <c r="L710" s="19" t="s">
        <v>225</v>
      </c>
      <c r="P710" s="20" t="s">
        <v>117</v>
      </c>
    </row>
    <row r="711" spans="1:16" x14ac:dyDescent="0.3">
      <c r="A711" s="19">
        <f t="shared" si="11"/>
        <v>710</v>
      </c>
      <c r="B711" s="20" t="s">
        <v>87</v>
      </c>
      <c r="C711" s="20" t="s">
        <v>102</v>
      </c>
      <c r="D711" s="21" t="str">
        <f>IF($C711="","",IFERROR(VLOOKUP($C711,Map_Register!$A$2:$C$5,3,FALSE()),""))</f>
        <v>Toponym Labels</v>
      </c>
      <c r="E711" s="20" t="s">
        <v>111</v>
      </c>
      <c r="F711" s="22">
        <v>12233</v>
      </c>
      <c r="G711" s="19" t="s">
        <v>112</v>
      </c>
      <c r="H711" s="19" t="s">
        <v>910</v>
      </c>
      <c r="I711" s="19" t="s">
        <v>6</v>
      </c>
      <c r="J711" s="19"/>
      <c r="K711" s="19"/>
      <c r="L711" s="19" t="s">
        <v>225</v>
      </c>
      <c r="P711" s="20" t="s">
        <v>117</v>
      </c>
    </row>
    <row r="712" spans="1:16" x14ac:dyDescent="0.3">
      <c r="A712" s="19">
        <f t="shared" si="11"/>
        <v>711</v>
      </c>
      <c r="B712" s="20" t="s">
        <v>87</v>
      </c>
      <c r="C712" s="20" t="s">
        <v>102</v>
      </c>
      <c r="D712" s="21" t="str">
        <f>IF($C712="","",IFERROR(VLOOKUP($C712,Map_Register!$A$2:$C$5,3,FALSE()),""))</f>
        <v>Toponym Labels</v>
      </c>
      <c r="E712" s="20" t="s">
        <v>111</v>
      </c>
      <c r="F712" s="22">
        <v>17131</v>
      </c>
      <c r="G712" s="19" t="s">
        <v>112</v>
      </c>
      <c r="H712" s="19" t="s">
        <v>911</v>
      </c>
      <c r="I712" s="19" t="s">
        <v>8</v>
      </c>
      <c r="J712" s="19" t="s">
        <v>114</v>
      </c>
      <c r="K712" s="19" t="s">
        <v>114</v>
      </c>
      <c r="L712" s="19" t="s">
        <v>868</v>
      </c>
      <c r="M712" s="20" t="s">
        <v>116</v>
      </c>
      <c r="P712" s="20" t="s">
        <v>117</v>
      </c>
    </row>
    <row r="713" spans="1:16" x14ac:dyDescent="0.3">
      <c r="A713" s="19">
        <f t="shared" si="11"/>
        <v>712</v>
      </c>
      <c r="B713" s="20" t="s">
        <v>87</v>
      </c>
      <c r="C713" s="20" t="s">
        <v>102</v>
      </c>
      <c r="D713" s="21" t="str">
        <f>IF($C713="","",IFERROR(VLOOKUP($C713,Map_Register!$A$2:$C$5,3,FALSE()),""))</f>
        <v>Toponym Labels</v>
      </c>
      <c r="E713" s="20" t="s">
        <v>111</v>
      </c>
      <c r="F713" s="22">
        <v>17137</v>
      </c>
      <c r="G713" s="19" t="s">
        <v>112</v>
      </c>
      <c r="H713" s="19" t="s">
        <v>912</v>
      </c>
      <c r="I713" s="19" t="s">
        <v>8</v>
      </c>
      <c r="J713" s="19" t="s">
        <v>114</v>
      </c>
      <c r="K713" s="19" t="s">
        <v>114</v>
      </c>
      <c r="L713" s="19" t="s">
        <v>868</v>
      </c>
      <c r="M713" s="20" t="s">
        <v>116</v>
      </c>
      <c r="P713" s="20" t="s">
        <v>117</v>
      </c>
    </row>
    <row r="714" spans="1:16" x14ac:dyDescent="0.3">
      <c r="A714" s="19">
        <f t="shared" si="11"/>
        <v>713</v>
      </c>
      <c r="B714" s="20" t="s">
        <v>87</v>
      </c>
      <c r="C714" s="20" t="s">
        <v>102</v>
      </c>
      <c r="D714" s="21" t="str">
        <f>IF($C714="","",IFERROR(VLOOKUP($C714,Map_Register!$A$2:$C$5,3,FALSE()),""))</f>
        <v>Toponym Labels</v>
      </c>
      <c r="E714" s="20" t="s">
        <v>111</v>
      </c>
      <c r="F714" s="22">
        <v>17141</v>
      </c>
      <c r="G714" s="19" t="s">
        <v>112</v>
      </c>
      <c r="H714" s="19" t="s">
        <v>913</v>
      </c>
      <c r="I714" s="19" t="s">
        <v>8</v>
      </c>
      <c r="J714" s="19" t="s">
        <v>114</v>
      </c>
      <c r="K714" s="19" t="s">
        <v>114</v>
      </c>
      <c r="L714" s="19" t="s">
        <v>868</v>
      </c>
      <c r="M714" s="20" t="s">
        <v>116</v>
      </c>
      <c r="P714" s="20" t="s">
        <v>117</v>
      </c>
    </row>
    <row r="715" spans="1:16" x14ac:dyDescent="0.3">
      <c r="A715" s="19">
        <f t="shared" si="11"/>
        <v>714</v>
      </c>
      <c r="B715" s="20" t="s">
        <v>87</v>
      </c>
      <c r="C715" s="20" t="s">
        <v>102</v>
      </c>
      <c r="D715" s="21" t="str">
        <f>IF($C715="","",IFERROR(VLOOKUP($C715,Map_Register!$A$2:$C$5,3,FALSE()),""))</f>
        <v>Toponym Labels</v>
      </c>
      <c r="E715" s="20" t="s">
        <v>111</v>
      </c>
      <c r="F715" s="22">
        <v>17603</v>
      </c>
      <c r="G715" s="19" t="s">
        <v>112</v>
      </c>
      <c r="H715" s="19" t="s">
        <v>914</v>
      </c>
      <c r="I715" s="19" t="s">
        <v>8</v>
      </c>
      <c r="J715" s="19" t="s">
        <v>114</v>
      </c>
      <c r="K715" s="19" t="s">
        <v>114</v>
      </c>
      <c r="L715" s="19" t="s">
        <v>915</v>
      </c>
      <c r="M715" s="20" t="s">
        <v>116</v>
      </c>
      <c r="P715" s="20" t="s">
        <v>117</v>
      </c>
    </row>
    <row r="716" spans="1:16" x14ac:dyDescent="0.3">
      <c r="A716" s="19">
        <f t="shared" si="11"/>
        <v>715</v>
      </c>
      <c r="B716" s="20" t="s">
        <v>87</v>
      </c>
      <c r="C716" s="20" t="s">
        <v>102</v>
      </c>
      <c r="D716" s="21" t="str">
        <f>IF($C716="","",IFERROR(VLOOKUP($C716,Map_Register!$A$2:$C$5,3,FALSE()),""))</f>
        <v>Toponym Labels</v>
      </c>
      <c r="E716" s="20" t="s">
        <v>111</v>
      </c>
      <c r="F716" s="22">
        <v>19622</v>
      </c>
      <c r="G716" s="19" t="s">
        <v>112</v>
      </c>
      <c r="H716" s="19" t="s">
        <v>916</v>
      </c>
      <c r="I716" s="19" t="s">
        <v>8</v>
      </c>
      <c r="J716" s="19" t="s">
        <v>114</v>
      </c>
      <c r="K716" s="19" t="s">
        <v>114</v>
      </c>
      <c r="L716" s="19" t="s">
        <v>872</v>
      </c>
      <c r="M716" s="20" t="s">
        <v>116</v>
      </c>
      <c r="P716" s="20" t="s">
        <v>117</v>
      </c>
    </row>
    <row r="717" spans="1:16" x14ac:dyDescent="0.3">
      <c r="A717" s="19">
        <f t="shared" si="11"/>
        <v>716</v>
      </c>
      <c r="B717" s="20" t="s">
        <v>87</v>
      </c>
      <c r="C717" s="20" t="s">
        <v>102</v>
      </c>
      <c r="D717" s="21" t="str">
        <f>IF($C717="","",IFERROR(VLOOKUP($C717,Map_Register!$A$2:$C$5,3,FALSE()),""))</f>
        <v>Toponym Labels</v>
      </c>
      <c r="E717" s="20" t="s">
        <v>111</v>
      </c>
      <c r="F717" s="22">
        <v>26318</v>
      </c>
      <c r="G717" s="19" t="s">
        <v>112</v>
      </c>
      <c r="H717" s="19" t="s">
        <v>917</v>
      </c>
      <c r="I717" s="19" t="s">
        <v>8</v>
      </c>
      <c r="J717" s="19" t="s">
        <v>114</v>
      </c>
      <c r="K717" s="19" t="s">
        <v>114</v>
      </c>
      <c r="L717" s="19" t="s">
        <v>868</v>
      </c>
      <c r="M717" s="20" t="s">
        <v>116</v>
      </c>
      <c r="P717" s="20" t="s">
        <v>117</v>
      </c>
    </row>
    <row r="718" spans="1:16" x14ac:dyDescent="0.3">
      <c r="A718" s="19">
        <f t="shared" si="11"/>
        <v>717</v>
      </c>
      <c r="B718" s="20" t="s">
        <v>87</v>
      </c>
      <c r="C718" s="20" t="s">
        <v>102</v>
      </c>
      <c r="D718" s="21" t="str">
        <f>IF($C718="","",IFERROR(VLOOKUP($C718,Map_Register!$A$2:$C$5,3,FALSE()),""))</f>
        <v>Toponym Labels</v>
      </c>
      <c r="E718" s="20" t="s">
        <v>111</v>
      </c>
      <c r="F718" s="22">
        <v>27404</v>
      </c>
      <c r="G718" s="19" t="s">
        <v>112</v>
      </c>
      <c r="H718" s="19" t="s">
        <v>918</v>
      </c>
      <c r="I718" s="19" t="s">
        <v>8</v>
      </c>
      <c r="J718" s="19" t="s">
        <v>114</v>
      </c>
      <c r="K718" s="19" t="s">
        <v>114</v>
      </c>
      <c r="L718" s="19" t="s">
        <v>868</v>
      </c>
      <c r="M718" s="20" t="s">
        <v>116</v>
      </c>
      <c r="P718" s="20" t="s">
        <v>117</v>
      </c>
    </row>
    <row r="719" spans="1:16" x14ac:dyDescent="0.3">
      <c r="A719" s="19">
        <f t="shared" si="11"/>
        <v>718</v>
      </c>
      <c r="B719" s="20" t="s">
        <v>87</v>
      </c>
      <c r="C719" s="20" t="s">
        <v>102</v>
      </c>
      <c r="D719" s="21" t="str">
        <f>IF($C719="","",IFERROR(VLOOKUP($C719,Map_Register!$A$2:$C$5,3,FALSE()),""))</f>
        <v>Toponym Labels</v>
      </c>
      <c r="E719" s="20" t="s">
        <v>111</v>
      </c>
      <c r="F719" s="22">
        <v>27405</v>
      </c>
      <c r="G719" s="19" t="s">
        <v>112</v>
      </c>
      <c r="H719" s="19" t="s">
        <v>919</v>
      </c>
      <c r="I719" s="19" t="s">
        <v>8</v>
      </c>
      <c r="J719" s="19" t="s">
        <v>114</v>
      </c>
      <c r="K719" s="19" t="s">
        <v>114</v>
      </c>
      <c r="L719" s="19" t="s">
        <v>868</v>
      </c>
      <c r="M719" s="20" t="s">
        <v>116</v>
      </c>
      <c r="P719" s="20" t="s">
        <v>117</v>
      </c>
    </row>
    <row r="720" spans="1:16" x14ac:dyDescent="0.3">
      <c r="A720" s="19">
        <f t="shared" si="11"/>
        <v>719</v>
      </c>
      <c r="B720" s="20" t="s">
        <v>87</v>
      </c>
      <c r="C720" s="20" t="s">
        <v>102</v>
      </c>
      <c r="D720" s="21" t="str">
        <f>IF($C720="","",IFERROR(VLOOKUP($C720,Map_Register!$A$2:$C$5,3,FALSE()),""))</f>
        <v>Toponym Labels</v>
      </c>
      <c r="E720" s="20" t="s">
        <v>111</v>
      </c>
      <c r="F720" s="22">
        <v>27406</v>
      </c>
      <c r="G720" s="19" t="s">
        <v>112</v>
      </c>
      <c r="H720" s="19" t="s">
        <v>920</v>
      </c>
      <c r="I720" s="19" t="s">
        <v>8</v>
      </c>
      <c r="J720" s="19" t="s">
        <v>114</v>
      </c>
      <c r="K720" s="19" t="s">
        <v>114</v>
      </c>
      <c r="L720" s="19" t="s">
        <v>872</v>
      </c>
      <c r="M720" s="20" t="s">
        <v>116</v>
      </c>
      <c r="P720" s="20" t="s">
        <v>117</v>
      </c>
    </row>
    <row r="721" spans="1:16" x14ac:dyDescent="0.3">
      <c r="A721" s="19">
        <f t="shared" si="11"/>
        <v>720</v>
      </c>
      <c r="B721" s="20" t="s">
        <v>87</v>
      </c>
      <c r="C721" s="20" t="s">
        <v>102</v>
      </c>
      <c r="D721" s="21" t="str">
        <f>IF($C721="","",IFERROR(VLOOKUP($C721,Map_Register!$A$2:$C$5,3,FALSE()),""))</f>
        <v>Toponym Labels</v>
      </c>
      <c r="E721" s="20" t="s">
        <v>111</v>
      </c>
      <c r="F721" s="22">
        <v>27407</v>
      </c>
      <c r="G721" s="19" t="s">
        <v>112</v>
      </c>
      <c r="H721" s="19" t="s">
        <v>921</v>
      </c>
      <c r="I721" s="19" t="s">
        <v>6</v>
      </c>
      <c r="J721" s="19"/>
      <c r="K721" s="19"/>
      <c r="L721" s="19" t="s">
        <v>225</v>
      </c>
      <c r="P721" s="20" t="s">
        <v>117</v>
      </c>
    </row>
    <row r="722" spans="1:16" x14ac:dyDescent="0.3">
      <c r="A722" s="19">
        <f t="shared" si="11"/>
        <v>721</v>
      </c>
      <c r="B722" s="20" t="s">
        <v>87</v>
      </c>
      <c r="C722" s="20" t="s">
        <v>102</v>
      </c>
      <c r="D722" s="21" t="str">
        <f>IF($C722="","",IFERROR(VLOOKUP($C722,Map_Register!$A$2:$C$5,3,FALSE()),""))</f>
        <v>Toponym Labels</v>
      </c>
      <c r="E722" s="20" t="s">
        <v>111</v>
      </c>
      <c r="F722" s="22">
        <v>27408</v>
      </c>
      <c r="G722" s="19" t="s">
        <v>112</v>
      </c>
      <c r="H722" s="19" t="s">
        <v>922</v>
      </c>
      <c r="I722" s="19" t="s">
        <v>8</v>
      </c>
      <c r="J722" s="19" t="s">
        <v>114</v>
      </c>
      <c r="K722" s="19" t="s">
        <v>114</v>
      </c>
      <c r="L722" s="19" t="s">
        <v>868</v>
      </c>
      <c r="M722" s="20" t="s">
        <v>116</v>
      </c>
      <c r="P722" s="20" t="s">
        <v>117</v>
      </c>
    </row>
    <row r="723" spans="1:16" x14ac:dyDescent="0.3">
      <c r="A723" s="19">
        <f t="shared" si="11"/>
        <v>722</v>
      </c>
      <c r="B723" s="20" t="s">
        <v>87</v>
      </c>
      <c r="C723" s="20" t="s">
        <v>102</v>
      </c>
      <c r="D723" s="21" t="str">
        <f>IF($C723="","",IFERROR(VLOOKUP($C723,Map_Register!$A$2:$C$5,3,FALSE()),""))</f>
        <v>Toponym Labels</v>
      </c>
      <c r="E723" s="20" t="s">
        <v>111</v>
      </c>
      <c r="F723" s="22">
        <v>27413</v>
      </c>
      <c r="G723" s="19" t="s">
        <v>112</v>
      </c>
      <c r="H723" s="19" t="s">
        <v>923</v>
      </c>
      <c r="I723" s="19" t="s">
        <v>8</v>
      </c>
      <c r="J723" s="19" t="s">
        <v>114</v>
      </c>
      <c r="K723" s="19" t="s">
        <v>114</v>
      </c>
      <c r="L723" s="19" t="s">
        <v>868</v>
      </c>
      <c r="M723" s="20" t="s">
        <v>116</v>
      </c>
      <c r="P723" s="20" t="s">
        <v>117</v>
      </c>
    </row>
    <row r="724" spans="1:16" x14ac:dyDescent="0.3">
      <c r="A724" s="19">
        <f t="shared" si="11"/>
        <v>723</v>
      </c>
      <c r="B724" s="20" t="s">
        <v>87</v>
      </c>
      <c r="C724" s="20" t="s">
        <v>102</v>
      </c>
      <c r="D724" s="21" t="str">
        <f>IF($C724="","",IFERROR(VLOOKUP($C724,Map_Register!$A$2:$C$5,3,FALSE()),""))</f>
        <v>Toponym Labels</v>
      </c>
      <c r="E724" s="20" t="s">
        <v>111</v>
      </c>
      <c r="F724" s="22">
        <v>27416</v>
      </c>
      <c r="G724" s="19" t="s">
        <v>112</v>
      </c>
      <c r="H724" s="19" t="s">
        <v>924</v>
      </c>
      <c r="I724" s="19" t="s">
        <v>6</v>
      </c>
      <c r="J724" s="19"/>
      <c r="K724" s="19"/>
      <c r="L724" s="19" t="s">
        <v>225</v>
      </c>
      <c r="P724" s="20" t="s">
        <v>117</v>
      </c>
    </row>
    <row r="725" spans="1:16" x14ac:dyDescent="0.3">
      <c r="A725" s="19">
        <f t="shared" si="11"/>
        <v>724</v>
      </c>
      <c r="B725" s="20" t="s">
        <v>87</v>
      </c>
      <c r="C725" s="20" t="s">
        <v>102</v>
      </c>
      <c r="D725" s="21" t="str">
        <f>IF($C725="","",IFERROR(VLOOKUP($C725,Map_Register!$A$2:$C$5,3,FALSE()),""))</f>
        <v>Toponym Labels</v>
      </c>
      <c r="E725" s="20" t="s">
        <v>111</v>
      </c>
      <c r="F725" s="22">
        <v>27421</v>
      </c>
      <c r="G725" s="19" t="s">
        <v>112</v>
      </c>
      <c r="H725" s="19" t="s">
        <v>925</v>
      </c>
      <c r="I725" s="19" t="s">
        <v>8</v>
      </c>
      <c r="J725" s="19" t="s">
        <v>114</v>
      </c>
      <c r="K725" s="19" t="s">
        <v>114</v>
      </c>
      <c r="L725" s="19" t="s">
        <v>872</v>
      </c>
      <c r="M725" s="20" t="s">
        <v>116</v>
      </c>
      <c r="P725" s="20" t="s">
        <v>117</v>
      </c>
    </row>
    <row r="726" spans="1:16" x14ac:dyDescent="0.3">
      <c r="A726" s="19">
        <f t="shared" si="11"/>
        <v>725</v>
      </c>
      <c r="B726" s="20" t="s">
        <v>87</v>
      </c>
      <c r="C726" s="20" t="s">
        <v>102</v>
      </c>
      <c r="D726" s="21" t="str">
        <f>IF($C726="","",IFERROR(VLOOKUP($C726,Map_Register!$A$2:$C$5,3,FALSE()),""))</f>
        <v>Toponym Labels</v>
      </c>
      <c r="E726" s="20" t="s">
        <v>111</v>
      </c>
      <c r="F726" s="22">
        <v>27422</v>
      </c>
      <c r="G726" s="19" t="s">
        <v>112</v>
      </c>
      <c r="H726" s="19" t="s">
        <v>926</v>
      </c>
      <c r="I726" s="19" t="s">
        <v>8</v>
      </c>
      <c r="J726" s="19" t="s">
        <v>114</v>
      </c>
      <c r="K726" s="19" t="s">
        <v>114</v>
      </c>
      <c r="L726" s="19" t="s">
        <v>868</v>
      </c>
      <c r="M726" s="20" t="s">
        <v>116</v>
      </c>
      <c r="P726" s="20" t="s">
        <v>117</v>
      </c>
    </row>
    <row r="727" spans="1:16" x14ac:dyDescent="0.3">
      <c r="A727" s="19">
        <f t="shared" si="11"/>
        <v>726</v>
      </c>
      <c r="B727" s="20" t="s">
        <v>87</v>
      </c>
      <c r="C727" s="20" t="s">
        <v>102</v>
      </c>
      <c r="D727" s="21" t="str">
        <f>IF($C727="","",IFERROR(VLOOKUP($C727,Map_Register!$A$2:$C$5,3,FALSE()),""))</f>
        <v>Toponym Labels</v>
      </c>
      <c r="E727" s="20" t="s">
        <v>111</v>
      </c>
      <c r="F727" s="22">
        <v>27423</v>
      </c>
      <c r="G727" s="19" t="s">
        <v>112</v>
      </c>
      <c r="H727" s="19" t="s">
        <v>927</v>
      </c>
      <c r="I727" s="19" t="s">
        <v>6</v>
      </c>
      <c r="J727" s="19"/>
      <c r="K727" s="19"/>
      <c r="L727" s="19" t="s">
        <v>225</v>
      </c>
      <c r="P727" s="20" t="s">
        <v>117</v>
      </c>
    </row>
    <row r="728" spans="1:16" x14ac:dyDescent="0.3">
      <c r="A728" s="19">
        <f t="shared" si="11"/>
        <v>727</v>
      </c>
      <c r="B728" s="20" t="s">
        <v>87</v>
      </c>
      <c r="C728" s="20" t="s">
        <v>102</v>
      </c>
      <c r="D728" s="21" t="str">
        <f>IF($C728="","",IFERROR(VLOOKUP($C728,Map_Register!$A$2:$C$5,3,FALSE()),""))</f>
        <v>Toponym Labels</v>
      </c>
      <c r="E728" s="20" t="s">
        <v>111</v>
      </c>
      <c r="F728" s="22">
        <v>27425</v>
      </c>
      <c r="G728" s="19" t="s">
        <v>112</v>
      </c>
      <c r="H728" s="19" t="s">
        <v>928</v>
      </c>
      <c r="I728" s="19" t="s">
        <v>8</v>
      </c>
      <c r="J728" s="19" t="s">
        <v>114</v>
      </c>
      <c r="K728" s="19" t="s">
        <v>114</v>
      </c>
      <c r="L728" s="19" t="s">
        <v>872</v>
      </c>
      <c r="M728" s="20" t="s">
        <v>116</v>
      </c>
      <c r="P728" s="20" t="s">
        <v>117</v>
      </c>
    </row>
    <row r="729" spans="1:16" x14ac:dyDescent="0.3">
      <c r="A729" s="19">
        <f t="shared" si="11"/>
        <v>728</v>
      </c>
      <c r="B729" s="20" t="s">
        <v>87</v>
      </c>
      <c r="C729" s="20" t="s">
        <v>102</v>
      </c>
      <c r="D729" s="21" t="str">
        <f>IF($C729="","",IFERROR(VLOOKUP($C729,Map_Register!$A$2:$C$5,3,FALSE()),""))</f>
        <v>Toponym Labels</v>
      </c>
      <c r="E729" s="20" t="s">
        <v>111</v>
      </c>
      <c r="F729" s="22">
        <v>27427</v>
      </c>
      <c r="G729" s="19" t="s">
        <v>112</v>
      </c>
      <c r="H729" s="19" t="s">
        <v>929</v>
      </c>
      <c r="I729" s="19" t="s">
        <v>6</v>
      </c>
      <c r="J729" s="19"/>
      <c r="K729" s="19"/>
      <c r="L729" s="19" t="s">
        <v>225</v>
      </c>
      <c r="P729" s="20" t="s">
        <v>117</v>
      </c>
    </row>
    <row r="730" spans="1:16" x14ac:dyDescent="0.3">
      <c r="A730" s="19">
        <f t="shared" si="11"/>
        <v>729</v>
      </c>
      <c r="B730" s="20" t="s">
        <v>87</v>
      </c>
      <c r="C730" s="20" t="s">
        <v>102</v>
      </c>
      <c r="D730" s="21" t="str">
        <f>IF($C730="","",IFERROR(VLOOKUP($C730,Map_Register!$A$2:$C$5,3,FALSE()),""))</f>
        <v>Toponym Labels</v>
      </c>
      <c r="E730" s="20" t="s">
        <v>111</v>
      </c>
      <c r="F730" s="22">
        <v>27429</v>
      </c>
      <c r="G730" s="19" t="s">
        <v>112</v>
      </c>
      <c r="H730" s="19" t="s">
        <v>930</v>
      </c>
      <c r="I730" s="19" t="s">
        <v>6</v>
      </c>
      <c r="J730" s="19"/>
      <c r="K730" s="19"/>
      <c r="L730" s="19" t="s">
        <v>225</v>
      </c>
      <c r="P730" s="20" t="s">
        <v>117</v>
      </c>
    </row>
    <row r="731" spans="1:16" x14ac:dyDescent="0.3">
      <c r="A731" s="19">
        <f t="shared" si="11"/>
        <v>730</v>
      </c>
      <c r="B731" s="20" t="s">
        <v>87</v>
      </c>
      <c r="C731" s="20" t="s">
        <v>102</v>
      </c>
      <c r="D731" s="21" t="str">
        <f>IF($C731="","",IFERROR(VLOOKUP($C731,Map_Register!$A$2:$C$5,3,FALSE()),""))</f>
        <v>Toponym Labels</v>
      </c>
      <c r="E731" s="20" t="s">
        <v>111</v>
      </c>
      <c r="F731" s="22">
        <v>27434</v>
      </c>
      <c r="G731" s="19" t="s">
        <v>112</v>
      </c>
      <c r="H731" s="19" t="s">
        <v>931</v>
      </c>
      <c r="I731" s="19" t="s">
        <v>6</v>
      </c>
      <c r="J731" s="19"/>
      <c r="K731" s="19"/>
      <c r="L731" s="19" t="s">
        <v>398</v>
      </c>
      <c r="P731" s="20" t="s">
        <v>117</v>
      </c>
    </row>
    <row r="732" spans="1:16" x14ac:dyDescent="0.3">
      <c r="A732" s="19">
        <f t="shared" si="11"/>
        <v>731</v>
      </c>
      <c r="B732" s="20" t="s">
        <v>87</v>
      </c>
      <c r="C732" s="20" t="s">
        <v>102</v>
      </c>
      <c r="D732" s="21" t="str">
        <f>IF($C732="","",IFERROR(VLOOKUP($C732,Map_Register!$A$2:$C$5,3,FALSE()),""))</f>
        <v>Toponym Labels</v>
      </c>
      <c r="E732" s="20" t="s">
        <v>111</v>
      </c>
      <c r="F732" s="22">
        <v>27435</v>
      </c>
      <c r="G732" s="19" t="s">
        <v>112</v>
      </c>
      <c r="H732" s="19" t="s">
        <v>932</v>
      </c>
      <c r="I732" s="19" t="s">
        <v>6</v>
      </c>
      <c r="J732" s="19"/>
      <c r="K732" s="19"/>
      <c r="L732" s="19" t="s">
        <v>933</v>
      </c>
      <c r="P732" s="20" t="s">
        <v>117</v>
      </c>
    </row>
    <row r="733" spans="1:16" x14ac:dyDescent="0.3">
      <c r="A733" s="19">
        <f t="shared" si="11"/>
        <v>732</v>
      </c>
      <c r="B733" s="20" t="s">
        <v>87</v>
      </c>
      <c r="C733" s="20" t="s">
        <v>102</v>
      </c>
      <c r="D733" s="21" t="str">
        <f>IF($C733="","",IFERROR(VLOOKUP($C733,Map_Register!$A$2:$C$5,3,FALSE()),""))</f>
        <v>Toponym Labels</v>
      </c>
      <c r="E733" s="20" t="s">
        <v>111</v>
      </c>
      <c r="F733" s="22">
        <v>27436</v>
      </c>
      <c r="G733" s="19" t="s">
        <v>112</v>
      </c>
      <c r="H733" s="19" t="s">
        <v>934</v>
      </c>
      <c r="I733" s="19" t="s">
        <v>6</v>
      </c>
      <c r="J733" s="19"/>
      <c r="K733" s="19"/>
      <c r="L733" s="19" t="s">
        <v>225</v>
      </c>
      <c r="P733" s="20" t="s">
        <v>117</v>
      </c>
    </row>
    <row r="734" spans="1:16" x14ac:dyDescent="0.3">
      <c r="A734" s="19">
        <f t="shared" si="11"/>
        <v>733</v>
      </c>
      <c r="B734" s="20" t="s">
        <v>87</v>
      </c>
      <c r="C734" s="20" t="s">
        <v>102</v>
      </c>
      <c r="D734" s="21" t="str">
        <f>IF($C734="","",IFERROR(VLOOKUP($C734,Map_Register!$A$2:$C$5,3,FALSE()),""))</f>
        <v>Toponym Labels</v>
      </c>
      <c r="E734" s="20" t="s">
        <v>111</v>
      </c>
      <c r="F734" s="22">
        <v>27437</v>
      </c>
      <c r="G734" s="19" t="s">
        <v>112</v>
      </c>
      <c r="H734" s="19" t="s">
        <v>935</v>
      </c>
      <c r="I734" s="19" t="s">
        <v>6</v>
      </c>
      <c r="J734" s="19"/>
      <c r="K734" s="19"/>
      <c r="L734" s="19" t="s">
        <v>225</v>
      </c>
      <c r="P734" s="20" t="s">
        <v>117</v>
      </c>
    </row>
    <row r="735" spans="1:16" x14ac:dyDescent="0.3">
      <c r="A735" s="19">
        <f t="shared" si="11"/>
        <v>734</v>
      </c>
      <c r="B735" s="20" t="s">
        <v>87</v>
      </c>
      <c r="C735" s="20" t="s">
        <v>102</v>
      </c>
      <c r="D735" s="21" t="str">
        <f>IF($C735="","",IFERROR(VLOOKUP($C735,Map_Register!$A$2:$C$5,3,FALSE()),""))</f>
        <v>Toponym Labels</v>
      </c>
      <c r="E735" s="20" t="s">
        <v>111</v>
      </c>
      <c r="F735" s="22">
        <v>27438</v>
      </c>
      <c r="G735" s="19" t="s">
        <v>112</v>
      </c>
      <c r="H735" s="19" t="s">
        <v>936</v>
      </c>
      <c r="I735" s="19" t="s">
        <v>6</v>
      </c>
      <c r="J735" s="19"/>
      <c r="K735" s="19"/>
      <c r="L735" s="19" t="s">
        <v>225</v>
      </c>
      <c r="P735" s="20" t="s">
        <v>117</v>
      </c>
    </row>
    <row r="736" spans="1:16" x14ac:dyDescent="0.3">
      <c r="A736" s="19">
        <f t="shared" si="11"/>
        <v>735</v>
      </c>
      <c r="B736" s="20" t="s">
        <v>87</v>
      </c>
      <c r="C736" s="20" t="s">
        <v>102</v>
      </c>
      <c r="D736" s="21" t="str">
        <f>IF($C736="","",IFERROR(VLOOKUP($C736,Map_Register!$A$2:$C$5,3,FALSE()),""))</f>
        <v>Toponym Labels</v>
      </c>
      <c r="E736" s="20" t="s">
        <v>111</v>
      </c>
      <c r="F736" s="22">
        <v>27439</v>
      </c>
      <c r="G736" s="19" t="s">
        <v>112</v>
      </c>
      <c r="H736" s="19" t="s">
        <v>937</v>
      </c>
      <c r="I736" s="19" t="s">
        <v>8</v>
      </c>
      <c r="J736" s="19" t="s">
        <v>114</v>
      </c>
      <c r="K736" s="19" t="s">
        <v>114</v>
      </c>
      <c r="L736" s="19" t="s">
        <v>868</v>
      </c>
      <c r="M736" s="20" t="s">
        <v>116</v>
      </c>
      <c r="P736" s="20" t="s">
        <v>117</v>
      </c>
    </row>
    <row r="737" spans="1:16" x14ac:dyDescent="0.3">
      <c r="A737" s="19">
        <f t="shared" si="11"/>
        <v>736</v>
      </c>
      <c r="B737" s="20" t="s">
        <v>87</v>
      </c>
      <c r="C737" s="20" t="s">
        <v>102</v>
      </c>
      <c r="D737" s="21" t="str">
        <f>IF($C737="","",IFERROR(VLOOKUP($C737,Map_Register!$A$2:$C$5,3,FALSE()),""))</f>
        <v>Toponym Labels</v>
      </c>
      <c r="E737" s="20" t="s">
        <v>111</v>
      </c>
      <c r="F737" s="22">
        <v>27441</v>
      </c>
      <c r="G737" s="19" t="s">
        <v>112</v>
      </c>
      <c r="H737" s="19" t="s">
        <v>938</v>
      </c>
      <c r="I737" s="19" t="s">
        <v>8</v>
      </c>
      <c r="J737" s="19" t="s">
        <v>114</v>
      </c>
      <c r="K737" s="19" t="s">
        <v>114</v>
      </c>
      <c r="L737" s="19" t="s">
        <v>876</v>
      </c>
      <c r="M737" s="20" t="s">
        <v>116</v>
      </c>
      <c r="P737" s="20" t="s">
        <v>117</v>
      </c>
    </row>
    <row r="738" spans="1:16" x14ac:dyDescent="0.3">
      <c r="A738" s="19">
        <f t="shared" si="11"/>
        <v>737</v>
      </c>
      <c r="B738" s="20" t="s">
        <v>87</v>
      </c>
      <c r="C738" s="20" t="s">
        <v>102</v>
      </c>
      <c r="D738" s="21" t="str">
        <f>IF($C738="","",IFERROR(VLOOKUP($C738,Map_Register!$A$2:$C$5,3,FALSE()),""))</f>
        <v>Toponym Labels</v>
      </c>
      <c r="E738" s="20" t="s">
        <v>111</v>
      </c>
      <c r="F738" s="22">
        <v>27442</v>
      </c>
      <c r="G738" s="19" t="s">
        <v>112</v>
      </c>
      <c r="H738" s="19" t="s">
        <v>939</v>
      </c>
      <c r="I738" s="19" t="s">
        <v>8</v>
      </c>
      <c r="J738" s="19" t="s">
        <v>114</v>
      </c>
      <c r="K738" s="19" t="s">
        <v>114</v>
      </c>
      <c r="L738" s="19" t="s">
        <v>872</v>
      </c>
      <c r="M738" s="20" t="s">
        <v>116</v>
      </c>
      <c r="P738" s="20" t="s">
        <v>117</v>
      </c>
    </row>
    <row r="739" spans="1:16" x14ac:dyDescent="0.3">
      <c r="A739" s="19">
        <f t="shared" si="11"/>
        <v>738</v>
      </c>
      <c r="B739" s="20" t="s">
        <v>87</v>
      </c>
      <c r="C739" s="20" t="s">
        <v>102</v>
      </c>
      <c r="D739" s="21" t="str">
        <f>IF($C739="","",IFERROR(VLOOKUP($C739,Map_Register!$A$2:$C$5,3,FALSE()),""))</f>
        <v>Toponym Labels</v>
      </c>
      <c r="E739" s="20" t="s">
        <v>111</v>
      </c>
      <c r="F739" s="22">
        <v>27443</v>
      </c>
      <c r="G739" s="19" t="s">
        <v>112</v>
      </c>
      <c r="H739" s="19" t="s">
        <v>940</v>
      </c>
      <c r="I739" s="19" t="s">
        <v>8</v>
      </c>
      <c r="J739" s="19" t="s">
        <v>114</v>
      </c>
      <c r="K739" s="19" t="s">
        <v>114</v>
      </c>
      <c r="L739" s="19" t="s">
        <v>872</v>
      </c>
      <c r="M739" s="20" t="s">
        <v>116</v>
      </c>
      <c r="P739" s="20" t="s">
        <v>117</v>
      </c>
    </row>
    <row r="740" spans="1:16" x14ac:dyDescent="0.3">
      <c r="A740" s="19">
        <f t="shared" si="11"/>
        <v>739</v>
      </c>
      <c r="B740" s="20" t="s">
        <v>87</v>
      </c>
      <c r="C740" s="20" t="s">
        <v>102</v>
      </c>
      <c r="D740" s="21" t="str">
        <f>IF($C740="","",IFERROR(VLOOKUP($C740,Map_Register!$A$2:$C$5,3,FALSE()),""))</f>
        <v>Toponym Labels</v>
      </c>
      <c r="E740" s="20" t="s">
        <v>111</v>
      </c>
      <c r="F740" s="22">
        <v>27444</v>
      </c>
      <c r="G740" s="19" t="s">
        <v>112</v>
      </c>
      <c r="H740" s="19" t="s">
        <v>941</v>
      </c>
      <c r="I740" s="19" t="s">
        <v>8</v>
      </c>
      <c r="J740" s="19" t="s">
        <v>114</v>
      </c>
      <c r="K740" s="19" t="s">
        <v>114</v>
      </c>
      <c r="L740" s="19" t="s">
        <v>872</v>
      </c>
      <c r="M740" s="20" t="s">
        <v>116</v>
      </c>
      <c r="P740" s="20" t="s">
        <v>117</v>
      </c>
    </row>
    <row r="741" spans="1:16" x14ac:dyDescent="0.3">
      <c r="A741" s="19">
        <f t="shared" si="11"/>
        <v>740</v>
      </c>
      <c r="B741" s="20" t="s">
        <v>87</v>
      </c>
      <c r="C741" s="20" t="s">
        <v>102</v>
      </c>
      <c r="D741" s="21" t="str">
        <f>IF($C741="","",IFERROR(VLOOKUP($C741,Map_Register!$A$2:$C$5,3,FALSE()),""))</f>
        <v>Toponym Labels</v>
      </c>
      <c r="E741" s="20" t="s">
        <v>111</v>
      </c>
      <c r="F741" s="22">
        <v>27446</v>
      </c>
      <c r="G741" s="19" t="s">
        <v>112</v>
      </c>
      <c r="H741" s="19" t="s">
        <v>942</v>
      </c>
      <c r="I741" s="19" t="s">
        <v>6</v>
      </c>
      <c r="J741" s="19"/>
      <c r="K741" s="19"/>
      <c r="L741" s="19" t="s">
        <v>398</v>
      </c>
      <c r="P741" s="20" t="s">
        <v>117</v>
      </c>
    </row>
    <row r="742" spans="1:16" x14ac:dyDescent="0.3">
      <c r="A742" s="19">
        <f t="shared" si="11"/>
        <v>741</v>
      </c>
      <c r="B742" s="20" t="s">
        <v>87</v>
      </c>
      <c r="C742" s="20" t="s">
        <v>102</v>
      </c>
      <c r="D742" s="21" t="str">
        <f>IF($C742="","",IFERROR(VLOOKUP($C742,Map_Register!$A$2:$C$5,3,FALSE()),""))</f>
        <v>Toponym Labels</v>
      </c>
      <c r="E742" s="20" t="s">
        <v>111</v>
      </c>
      <c r="F742" s="22">
        <v>27447</v>
      </c>
      <c r="G742" s="19" t="s">
        <v>112</v>
      </c>
      <c r="H742" s="19" t="s">
        <v>943</v>
      </c>
      <c r="I742" s="19" t="s">
        <v>6</v>
      </c>
      <c r="J742" s="19"/>
      <c r="K742" s="19"/>
      <c r="L742" s="19" t="s">
        <v>225</v>
      </c>
      <c r="P742" s="20" t="s">
        <v>117</v>
      </c>
    </row>
    <row r="743" spans="1:16" x14ac:dyDescent="0.3">
      <c r="A743" s="19">
        <f t="shared" si="11"/>
        <v>742</v>
      </c>
      <c r="B743" s="20" t="s">
        <v>87</v>
      </c>
      <c r="C743" s="20" t="s">
        <v>102</v>
      </c>
      <c r="D743" s="21" t="str">
        <f>IF($C743="","",IFERROR(VLOOKUP($C743,Map_Register!$A$2:$C$5,3,FALSE()),""))</f>
        <v>Toponym Labels</v>
      </c>
      <c r="E743" s="20" t="s">
        <v>111</v>
      </c>
      <c r="F743" s="22">
        <v>27448</v>
      </c>
      <c r="G743" s="19" t="s">
        <v>112</v>
      </c>
      <c r="H743" s="19" t="s">
        <v>944</v>
      </c>
      <c r="I743" s="19" t="s">
        <v>8</v>
      </c>
      <c r="J743" s="19" t="s">
        <v>114</v>
      </c>
      <c r="K743" s="19" t="s">
        <v>114</v>
      </c>
      <c r="L743" s="19" t="s">
        <v>868</v>
      </c>
      <c r="M743" s="20" t="s">
        <v>116</v>
      </c>
      <c r="P743" s="20" t="s">
        <v>117</v>
      </c>
    </row>
    <row r="744" spans="1:16" x14ac:dyDescent="0.3">
      <c r="A744" s="19">
        <f t="shared" si="11"/>
        <v>743</v>
      </c>
      <c r="B744" s="20" t="s">
        <v>87</v>
      </c>
      <c r="C744" s="20" t="s">
        <v>102</v>
      </c>
      <c r="D744" s="21" t="str">
        <f>IF($C744="","",IFERROR(VLOOKUP($C744,Map_Register!$A$2:$C$5,3,FALSE()),""))</f>
        <v>Toponym Labels</v>
      </c>
      <c r="E744" s="20" t="s">
        <v>111</v>
      </c>
      <c r="F744" s="22">
        <v>27449</v>
      </c>
      <c r="G744" s="19" t="s">
        <v>112</v>
      </c>
      <c r="H744" s="19" t="s">
        <v>945</v>
      </c>
      <c r="I744" s="19" t="s">
        <v>6</v>
      </c>
      <c r="J744" s="19"/>
      <c r="K744" s="19"/>
      <c r="L744" s="19" t="s">
        <v>225</v>
      </c>
      <c r="P744" s="20" t="s">
        <v>117</v>
      </c>
    </row>
    <row r="745" spans="1:16" x14ac:dyDescent="0.3">
      <c r="A745" s="19">
        <f t="shared" si="11"/>
        <v>744</v>
      </c>
      <c r="B745" s="20" t="s">
        <v>87</v>
      </c>
      <c r="C745" s="20" t="s">
        <v>102</v>
      </c>
      <c r="D745" s="21" t="str">
        <f>IF($C745="","",IFERROR(VLOOKUP($C745,Map_Register!$A$2:$C$5,3,FALSE()),""))</f>
        <v>Toponym Labels</v>
      </c>
      <c r="E745" s="20" t="s">
        <v>111</v>
      </c>
      <c r="F745" s="22">
        <v>27457</v>
      </c>
      <c r="G745" s="19" t="s">
        <v>112</v>
      </c>
      <c r="H745" s="19" t="s">
        <v>946</v>
      </c>
      <c r="I745" s="19" t="s">
        <v>8</v>
      </c>
      <c r="J745" s="19" t="s">
        <v>114</v>
      </c>
      <c r="K745" s="19" t="s">
        <v>114</v>
      </c>
      <c r="L745" s="19" t="s">
        <v>872</v>
      </c>
      <c r="M745" s="20" t="s">
        <v>116</v>
      </c>
      <c r="P745" s="20" t="s">
        <v>117</v>
      </c>
    </row>
    <row r="746" spans="1:16" x14ac:dyDescent="0.3">
      <c r="A746" s="19">
        <f t="shared" si="11"/>
        <v>745</v>
      </c>
      <c r="B746" s="20" t="s">
        <v>87</v>
      </c>
      <c r="C746" s="20" t="s">
        <v>102</v>
      </c>
      <c r="D746" s="21" t="str">
        <f>IF($C746="","",IFERROR(VLOOKUP($C746,Map_Register!$A$2:$C$5,3,FALSE()),""))</f>
        <v>Toponym Labels</v>
      </c>
      <c r="E746" s="20" t="s">
        <v>111</v>
      </c>
      <c r="F746" s="22">
        <v>27458</v>
      </c>
      <c r="G746" s="19" t="s">
        <v>112</v>
      </c>
      <c r="H746" s="19" t="s">
        <v>947</v>
      </c>
      <c r="I746" s="19" t="s">
        <v>6</v>
      </c>
      <c r="J746" s="19"/>
      <c r="K746" s="19"/>
      <c r="L746" s="19" t="s">
        <v>398</v>
      </c>
      <c r="P746" s="20" t="s">
        <v>117</v>
      </c>
    </row>
    <row r="747" spans="1:16" x14ac:dyDescent="0.3">
      <c r="A747" s="19">
        <f t="shared" si="11"/>
        <v>746</v>
      </c>
      <c r="B747" s="20" t="s">
        <v>87</v>
      </c>
      <c r="C747" s="20" t="s">
        <v>102</v>
      </c>
      <c r="D747" s="21" t="str">
        <f>IF($C747="","",IFERROR(VLOOKUP($C747,Map_Register!$A$2:$C$5,3,FALSE()),""))</f>
        <v>Toponym Labels</v>
      </c>
      <c r="E747" s="20" t="s">
        <v>111</v>
      </c>
      <c r="F747" s="22">
        <v>27459</v>
      </c>
      <c r="G747" s="19" t="s">
        <v>112</v>
      </c>
      <c r="H747" s="19" t="s">
        <v>948</v>
      </c>
      <c r="I747" s="19" t="s">
        <v>8</v>
      </c>
      <c r="J747" s="19" t="s">
        <v>114</v>
      </c>
      <c r="K747" s="19" t="s">
        <v>114</v>
      </c>
      <c r="L747" s="19" t="s">
        <v>868</v>
      </c>
      <c r="M747" s="20" t="s">
        <v>116</v>
      </c>
      <c r="P747" s="20" t="s">
        <v>117</v>
      </c>
    </row>
    <row r="748" spans="1:16" x14ac:dyDescent="0.3">
      <c r="A748" s="19">
        <f t="shared" si="11"/>
        <v>747</v>
      </c>
      <c r="B748" s="20" t="s">
        <v>87</v>
      </c>
      <c r="C748" s="20" t="s">
        <v>102</v>
      </c>
      <c r="D748" s="21" t="str">
        <f>IF($C748="","",IFERROR(VLOOKUP($C748,Map_Register!$A$2:$C$5,3,FALSE()),""))</f>
        <v>Toponym Labels</v>
      </c>
      <c r="E748" s="20" t="s">
        <v>111</v>
      </c>
      <c r="F748" s="22">
        <v>27460</v>
      </c>
      <c r="G748" s="19" t="s">
        <v>112</v>
      </c>
      <c r="H748" s="19" t="s">
        <v>949</v>
      </c>
      <c r="I748" s="19" t="s">
        <v>8</v>
      </c>
      <c r="J748" s="19" t="s">
        <v>114</v>
      </c>
      <c r="K748" s="19" t="s">
        <v>114</v>
      </c>
      <c r="L748" s="19" t="s">
        <v>868</v>
      </c>
      <c r="M748" s="20" t="s">
        <v>116</v>
      </c>
      <c r="P748" s="20" t="s">
        <v>117</v>
      </c>
    </row>
    <row r="749" spans="1:16" x14ac:dyDescent="0.3">
      <c r="A749" s="19">
        <f t="shared" si="11"/>
        <v>748</v>
      </c>
      <c r="B749" s="20" t="s">
        <v>87</v>
      </c>
      <c r="C749" s="20" t="s">
        <v>102</v>
      </c>
      <c r="D749" s="21" t="str">
        <f>IF($C749="","",IFERROR(VLOOKUP($C749,Map_Register!$A$2:$C$5,3,FALSE()),""))</f>
        <v>Toponym Labels</v>
      </c>
      <c r="E749" s="20" t="s">
        <v>111</v>
      </c>
      <c r="F749" s="22">
        <v>27461</v>
      </c>
      <c r="G749" s="19" t="s">
        <v>112</v>
      </c>
      <c r="H749" s="19" t="s">
        <v>147</v>
      </c>
      <c r="I749" s="19" t="s">
        <v>8</v>
      </c>
      <c r="J749" s="19" t="s">
        <v>114</v>
      </c>
      <c r="K749" s="19" t="s">
        <v>114</v>
      </c>
      <c r="L749" s="19" t="s">
        <v>868</v>
      </c>
      <c r="M749" s="20" t="s">
        <v>116</v>
      </c>
      <c r="P749" s="20" t="s">
        <v>117</v>
      </c>
    </row>
    <row r="750" spans="1:16" x14ac:dyDescent="0.3">
      <c r="A750" s="19">
        <f t="shared" si="11"/>
        <v>749</v>
      </c>
      <c r="B750" s="20" t="s">
        <v>87</v>
      </c>
      <c r="C750" s="20" t="s">
        <v>102</v>
      </c>
      <c r="D750" s="21" t="str">
        <f>IF($C750="","",IFERROR(VLOOKUP($C750,Map_Register!$A$2:$C$5,3,FALSE()),""))</f>
        <v>Toponym Labels</v>
      </c>
      <c r="E750" s="20" t="s">
        <v>111</v>
      </c>
      <c r="F750" s="22">
        <v>27471</v>
      </c>
      <c r="G750" s="19" t="s">
        <v>112</v>
      </c>
      <c r="H750" s="19" t="s">
        <v>950</v>
      </c>
      <c r="I750" s="19" t="s">
        <v>8</v>
      </c>
      <c r="J750" s="19" t="s">
        <v>114</v>
      </c>
      <c r="K750" s="19" t="s">
        <v>114</v>
      </c>
      <c r="L750" s="19" t="s">
        <v>868</v>
      </c>
      <c r="M750" s="20" t="s">
        <v>116</v>
      </c>
      <c r="P750" s="20" t="s">
        <v>117</v>
      </c>
    </row>
    <row r="751" spans="1:16" x14ac:dyDescent="0.3">
      <c r="A751" s="19">
        <f t="shared" si="11"/>
        <v>750</v>
      </c>
      <c r="B751" s="20" t="s">
        <v>87</v>
      </c>
      <c r="C751" s="20" t="s">
        <v>102</v>
      </c>
      <c r="D751" s="21" t="str">
        <f>IF($C751="","",IFERROR(VLOOKUP($C751,Map_Register!$A$2:$C$5,3,FALSE()),""))</f>
        <v>Toponym Labels</v>
      </c>
      <c r="E751" s="20" t="s">
        <v>111</v>
      </c>
      <c r="F751" s="22">
        <v>27472</v>
      </c>
      <c r="G751" s="19" t="s">
        <v>112</v>
      </c>
      <c r="H751" s="19" t="s">
        <v>951</v>
      </c>
      <c r="I751" s="19" t="s">
        <v>8</v>
      </c>
      <c r="J751" s="19" t="s">
        <v>114</v>
      </c>
      <c r="K751" s="19" t="s">
        <v>114</v>
      </c>
      <c r="L751" s="19" t="s">
        <v>868</v>
      </c>
      <c r="M751" s="20" t="s">
        <v>116</v>
      </c>
      <c r="P751" s="20" t="s">
        <v>117</v>
      </c>
    </row>
    <row r="752" spans="1:16" x14ac:dyDescent="0.3">
      <c r="A752" s="19">
        <f t="shared" si="11"/>
        <v>751</v>
      </c>
      <c r="B752" s="20" t="s">
        <v>87</v>
      </c>
      <c r="C752" s="20" t="s">
        <v>102</v>
      </c>
      <c r="D752" s="21" t="str">
        <f>IF($C752="","",IFERROR(VLOOKUP($C752,Map_Register!$A$2:$C$5,3,FALSE()),""))</f>
        <v>Toponym Labels</v>
      </c>
      <c r="E752" s="20" t="s">
        <v>111</v>
      </c>
      <c r="F752" s="22">
        <v>27473</v>
      </c>
      <c r="G752" s="19" t="s">
        <v>112</v>
      </c>
      <c r="H752" s="19" t="s">
        <v>952</v>
      </c>
      <c r="I752" s="19" t="s">
        <v>8</v>
      </c>
      <c r="J752" s="19" t="s">
        <v>114</v>
      </c>
      <c r="K752" s="19" t="s">
        <v>114</v>
      </c>
      <c r="L752" s="19" t="s">
        <v>868</v>
      </c>
      <c r="M752" s="20" t="s">
        <v>116</v>
      </c>
      <c r="P752" s="20" t="s">
        <v>117</v>
      </c>
    </row>
    <row r="753" spans="1:16" x14ac:dyDescent="0.3">
      <c r="A753" s="19">
        <f t="shared" si="11"/>
        <v>752</v>
      </c>
      <c r="B753" s="20" t="s">
        <v>87</v>
      </c>
      <c r="C753" s="20" t="s">
        <v>102</v>
      </c>
      <c r="D753" s="21" t="str">
        <f>IF($C753="","",IFERROR(VLOOKUP($C753,Map_Register!$A$2:$C$5,3,FALSE()),""))</f>
        <v>Toponym Labels</v>
      </c>
      <c r="E753" s="20" t="s">
        <v>111</v>
      </c>
      <c r="F753" s="22">
        <v>27480</v>
      </c>
      <c r="G753" s="19" t="s">
        <v>112</v>
      </c>
      <c r="H753" s="19" t="s">
        <v>953</v>
      </c>
      <c r="I753" s="19" t="s">
        <v>8</v>
      </c>
      <c r="J753" s="19" t="s">
        <v>114</v>
      </c>
      <c r="K753" s="19" t="s">
        <v>114</v>
      </c>
      <c r="L753" s="19" t="s">
        <v>868</v>
      </c>
      <c r="M753" s="20" t="s">
        <v>116</v>
      </c>
      <c r="P753" s="20" t="s">
        <v>117</v>
      </c>
    </row>
    <row r="754" spans="1:16" x14ac:dyDescent="0.3">
      <c r="A754" s="19">
        <f t="shared" si="11"/>
        <v>753</v>
      </c>
      <c r="B754" s="20" t="s">
        <v>87</v>
      </c>
      <c r="C754" s="20" t="s">
        <v>102</v>
      </c>
      <c r="D754" s="21" t="str">
        <f>IF($C754="","",IFERROR(VLOOKUP($C754,Map_Register!$A$2:$C$5,3,FALSE()),""))</f>
        <v>Toponym Labels</v>
      </c>
      <c r="E754" s="20" t="s">
        <v>111</v>
      </c>
      <c r="F754" s="22">
        <v>27481</v>
      </c>
      <c r="G754" s="19" t="s">
        <v>112</v>
      </c>
      <c r="H754" s="19" t="s">
        <v>954</v>
      </c>
      <c r="I754" s="19" t="s">
        <v>8</v>
      </c>
      <c r="J754" s="19" t="s">
        <v>114</v>
      </c>
      <c r="K754" s="19" t="s">
        <v>114</v>
      </c>
      <c r="L754" s="19" t="s">
        <v>868</v>
      </c>
      <c r="M754" s="20" t="s">
        <v>116</v>
      </c>
      <c r="P754" s="20" t="s">
        <v>117</v>
      </c>
    </row>
    <row r="755" spans="1:16" x14ac:dyDescent="0.3">
      <c r="A755" s="19">
        <f t="shared" si="11"/>
        <v>754</v>
      </c>
      <c r="B755" s="20" t="s">
        <v>87</v>
      </c>
      <c r="C755" s="20" t="s">
        <v>102</v>
      </c>
      <c r="D755" s="21" t="str">
        <f>IF($C755="","",IFERROR(VLOOKUP($C755,Map_Register!$A$2:$C$5,3,FALSE()),""))</f>
        <v>Toponym Labels</v>
      </c>
      <c r="E755" s="20" t="s">
        <v>111</v>
      </c>
      <c r="F755" s="22">
        <v>27482</v>
      </c>
      <c r="G755" s="19" t="s">
        <v>112</v>
      </c>
      <c r="H755" s="19" t="s">
        <v>955</v>
      </c>
      <c r="I755" s="19" t="s">
        <v>8</v>
      </c>
      <c r="J755" s="19" t="s">
        <v>114</v>
      </c>
      <c r="K755" s="19" t="s">
        <v>114</v>
      </c>
      <c r="L755" s="19" t="s">
        <v>868</v>
      </c>
      <c r="M755" s="20" t="s">
        <v>116</v>
      </c>
      <c r="P755" s="20" t="s">
        <v>117</v>
      </c>
    </row>
    <row r="756" spans="1:16" x14ac:dyDescent="0.3">
      <c r="A756" s="19">
        <f t="shared" si="11"/>
        <v>755</v>
      </c>
      <c r="B756" s="20" t="s">
        <v>87</v>
      </c>
      <c r="C756" s="20" t="s">
        <v>102</v>
      </c>
      <c r="D756" s="21" t="str">
        <f>IF($C756="","",IFERROR(VLOOKUP($C756,Map_Register!$A$2:$C$5,3,FALSE()),""))</f>
        <v>Toponym Labels</v>
      </c>
      <c r="E756" s="20" t="s">
        <v>111</v>
      </c>
      <c r="F756" s="22">
        <v>27517</v>
      </c>
      <c r="G756" s="19" t="s">
        <v>112</v>
      </c>
      <c r="H756" s="19" t="s">
        <v>956</v>
      </c>
      <c r="I756" s="19" t="s">
        <v>8</v>
      </c>
      <c r="J756" s="19" t="s">
        <v>114</v>
      </c>
      <c r="K756" s="19" t="s">
        <v>114</v>
      </c>
      <c r="L756" s="19" t="s">
        <v>868</v>
      </c>
      <c r="M756" s="20" t="s">
        <v>116</v>
      </c>
      <c r="P756" s="20" t="s">
        <v>117</v>
      </c>
    </row>
    <row r="757" spans="1:16" x14ac:dyDescent="0.3">
      <c r="A757" s="19">
        <f t="shared" si="11"/>
        <v>756</v>
      </c>
      <c r="B757" s="20" t="s">
        <v>87</v>
      </c>
      <c r="C757" s="20" t="s">
        <v>102</v>
      </c>
      <c r="D757" s="21" t="str">
        <f>IF($C757="","",IFERROR(VLOOKUP($C757,Map_Register!$A$2:$C$5,3,FALSE()),""))</f>
        <v>Toponym Labels</v>
      </c>
      <c r="E757" s="20" t="s">
        <v>111</v>
      </c>
      <c r="F757" s="22">
        <v>27518</v>
      </c>
      <c r="G757" s="19" t="s">
        <v>112</v>
      </c>
      <c r="H757" s="19" t="s">
        <v>957</v>
      </c>
      <c r="I757" s="19" t="s">
        <v>8</v>
      </c>
      <c r="J757" s="19" t="s">
        <v>114</v>
      </c>
      <c r="K757" s="19" t="s">
        <v>114</v>
      </c>
      <c r="L757" s="19" t="s">
        <v>872</v>
      </c>
      <c r="M757" s="20" t="s">
        <v>116</v>
      </c>
      <c r="P757" s="20" t="s">
        <v>117</v>
      </c>
    </row>
    <row r="758" spans="1:16" x14ac:dyDescent="0.3">
      <c r="A758" s="19">
        <f t="shared" si="11"/>
        <v>757</v>
      </c>
      <c r="B758" s="20" t="s">
        <v>87</v>
      </c>
      <c r="C758" s="20" t="s">
        <v>102</v>
      </c>
      <c r="D758" s="21" t="str">
        <f>IF($C758="","",IFERROR(VLOOKUP($C758,Map_Register!$A$2:$C$5,3,FALSE()),""))</f>
        <v>Toponym Labels</v>
      </c>
      <c r="E758" s="20" t="s">
        <v>111</v>
      </c>
      <c r="F758" s="22">
        <v>27519</v>
      </c>
      <c r="G758" s="19" t="s">
        <v>112</v>
      </c>
      <c r="H758" s="19" t="s">
        <v>958</v>
      </c>
      <c r="I758" s="19" t="s">
        <v>8</v>
      </c>
      <c r="J758" s="19" t="s">
        <v>114</v>
      </c>
      <c r="K758" s="19" t="s">
        <v>114</v>
      </c>
      <c r="L758" s="19" t="s">
        <v>868</v>
      </c>
      <c r="M758" s="20" t="s">
        <v>116</v>
      </c>
      <c r="P758" s="20" t="s">
        <v>117</v>
      </c>
    </row>
    <row r="759" spans="1:16" x14ac:dyDescent="0.3">
      <c r="A759" s="19">
        <f t="shared" si="11"/>
        <v>758</v>
      </c>
      <c r="B759" s="20" t="s">
        <v>87</v>
      </c>
      <c r="C759" s="20" t="s">
        <v>102</v>
      </c>
      <c r="D759" s="21" t="str">
        <f>IF($C759="","",IFERROR(VLOOKUP($C759,Map_Register!$A$2:$C$5,3,FALSE()),""))</f>
        <v>Toponym Labels</v>
      </c>
      <c r="E759" s="20" t="s">
        <v>111</v>
      </c>
      <c r="F759" s="22">
        <v>27520</v>
      </c>
      <c r="G759" s="19" t="s">
        <v>112</v>
      </c>
      <c r="H759" s="19" t="s">
        <v>959</v>
      </c>
      <c r="I759" s="19" t="s">
        <v>8</v>
      </c>
      <c r="J759" s="19" t="s">
        <v>114</v>
      </c>
      <c r="K759" s="19" t="s">
        <v>114</v>
      </c>
      <c r="L759" s="19" t="s">
        <v>960</v>
      </c>
      <c r="M759" s="20" t="s">
        <v>116</v>
      </c>
      <c r="P759" s="20" t="s">
        <v>117</v>
      </c>
    </row>
    <row r="760" spans="1:16" x14ac:dyDescent="0.3">
      <c r="A760" s="19">
        <f t="shared" si="11"/>
        <v>759</v>
      </c>
      <c r="B760" s="20" t="s">
        <v>87</v>
      </c>
      <c r="C760" s="20" t="s">
        <v>102</v>
      </c>
      <c r="D760" s="21" t="str">
        <f>IF($C760="","",IFERROR(VLOOKUP($C760,Map_Register!$A$2:$C$5,3,FALSE()),""))</f>
        <v>Toponym Labels</v>
      </c>
      <c r="E760" s="20" t="s">
        <v>111</v>
      </c>
      <c r="F760" s="22">
        <v>27543</v>
      </c>
      <c r="G760" s="19" t="s">
        <v>112</v>
      </c>
      <c r="H760" s="19" t="s">
        <v>961</v>
      </c>
      <c r="I760" s="19" t="s">
        <v>6</v>
      </c>
      <c r="J760" s="19"/>
      <c r="K760" s="19"/>
      <c r="L760" s="19" t="s">
        <v>398</v>
      </c>
      <c r="P760" s="20" t="s">
        <v>117</v>
      </c>
    </row>
    <row r="761" spans="1:16" x14ac:dyDescent="0.3">
      <c r="A761" s="19">
        <f t="shared" si="11"/>
        <v>760</v>
      </c>
      <c r="B761" s="20" t="s">
        <v>87</v>
      </c>
      <c r="C761" s="20" t="s">
        <v>102</v>
      </c>
      <c r="D761" s="21" t="str">
        <f>IF($C761="","",IFERROR(VLOOKUP($C761,Map_Register!$A$2:$C$5,3,FALSE()),""))</f>
        <v>Toponym Labels</v>
      </c>
      <c r="E761" s="20" t="s">
        <v>111</v>
      </c>
      <c r="F761" s="22">
        <v>27544</v>
      </c>
      <c r="G761" s="19" t="s">
        <v>112</v>
      </c>
      <c r="H761" s="19" t="s">
        <v>962</v>
      </c>
      <c r="I761" s="19" t="s">
        <v>8</v>
      </c>
      <c r="J761" s="19" t="s">
        <v>114</v>
      </c>
      <c r="K761" s="19" t="s">
        <v>114</v>
      </c>
      <c r="L761" s="19" t="s">
        <v>872</v>
      </c>
      <c r="M761" s="20" t="s">
        <v>116</v>
      </c>
      <c r="P761" s="20" t="s">
        <v>117</v>
      </c>
    </row>
    <row r="762" spans="1:16" x14ac:dyDescent="0.3">
      <c r="A762" s="19">
        <f t="shared" si="11"/>
        <v>761</v>
      </c>
      <c r="B762" s="20" t="s">
        <v>87</v>
      </c>
      <c r="C762" s="20" t="s">
        <v>102</v>
      </c>
      <c r="D762" s="21" t="str">
        <f>IF($C762="","",IFERROR(VLOOKUP($C762,Map_Register!$A$2:$C$5,3,FALSE()),""))</f>
        <v>Toponym Labels</v>
      </c>
      <c r="E762" s="20" t="s">
        <v>111</v>
      </c>
      <c r="F762" s="22">
        <v>27545</v>
      </c>
      <c r="G762" s="19" t="s">
        <v>112</v>
      </c>
      <c r="H762" s="19" t="s">
        <v>963</v>
      </c>
      <c r="I762" s="19" t="s">
        <v>8</v>
      </c>
      <c r="J762" s="19" t="s">
        <v>114</v>
      </c>
      <c r="K762" s="19" t="s">
        <v>114</v>
      </c>
      <c r="L762" s="19" t="s">
        <v>868</v>
      </c>
      <c r="M762" s="20" t="s">
        <v>116</v>
      </c>
      <c r="P762" s="20" t="s">
        <v>117</v>
      </c>
    </row>
    <row r="763" spans="1:16" x14ac:dyDescent="0.3">
      <c r="A763" s="19">
        <f t="shared" si="11"/>
        <v>762</v>
      </c>
      <c r="B763" s="20" t="s">
        <v>87</v>
      </c>
      <c r="C763" s="20" t="s">
        <v>102</v>
      </c>
      <c r="D763" s="21" t="str">
        <f>IF($C763="","",IFERROR(VLOOKUP($C763,Map_Register!$A$2:$C$5,3,FALSE()),""))</f>
        <v>Toponym Labels</v>
      </c>
      <c r="E763" s="20" t="s">
        <v>111</v>
      </c>
      <c r="F763" s="22">
        <v>27554</v>
      </c>
      <c r="G763" s="19" t="s">
        <v>112</v>
      </c>
      <c r="H763" s="19" t="s">
        <v>964</v>
      </c>
      <c r="I763" s="19" t="s">
        <v>8</v>
      </c>
      <c r="J763" s="19" t="s">
        <v>114</v>
      </c>
      <c r="K763" s="19" t="s">
        <v>114</v>
      </c>
      <c r="L763" s="19" t="s">
        <v>876</v>
      </c>
      <c r="M763" s="20" t="s">
        <v>116</v>
      </c>
      <c r="P763" s="20" t="s">
        <v>117</v>
      </c>
    </row>
    <row r="764" spans="1:16" x14ac:dyDescent="0.3">
      <c r="A764" s="19">
        <f t="shared" si="11"/>
        <v>763</v>
      </c>
      <c r="B764" s="20" t="s">
        <v>87</v>
      </c>
      <c r="C764" s="20" t="s">
        <v>102</v>
      </c>
      <c r="D764" s="21" t="str">
        <f>IF($C764="","",IFERROR(VLOOKUP($C764,Map_Register!$A$2:$C$5,3,FALSE()),""))</f>
        <v>Toponym Labels</v>
      </c>
      <c r="E764" s="20" t="s">
        <v>111</v>
      </c>
      <c r="F764" s="22">
        <v>27557</v>
      </c>
      <c r="G764" s="19" t="s">
        <v>112</v>
      </c>
      <c r="H764" s="19" t="s">
        <v>965</v>
      </c>
      <c r="I764" s="19" t="s">
        <v>6</v>
      </c>
      <c r="J764" s="19"/>
      <c r="K764" s="19"/>
      <c r="L764" s="19" t="s">
        <v>227</v>
      </c>
      <c r="P764" s="20" t="s">
        <v>117</v>
      </c>
    </row>
    <row r="765" spans="1:16" x14ac:dyDescent="0.3">
      <c r="A765" s="19">
        <f t="shared" si="11"/>
        <v>764</v>
      </c>
      <c r="B765" s="20" t="s">
        <v>87</v>
      </c>
      <c r="C765" s="20" t="s">
        <v>102</v>
      </c>
      <c r="D765" s="21" t="str">
        <f>IF($C765="","",IFERROR(VLOOKUP($C765,Map_Register!$A$2:$C$5,3,FALSE()),""))</f>
        <v>Toponym Labels</v>
      </c>
      <c r="E765" s="20" t="s">
        <v>111</v>
      </c>
      <c r="F765" s="22">
        <v>27570</v>
      </c>
      <c r="G765" s="19" t="s">
        <v>112</v>
      </c>
      <c r="H765" s="19" t="s">
        <v>966</v>
      </c>
      <c r="I765" s="19" t="s">
        <v>8</v>
      </c>
      <c r="J765" s="19" t="s">
        <v>114</v>
      </c>
      <c r="K765" s="19" t="s">
        <v>114</v>
      </c>
      <c r="L765" s="19" t="s">
        <v>967</v>
      </c>
      <c r="M765" s="20" t="s">
        <v>116</v>
      </c>
      <c r="P765" s="20" t="s">
        <v>117</v>
      </c>
    </row>
    <row r="766" spans="1:16" x14ac:dyDescent="0.3">
      <c r="A766" s="19">
        <f t="shared" si="11"/>
        <v>765</v>
      </c>
      <c r="B766" s="20" t="s">
        <v>87</v>
      </c>
      <c r="C766" s="20" t="s">
        <v>102</v>
      </c>
      <c r="D766" s="21" t="str">
        <f>IF($C766="","",IFERROR(VLOOKUP($C766,Map_Register!$A$2:$C$5,3,FALSE()),""))</f>
        <v>Toponym Labels</v>
      </c>
      <c r="E766" s="20" t="s">
        <v>111</v>
      </c>
      <c r="F766" s="22">
        <v>27577</v>
      </c>
      <c r="G766" s="19" t="s">
        <v>112</v>
      </c>
      <c r="H766" s="19" t="s">
        <v>968</v>
      </c>
      <c r="I766" s="19" t="s">
        <v>6</v>
      </c>
      <c r="J766" s="19"/>
      <c r="K766" s="19"/>
      <c r="L766" s="19" t="s">
        <v>225</v>
      </c>
      <c r="P766" s="20" t="s">
        <v>117</v>
      </c>
    </row>
    <row r="767" spans="1:16" x14ac:dyDescent="0.3">
      <c r="A767" s="19">
        <f t="shared" si="11"/>
        <v>766</v>
      </c>
      <c r="B767" s="20" t="s">
        <v>87</v>
      </c>
      <c r="C767" s="20" t="s">
        <v>102</v>
      </c>
      <c r="D767" s="21" t="str">
        <f>IF($C767="","",IFERROR(VLOOKUP($C767,Map_Register!$A$2:$C$5,3,FALSE()),""))</f>
        <v>Toponym Labels</v>
      </c>
      <c r="E767" s="20" t="s">
        <v>111</v>
      </c>
      <c r="F767" s="22">
        <v>27583</v>
      </c>
      <c r="G767" s="19" t="s">
        <v>112</v>
      </c>
      <c r="H767" s="19" t="s">
        <v>969</v>
      </c>
      <c r="I767" s="19" t="s">
        <v>8</v>
      </c>
      <c r="J767" s="19" t="s">
        <v>114</v>
      </c>
      <c r="K767" s="19" t="s">
        <v>114</v>
      </c>
      <c r="L767" s="19" t="s">
        <v>872</v>
      </c>
      <c r="M767" s="20" t="s">
        <v>116</v>
      </c>
      <c r="P767" s="20" t="s">
        <v>117</v>
      </c>
    </row>
    <row r="768" spans="1:16" x14ac:dyDescent="0.3">
      <c r="A768" s="19">
        <f t="shared" si="11"/>
        <v>767</v>
      </c>
      <c r="B768" s="20" t="s">
        <v>87</v>
      </c>
      <c r="C768" s="20" t="s">
        <v>102</v>
      </c>
      <c r="D768" s="21" t="str">
        <f>IF($C768="","",IFERROR(VLOOKUP($C768,Map_Register!$A$2:$C$5,3,FALSE()),""))</f>
        <v>Toponym Labels</v>
      </c>
      <c r="E768" s="20" t="s">
        <v>111</v>
      </c>
      <c r="F768" s="22">
        <v>27584</v>
      </c>
      <c r="G768" s="19" t="s">
        <v>112</v>
      </c>
      <c r="H768" s="19" t="s">
        <v>970</v>
      </c>
      <c r="I768" s="19" t="s">
        <v>8</v>
      </c>
      <c r="J768" s="19" t="s">
        <v>114</v>
      </c>
      <c r="K768" s="19" t="s">
        <v>114</v>
      </c>
      <c r="L768" s="19" t="s">
        <v>872</v>
      </c>
      <c r="M768" s="20" t="s">
        <v>116</v>
      </c>
      <c r="P768" s="20" t="s">
        <v>117</v>
      </c>
    </row>
    <row r="769" spans="1:16" x14ac:dyDescent="0.3">
      <c r="A769" s="19">
        <f t="shared" si="11"/>
        <v>768</v>
      </c>
      <c r="B769" s="20" t="s">
        <v>87</v>
      </c>
      <c r="C769" s="20" t="s">
        <v>102</v>
      </c>
      <c r="D769" s="21" t="str">
        <f>IF($C769="","",IFERROR(VLOOKUP($C769,Map_Register!$A$2:$C$5,3,FALSE()),""))</f>
        <v>Toponym Labels</v>
      </c>
      <c r="E769" s="20" t="s">
        <v>111</v>
      </c>
      <c r="F769" s="22">
        <v>27585</v>
      </c>
      <c r="G769" s="19" t="s">
        <v>112</v>
      </c>
      <c r="H769" s="19" t="s">
        <v>971</v>
      </c>
      <c r="I769" s="19" t="s">
        <v>6</v>
      </c>
      <c r="J769" s="19"/>
      <c r="K769" s="19"/>
      <c r="L769" s="19" t="s">
        <v>225</v>
      </c>
      <c r="P769" s="20" t="s">
        <v>117</v>
      </c>
    </row>
    <row r="770" spans="1:16" x14ac:dyDescent="0.3">
      <c r="A770" s="19">
        <f t="shared" ref="A770:A829" si="12">IF($B770="","",ROW()-1)</f>
        <v>769</v>
      </c>
      <c r="B770" s="20" t="s">
        <v>87</v>
      </c>
      <c r="C770" s="20" t="s">
        <v>102</v>
      </c>
      <c r="D770" s="21" t="str">
        <f>IF($C770="","",IFERROR(VLOOKUP($C770,Map_Register!$A$2:$C$5,3,FALSE()),""))</f>
        <v>Toponym Labels</v>
      </c>
      <c r="E770" s="20" t="s">
        <v>111</v>
      </c>
      <c r="F770" s="22">
        <v>27586</v>
      </c>
      <c r="G770" s="19" t="s">
        <v>112</v>
      </c>
      <c r="H770" s="19" t="s">
        <v>972</v>
      </c>
      <c r="I770" s="19" t="s">
        <v>8</v>
      </c>
      <c r="J770" s="19" t="s">
        <v>114</v>
      </c>
      <c r="K770" s="19" t="s">
        <v>114</v>
      </c>
      <c r="L770" s="19" t="s">
        <v>973</v>
      </c>
      <c r="M770" s="20" t="s">
        <v>116</v>
      </c>
      <c r="P770" s="20" t="s">
        <v>117</v>
      </c>
    </row>
    <row r="771" spans="1:16" x14ac:dyDescent="0.3">
      <c r="A771" s="19">
        <f t="shared" si="12"/>
        <v>770</v>
      </c>
      <c r="B771" s="20" t="s">
        <v>87</v>
      </c>
      <c r="C771" s="20" t="s">
        <v>102</v>
      </c>
      <c r="D771" s="21" t="str">
        <f>IF($C771="","",IFERROR(VLOOKUP($C771,Map_Register!$A$2:$C$5,3,FALSE()),""))</f>
        <v>Toponym Labels</v>
      </c>
      <c r="E771" s="20" t="s">
        <v>111</v>
      </c>
      <c r="F771" s="22">
        <v>27587</v>
      </c>
      <c r="G771" s="19" t="s">
        <v>112</v>
      </c>
      <c r="H771" s="19" t="s">
        <v>974</v>
      </c>
      <c r="I771" s="19" t="s">
        <v>8</v>
      </c>
      <c r="J771" s="19" t="s">
        <v>114</v>
      </c>
      <c r="K771" s="19" t="s">
        <v>114</v>
      </c>
      <c r="L771" s="19" t="s">
        <v>868</v>
      </c>
      <c r="M771" s="20" t="s">
        <v>116</v>
      </c>
      <c r="P771" s="20" t="s">
        <v>117</v>
      </c>
    </row>
    <row r="772" spans="1:16" x14ac:dyDescent="0.3">
      <c r="A772" s="19">
        <f t="shared" si="12"/>
        <v>771</v>
      </c>
      <c r="B772" s="20" t="s">
        <v>87</v>
      </c>
      <c r="C772" s="20" t="s">
        <v>102</v>
      </c>
      <c r="D772" s="21" t="str">
        <f>IF($C772="","",IFERROR(VLOOKUP($C772,Map_Register!$A$2:$C$5,3,FALSE()),""))</f>
        <v>Toponym Labels</v>
      </c>
      <c r="E772" s="20" t="s">
        <v>111</v>
      </c>
      <c r="F772" s="22">
        <v>27594</v>
      </c>
      <c r="G772" s="19" t="s">
        <v>112</v>
      </c>
      <c r="H772" s="19" t="s">
        <v>975</v>
      </c>
      <c r="I772" s="19" t="s">
        <v>8</v>
      </c>
      <c r="J772" s="19" t="s">
        <v>114</v>
      </c>
      <c r="K772" s="19" t="s">
        <v>114</v>
      </c>
      <c r="L772" s="19" t="s">
        <v>976</v>
      </c>
      <c r="M772" s="20" t="s">
        <v>116</v>
      </c>
      <c r="P772" s="20" t="s">
        <v>117</v>
      </c>
    </row>
    <row r="773" spans="1:16" x14ac:dyDescent="0.3">
      <c r="A773" s="19">
        <f t="shared" si="12"/>
        <v>772</v>
      </c>
      <c r="B773" s="20" t="s">
        <v>87</v>
      </c>
      <c r="C773" s="20" t="s">
        <v>102</v>
      </c>
      <c r="D773" s="21" t="str">
        <f>IF($C773="","",IFERROR(VLOOKUP($C773,Map_Register!$A$2:$C$5,3,FALSE()),""))</f>
        <v>Toponym Labels</v>
      </c>
      <c r="E773" s="20" t="s">
        <v>111</v>
      </c>
      <c r="F773" s="22">
        <v>27595</v>
      </c>
      <c r="G773" s="19" t="s">
        <v>112</v>
      </c>
      <c r="H773" s="19" t="s">
        <v>977</v>
      </c>
      <c r="I773" s="19" t="s">
        <v>8</v>
      </c>
      <c r="J773" s="19" t="s">
        <v>114</v>
      </c>
      <c r="K773" s="19" t="s">
        <v>114</v>
      </c>
      <c r="L773" s="19" t="s">
        <v>978</v>
      </c>
      <c r="M773" s="20" t="s">
        <v>116</v>
      </c>
      <c r="P773" s="20" t="s">
        <v>117</v>
      </c>
    </row>
    <row r="774" spans="1:16" x14ac:dyDescent="0.3">
      <c r="A774" s="19">
        <f t="shared" si="12"/>
        <v>773</v>
      </c>
      <c r="B774" s="20" t="s">
        <v>87</v>
      </c>
      <c r="C774" s="20" t="s">
        <v>102</v>
      </c>
      <c r="D774" s="21" t="str">
        <f>IF($C774="","",IFERROR(VLOOKUP($C774,Map_Register!$A$2:$C$5,3,FALSE()),""))</f>
        <v>Toponym Labels</v>
      </c>
      <c r="E774" s="20" t="s">
        <v>111</v>
      </c>
      <c r="F774" s="22">
        <v>27607</v>
      </c>
      <c r="G774" s="19" t="s">
        <v>112</v>
      </c>
      <c r="H774" s="19" t="s">
        <v>979</v>
      </c>
      <c r="I774" s="19" t="s">
        <v>8</v>
      </c>
      <c r="J774" s="19" t="s">
        <v>114</v>
      </c>
      <c r="K774" s="19" t="s">
        <v>114</v>
      </c>
      <c r="L774" s="19" t="s">
        <v>868</v>
      </c>
      <c r="M774" s="20" t="s">
        <v>116</v>
      </c>
      <c r="P774" s="20" t="s">
        <v>117</v>
      </c>
    </row>
    <row r="775" spans="1:16" x14ac:dyDescent="0.3">
      <c r="A775" s="19">
        <f t="shared" si="12"/>
        <v>774</v>
      </c>
      <c r="B775" s="20" t="s">
        <v>87</v>
      </c>
      <c r="C775" s="20" t="s">
        <v>102</v>
      </c>
      <c r="D775" s="21" t="str">
        <f>IF($C775="","",IFERROR(VLOOKUP($C775,Map_Register!$A$2:$C$5,3,FALSE()),""))</f>
        <v>Toponym Labels</v>
      </c>
      <c r="E775" s="20" t="s">
        <v>111</v>
      </c>
      <c r="F775" s="22">
        <v>27636</v>
      </c>
      <c r="G775" s="19" t="s">
        <v>112</v>
      </c>
      <c r="H775" s="19" t="s">
        <v>980</v>
      </c>
      <c r="I775" s="19" t="s">
        <v>8</v>
      </c>
      <c r="J775" s="19" t="s">
        <v>114</v>
      </c>
      <c r="K775" s="19" t="s">
        <v>114</v>
      </c>
      <c r="L775" s="19" t="s">
        <v>981</v>
      </c>
      <c r="M775" s="20" t="s">
        <v>116</v>
      </c>
      <c r="P775" s="20" t="s">
        <v>117</v>
      </c>
    </row>
    <row r="776" spans="1:16" x14ac:dyDescent="0.3">
      <c r="A776" s="19">
        <f t="shared" si="12"/>
        <v>775</v>
      </c>
      <c r="B776" s="20" t="s">
        <v>87</v>
      </c>
      <c r="C776" s="20" t="s">
        <v>102</v>
      </c>
      <c r="D776" s="21" t="str">
        <f>IF($C776="","",IFERROR(VLOOKUP($C776,Map_Register!$A$2:$C$5,3,FALSE()),""))</f>
        <v>Toponym Labels</v>
      </c>
      <c r="E776" s="20" t="s">
        <v>111</v>
      </c>
      <c r="F776" s="22">
        <v>27637</v>
      </c>
      <c r="G776" s="19" t="s">
        <v>112</v>
      </c>
      <c r="H776" s="19" t="s">
        <v>982</v>
      </c>
      <c r="I776" s="19" t="s">
        <v>8</v>
      </c>
      <c r="J776" s="19" t="s">
        <v>114</v>
      </c>
      <c r="K776" s="19" t="s">
        <v>114</v>
      </c>
      <c r="L776" s="19" t="s">
        <v>874</v>
      </c>
      <c r="M776" s="20" t="s">
        <v>116</v>
      </c>
      <c r="P776" s="20" t="s">
        <v>117</v>
      </c>
    </row>
    <row r="777" spans="1:16" x14ac:dyDescent="0.3">
      <c r="A777" s="19">
        <f t="shared" si="12"/>
        <v>776</v>
      </c>
      <c r="B777" s="20" t="s">
        <v>87</v>
      </c>
      <c r="C777" s="20" t="s">
        <v>102</v>
      </c>
      <c r="D777" s="21" t="str">
        <f>IF($C777="","",IFERROR(VLOOKUP($C777,Map_Register!$A$2:$C$5,3,FALSE()),""))</f>
        <v>Toponym Labels</v>
      </c>
      <c r="E777" s="20" t="s">
        <v>111</v>
      </c>
      <c r="F777" s="22">
        <v>27664</v>
      </c>
      <c r="G777" s="19" t="s">
        <v>112</v>
      </c>
      <c r="H777" s="19" t="s">
        <v>983</v>
      </c>
      <c r="I777" s="19" t="s">
        <v>8</v>
      </c>
      <c r="J777" s="19" t="s">
        <v>114</v>
      </c>
      <c r="K777" s="19" t="s">
        <v>114</v>
      </c>
      <c r="L777" s="19" t="s">
        <v>868</v>
      </c>
      <c r="M777" s="20" t="s">
        <v>116</v>
      </c>
      <c r="P777" s="20" t="s">
        <v>117</v>
      </c>
    </row>
    <row r="778" spans="1:16" x14ac:dyDescent="0.3">
      <c r="A778" s="19">
        <f t="shared" si="12"/>
        <v>777</v>
      </c>
      <c r="B778" s="20" t="s">
        <v>87</v>
      </c>
      <c r="C778" s="20" t="s">
        <v>102</v>
      </c>
      <c r="D778" s="21" t="str">
        <f>IF($C778="","",IFERROR(VLOOKUP($C778,Map_Register!$A$2:$C$5,3,FALSE()),""))</f>
        <v>Toponym Labels</v>
      </c>
      <c r="E778" s="20" t="s">
        <v>111</v>
      </c>
      <c r="F778" s="22">
        <v>27666</v>
      </c>
      <c r="G778" s="19" t="s">
        <v>112</v>
      </c>
      <c r="H778" s="19" t="s">
        <v>984</v>
      </c>
      <c r="I778" s="19" t="s">
        <v>8</v>
      </c>
      <c r="J778" s="19" t="s">
        <v>114</v>
      </c>
      <c r="K778" s="19" t="s">
        <v>114</v>
      </c>
      <c r="L778" s="19" t="s">
        <v>868</v>
      </c>
      <c r="M778" s="20" t="s">
        <v>116</v>
      </c>
      <c r="P778" s="20" t="s">
        <v>117</v>
      </c>
    </row>
    <row r="779" spans="1:16" x14ac:dyDescent="0.3">
      <c r="A779" s="19">
        <f t="shared" si="12"/>
        <v>778</v>
      </c>
      <c r="B779" s="20" t="s">
        <v>87</v>
      </c>
      <c r="C779" s="20" t="s">
        <v>102</v>
      </c>
      <c r="D779" s="21" t="str">
        <f>IF($C779="","",IFERROR(VLOOKUP($C779,Map_Register!$A$2:$C$5,3,FALSE()),""))</f>
        <v>Toponym Labels</v>
      </c>
      <c r="E779" s="20" t="s">
        <v>111</v>
      </c>
      <c r="F779" s="22">
        <v>27667</v>
      </c>
      <c r="G779" s="19" t="s">
        <v>112</v>
      </c>
      <c r="H779" s="19" t="s">
        <v>985</v>
      </c>
      <c r="I779" s="19" t="s">
        <v>6</v>
      </c>
      <c r="J779" s="19"/>
      <c r="K779" s="19"/>
      <c r="L779" s="19" t="s">
        <v>398</v>
      </c>
      <c r="P779" s="20" t="s">
        <v>117</v>
      </c>
    </row>
    <row r="780" spans="1:16" x14ac:dyDescent="0.3">
      <c r="A780" s="19">
        <f t="shared" si="12"/>
        <v>779</v>
      </c>
      <c r="B780" s="20" t="s">
        <v>87</v>
      </c>
      <c r="C780" s="20" t="s">
        <v>102</v>
      </c>
      <c r="D780" s="21" t="str">
        <f>IF($C780="","",IFERROR(VLOOKUP($C780,Map_Register!$A$2:$C$5,3,FALSE()),""))</f>
        <v>Toponym Labels</v>
      </c>
      <c r="E780" s="20" t="s">
        <v>111</v>
      </c>
      <c r="F780" s="22">
        <v>27668</v>
      </c>
      <c r="G780" s="19" t="s">
        <v>112</v>
      </c>
      <c r="H780" s="19" t="s">
        <v>986</v>
      </c>
      <c r="I780" s="19" t="s">
        <v>8</v>
      </c>
      <c r="J780" s="19" t="s">
        <v>114</v>
      </c>
      <c r="K780" s="19" t="s">
        <v>114</v>
      </c>
      <c r="L780" s="19" t="s">
        <v>868</v>
      </c>
      <c r="M780" s="20" t="s">
        <v>116</v>
      </c>
      <c r="P780" s="20" t="s">
        <v>117</v>
      </c>
    </row>
    <row r="781" spans="1:16" x14ac:dyDescent="0.3">
      <c r="A781" s="19">
        <f t="shared" si="12"/>
        <v>780</v>
      </c>
      <c r="B781" s="20" t="s">
        <v>87</v>
      </c>
      <c r="C781" s="20" t="s">
        <v>102</v>
      </c>
      <c r="D781" s="21" t="str">
        <f>IF($C781="","",IFERROR(VLOOKUP($C781,Map_Register!$A$2:$C$5,3,FALSE()),""))</f>
        <v>Toponym Labels</v>
      </c>
      <c r="E781" s="20" t="s">
        <v>111</v>
      </c>
      <c r="F781" s="22">
        <v>27669</v>
      </c>
      <c r="G781" s="19" t="s">
        <v>112</v>
      </c>
      <c r="H781" s="19" t="s">
        <v>987</v>
      </c>
      <c r="I781" s="19" t="s">
        <v>8</v>
      </c>
      <c r="J781" s="19" t="s">
        <v>114</v>
      </c>
      <c r="K781" s="19" t="s">
        <v>114</v>
      </c>
      <c r="L781" s="19" t="s">
        <v>868</v>
      </c>
      <c r="M781" s="20" t="s">
        <v>116</v>
      </c>
      <c r="P781" s="20" t="s">
        <v>117</v>
      </c>
    </row>
    <row r="782" spans="1:16" x14ac:dyDescent="0.3">
      <c r="A782" s="19">
        <f t="shared" si="12"/>
        <v>781</v>
      </c>
      <c r="B782" s="20" t="s">
        <v>87</v>
      </c>
      <c r="C782" s="20" t="s">
        <v>102</v>
      </c>
      <c r="D782" s="21" t="str">
        <f>IF($C782="","",IFERROR(VLOOKUP($C782,Map_Register!$A$2:$C$5,3,FALSE()),""))</f>
        <v>Toponym Labels</v>
      </c>
      <c r="E782" s="20" t="s">
        <v>111</v>
      </c>
      <c r="F782" s="22">
        <v>27671</v>
      </c>
      <c r="G782" s="19" t="s">
        <v>112</v>
      </c>
      <c r="H782" s="19" t="s">
        <v>988</v>
      </c>
      <c r="I782" s="19" t="s">
        <v>8</v>
      </c>
      <c r="J782" s="19" t="s">
        <v>114</v>
      </c>
      <c r="K782" s="19" t="s">
        <v>114</v>
      </c>
      <c r="L782" s="19" t="s">
        <v>868</v>
      </c>
      <c r="M782" s="20" t="s">
        <v>116</v>
      </c>
      <c r="P782" s="20" t="s">
        <v>117</v>
      </c>
    </row>
    <row r="783" spans="1:16" x14ac:dyDescent="0.3">
      <c r="A783" s="19">
        <f t="shared" si="12"/>
        <v>782</v>
      </c>
      <c r="B783" s="20" t="s">
        <v>87</v>
      </c>
      <c r="C783" s="20" t="s">
        <v>102</v>
      </c>
      <c r="D783" s="21" t="str">
        <f>IF($C783="","",IFERROR(VLOOKUP($C783,Map_Register!$A$2:$C$5,3,FALSE()),""))</f>
        <v>Toponym Labels</v>
      </c>
      <c r="E783" s="20" t="s">
        <v>111</v>
      </c>
      <c r="F783" s="22">
        <v>27672</v>
      </c>
      <c r="G783" s="19" t="s">
        <v>112</v>
      </c>
      <c r="H783" s="19" t="s">
        <v>989</v>
      </c>
      <c r="I783" s="19" t="s">
        <v>8</v>
      </c>
      <c r="J783" s="19" t="s">
        <v>114</v>
      </c>
      <c r="K783" s="19" t="s">
        <v>114</v>
      </c>
      <c r="L783" s="19" t="s">
        <v>868</v>
      </c>
      <c r="M783" s="20" t="s">
        <v>116</v>
      </c>
      <c r="P783" s="20" t="s">
        <v>117</v>
      </c>
    </row>
    <row r="784" spans="1:16" x14ac:dyDescent="0.3">
      <c r="A784" s="19">
        <f t="shared" si="12"/>
        <v>783</v>
      </c>
      <c r="B784" s="20" t="s">
        <v>87</v>
      </c>
      <c r="C784" s="20" t="s">
        <v>102</v>
      </c>
      <c r="D784" s="21" t="str">
        <f>IF($C784="","",IFERROR(VLOOKUP($C784,Map_Register!$A$2:$C$5,3,FALSE()),""))</f>
        <v>Toponym Labels</v>
      </c>
      <c r="E784" s="20" t="s">
        <v>111</v>
      </c>
      <c r="F784" s="22">
        <v>27675</v>
      </c>
      <c r="G784" s="19" t="s">
        <v>112</v>
      </c>
      <c r="H784" s="19" t="s">
        <v>990</v>
      </c>
      <c r="I784" s="19" t="s">
        <v>8</v>
      </c>
      <c r="J784" s="19" t="s">
        <v>114</v>
      </c>
      <c r="K784" s="19" t="s">
        <v>114</v>
      </c>
      <c r="L784" s="19" t="s">
        <v>991</v>
      </c>
      <c r="M784" s="20" t="s">
        <v>116</v>
      </c>
      <c r="P784" s="20" t="s">
        <v>117</v>
      </c>
    </row>
    <row r="785" spans="1:16" x14ac:dyDescent="0.3">
      <c r="A785" s="19">
        <f t="shared" si="12"/>
        <v>784</v>
      </c>
      <c r="B785" s="20" t="s">
        <v>87</v>
      </c>
      <c r="C785" s="20" t="s">
        <v>102</v>
      </c>
      <c r="D785" s="21" t="str">
        <f>IF($C785="","",IFERROR(VLOOKUP($C785,Map_Register!$A$2:$C$5,3,FALSE()),""))</f>
        <v>Toponym Labels</v>
      </c>
      <c r="E785" s="20" t="s">
        <v>111</v>
      </c>
      <c r="F785" s="22">
        <v>27676</v>
      </c>
      <c r="G785" s="19" t="s">
        <v>112</v>
      </c>
      <c r="H785" s="19" t="s">
        <v>992</v>
      </c>
      <c r="I785" s="19" t="s">
        <v>8</v>
      </c>
      <c r="J785" s="19" t="s">
        <v>114</v>
      </c>
      <c r="K785" s="19" t="s">
        <v>114</v>
      </c>
      <c r="L785" s="19" t="s">
        <v>868</v>
      </c>
      <c r="M785" s="20" t="s">
        <v>116</v>
      </c>
      <c r="P785" s="20" t="s">
        <v>117</v>
      </c>
    </row>
    <row r="786" spans="1:16" x14ac:dyDescent="0.3">
      <c r="A786" s="19">
        <f t="shared" si="12"/>
        <v>785</v>
      </c>
      <c r="B786" s="20" t="s">
        <v>87</v>
      </c>
      <c r="C786" s="20" t="s">
        <v>102</v>
      </c>
      <c r="D786" s="21" t="str">
        <f>IF($C786="","",IFERROR(VLOOKUP($C786,Map_Register!$A$2:$C$5,3,FALSE()),""))</f>
        <v>Toponym Labels</v>
      </c>
      <c r="E786" s="20" t="s">
        <v>111</v>
      </c>
      <c r="F786" s="22">
        <v>27677</v>
      </c>
      <c r="G786" s="19" t="s">
        <v>112</v>
      </c>
      <c r="H786" s="19" t="s">
        <v>993</v>
      </c>
      <c r="I786" s="19" t="s">
        <v>8</v>
      </c>
      <c r="J786" s="19" t="s">
        <v>114</v>
      </c>
      <c r="K786" s="19" t="s">
        <v>114</v>
      </c>
      <c r="L786" s="19" t="s">
        <v>868</v>
      </c>
      <c r="M786" s="20" t="s">
        <v>116</v>
      </c>
      <c r="P786" s="20" t="s">
        <v>117</v>
      </c>
    </row>
    <row r="787" spans="1:16" x14ac:dyDescent="0.3">
      <c r="A787" s="19">
        <f t="shared" si="12"/>
        <v>786</v>
      </c>
      <c r="B787" s="20" t="s">
        <v>87</v>
      </c>
      <c r="C787" s="20" t="s">
        <v>102</v>
      </c>
      <c r="D787" s="21" t="str">
        <f>IF($C787="","",IFERROR(VLOOKUP($C787,Map_Register!$A$2:$C$5,3,FALSE()),""))</f>
        <v>Toponym Labels</v>
      </c>
      <c r="E787" s="20" t="s">
        <v>111</v>
      </c>
      <c r="F787" s="22">
        <v>27730</v>
      </c>
      <c r="G787" s="19" t="s">
        <v>112</v>
      </c>
      <c r="H787" s="19" t="s">
        <v>994</v>
      </c>
      <c r="I787" s="19" t="s">
        <v>8</v>
      </c>
      <c r="J787" s="19" t="s">
        <v>114</v>
      </c>
      <c r="K787" s="19" t="s">
        <v>114</v>
      </c>
      <c r="L787" s="19" t="s">
        <v>868</v>
      </c>
      <c r="M787" s="20" t="s">
        <v>116</v>
      </c>
      <c r="P787" s="20" t="s">
        <v>117</v>
      </c>
    </row>
    <row r="788" spans="1:16" x14ac:dyDescent="0.3">
      <c r="A788" s="19">
        <f t="shared" si="12"/>
        <v>787</v>
      </c>
      <c r="B788" s="20" t="s">
        <v>87</v>
      </c>
      <c r="C788" s="20" t="s">
        <v>102</v>
      </c>
      <c r="D788" s="21" t="str">
        <f>IF($C788="","",IFERROR(VLOOKUP($C788,Map_Register!$A$2:$C$5,3,FALSE()),""))</f>
        <v>Toponym Labels</v>
      </c>
      <c r="E788" s="20" t="s">
        <v>111</v>
      </c>
      <c r="F788" s="22">
        <v>27733</v>
      </c>
      <c r="G788" s="19" t="s">
        <v>112</v>
      </c>
      <c r="H788" s="19" t="s">
        <v>995</v>
      </c>
      <c r="I788" s="19" t="s">
        <v>8</v>
      </c>
      <c r="J788" s="19" t="s">
        <v>114</v>
      </c>
      <c r="K788" s="19" t="s">
        <v>114</v>
      </c>
      <c r="L788" s="19" t="s">
        <v>868</v>
      </c>
      <c r="M788" s="20" t="s">
        <v>116</v>
      </c>
      <c r="P788" s="20" t="s">
        <v>117</v>
      </c>
    </row>
    <row r="789" spans="1:16" x14ac:dyDescent="0.3">
      <c r="A789" s="19">
        <f t="shared" si="12"/>
        <v>788</v>
      </c>
      <c r="B789" s="20" t="s">
        <v>87</v>
      </c>
      <c r="C789" s="20" t="s">
        <v>102</v>
      </c>
      <c r="D789" s="21" t="str">
        <f>IF($C789="","",IFERROR(VLOOKUP($C789,Map_Register!$A$2:$C$5,3,FALSE()),""))</f>
        <v>Toponym Labels</v>
      </c>
      <c r="E789" s="20" t="s">
        <v>111</v>
      </c>
      <c r="F789" s="22">
        <v>27734</v>
      </c>
      <c r="G789" s="19" t="s">
        <v>112</v>
      </c>
      <c r="H789" s="19" t="s">
        <v>996</v>
      </c>
      <c r="I789" s="19" t="s">
        <v>8</v>
      </c>
      <c r="J789" s="19" t="s">
        <v>114</v>
      </c>
      <c r="K789" s="19" t="s">
        <v>114</v>
      </c>
      <c r="L789" s="19" t="s">
        <v>868</v>
      </c>
      <c r="M789" s="20" t="s">
        <v>116</v>
      </c>
      <c r="P789" s="20" t="s">
        <v>117</v>
      </c>
    </row>
    <row r="790" spans="1:16" x14ac:dyDescent="0.3">
      <c r="A790" s="19">
        <f t="shared" si="12"/>
        <v>789</v>
      </c>
      <c r="B790" s="20" t="s">
        <v>87</v>
      </c>
      <c r="C790" s="20" t="s">
        <v>102</v>
      </c>
      <c r="D790" s="21" t="str">
        <f>IF($C790="","",IFERROR(VLOOKUP($C790,Map_Register!$A$2:$C$5,3,FALSE()),""))</f>
        <v>Toponym Labels</v>
      </c>
      <c r="E790" s="20" t="s">
        <v>111</v>
      </c>
      <c r="F790" s="22">
        <v>27750</v>
      </c>
      <c r="G790" s="19" t="s">
        <v>112</v>
      </c>
      <c r="H790" s="19" t="s">
        <v>997</v>
      </c>
      <c r="I790" s="19" t="s">
        <v>141</v>
      </c>
      <c r="J790" s="19"/>
      <c r="K790" s="19"/>
      <c r="L790" s="19" t="s">
        <v>141</v>
      </c>
      <c r="P790" s="20" t="s">
        <v>117</v>
      </c>
    </row>
    <row r="791" spans="1:16" x14ac:dyDescent="0.3">
      <c r="A791" s="19">
        <f t="shared" si="12"/>
        <v>790</v>
      </c>
      <c r="B791" s="20" t="s">
        <v>87</v>
      </c>
      <c r="C791" s="20" t="s">
        <v>102</v>
      </c>
      <c r="D791" s="21" t="str">
        <f>IF($C791="","",IFERROR(VLOOKUP($C791,Map_Register!$A$2:$C$5,3,FALSE()),""))</f>
        <v>Toponym Labels</v>
      </c>
      <c r="E791" s="20" t="s">
        <v>111</v>
      </c>
      <c r="F791" s="22">
        <v>27751</v>
      </c>
      <c r="G791" s="19" t="s">
        <v>112</v>
      </c>
      <c r="H791" s="19" t="s">
        <v>998</v>
      </c>
      <c r="I791" s="19" t="s">
        <v>8</v>
      </c>
      <c r="J791" s="19" t="s">
        <v>114</v>
      </c>
      <c r="K791" s="19" t="s">
        <v>114</v>
      </c>
      <c r="L791" s="19" t="s">
        <v>141</v>
      </c>
      <c r="M791" s="20" t="s">
        <v>116</v>
      </c>
      <c r="P791" s="20" t="s">
        <v>117</v>
      </c>
    </row>
    <row r="792" spans="1:16" x14ac:dyDescent="0.3">
      <c r="A792" s="19">
        <f t="shared" si="12"/>
        <v>791</v>
      </c>
      <c r="B792" s="20" t="s">
        <v>87</v>
      </c>
      <c r="C792" s="20" t="s">
        <v>102</v>
      </c>
      <c r="D792" s="21" t="str">
        <f>IF($C792="","",IFERROR(VLOOKUP($C792,Map_Register!$A$2:$C$5,3,FALSE()),""))</f>
        <v>Toponym Labels</v>
      </c>
      <c r="E792" s="20" t="s">
        <v>111</v>
      </c>
      <c r="F792" s="22">
        <v>27752</v>
      </c>
      <c r="G792" s="19" t="s">
        <v>112</v>
      </c>
      <c r="H792" s="19" t="s">
        <v>999</v>
      </c>
      <c r="I792" s="19" t="s">
        <v>8</v>
      </c>
      <c r="J792" s="19" t="s">
        <v>114</v>
      </c>
      <c r="K792" s="19" t="s">
        <v>114</v>
      </c>
      <c r="L792" s="19" t="s">
        <v>141</v>
      </c>
      <c r="M792" s="20" t="s">
        <v>116</v>
      </c>
      <c r="P792" s="20" t="s">
        <v>117</v>
      </c>
    </row>
    <row r="793" spans="1:16" x14ac:dyDescent="0.3">
      <c r="A793" s="19">
        <f t="shared" si="12"/>
        <v>792</v>
      </c>
      <c r="B793" s="20" t="s">
        <v>87</v>
      </c>
      <c r="C793" s="20" t="s">
        <v>102</v>
      </c>
      <c r="D793" s="21" t="str">
        <f>IF($C793="","",IFERROR(VLOOKUP($C793,Map_Register!$A$2:$C$5,3,FALSE()),""))</f>
        <v>Toponym Labels</v>
      </c>
      <c r="E793" s="20" t="s">
        <v>111</v>
      </c>
      <c r="F793" s="22">
        <v>27753</v>
      </c>
      <c r="G793" s="19" t="s">
        <v>112</v>
      </c>
      <c r="H793" s="19" t="s">
        <v>1000</v>
      </c>
      <c r="I793" s="19" t="s">
        <v>8</v>
      </c>
      <c r="J793" s="19" t="s">
        <v>114</v>
      </c>
      <c r="K793" s="19" t="s">
        <v>114</v>
      </c>
      <c r="L793" s="19" t="s">
        <v>141</v>
      </c>
      <c r="M793" s="20" t="s">
        <v>116</v>
      </c>
      <c r="P793" s="20" t="s">
        <v>117</v>
      </c>
    </row>
    <row r="794" spans="1:16" x14ac:dyDescent="0.3">
      <c r="A794" s="19">
        <f t="shared" si="12"/>
        <v>793</v>
      </c>
      <c r="B794" s="20" t="s">
        <v>87</v>
      </c>
      <c r="C794" s="20" t="s">
        <v>102</v>
      </c>
      <c r="D794" s="21" t="str">
        <f>IF($C794="","",IFERROR(VLOOKUP($C794,Map_Register!$A$2:$C$5,3,FALSE()),""))</f>
        <v>Toponym Labels</v>
      </c>
      <c r="E794" s="20" t="s">
        <v>111</v>
      </c>
      <c r="F794" s="22">
        <v>27755</v>
      </c>
      <c r="G794" s="19" t="s">
        <v>112</v>
      </c>
      <c r="H794" s="19" t="s">
        <v>1001</v>
      </c>
      <c r="I794" s="19" t="s">
        <v>141</v>
      </c>
      <c r="J794" s="19"/>
      <c r="K794" s="19"/>
      <c r="L794" s="19" t="s">
        <v>141</v>
      </c>
      <c r="P794" s="20" t="s">
        <v>117</v>
      </c>
    </row>
    <row r="795" spans="1:16" x14ac:dyDescent="0.3">
      <c r="A795" s="19">
        <f t="shared" si="12"/>
        <v>794</v>
      </c>
      <c r="B795" s="20" t="s">
        <v>87</v>
      </c>
      <c r="C795" s="20" t="s">
        <v>102</v>
      </c>
      <c r="D795" s="21" t="str">
        <f>IF($C795="","",IFERROR(VLOOKUP($C795,Map_Register!$A$2:$C$5,3,FALSE()),""))</f>
        <v>Toponym Labels</v>
      </c>
      <c r="E795" s="20" t="s">
        <v>111</v>
      </c>
      <c r="F795" s="22">
        <v>27765</v>
      </c>
      <c r="G795" s="19" t="s">
        <v>112</v>
      </c>
      <c r="H795" s="19" t="s">
        <v>1002</v>
      </c>
      <c r="I795" s="19" t="s">
        <v>8</v>
      </c>
      <c r="J795" s="19" t="s">
        <v>114</v>
      </c>
      <c r="K795" s="19" t="s">
        <v>114</v>
      </c>
      <c r="L795" s="19" t="s">
        <v>868</v>
      </c>
      <c r="M795" s="20" t="s">
        <v>116</v>
      </c>
      <c r="P795" s="20" t="s">
        <v>117</v>
      </c>
    </row>
    <row r="796" spans="1:16" x14ac:dyDescent="0.3">
      <c r="A796" s="19">
        <f t="shared" si="12"/>
        <v>795</v>
      </c>
      <c r="B796" s="20" t="s">
        <v>87</v>
      </c>
      <c r="C796" s="20" t="s">
        <v>102</v>
      </c>
      <c r="D796" s="21" t="str">
        <f>IF($C796="","",IFERROR(VLOOKUP($C796,Map_Register!$A$2:$C$5,3,FALSE()),""))</f>
        <v>Toponym Labels</v>
      </c>
      <c r="E796" s="20" t="s">
        <v>111</v>
      </c>
      <c r="F796" s="22">
        <v>27766</v>
      </c>
      <c r="G796" s="19" t="s">
        <v>112</v>
      </c>
      <c r="H796" s="19" t="s">
        <v>1003</v>
      </c>
      <c r="I796" s="19" t="s">
        <v>8</v>
      </c>
      <c r="J796" s="19" t="s">
        <v>114</v>
      </c>
      <c r="K796" s="19" t="s">
        <v>114</v>
      </c>
      <c r="L796" s="19" t="s">
        <v>876</v>
      </c>
      <c r="M796" s="20" t="s">
        <v>116</v>
      </c>
      <c r="P796" s="20" t="s">
        <v>117</v>
      </c>
    </row>
    <row r="797" spans="1:16" x14ac:dyDescent="0.3">
      <c r="A797" s="19">
        <f t="shared" si="12"/>
        <v>796</v>
      </c>
      <c r="B797" s="20" t="s">
        <v>87</v>
      </c>
      <c r="C797" s="20" t="s">
        <v>102</v>
      </c>
      <c r="D797" s="21" t="str">
        <f>IF($C797="","",IFERROR(VLOOKUP($C797,Map_Register!$A$2:$C$5,3,FALSE()),""))</f>
        <v>Toponym Labels</v>
      </c>
      <c r="E797" s="20" t="s">
        <v>111</v>
      </c>
      <c r="F797" s="22">
        <v>27768</v>
      </c>
      <c r="G797" s="19" t="s">
        <v>112</v>
      </c>
      <c r="H797" s="19" t="s">
        <v>1004</v>
      </c>
      <c r="I797" s="19" t="s">
        <v>8</v>
      </c>
      <c r="J797" s="19" t="s">
        <v>114</v>
      </c>
      <c r="K797" s="19" t="s">
        <v>114</v>
      </c>
      <c r="L797" s="19" t="s">
        <v>1005</v>
      </c>
      <c r="M797" s="20" t="s">
        <v>116</v>
      </c>
      <c r="P797" s="20" t="s">
        <v>117</v>
      </c>
    </row>
    <row r="798" spans="1:16" x14ac:dyDescent="0.3">
      <c r="A798" s="19">
        <f t="shared" si="12"/>
        <v>797</v>
      </c>
      <c r="B798" s="20" t="s">
        <v>87</v>
      </c>
      <c r="C798" s="20" t="s">
        <v>102</v>
      </c>
      <c r="D798" s="21" t="str">
        <f>IF($C798="","",IFERROR(VLOOKUP($C798,Map_Register!$A$2:$C$5,3,FALSE()),""))</f>
        <v>Toponym Labels</v>
      </c>
      <c r="E798" s="20" t="s">
        <v>111</v>
      </c>
      <c r="F798" s="22">
        <v>27769</v>
      </c>
      <c r="G798" s="19" t="s">
        <v>112</v>
      </c>
      <c r="H798" s="19" t="s">
        <v>1006</v>
      </c>
      <c r="I798" s="19" t="s">
        <v>8</v>
      </c>
      <c r="J798" s="19" t="s">
        <v>114</v>
      </c>
      <c r="K798" t="s">
        <v>1007</v>
      </c>
      <c r="L798" t="s">
        <v>1008</v>
      </c>
      <c r="M798" s="20" t="s">
        <v>116</v>
      </c>
      <c r="P798" s="20" t="s">
        <v>117</v>
      </c>
    </row>
    <row r="799" spans="1:16" x14ac:dyDescent="0.3">
      <c r="A799" s="19">
        <f t="shared" si="12"/>
        <v>798</v>
      </c>
      <c r="B799" s="20" t="s">
        <v>87</v>
      </c>
      <c r="C799" s="20" t="s">
        <v>102</v>
      </c>
      <c r="D799" s="21" t="str">
        <f>IF($C799="","",IFERROR(VLOOKUP($C799,Map_Register!$A$2:$C$5,3,FALSE()),""))</f>
        <v>Toponym Labels</v>
      </c>
      <c r="E799" s="20" t="s">
        <v>111</v>
      </c>
      <c r="F799" s="22">
        <v>27770</v>
      </c>
      <c r="G799" s="19" t="s">
        <v>112</v>
      </c>
      <c r="H799" s="19" t="s">
        <v>1009</v>
      </c>
      <c r="I799" s="19" t="s">
        <v>6</v>
      </c>
      <c r="J799" s="19"/>
      <c r="K799" s="19"/>
      <c r="L799" s="19" t="s">
        <v>398</v>
      </c>
      <c r="P799" s="20" t="s">
        <v>117</v>
      </c>
    </row>
    <row r="800" spans="1:16" x14ac:dyDescent="0.3">
      <c r="A800" s="19">
        <f t="shared" si="12"/>
        <v>799</v>
      </c>
      <c r="B800" s="20" t="s">
        <v>87</v>
      </c>
      <c r="C800" s="20" t="s">
        <v>102</v>
      </c>
      <c r="D800" s="21" t="str">
        <f>IF($C800="","",IFERROR(VLOOKUP($C800,Map_Register!$A$2:$C$5,3,FALSE()),""))</f>
        <v>Toponym Labels</v>
      </c>
      <c r="E800" s="20" t="s">
        <v>111</v>
      </c>
      <c r="F800" s="22">
        <v>27788</v>
      </c>
      <c r="G800" s="19" t="s">
        <v>112</v>
      </c>
      <c r="H800" s="19" t="s">
        <v>1010</v>
      </c>
      <c r="I800" s="19" t="s">
        <v>6</v>
      </c>
      <c r="J800" s="19"/>
      <c r="K800" s="19"/>
      <c r="L800" s="19" t="s">
        <v>225</v>
      </c>
      <c r="P800" s="20" t="s">
        <v>117</v>
      </c>
    </row>
    <row r="801" spans="1:16" x14ac:dyDescent="0.3">
      <c r="A801" s="19">
        <f t="shared" si="12"/>
        <v>800</v>
      </c>
      <c r="B801" s="20" t="s">
        <v>87</v>
      </c>
      <c r="C801" s="20" t="s">
        <v>86</v>
      </c>
      <c r="D801" s="21" t="str">
        <f>IF($C801="","",IFERROR(VLOOKUP($C801,Map_Register!$A$2:$C$5,3,FALSE()),""))</f>
        <v>Border Region</v>
      </c>
      <c r="E801" s="20" t="s">
        <v>111</v>
      </c>
      <c r="G801" s="19" t="s">
        <v>1011</v>
      </c>
      <c r="H801" s="19" t="s">
        <v>1011</v>
      </c>
      <c r="I801" s="19" t="s">
        <v>141</v>
      </c>
      <c r="J801" s="19"/>
      <c r="K801" s="19"/>
      <c r="L801" s="19" t="s">
        <v>141</v>
      </c>
      <c r="P801" s="20" t="s">
        <v>117</v>
      </c>
    </row>
    <row r="802" spans="1:16" x14ac:dyDescent="0.3">
      <c r="A802" s="19">
        <f t="shared" si="12"/>
        <v>801</v>
      </c>
      <c r="B802" s="20" t="s">
        <v>87</v>
      </c>
      <c r="C802" s="20" t="s">
        <v>93</v>
      </c>
      <c r="D802" s="21" t="str">
        <f>IF($C802="","",IFERROR(VLOOKUP($C802,Map_Register!$A$2:$C$5,3,FALSE()),""))</f>
        <v>Cultural Heritage Area</v>
      </c>
      <c r="E802" s="20" t="s">
        <v>111</v>
      </c>
      <c r="F802" s="22">
        <v>723</v>
      </c>
      <c r="G802" s="19" t="s">
        <v>1012</v>
      </c>
      <c r="H802" s="19" t="s">
        <v>1013</v>
      </c>
      <c r="I802" s="19" t="s">
        <v>8</v>
      </c>
      <c r="J802" s="19" t="s">
        <v>114</v>
      </c>
      <c r="K802" s="19" t="s">
        <v>114</v>
      </c>
      <c r="L802" s="19" t="s">
        <v>1014</v>
      </c>
      <c r="M802" s="20" t="s">
        <v>116</v>
      </c>
      <c r="P802" s="20" t="s">
        <v>117</v>
      </c>
    </row>
    <row r="803" spans="1:16" x14ac:dyDescent="0.3">
      <c r="A803" s="19">
        <f t="shared" si="12"/>
        <v>802</v>
      </c>
      <c r="B803" s="20" t="s">
        <v>87</v>
      </c>
      <c r="C803" s="20" t="s">
        <v>93</v>
      </c>
      <c r="D803" s="21" t="str">
        <f>IF($C803="","",IFERROR(VLOOKUP($C803,Map_Register!$A$2:$C$5,3,FALSE()),""))</f>
        <v>Cultural Heritage Area</v>
      </c>
      <c r="E803" s="20" t="s">
        <v>111</v>
      </c>
      <c r="F803" s="22">
        <v>724</v>
      </c>
      <c r="G803" s="19" t="s">
        <v>1015</v>
      </c>
      <c r="H803" s="19" t="s">
        <v>1013</v>
      </c>
      <c r="I803" s="19" t="s">
        <v>6</v>
      </c>
      <c r="J803" s="19"/>
      <c r="K803" s="19"/>
      <c r="L803" s="19" t="s">
        <v>1016</v>
      </c>
      <c r="P803" s="20" t="s">
        <v>117</v>
      </c>
    </row>
    <row r="804" spans="1:16" x14ac:dyDescent="0.3">
      <c r="A804" s="19">
        <f t="shared" si="12"/>
        <v>803</v>
      </c>
      <c r="B804" s="20" t="s">
        <v>87</v>
      </c>
      <c r="C804" s="20" t="s">
        <v>97</v>
      </c>
      <c r="D804" s="21" t="str">
        <f>IF($C804="","",IFERROR(VLOOKUP($C804,Map_Register!$A$2:$C$5,3,FALSE()),""))</f>
        <v>Military Zone</v>
      </c>
      <c r="E804" s="20" t="s">
        <v>111</v>
      </c>
      <c r="F804" s="22">
        <v>932</v>
      </c>
      <c r="G804" s="19" t="s">
        <v>1017</v>
      </c>
      <c r="H804" s="19" t="s">
        <v>1018</v>
      </c>
      <c r="I804" s="19" t="s">
        <v>6</v>
      </c>
      <c r="J804" s="19"/>
      <c r="K804" s="19"/>
      <c r="L804" s="19" t="s">
        <v>1019</v>
      </c>
      <c r="P804" s="20" t="s">
        <v>117</v>
      </c>
    </row>
    <row r="805" spans="1:16" x14ac:dyDescent="0.3">
      <c r="A805" s="19">
        <f t="shared" si="12"/>
        <v>804</v>
      </c>
      <c r="B805" s="20" t="s">
        <v>87</v>
      </c>
      <c r="C805" s="20" t="s">
        <v>97</v>
      </c>
      <c r="D805" s="21" t="str">
        <f>IF($C805="","",IFERROR(VLOOKUP($C805,Map_Register!$A$2:$C$5,3,FALSE()),""))</f>
        <v>Military Zone</v>
      </c>
      <c r="E805" s="20" t="s">
        <v>111</v>
      </c>
      <c r="F805" s="22">
        <v>933</v>
      </c>
      <c r="G805" s="19" t="s">
        <v>1020</v>
      </c>
      <c r="H805" s="19" t="s">
        <v>1018</v>
      </c>
      <c r="I805" s="19" t="s">
        <v>8</v>
      </c>
      <c r="J805" s="19" t="s">
        <v>114</v>
      </c>
      <c r="K805" s="19" t="s">
        <v>114</v>
      </c>
      <c r="L805" s="19" t="s">
        <v>1021</v>
      </c>
      <c r="M805" s="20" t="s">
        <v>116</v>
      </c>
      <c r="P805" s="20" t="s">
        <v>117</v>
      </c>
    </row>
    <row r="806" spans="1:16" x14ac:dyDescent="0.3">
      <c r="A806" s="19">
        <f t="shared" si="12"/>
        <v>805</v>
      </c>
      <c r="B806" s="20" t="s">
        <v>87</v>
      </c>
      <c r="C806" s="20" t="s">
        <v>97</v>
      </c>
      <c r="D806" s="21" t="str">
        <f>IF($C806="","",IFERROR(VLOOKUP($C806,Map_Register!$A$2:$C$5,3,FALSE()),""))</f>
        <v>Military Zone</v>
      </c>
      <c r="E806" s="20" t="s">
        <v>111</v>
      </c>
      <c r="F806" s="22">
        <v>934</v>
      </c>
      <c r="G806" s="19" t="s">
        <v>1015</v>
      </c>
      <c r="H806" s="19" t="s">
        <v>1018</v>
      </c>
      <c r="I806" s="19" t="s">
        <v>6</v>
      </c>
      <c r="J806" s="19"/>
      <c r="K806" s="19"/>
      <c r="L806" s="19" t="s">
        <v>1022</v>
      </c>
      <c r="P806" s="20" t="s">
        <v>117</v>
      </c>
    </row>
    <row r="807" spans="1:16" x14ac:dyDescent="0.3">
      <c r="A807" s="19">
        <f t="shared" si="12"/>
        <v>806</v>
      </c>
      <c r="B807" s="20" t="s">
        <v>87</v>
      </c>
      <c r="C807" s="20" t="s">
        <v>97</v>
      </c>
      <c r="D807" s="21" t="str">
        <f>IF($C807="","",IFERROR(VLOOKUP($C807,Map_Register!$A$2:$C$5,3,FALSE()),""))</f>
        <v>Military Zone</v>
      </c>
      <c r="E807" s="20" t="s">
        <v>111</v>
      </c>
      <c r="F807" s="22">
        <v>935</v>
      </c>
      <c r="G807" s="19" t="s">
        <v>1020</v>
      </c>
      <c r="H807" s="19" t="s">
        <v>1018</v>
      </c>
      <c r="I807" s="19" t="s">
        <v>8</v>
      </c>
      <c r="J807" s="19" t="s">
        <v>114</v>
      </c>
      <c r="K807" s="19" t="s">
        <v>114</v>
      </c>
      <c r="L807" s="19" t="s">
        <v>1021</v>
      </c>
      <c r="M807" s="20" t="s">
        <v>116</v>
      </c>
      <c r="P807" s="20" t="s">
        <v>117</v>
      </c>
    </row>
    <row r="808" spans="1:16" x14ac:dyDescent="0.3">
      <c r="A808" s="19">
        <f t="shared" si="12"/>
        <v>807</v>
      </c>
      <c r="B808" s="20" t="s">
        <v>87</v>
      </c>
      <c r="C808" s="20" t="s">
        <v>97</v>
      </c>
      <c r="D808" s="21" t="str">
        <f>IF($C808="","",IFERROR(VLOOKUP($C808,Map_Register!$A$2:$C$5,3,FALSE()),""))</f>
        <v>Military Zone</v>
      </c>
      <c r="E808" s="20" t="s">
        <v>111</v>
      </c>
      <c r="F808" s="22">
        <v>936</v>
      </c>
      <c r="G808" s="19" t="s">
        <v>1023</v>
      </c>
      <c r="H808" s="19" t="s">
        <v>1018</v>
      </c>
      <c r="I808" t="s">
        <v>6</v>
      </c>
      <c r="J808" s="19"/>
      <c r="K808" s="19"/>
      <c r="L808" t="s">
        <v>1022</v>
      </c>
      <c r="P808" s="20" t="s">
        <v>117</v>
      </c>
    </row>
    <row r="809" spans="1:16" x14ac:dyDescent="0.3">
      <c r="A809" s="19">
        <f t="shared" si="12"/>
        <v>808</v>
      </c>
      <c r="B809" s="20" t="s">
        <v>87</v>
      </c>
      <c r="C809" s="20" t="s">
        <v>97</v>
      </c>
      <c r="D809" s="21" t="str">
        <f>IF($C809="","",IFERROR(VLOOKUP($C809,Map_Register!$A$2:$C$5,3,FALSE()),""))</f>
        <v>Military Zone</v>
      </c>
      <c r="E809" s="20" t="s">
        <v>111</v>
      </c>
      <c r="F809" s="22">
        <v>937</v>
      </c>
      <c r="G809" s="19" t="s">
        <v>1017</v>
      </c>
      <c r="H809" s="19" t="s">
        <v>1018</v>
      </c>
      <c r="I809" t="s">
        <v>6</v>
      </c>
      <c r="J809" s="19"/>
      <c r="K809" s="19"/>
      <c r="L809" s="19" t="s">
        <v>1019</v>
      </c>
      <c r="P809" s="20" t="s">
        <v>117</v>
      </c>
    </row>
    <row r="810" spans="1:16" x14ac:dyDescent="0.3">
      <c r="A810" s="19">
        <f t="shared" si="12"/>
        <v>809</v>
      </c>
      <c r="B810" s="20" t="s">
        <v>87</v>
      </c>
      <c r="C810" s="20" t="s">
        <v>97</v>
      </c>
      <c r="D810" s="21" t="str">
        <f>IF($C810="","",IFERROR(VLOOKUP($C810,Map_Register!$A$2:$C$5,3,FALSE()),""))</f>
        <v>Military Zone</v>
      </c>
      <c r="E810" s="20" t="s">
        <v>111</v>
      </c>
      <c r="F810" s="22">
        <v>938</v>
      </c>
      <c r="G810" s="19" t="s">
        <v>1024</v>
      </c>
      <c r="H810" s="19" t="s">
        <v>1018</v>
      </c>
      <c r="I810" s="19" t="s">
        <v>8</v>
      </c>
      <c r="J810" s="19" t="s">
        <v>114</v>
      </c>
      <c r="K810" s="19" t="s">
        <v>114</v>
      </c>
      <c r="L810" s="19" t="s">
        <v>1021</v>
      </c>
      <c r="M810" s="20" t="s">
        <v>116</v>
      </c>
      <c r="P810" s="20" t="s">
        <v>117</v>
      </c>
    </row>
    <row r="811" spans="1:16" x14ac:dyDescent="0.3">
      <c r="A811" s="19">
        <f t="shared" si="12"/>
        <v>810</v>
      </c>
      <c r="B811" s="20" t="s">
        <v>87</v>
      </c>
      <c r="C811" s="20" t="s">
        <v>97</v>
      </c>
      <c r="D811" s="21" t="str">
        <f>IF($C811="","",IFERROR(VLOOKUP($C811,Map_Register!$A$2:$C$5,3,FALSE()),""))</f>
        <v>Military Zone</v>
      </c>
      <c r="E811" s="20" t="s">
        <v>111</v>
      </c>
      <c r="F811" s="22">
        <v>939</v>
      </c>
      <c r="G811" s="19" t="s">
        <v>1025</v>
      </c>
      <c r="H811" s="19" t="s">
        <v>1018</v>
      </c>
      <c r="I811" s="19" t="s">
        <v>8</v>
      </c>
      <c r="J811" s="19" t="s">
        <v>114</v>
      </c>
      <c r="K811" s="19" t="s">
        <v>114</v>
      </c>
      <c r="L811" s="19" t="s">
        <v>1021</v>
      </c>
      <c r="M811" s="20" t="s">
        <v>116</v>
      </c>
      <c r="P811" s="20" t="s">
        <v>117</v>
      </c>
    </row>
    <row r="812" spans="1:16" x14ac:dyDescent="0.3">
      <c r="A812" s="19">
        <f t="shared" si="12"/>
        <v>811</v>
      </c>
      <c r="B812" s="20" t="s">
        <v>87</v>
      </c>
      <c r="C812" s="20" t="s">
        <v>97</v>
      </c>
      <c r="D812" s="21" t="str">
        <f>IF($C812="","",IFERROR(VLOOKUP($C812,Map_Register!$A$2:$C$5,3,FALSE()),""))</f>
        <v>Military Zone</v>
      </c>
      <c r="E812" s="20" t="s">
        <v>111</v>
      </c>
      <c r="F812" s="22">
        <v>940</v>
      </c>
      <c r="G812" s="19" t="s">
        <v>1017</v>
      </c>
      <c r="H812" s="19" t="s">
        <v>1018</v>
      </c>
      <c r="I812" s="19" t="s">
        <v>6</v>
      </c>
      <c r="J812" s="19"/>
      <c r="K812" s="19"/>
      <c r="L812" s="19" t="s">
        <v>1019</v>
      </c>
      <c r="P812" s="20" t="s">
        <v>117</v>
      </c>
    </row>
    <row r="813" spans="1:16" x14ac:dyDescent="0.3">
      <c r="A813" s="19">
        <f t="shared" si="12"/>
        <v>812</v>
      </c>
      <c r="B813" s="20" t="s">
        <v>87</v>
      </c>
      <c r="C813" s="20" t="s">
        <v>97</v>
      </c>
      <c r="D813" s="21" t="str">
        <f>IF($C813="","",IFERROR(VLOOKUP($C813,Map_Register!$A$2:$C$5,3,FALSE()),""))</f>
        <v>Military Zone</v>
      </c>
      <c r="E813" s="20" t="s">
        <v>111</v>
      </c>
      <c r="F813" s="22">
        <v>941</v>
      </c>
      <c r="G813" s="19" t="s">
        <v>1012</v>
      </c>
      <c r="H813" s="19" t="s">
        <v>1018</v>
      </c>
      <c r="I813" s="19" t="s">
        <v>8</v>
      </c>
      <c r="J813" s="19" t="s">
        <v>114</v>
      </c>
      <c r="K813" s="19" t="s">
        <v>114</v>
      </c>
      <c r="L813" s="19" t="s">
        <v>1026</v>
      </c>
      <c r="M813" s="20" t="s">
        <v>116</v>
      </c>
      <c r="P813" s="20" t="s">
        <v>117</v>
      </c>
    </row>
    <row r="814" spans="1:16" x14ac:dyDescent="0.3">
      <c r="A814" s="19">
        <f t="shared" si="12"/>
        <v>813</v>
      </c>
      <c r="B814" s="20" t="s">
        <v>87</v>
      </c>
      <c r="C814" s="20" t="s">
        <v>97</v>
      </c>
      <c r="D814" s="21" t="str">
        <f>IF($C814="","",IFERROR(VLOOKUP($C814,Map_Register!$A$2:$C$5,3,FALSE()),""))</f>
        <v>Military Zone</v>
      </c>
      <c r="E814" s="20" t="s">
        <v>111</v>
      </c>
      <c r="F814" s="22">
        <v>942</v>
      </c>
      <c r="G814" s="19" t="s">
        <v>1027</v>
      </c>
      <c r="H814" s="19" t="s">
        <v>1018</v>
      </c>
      <c r="I814" s="19" t="s">
        <v>8</v>
      </c>
      <c r="J814" s="19" t="s">
        <v>114</v>
      </c>
      <c r="K814" s="19" t="s">
        <v>114</v>
      </c>
      <c r="L814" s="19" t="s">
        <v>1026</v>
      </c>
      <c r="M814" s="20" t="s">
        <v>116</v>
      </c>
      <c r="P814" s="20" t="s">
        <v>117</v>
      </c>
    </row>
    <row r="815" spans="1:16" x14ac:dyDescent="0.3">
      <c r="A815" s="19">
        <f t="shared" si="12"/>
        <v>814</v>
      </c>
      <c r="B815" s="20" t="s">
        <v>87</v>
      </c>
      <c r="C815" s="20" t="s">
        <v>97</v>
      </c>
      <c r="D815" s="21" t="str">
        <f>IF($C815="","",IFERROR(VLOOKUP($C815,Map_Register!$A$2:$C$5,3,FALSE()),""))</f>
        <v>Military Zone</v>
      </c>
      <c r="E815" s="20" t="s">
        <v>111</v>
      </c>
      <c r="F815" s="22">
        <v>943</v>
      </c>
      <c r="G815" s="19" t="s">
        <v>1024</v>
      </c>
      <c r="H815" s="19" t="s">
        <v>1018</v>
      </c>
      <c r="I815" s="19" t="s">
        <v>8</v>
      </c>
      <c r="J815" s="19" t="s">
        <v>114</v>
      </c>
      <c r="K815" s="19" t="s">
        <v>114</v>
      </c>
      <c r="L815" s="19" t="s">
        <v>1026</v>
      </c>
      <c r="M815" s="20" t="s">
        <v>116</v>
      </c>
      <c r="P815" s="20" t="s">
        <v>117</v>
      </c>
    </row>
    <row r="816" spans="1:16" x14ac:dyDescent="0.3">
      <c r="A816" s="19">
        <f t="shared" si="12"/>
        <v>815</v>
      </c>
      <c r="B816" s="20" t="s">
        <v>87</v>
      </c>
      <c r="C816" s="20" t="s">
        <v>97</v>
      </c>
      <c r="D816" s="21" t="str">
        <f>IF($C816="","",IFERROR(VLOOKUP($C816,Map_Register!$A$2:$C$5,3,FALSE()),""))</f>
        <v>Military Zone</v>
      </c>
      <c r="E816" s="20" t="s">
        <v>111</v>
      </c>
      <c r="F816" s="22">
        <v>944</v>
      </c>
      <c r="G816" s="19" t="s">
        <v>1012</v>
      </c>
      <c r="H816" s="19" t="s">
        <v>1018</v>
      </c>
      <c r="I816" s="19" t="s">
        <v>8</v>
      </c>
      <c r="J816" t="s">
        <v>114</v>
      </c>
      <c r="K816" t="s">
        <v>114</v>
      </c>
      <c r="L816" t="s">
        <v>1014</v>
      </c>
      <c r="M816" s="20" t="s">
        <v>116</v>
      </c>
      <c r="P816" s="20" t="s">
        <v>117</v>
      </c>
    </row>
    <row r="817" spans="1:16" x14ac:dyDescent="0.3">
      <c r="A817" s="19">
        <f t="shared" si="12"/>
        <v>816</v>
      </c>
      <c r="B817" s="20" t="s">
        <v>87</v>
      </c>
      <c r="C817" s="20" t="s">
        <v>102</v>
      </c>
      <c r="D817" s="21" t="str">
        <f>IF($C817="","",IFERROR(VLOOKUP($C817,Map_Register!$A$2:$C$5,3,FALSE()),""))</f>
        <v>Toponym Labels</v>
      </c>
      <c r="E817" s="20" t="s">
        <v>111</v>
      </c>
      <c r="F817" s="22">
        <v>1502</v>
      </c>
      <c r="G817" s="19" t="s">
        <v>1028</v>
      </c>
      <c r="H817" s="19" t="s">
        <v>1029</v>
      </c>
      <c r="I817" t="s">
        <v>1030</v>
      </c>
      <c r="L817" t="s">
        <v>1031</v>
      </c>
      <c r="O817" t="s">
        <v>1032</v>
      </c>
      <c r="P817" s="20" t="s">
        <v>117</v>
      </c>
    </row>
    <row r="818" spans="1:16" x14ac:dyDescent="0.3">
      <c r="A818" s="19">
        <f t="shared" si="12"/>
        <v>817</v>
      </c>
      <c r="B818" s="20" t="s">
        <v>87</v>
      </c>
      <c r="C818" s="20" t="s">
        <v>93</v>
      </c>
      <c r="D818" s="21" t="str">
        <f>IF($C818="","",IFERROR(VLOOKUP($C818,Map_Register!$A$2:$C$5,3,FALSE()),""))</f>
        <v>Cultural Heritage Area</v>
      </c>
      <c r="E818" s="20" t="s">
        <v>111</v>
      </c>
      <c r="F818" s="22">
        <v>1604</v>
      </c>
      <c r="G818" s="19" t="s">
        <v>1028</v>
      </c>
      <c r="H818" s="19" t="s">
        <v>1033</v>
      </c>
      <c r="I818" t="s">
        <v>1030</v>
      </c>
      <c r="L818" t="s">
        <v>1031</v>
      </c>
      <c r="O818" t="s">
        <v>1032</v>
      </c>
      <c r="P818" s="20" t="s">
        <v>117</v>
      </c>
    </row>
    <row r="819" spans="1:16" x14ac:dyDescent="0.3">
      <c r="A819" s="19">
        <f t="shared" si="12"/>
        <v>818</v>
      </c>
      <c r="B819" s="20" t="s">
        <v>87</v>
      </c>
      <c r="C819" s="20" t="s">
        <v>97</v>
      </c>
      <c r="D819" s="21" t="str">
        <f>IF($C819="","",IFERROR(VLOOKUP($C819,Map_Register!$A$2:$C$5,3,FALSE()),""))</f>
        <v>Military Zone</v>
      </c>
      <c r="E819" s="20" t="s">
        <v>111</v>
      </c>
      <c r="F819" s="22">
        <v>1670</v>
      </c>
      <c r="G819" s="19" t="s">
        <v>1028</v>
      </c>
      <c r="H819" s="19" t="s">
        <v>380</v>
      </c>
      <c r="I819" t="s">
        <v>1030</v>
      </c>
      <c r="L819" t="s">
        <v>1031</v>
      </c>
      <c r="O819" t="s">
        <v>1032</v>
      </c>
      <c r="P819" s="20" t="s">
        <v>117</v>
      </c>
    </row>
    <row r="820" spans="1:16" x14ac:dyDescent="0.3">
      <c r="A820" s="19">
        <f t="shared" si="12"/>
        <v>819</v>
      </c>
      <c r="B820" s="20" t="s">
        <v>87</v>
      </c>
      <c r="C820" s="20" t="s">
        <v>97</v>
      </c>
      <c r="D820" s="21" t="str">
        <f>IF($C820="","",IFERROR(VLOOKUP($C820,Map_Register!$A$2:$C$5,3,FALSE()),""))</f>
        <v>Military Zone</v>
      </c>
      <c r="E820" s="20" t="s">
        <v>111</v>
      </c>
      <c r="F820" s="22">
        <v>1674</v>
      </c>
      <c r="G820" s="19" t="s">
        <v>1028</v>
      </c>
      <c r="H820" s="19" t="s">
        <v>378</v>
      </c>
      <c r="I820" t="s">
        <v>1030</v>
      </c>
      <c r="L820" t="s">
        <v>1031</v>
      </c>
      <c r="O820" t="s">
        <v>1032</v>
      </c>
      <c r="P820" s="20" t="s">
        <v>117</v>
      </c>
    </row>
    <row r="821" spans="1:16" x14ac:dyDescent="0.3">
      <c r="A821" s="19">
        <f t="shared" si="12"/>
        <v>820</v>
      </c>
      <c r="B821" s="20" t="s">
        <v>87</v>
      </c>
      <c r="C821" s="20" t="s">
        <v>97</v>
      </c>
      <c r="D821" s="21" t="str">
        <f>IF($C821="","",IFERROR(VLOOKUP($C821,Map_Register!$A$2:$C$5,3,FALSE()),""))</f>
        <v>Military Zone</v>
      </c>
      <c r="E821" s="20" t="s">
        <v>111</v>
      </c>
      <c r="F821" s="22">
        <v>1764</v>
      </c>
      <c r="G821" s="19" t="s">
        <v>1028</v>
      </c>
      <c r="H821" s="19" t="s">
        <v>1034</v>
      </c>
      <c r="I821" t="s">
        <v>1030</v>
      </c>
      <c r="L821" t="s">
        <v>1031</v>
      </c>
      <c r="O821" t="s">
        <v>1032</v>
      </c>
      <c r="P821" s="20" t="s">
        <v>117</v>
      </c>
    </row>
    <row r="822" spans="1:16" x14ac:dyDescent="0.3">
      <c r="A822" s="19">
        <f t="shared" si="12"/>
        <v>821</v>
      </c>
      <c r="B822" s="20" t="s">
        <v>87</v>
      </c>
      <c r="C822" s="20" t="s">
        <v>97</v>
      </c>
      <c r="D822" s="21" t="str">
        <f>IF($C822="","",IFERROR(VLOOKUP($C822,Map_Register!$A$2:$C$5,3,FALSE()),""))</f>
        <v>Military Zone</v>
      </c>
      <c r="E822" s="20" t="s">
        <v>111</v>
      </c>
      <c r="F822" s="22">
        <v>1982</v>
      </c>
      <c r="G822" s="19" t="s">
        <v>1035</v>
      </c>
      <c r="H822" s="19" t="s">
        <v>1034</v>
      </c>
      <c r="I822" s="19" t="s">
        <v>8</v>
      </c>
      <c r="J822" t="s">
        <v>114</v>
      </c>
      <c r="K822" t="s">
        <v>114</v>
      </c>
      <c r="L822" t="s">
        <v>1036</v>
      </c>
      <c r="M822" s="20" t="s">
        <v>116</v>
      </c>
      <c r="P822" s="20" t="s">
        <v>117</v>
      </c>
    </row>
    <row r="823" spans="1:16" x14ac:dyDescent="0.3">
      <c r="A823" s="19">
        <f t="shared" si="12"/>
        <v>822</v>
      </c>
      <c r="B823" s="20" t="s">
        <v>87</v>
      </c>
      <c r="C823" s="20" t="s">
        <v>97</v>
      </c>
      <c r="D823" s="21" t="str">
        <f>IF($C823="","",IFERROR(VLOOKUP($C823,Map_Register!$A$2:$C$5,3,FALSE()),""))</f>
        <v>Military Zone</v>
      </c>
      <c r="E823" s="20" t="s">
        <v>111</v>
      </c>
      <c r="F823" s="22">
        <v>2014</v>
      </c>
      <c r="G823" s="19" t="s">
        <v>1035</v>
      </c>
      <c r="H823" s="19" t="s">
        <v>378</v>
      </c>
      <c r="I823" s="19" t="s">
        <v>8</v>
      </c>
      <c r="J823" t="s">
        <v>114</v>
      </c>
      <c r="K823" t="s">
        <v>114</v>
      </c>
      <c r="L823" t="s">
        <v>1036</v>
      </c>
      <c r="M823" s="20" t="s">
        <v>116</v>
      </c>
      <c r="P823" s="20" t="s">
        <v>117</v>
      </c>
    </row>
    <row r="824" spans="1:16" x14ac:dyDescent="0.3">
      <c r="A824" s="19">
        <f t="shared" si="12"/>
        <v>823</v>
      </c>
      <c r="B824" s="20" t="s">
        <v>87</v>
      </c>
      <c r="C824" s="20" t="s">
        <v>97</v>
      </c>
      <c r="D824" s="21" t="str">
        <f>IF($C824="","",IFERROR(VLOOKUP($C824,Map_Register!$A$2:$C$5,3,FALSE()),""))</f>
        <v>Military Zone</v>
      </c>
      <c r="E824" s="20" t="s">
        <v>111</v>
      </c>
      <c r="F824" s="22">
        <v>2029</v>
      </c>
      <c r="G824" s="19" t="s">
        <v>1037</v>
      </c>
      <c r="H824" s="19" t="s">
        <v>380</v>
      </c>
      <c r="I824" s="19" t="s">
        <v>8</v>
      </c>
      <c r="J824" t="s">
        <v>114</v>
      </c>
      <c r="K824" t="s">
        <v>114</v>
      </c>
      <c r="L824" t="s">
        <v>1036</v>
      </c>
      <c r="M824" s="20" t="s">
        <v>116</v>
      </c>
      <c r="P824" s="20" t="s">
        <v>117</v>
      </c>
    </row>
    <row r="825" spans="1:16" x14ac:dyDescent="0.3">
      <c r="A825" s="19">
        <f t="shared" si="12"/>
        <v>824</v>
      </c>
      <c r="B825" s="20" t="s">
        <v>87</v>
      </c>
      <c r="C825" s="20" t="s">
        <v>97</v>
      </c>
      <c r="D825" s="21" t="str">
        <f>IF($C825="","",IFERROR(VLOOKUP($C825,Map_Register!$A$2:$C$5,3,FALSE()),""))</f>
        <v>Military Zone</v>
      </c>
      <c r="E825" s="20" t="s">
        <v>111</v>
      </c>
      <c r="F825" s="22">
        <v>2205</v>
      </c>
      <c r="G825" s="19" t="s">
        <v>1038</v>
      </c>
      <c r="H825" s="19" t="s">
        <v>1018</v>
      </c>
      <c r="I825" s="19" t="s">
        <v>8</v>
      </c>
      <c r="J825" t="s">
        <v>114</v>
      </c>
      <c r="K825" t="s">
        <v>114</v>
      </c>
      <c r="L825" t="s">
        <v>1039</v>
      </c>
      <c r="M825" s="20" t="s">
        <v>116</v>
      </c>
      <c r="P825" s="20" t="s">
        <v>117</v>
      </c>
    </row>
    <row r="826" spans="1:16" x14ac:dyDescent="0.3">
      <c r="A826" s="19">
        <f t="shared" si="12"/>
        <v>825</v>
      </c>
      <c r="B826" s="20" t="s">
        <v>87</v>
      </c>
      <c r="C826" s="20" t="s">
        <v>102</v>
      </c>
      <c r="D826" s="21" t="str">
        <f>IF($C826="","",IFERROR(VLOOKUP($C826,Map_Register!$A$2:$C$5,3,FALSE()),""))</f>
        <v>Toponym Labels</v>
      </c>
      <c r="E826" s="20" t="s">
        <v>111</v>
      </c>
      <c r="G826" s="19" t="s">
        <v>1040</v>
      </c>
      <c r="H826" t="s">
        <v>1041</v>
      </c>
      <c r="I826" t="s">
        <v>6</v>
      </c>
      <c r="L826" t="s">
        <v>1042</v>
      </c>
      <c r="P826" s="20" t="s">
        <v>117</v>
      </c>
    </row>
    <row r="827" spans="1:16" x14ac:dyDescent="0.3">
      <c r="A827" s="19">
        <f t="shared" si="12"/>
        <v>826</v>
      </c>
      <c r="B827" s="20" t="s">
        <v>87</v>
      </c>
      <c r="C827" s="20" t="s">
        <v>102</v>
      </c>
      <c r="D827" s="21" t="str">
        <f>IF($C827="","",IFERROR(VLOOKUP($C827,Map_Register!$A$2:$C$5,3,FALSE()),""))</f>
        <v>Toponym Labels</v>
      </c>
      <c r="E827" s="20" t="s">
        <v>111</v>
      </c>
      <c r="G827" s="19" t="s">
        <v>1028</v>
      </c>
      <c r="H827" s="23" t="s">
        <v>1043</v>
      </c>
      <c r="I827" t="s">
        <v>6</v>
      </c>
      <c r="L827" t="s">
        <v>1042</v>
      </c>
      <c r="P827" s="20" t="s">
        <v>117</v>
      </c>
    </row>
    <row r="828" spans="1:16" x14ac:dyDescent="0.3">
      <c r="A828" s="19">
        <f t="shared" si="12"/>
        <v>827</v>
      </c>
      <c r="B828" s="20" t="s">
        <v>87</v>
      </c>
      <c r="C828" s="20" t="s">
        <v>97</v>
      </c>
      <c r="D828" s="21" t="str">
        <f>IF($C828="","",IFERROR(VLOOKUP($C828,Map_Register!$A$2:$C$5,3,FALSE()),""))</f>
        <v>Military Zone</v>
      </c>
      <c r="E828" s="20" t="s">
        <v>111</v>
      </c>
      <c r="G828" s="19" t="s">
        <v>1040</v>
      </c>
      <c r="H828" s="19" t="s">
        <v>1044</v>
      </c>
      <c r="I828" t="s">
        <v>6</v>
      </c>
      <c r="L828" t="s">
        <v>1042</v>
      </c>
      <c r="P828" s="20" t="s">
        <v>117</v>
      </c>
    </row>
    <row r="829" spans="1:16" x14ac:dyDescent="0.3">
      <c r="A829" s="19">
        <f t="shared" si="12"/>
        <v>828</v>
      </c>
      <c r="B829" s="20" t="s">
        <v>87</v>
      </c>
      <c r="C829" s="20" t="s">
        <v>97</v>
      </c>
      <c r="D829" s="21" t="str">
        <f>IF($C829="","",IFERROR(VLOOKUP($C829,Map_Register!$A$2:$C$5,3,FALSE()),""))</f>
        <v>Military Zone</v>
      </c>
      <c r="E829" s="20" t="s">
        <v>111</v>
      </c>
      <c r="G829" s="19" t="s">
        <v>1028</v>
      </c>
      <c r="H829" s="23" t="s">
        <v>1045</v>
      </c>
      <c r="I829" t="s">
        <v>6</v>
      </c>
      <c r="L829" t="s">
        <v>1042</v>
      </c>
      <c r="P829" s="20" t="s">
        <v>117</v>
      </c>
    </row>
  </sheetData>
  <autoFilter ref="A1:P829" xr:uid="{00000000-0009-0000-0000-000003000000}"/>
  <conditionalFormatting sqref="I2:I498 I502 I505:I507 I528 I532 I534:I535 I540:I543 I545:I564 I566 I569 I571 I573 I575 I577:I582 I585:I586 I589:I592 I594 I596:I599 I601 I607:I615 I617 I619 I623:I624 I626 I632:I633 I644 I647:I652 I660:I662 I665:I667 I675:I677 I679:I681 I683:I690 I692 I694:I695 I697:I698 I700 I704:I707 I709 I712:I720 I722:I723 I725:I726 I728 I736:I740 I743 I745 I747:I759 I761:I763 I765 I767:I768 I770:I778 I780:I798 I801:I807 J807:K807 I810:I816 I822:I825">
    <cfRule type="expression" dxfId="31" priority="22">
      <formula>$I2="Absent"</formula>
    </cfRule>
    <cfRule type="expression" dxfId="30" priority="23">
      <formula>$I2="Present (Emphasized)"</formula>
    </cfRule>
    <cfRule type="expression" dxfId="29" priority="24">
      <formula>$I2="Present (De-emphasized)"</formula>
    </cfRule>
    <cfRule type="expression" dxfId="28" priority="25">
      <formula>$I2="Present (Differentiated)"</formula>
    </cfRule>
  </conditionalFormatting>
  <conditionalFormatting sqref="J810:K811">
    <cfRule type="expression" dxfId="27" priority="18">
      <formula>$I810="Absent"</formula>
    </cfRule>
    <cfRule type="expression" dxfId="26" priority="19">
      <formula>$I810="Present (Emphasized)"</formula>
    </cfRule>
    <cfRule type="expression" dxfId="25" priority="20">
      <formula>$I810="Present (De-emphasized)"</formula>
    </cfRule>
    <cfRule type="expression" dxfId="24" priority="21">
      <formula>$I810="Present (Differentiated)"</formula>
    </cfRule>
  </conditionalFormatting>
  <conditionalFormatting sqref="J813:K815">
    <cfRule type="expression" dxfId="23" priority="14">
      <formula>$I813="Absent"</formula>
    </cfRule>
    <cfRule type="expression" dxfId="22" priority="15">
      <formula>$I813="Present (Emphasized)"</formula>
    </cfRule>
    <cfRule type="expression" dxfId="21" priority="16">
      <formula>$I813="Present (De-emphasized)"</formula>
    </cfRule>
    <cfRule type="expression" dxfId="20" priority="17">
      <formula>$I813="Present (Differentiated)"</formula>
    </cfRule>
  </conditionalFormatting>
  <conditionalFormatting sqref="L18:L22">
    <cfRule type="expression" dxfId="19" priority="10">
      <formula>$I18="Absent"</formula>
    </cfRule>
    <cfRule type="expression" dxfId="18" priority="11">
      <formula>$I18="Present (Emphasized)"</formula>
    </cfRule>
    <cfRule type="expression" dxfId="17" priority="12">
      <formula>$I18="Present (De-emphasized)"</formula>
    </cfRule>
    <cfRule type="expression" dxfId="16" priority="13">
      <formula>$I18="Present (Differentiated)"</formula>
    </cfRule>
  </conditionalFormatting>
  <conditionalFormatting sqref="L88:L92">
    <cfRule type="expression" dxfId="15" priority="6">
      <formula>$I88="Absent"</formula>
    </cfRule>
    <cfRule type="expression" dxfId="14" priority="7">
      <formula>$I88="Present (Emphasized)"</formula>
    </cfRule>
    <cfRule type="expression" dxfId="13" priority="8">
      <formula>$I88="Present (De-emphasized)"</formula>
    </cfRule>
    <cfRule type="expression" dxfId="12" priority="9">
      <formula>$I88="Present (Differentiated)"</formula>
    </cfRule>
  </conditionalFormatting>
  <conditionalFormatting sqref="L790:L794">
    <cfRule type="expression" dxfId="11" priority="2">
      <formula>$I790="Absent"</formula>
    </cfRule>
    <cfRule type="expression" dxfId="10" priority="3">
      <formula>$I790="Present (Emphasized)"</formula>
    </cfRule>
    <cfRule type="expression" dxfId="9" priority="4">
      <formula>$I790="Present (De-emphasized)"</formula>
    </cfRule>
    <cfRule type="expression" dxfId="8" priority="5">
      <formula>$I790="Present (Differentiated)"</formula>
    </cfRule>
  </conditionalFormatting>
  <hyperlinks>
    <hyperlink ref="H827" r:id="rId1" xr:uid="{00000000-0004-0000-0300-000000000000}"/>
    <hyperlink ref="H829" r:id="rId2" xr:uid="{00000000-0004-0000-03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1"/>
  <sheetViews>
    <sheetView topLeftCell="D1" zoomScaleNormal="100" workbookViewId="0"/>
  </sheetViews>
  <sheetFormatPr defaultColWidth="11" defaultRowHeight="14.4" x14ac:dyDescent="0.3"/>
  <cols>
    <col min="1" max="1" width="10.109375" customWidth="1"/>
    <col min="2" max="2" width="6.77734375" customWidth="1"/>
    <col min="3" max="3" width="19" customWidth="1"/>
    <col min="4" max="4" width="18.6640625" customWidth="1"/>
    <col min="5" max="5" width="9" customWidth="1"/>
    <col min="6" max="6" width="33.88671875" customWidth="1"/>
    <col min="7" max="7" width="23.44140625" customWidth="1"/>
    <col min="8" max="8" width="28.77734375" customWidth="1"/>
    <col min="9" max="9" width="19.88671875" customWidth="1"/>
    <col min="10" max="10" width="18.44140625" customWidth="1"/>
    <col min="11" max="11" width="72.44140625" customWidth="1"/>
    <col min="12" max="12" width="16.88671875" customWidth="1"/>
    <col min="13" max="13" width="14.109375" customWidth="1"/>
    <col min="14" max="14" width="24.21875" customWidth="1"/>
    <col min="15" max="15" width="26.109375" customWidth="1"/>
  </cols>
  <sheetData>
    <row r="1" spans="1:15" x14ac:dyDescent="0.3">
      <c r="A1" s="15" t="s">
        <v>45</v>
      </c>
      <c r="B1" s="15" t="s">
        <v>48</v>
      </c>
      <c r="C1" s="15" t="s">
        <v>51</v>
      </c>
      <c r="D1" s="15" t="s">
        <v>106</v>
      </c>
      <c r="E1" s="15" t="s">
        <v>4</v>
      </c>
      <c r="F1" s="15" t="s">
        <v>56</v>
      </c>
      <c r="G1" s="15" t="s">
        <v>108</v>
      </c>
      <c r="H1" s="15" t="s">
        <v>59</v>
      </c>
      <c r="I1" s="15" t="s">
        <v>62</v>
      </c>
      <c r="J1" s="15" t="s">
        <v>68</v>
      </c>
      <c r="K1" s="15" t="s">
        <v>70</v>
      </c>
      <c r="L1" s="15" t="s">
        <v>65</v>
      </c>
      <c r="M1" s="15" t="s">
        <v>73</v>
      </c>
      <c r="N1" s="15" t="s">
        <v>110</v>
      </c>
      <c r="O1" s="15" t="s">
        <v>79</v>
      </c>
    </row>
    <row r="2" spans="1:15" ht="12.75" customHeight="1" x14ac:dyDescent="0.3">
      <c r="A2" s="19">
        <f>IF($B2="","",ROW()-1)</f>
        <v>1</v>
      </c>
      <c r="B2" s="20" t="s">
        <v>87</v>
      </c>
      <c r="C2" s="20" t="s">
        <v>97</v>
      </c>
      <c r="D2" s="21" t="str">
        <f>IF($C2="","",IFERROR(VLOOKUP($C2,Map_Register!$A$2:$C$5,3,FALSE()),""))</f>
        <v>Military Zone</v>
      </c>
      <c r="E2" s="20" t="s">
        <v>14</v>
      </c>
      <c r="F2" s="20" t="s">
        <v>1084</v>
      </c>
      <c r="G2" s="20" t="s">
        <v>1085</v>
      </c>
      <c r="H2" s="20" t="s">
        <v>8</v>
      </c>
      <c r="I2" s="20" t="s">
        <v>1086</v>
      </c>
      <c r="J2" s="20" t="s">
        <v>116</v>
      </c>
      <c r="K2" s="24" t="s">
        <v>1087</v>
      </c>
      <c r="L2" s="20" t="s">
        <v>114</v>
      </c>
      <c r="M2" s="20"/>
      <c r="N2" s="20"/>
      <c r="O2" s="20" t="s">
        <v>1088</v>
      </c>
    </row>
    <row r="3" spans="1:15" x14ac:dyDescent="0.3">
      <c r="A3" s="19"/>
      <c r="B3" s="20"/>
      <c r="C3" s="20"/>
      <c r="D3" s="21" t="str">
        <f>IF($C3="","",IFERROR(VLOOKUP($C3,Map_Register!$A$2:$C$5,3,FALSE()),""))</f>
        <v/>
      </c>
      <c r="E3" s="20"/>
      <c r="F3" s="20"/>
      <c r="G3" s="19"/>
      <c r="H3" s="19"/>
      <c r="I3" s="19"/>
      <c r="J3" s="19"/>
      <c r="K3" s="19"/>
      <c r="L3" s="20"/>
      <c r="M3" s="20"/>
      <c r="N3" s="20"/>
      <c r="O3" s="20"/>
    </row>
    <row r="4" spans="1:15" x14ac:dyDescent="0.3">
      <c r="A4" s="19"/>
      <c r="B4" s="20"/>
      <c r="C4" s="20"/>
      <c r="D4" s="21" t="str">
        <f>IF($C4="","",IFERROR(VLOOKUP($C4,Map_Register!$A$2:$C$5,3,FALSE()),""))</f>
        <v/>
      </c>
      <c r="E4" s="20"/>
      <c r="F4" s="20"/>
      <c r="G4" s="19"/>
      <c r="H4" s="19"/>
      <c r="I4" s="19"/>
      <c r="J4" s="19"/>
      <c r="K4" s="19"/>
      <c r="L4" s="20"/>
      <c r="M4" s="20"/>
      <c r="N4" s="20"/>
      <c r="O4" s="20"/>
    </row>
    <row r="5" spans="1:15" x14ac:dyDescent="0.3">
      <c r="A5" s="19"/>
      <c r="B5" s="20"/>
      <c r="C5" s="20"/>
      <c r="D5" s="21" t="str">
        <f>IF($C5="","",IFERROR(VLOOKUP($C5,Map_Register!$A$2:$C$5,3,FALSE()),""))</f>
        <v/>
      </c>
      <c r="E5" s="20"/>
      <c r="F5" s="20"/>
      <c r="G5" s="19"/>
      <c r="H5" s="19"/>
      <c r="I5" s="19"/>
      <c r="J5" s="19"/>
      <c r="K5" s="19"/>
      <c r="L5" s="20"/>
      <c r="M5" s="20"/>
      <c r="N5" s="20"/>
      <c r="O5" s="20"/>
    </row>
    <row r="6" spans="1:15" x14ac:dyDescent="0.3">
      <c r="A6" s="19"/>
      <c r="B6" s="20"/>
      <c r="C6" s="20"/>
      <c r="D6" s="21" t="str">
        <f>IF($C6="","",IFERROR(VLOOKUP($C6,Map_Register!$A$2:$C$5,3,FALSE()),""))</f>
        <v/>
      </c>
      <c r="E6" s="20"/>
      <c r="F6" s="20"/>
      <c r="G6" s="19"/>
      <c r="H6" s="19"/>
      <c r="I6" s="19"/>
      <c r="J6" s="19"/>
      <c r="K6" s="19"/>
      <c r="L6" s="20"/>
      <c r="M6" s="20"/>
      <c r="N6" s="20"/>
      <c r="O6" s="20"/>
    </row>
    <row r="7" spans="1:15" x14ac:dyDescent="0.3">
      <c r="A7" s="19"/>
      <c r="B7" s="20"/>
      <c r="C7" s="20"/>
      <c r="D7" s="21" t="str">
        <f>IF($C7="","",IFERROR(VLOOKUP($C7,Map_Register!$A$2:$C$5,3,FALSE()),""))</f>
        <v/>
      </c>
      <c r="E7" s="20"/>
      <c r="F7" s="20"/>
      <c r="G7" s="19"/>
      <c r="H7" s="19"/>
      <c r="I7" s="19"/>
      <c r="J7" s="19"/>
      <c r="K7" s="19"/>
      <c r="L7" s="20"/>
      <c r="M7" s="20"/>
      <c r="N7" s="20"/>
      <c r="O7" s="20"/>
    </row>
    <row r="8" spans="1:15" x14ac:dyDescent="0.3">
      <c r="A8" s="19"/>
      <c r="B8" s="20"/>
      <c r="C8" s="20"/>
      <c r="D8" s="21" t="str">
        <f>IF($C8="","",IFERROR(VLOOKUP($C8,Map_Register!$A$2:$C$5,3,FALSE()),""))</f>
        <v/>
      </c>
      <c r="E8" s="20"/>
      <c r="F8" s="20"/>
      <c r="G8" s="19"/>
      <c r="H8" s="19"/>
      <c r="I8" s="19"/>
      <c r="J8" s="19"/>
      <c r="K8" s="19"/>
      <c r="L8" s="20"/>
      <c r="M8" s="20"/>
      <c r="N8" s="20"/>
      <c r="O8" s="20"/>
    </row>
    <row r="9" spans="1:15" x14ac:dyDescent="0.3">
      <c r="A9" s="19"/>
      <c r="B9" s="20"/>
      <c r="C9" s="20"/>
      <c r="D9" s="21" t="str">
        <f>IF($C9="","",IFERROR(VLOOKUP($C9,Map_Register!$A$2:$C$5,3,FALSE()),""))</f>
        <v/>
      </c>
      <c r="E9" s="20"/>
      <c r="F9" s="20"/>
      <c r="G9" s="19"/>
      <c r="H9" s="19"/>
      <c r="I9" s="19"/>
      <c r="J9" s="19"/>
      <c r="K9" s="19"/>
      <c r="L9" s="20"/>
      <c r="M9" s="20"/>
      <c r="N9" s="20"/>
      <c r="O9" s="20"/>
    </row>
    <row r="10" spans="1:15" x14ac:dyDescent="0.3">
      <c r="A10" s="19"/>
      <c r="B10" s="20"/>
      <c r="C10" s="20"/>
      <c r="D10" s="21" t="str">
        <f>IF($C10="","",IFERROR(VLOOKUP($C10,Map_Register!$A$2:$C$5,3,FALSE()),""))</f>
        <v/>
      </c>
      <c r="E10" s="20"/>
      <c r="F10" s="20"/>
      <c r="G10" s="19"/>
      <c r="H10" s="19"/>
      <c r="I10" s="19"/>
      <c r="J10" s="19"/>
      <c r="K10" s="19"/>
      <c r="L10" s="20"/>
      <c r="M10" s="20"/>
      <c r="N10" s="20"/>
      <c r="O10" s="20"/>
    </row>
    <row r="11" spans="1:15" x14ac:dyDescent="0.3">
      <c r="A11" s="19"/>
      <c r="B11" s="20"/>
      <c r="C11" s="20"/>
      <c r="D11" s="21" t="str">
        <f>IF($C11="","",IFERROR(VLOOKUP($C11,Map_Register!$A$2:$C$5,3,FALSE()),""))</f>
        <v/>
      </c>
      <c r="E11" s="20"/>
      <c r="F11" s="20"/>
      <c r="G11" s="19"/>
      <c r="H11" s="19"/>
      <c r="I11" s="19"/>
      <c r="J11" s="19"/>
      <c r="K11" s="19"/>
      <c r="L11" s="20"/>
      <c r="M11" s="20"/>
      <c r="N11" s="20"/>
      <c r="O11" s="20"/>
    </row>
    <row r="12" spans="1:15" x14ac:dyDescent="0.3">
      <c r="A12" s="19"/>
      <c r="B12" s="20"/>
      <c r="C12" s="20"/>
      <c r="D12" s="21" t="str">
        <f>IF($C12="","",IFERROR(VLOOKUP($C12,Map_Register!$A$2:$C$5,3,FALSE()),""))</f>
        <v/>
      </c>
      <c r="E12" s="20"/>
      <c r="F12" s="20"/>
      <c r="G12" s="19"/>
      <c r="H12" s="19"/>
      <c r="I12" s="19"/>
      <c r="J12" s="19"/>
      <c r="K12" s="19"/>
      <c r="L12" s="20"/>
      <c r="M12" s="20"/>
      <c r="N12" s="20"/>
      <c r="O12" s="20"/>
    </row>
    <row r="13" spans="1:15" x14ac:dyDescent="0.3">
      <c r="A13" s="19"/>
      <c r="B13" s="20"/>
      <c r="C13" s="20"/>
      <c r="D13" s="21" t="str">
        <f>IF($C13="","",IFERROR(VLOOKUP($C13,Map_Register!$A$2:$C$5,3,FALSE()),""))</f>
        <v/>
      </c>
      <c r="E13" s="20"/>
      <c r="G13" s="19"/>
      <c r="H13" s="19"/>
      <c r="I13" s="19"/>
      <c r="J13" s="19"/>
      <c r="K13" s="19"/>
      <c r="L13" s="20"/>
      <c r="M13" s="20"/>
      <c r="N13" s="20"/>
      <c r="O13" s="20"/>
    </row>
    <row r="14" spans="1:15" x14ac:dyDescent="0.3">
      <c r="A14" s="19"/>
      <c r="B14" s="20"/>
      <c r="C14" s="20"/>
      <c r="D14" s="21" t="str">
        <f>IF($C14="","",IFERROR(VLOOKUP($C14,Map_Register!$A$2:$C$5,3,FALSE()),""))</f>
        <v/>
      </c>
      <c r="E14" s="20"/>
      <c r="G14" s="19"/>
      <c r="H14" s="19"/>
      <c r="I14" s="19"/>
      <c r="J14" s="19"/>
      <c r="K14" s="19"/>
      <c r="L14" s="20"/>
      <c r="M14" s="20"/>
      <c r="N14" s="20"/>
      <c r="O14" s="20"/>
    </row>
    <row r="15" spans="1:15" x14ac:dyDescent="0.3">
      <c r="A15" s="19"/>
      <c r="B15" s="20"/>
      <c r="C15" s="20"/>
      <c r="D15" s="21" t="str">
        <f>IF($C15="","",IFERROR(VLOOKUP($C15,Map_Register!$A$2:$C$5,3,FALSE()),""))</f>
        <v/>
      </c>
      <c r="E15" s="20"/>
      <c r="F15" s="20"/>
      <c r="G15" s="19"/>
      <c r="H15" s="19"/>
      <c r="I15" s="19"/>
      <c r="J15" s="19"/>
      <c r="K15" s="19"/>
      <c r="L15" s="20"/>
      <c r="M15" s="20"/>
      <c r="N15" s="20"/>
      <c r="O15" s="20"/>
    </row>
    <row r="16" spans="1:15" x14ac:dyDescent="0.3">
      <c r="A16" s="19"/>
      <c r="B16" s="20"/>
      <c r="C16" s="20"/>
      <c r="D16" s="21" t="str">
        <f>IF($C16="","",IFERROR(VLOOKUP($C16,Map_Register!$A$2:$C$5,3,FALSE()),""))</f>
        <v/>
      </c>
      <c r="E16" s="20"/>
      <c r="G16" s="19"/>
      <c r="H16" s="19"/>
      <c r="I16" s="19"/>
      <c r="J16" s="19"/>
      <c r="K16" s="19"/>
      <c r="L16" s="20"/>
      <c r="M16" s="20"/>
      <c r="N16" s="20"/>
      <c r="O16" s="20"/>
    </row>
    <row r="17" spans="1:15" x14ac:dyDescent="0.3">
      <c r="A17" s="19"/>
      <c r="B17" s="20"/>
      <c r="C17" s="20"/>
      <c r="D17" s="21" t="str">
        <f>IF($C17="","",IFERROR(VLOOKUP($C17,Map_Register!$A$2:$C$5,3,FALSE()),""))</f>
        <v/>
      </c>
      <c r="E17" s="20"/>
      <c r="G17" s="19"/>
      <c r="H17" s="19"/>
      <c r="I17" s="19"/>
      <c r="J17" s="19"/>
      <c r="K17" s="19"/>
      <c r="L17" s="20"/>
      <c r="M17" s="20"/>
      <c r="N17" s="20"/>
      <c r="O17" s="20"/>
    </row>
    <row r="18" spans="1:15" x14ac:dyDescent="0.3">
      <c r="A18" s="19"/>
      <c r="B18" s="20"/>
      <c r="C18" s="20"/>
      <c r="D18" s="21" t="str">
        <f>IF($C18="","",IFERROR(VLOOKUP($C18,Map_Register!$A$2:$C$5,3,FALSE()),""))</f>
        <v/>
      </c>
      <c r="E18" s="20"/>
      <c r="G18" s="19"/>
      <c r="H18" s="19"/>
      <c r="I18" s="19"/>
      <c r="J18" s="19"/>
      <c r="K18" s="19"/>
      <c r="L18" s="20"/>
      <c r="M18" s="20"/>
      <c r="N18" s="20"/>
      <c r="O18" s="20"/>
    </row>
    <row r="19" spans="1:15" x14ac:dyDescent="0.3">
      <c r="A19" s="19"/>
      <c r="B19" s="20"/>
      <c r="C19" s="20"/>
      <c r="D19" s="21" t="str">
        <f>IF($C19="","",IFERROR(VLOOKUP($C19,Map_Register!$A$2:$C$5,3,FALSE()),""))</f>
        <v/>
      </c>
      <c r="E19" s="20"/>
      <c r="G19" s="19"/>
      <c r="H19" s="19"/>
      <c r="I19" s="19"/>
      <c r="J19" s="19"/>
      <c r="K19" s="19"/>
      <c r="L19" s="20"/>
      <c r="M19" s="20"/>
      <c r="N19" s="20"/>
      <c r="O19" s="20"/>
    </row>
    <row r="20" spans="1:15" x14ac:dyDescent="0.3">
      <c r="A20" s="19"/>
      <c r="B20" s="20"/>
      <c r="C20" s="20"/>
      <c r="D20" s="21" t="str">
        <f>IF($C20="","",IFERROR(VLOOKUP($C20,Map_Register!$A$2:$C$5,3,FALSE()),""))</f>
        <v/>
      </c>
      <c r="E20" s="20"/>
      <c r="F20" s="20"/>
      <c r="G20" s="19"/>
      <c r="H20" s="19"/>
      <c r="I20" s="19"/>
      <c r="J20" s="19"/>
      <c r="K20" s="19"/>
      <c r="L20" s="20"/>
      <c r="M20" s="20"/>
      <c r="N20" s="20"/>
      <c r="O20" s="20"/>
    </row>
    <row r="21" spans="1:15" x14ac:dyDescent="0.3">
      <c r="A21" s="19"/>
      <c r="B21" s="20"/>
      <c r="C21" s="20"/>
      <c r="D21" s="21" t="str">
        <f>IF($C21="","",IFERROR(VLOOKUP($C21,Map_Register!$A$2:$C$5,3,FALSE()),""))</f>
        <v/>
      </c>
      <c r="E21" s="20"/>
      <c r="G21" s="19"/>
      <c r="H21" s="19"/>
      <c r="I21" s="19"/>
      <c r="J21" s="19"/>
      <c r="K21" s="19"/>
      <c r="L21" s="20"/>
      <c r="M21" s="20"/>
      <c r="N21" s="20"/>
      <c r="O21" s="20"/>
    </row>
    <row r="22" spans="1:15" x14ac:dyDescent="0.3">
      <c r="A22" s="19"/>
      <c r="B22" s="20"/>
      <c r="C22" s="20"/>
      <c r="D22" s="21" t="str">
        <f>IF($C22="","",IFERROR(VLOOKUP($C22,Map_Register!$A$2:$C$5,3,FALSE()),""))</f>
        <v/>
      </c>
      <c r="E22" s="20"/>
      <c r="G22" s="19"/>
      <c r="H22" s="19"/>
      <c r="I22" s="19"/>
      <c r="J22" s="19"/>
      <c r="K22" s="19"/>
      <c r="L22" s="20"/>
      <c r="M22" s="20"/>
      <c r="N22" s="20"/>
      <c r="O22" s="20"/>
    </row>
    <row r="23" spans="1:15" x14ac:dyDescent="0.3">
      <c r="A23" s="19"/>
      <c r="B23" s="20"/>
      <c r="C23" s="20"/>
      <c r="D23" s="21" t="str">
        <f>IF($C23="","",IFERROR(VLOOKUP($C23,Map_Register!$A$2:$C$5,3,FALSE()),""))</f>
        <v/>
      </c>
      <c r="E23" s="20"/>
      <c r="G23" s="19"/>
      <c r="H23" s="19"/>
      <c r="I23" s="19"/>
      <c r="J23" s="19"/>
      <c r="K23" s="19"/>
      <c r="L23" s="20"/>
      <c r="M23" s="20"/>
      <c r="N23" s="20"/>
      <c r="O23" s="20"/>
    </row>
    <row r="24" spans="1:15" x14ac:dyDescent="0.3">
      <c r="A24" s="19"/>
      <c r="B24" s="20"/>
      <c r="C24" s="20"/>
      <c r="D24" s="21"/>
      <c r="E24" s="20"/>
      <c r="F24" s="20"/>
      <c r="G24" s="19"/>
      <c r="H24" s="19"/>
      <c r="I24" s="19"/>
      <c r="J24" s="19"/>
      <c r="K24" s="19"/>
      <c r="L24" s="20"/>
      <c r="M24" s="20"/>
      <c r="N24" s="20"/>
      <c r="O24" s="20"/>
    </row>
    <row r="25" spans="1:15" x14ac:dyDescent="0.3">
      <c r="A25" s="19"/>
      <c r="B25" s="20"/>
      <c r="C25" s="20"/>
      <c r="D25" s="21"/>
      <c r="E25" s="20"/>
      <c r="F25" s="20"/>
      <c r="G25" s="19"/>
      <c r="H25" s="19"/>
      <c r="I25" s="19"/>
      <c r="J25" s="19"/>
      <c r="K25" s="19"/>
      <c r="L25" s="20"/>
      <c r="M25" s="20"/>
      <c r="N25" s="20"/>
      <c r="O25" s="20"/>
    </row>
    <row r="26" spans="1:15" x14ac:dyDescent="0.3">
      <c r="A26" s="19"/>
      <c r="B26" s="20"/>
      <c r="C26" s="20"/>
      <c r="D26" s="21"/>
      <c r="E26" s="20"/>
      <c r="G26" s="19"/>
      <c r="H26" s="19"/>
      <c r="I26" s="19"/>
      <c r="J26" s="19"/>
      <c r="K26" s="19"/>
      <c r="L26" s="20"/>
      <c r="M26" s="20"/>
      <c r="N26" s="20"/>
      <c r="O26" s="20"/>
    </row>
    <row r="27" spans="1:15" x14ac:dyDescent="0.3">
      <c r="A27" s="19"/>
      <c r="B27" s="20"/>
      <c r="C27" s="20"/>
      <c r="D27" s="21"/>
      <c r="E27" s="20"/>
      <c r="G27" s="19"/>
      <c r="H27" s="19"/>
      <c r="I27" s="19"/>
      <c r="J27" s="19"/>
      <c r="K27" s="19"/>
      <c r="L27" s="20"/>
      <c r="M27" s="20"/>
      <c r="N27" s="20"/>
      <c r="O27" s="20"/>
    </row>
    <row r="28" spans="1:15" x14ac:dyDescent="0.3">
      <c r="A28" s="19"/>
      <c r="B28" s="20"/>
      <c r="C28" s="20"/>
      <c r="D28" s="21"/>
      <c r="E28" s="20"/>
      <c r="G28" s="19"/>
      <c r="H28" s="19"/>
      <c r="I28" s="19"/>
      <c r="J28" s="19"/>
      <c r="K28" s="19"/>
      <c r="L28" s="20"/>
      <c r="M28" s="20"/>
      <c r="N28" s="20"/>
      <c r="O28" s="20"/>
    </row>
    <row r="29" spans="1:15" x14ac:dyDescent="0.3">
      <c r="A29" s="19"/>
      <c r="B29" s="20"/>
      <c r="C29" s="20"/>
      <c r="D29" s="21"/>
      <c r="E29" s="20"/>
      <c r="G29" s="19"/>
      <c r="H29" s="19"/>
      <c r="I29" s="19"/>
      <c r="J29" s="19"/>
      <c r="K29" s="19"/>
      <c r="L29" s="20"/>
      <c r="M29" s="20"/>
      <c r="N29" s="20"/>
      <c r="O29" s="20"/>
    </row>
    <row r="30" spans="1:15" x14ac:dyDescent="0.3">
      <c r="A30" s="19"/>
      <c r="B30" s="20"/>
      <c r="C30" s="20"/>
      <c r="D30" s="21"/>
      <c r="E30" s="20"/>
      <c r="G30" s="19"/>
      <c r="H30" s="19"/>
      <c r="I30" s="19"/>
      <c r="J30" s="19"/>
      <c r="K30" s="19"/>
      <c r="L30" s="20"/>
      <c r="M30" s="20"/>
      <c r="N30" s="20"/>
      <c r="O30" s="20"/>
    </row>
    <row r="31" spans="1:15" x14ac:dyDescent="0.3">
      <c r="A31" s="19"/>
      <c r="B31" s="20"/>
      <c r="C31" s="20"/>
      <c r="D31" s="21"/>
      <c r="E31" s="20"/>
      <c r="G31" s="19"/>
      <c r="H31" s="19"/>
      <c r="I31" s="19"/>
      <c r="J31" s="19"/>
      <c r="K31" s="19"/>
      <c r="L31" s="20"/>
      <c r="M31" s="20"/>
      <c r="N31" s="20"/>
      <c r="O31" s="20"/>
    </row>
    <row r="32" spans="1:15" x14ac:dyDescent="0.3">
      <c r="A32" s="19"/>
      <c r="B32" s="20"/>
      <c r="C32" s="20"/>
      <c r="D32" s="21"/>
      <c r="E32" s="20"/>
      <c r="G32" s="19"/>
      <c r="H32" s="19"/>
      <c r="I32" s="19"/>
      <c r="J32" s="19"/>
      <c r="K32" s="19"/>
      <c r="L32" s="20"/>
      <c r="M32" s="20"/>
      <c r="N32" s="20"/>
      <c r="O32" s="20"/>
    </row>
    <row r="33" spans="1:15" x14ac:dyDescent="0.3">
      <c r="A33" s="19"/>
      <c r="B33" s="20"/>
      <c r="C33" s="20"/>
      <c r="D33" s="21"/>
      <c r="E33" s="20"/>
      <c r="G33" s="19"/>
      <c r="H33" s="19"/>
      <c r="I33" s="19"/>
      <c r="J33" s="19"/>
      <c r="K33" s="19"/>
      <c r="L33" s="20"/>
      <c r="M33" s="20"/>
      <c r="N33" s="20"/>
      <c r="O33" s="20"/>
    </row>
    <row r="34" spans="1:15" x14ac:dyDescent="0.3">
      <c r="A34" s="19"/>
      <c r="B34" s="20"/>
      <c r="C34" s="20"/>
      <c r="D34" s="21"/>
      <c r="E34" s="20"/>
      <c r="G34" s="19"/>
      <c r="H34" s="19"/>
      <c r="I34" s="19"/>
      <c r="J34" s="19"/>
      <c r="K34" s="19"/>
      <c r="L34" s="20"/>
      <c r="M34" s="20"/>
      <c r="N34" s="20"/>
      <c r="O34" s="20"/>
    </row>
    <row r="35" spans="1:15" x14ac:dyDescent="0.3">
      <c r="A35" s="19"/>
      <c r="B35" s="20"/>
      <c r="C35" s="20"/>
      <c r="D35" s="21"/>
      <c r="E35" s="20"/>
      <c r="G35" s="19"/>
      <c r="H35" s="19"/>
      <c r="I35" s="19"/>
      <c r="J35" s="19"/>
      <c r="K35" s="19"/>
      <c r="L35" s="20"/>
      <c r="M35" s="20"/>
      <c r="N35" s="20"/>
      <c r="O35" s="20"/>
    </row>
    <row r="36" spans="1:15" x14ac:dyDescent="0.3">
      <c r="A36" s="19"/>
      <c r="B36" s="20"/>
      <c r="C36" s="20"/>
      <c r="D36" s="21"/>
      <c r="E36" s="20"/>
      <c r="G36" s="19"/>
      <c r="H36" s="19"/>
      <c r="I36" s="19"/>
      <c r="J36" s="19"/>
      <c r="K36" s="19"/>
      <c r="L36" s="20"/>
      <c r="M36" s="20"/>
      <c r="N36" s="20"/>
      <c r="O36" s="20"/>
    </row>
    <row r="37" spans="1:15" x14ac:dyDescent="0.3">
      <c r="A37" s="19"/>
      <c r="B37" s="20"/>
      <c r="C37" s="20"/>
      <c r="D37" s="21"/>
      <c r="E37" s="20"/>
      <c r="G37" s="19"/>
      <c r="H37" s="19"/>
      <c r="I37" s="19"/>
      <c r="J37" s="19"/>
      <c r="K37" s="19"/>
      <c r="L37" s="20"/>
      <c r="M37" s="20"/>
      <c r="N37" s="20"/>
      <c r="O37" s="20"/>
    </row>
    <row r="38" spans="1:15" x14ac:dyDescent="0.3">
      <c r="A38" s="19"/>
      <c r="B38" s="20"/>
      <c r="C38" s="20"/>
      <c r="D38" s="21"/>
      <c r="E38" s="20"/>
      <c r="F38" s="20"/>
      <c r="G38" s="19"/>
      <c r="H38" s="19"/>
      <c r="I38" s="19"/>
      <c r="J38" s="19"/>
      <c r="K38" s="19"/>
      <c r="L38" s="20"/>
      <c r="M38" s="20"/>
      <c r="N38" s="20"/>
      <c r="O38" s="20"/>
    </row>
    <row r="39" spans="1:15" x14ac:dyDescent="0.3">
      <c r="A39" s="19"/>
      <c r="B39" s="20"/>
      <c r="C39" s="20"/>
      <c r="D39" s="21"/>
      <c r="E39" s="20"/>
      <c r="G39" s="19"/>
      <c r="H39" s="19"/>
      <c r="I39" s="19"/>
      <c r="J39" s="19"/>
      <c r="K39" s="19"/>
      <c r="L39" s="20"/>
      <c r="M39" s="20"/>
      <c r="N39" s="20"/>
      <c r="O39" s="20"/>
    </row>
    <row r="40" spans="1:15" x14ac:dyDescent="0.3">
      <c r="A40" s="19"/>
      <c r="B40" s="20"/>
      <c r="C40" s="20"/>
      <c r="D40" s="21"/>
      <c r="E40" s="20"/>
      <c r="G40" s="19"/>
      <c r="H40" s="19"/>
      <c r="I40" s="19"/>
      <c r="J40" s="19"/>
      <c r="K40" s="19"/>
      <c r="L40" s="20"/>
      <c r="M40" s="20"/>
      <c r="N40" s="20"/>
      <c r="O40" s="20"/>
    </row>
    <row r="41" spans="1:15" x14ac:dyDescent="0.3">
      <c r="A41" s="19"/>
      <c r="B41" s="20"/>
      <c r="C41" s="20"/>
      <c r="D41" s="21"/>
      <c r="E41" s="20"/>
      <c r="G41" s="19"/>
      <c r="H41" s="19"/>
      <c r="I41" s="19"/>
      <c r="J41" s="19"/>
      <c r="K41" s="19"/>
      <c r="L41" s="20"/>
      <c r="M41" s="20"/>
      <c r="N41" s="20"/>
      <c r="O41" s="20"/>
    </row>
    <row r="42" spans="1:15" x14ac:dyDescent="0.3">
      <c r="A42" s="19"/>
      <c r="B42" s="20"/>
      <c r="C42" s="20"/>
      <c r="D42" s="21"/>
      <c r="E42" s="20"/>
      <c r="F42" s="20"/>
      <c r="G42" s="19"/>
      <c r="H42" s="19"/>
      <c r="I42" s="19"/>
      <c r="J42" s="19"/>
      <c r="K42" s="19"/>
      <c r="L42" s="20"/>
      <c r="M42" s="20"/>
      <c r="N42" s="20"/>
      <c r="O42" s="20"/>
    </row>
    <row r="43" spans="1:15" x14ac:dyDescent="0.3">
      <c r="A43" s="19"/>
      <c r="B43" s="20"/>
      <c r="C43" s="20"/>
      <c r="D43" s="21"/>
      <c r="E43" s="20"/>
      <c r="G43" s="19"/>
      <c r="H43" s="19"/>
      <c r="I43" s="19"/>
      <c r="J43" s="19"/>
      <c r="K43" s="19"/>
      <c r="L43" s="20"/>
      <c r="M43" s="20"/>
      <c r="N43" s="20"/>
      <c r="O43" s="20"/>
    </row>
    <row r="44" spans="1:15" x14ac:dyDescent="0.3">
      <c r="A44" s="19"/>
      <c r="B44" s="20"/>
      <c r="C44" s="20"/>
      <c r="D44" s="21"/>
      <c r="E44" s="20"/>
      <c r="G44" s="19"/>
      <c r="H44" s="19"/>
      <c r="I44" s="19"/>
      <c r="J44" s="19"/>
      <c r="K44" s="19"/>
      <c r="L44" s="20"/>
      <c r="M44" s="20"/>
      <c r="N44" s="20"/>
      <c r="O44" s="20"/>
    </row>
    <row r="45" spans="1:15" x14ac:dyDescent="0.3">
      <c r="A45" s="19"/>
      <c r="B45" s="20"/>
      <c r="C45" s="20"/>
      <c r="D45" s="21"/>
      <c r="E45" s="20"/>
      <c r="G45" s="19"/>
      <c r="H45" s="19"/>
      <c r="I45" s="19"/>
      <c r="J45" s="19"/>
      <c r="K45" s="19"/>
      <c r="L45" s="20"/>
      <c r="M45" s="20"/>
      <c r="N45" s="20"/>
      <c r="O45" s="20"/>
    </row>
    <row r="46" spans="1:15" x14ac:dyDescent="0.3">
      <c r="A46" s="19"/>
      <c r="B46" s="20"/>
      <c r="C46" s="20"/>
      <c r="D46" s="21"/>
      <c r="E46" s="20"/>
      <c r="G46" s="19"/>
      <c r="H46" s="19"/>
      <c r="I46" s="19"/>
      <c r="J46" s="19"/>
      <c r="K46" s="19"/>
      <c r="L46" s="20"/>
      <c r="M46" s="20"/>
      <c r="N46" s="20"/>
      <c r="O46" s="20"/>
    </row>
    <row r="47" spans="1:15" x14ac:dyDescent="0.3">
      <c r="A47" s="19"/>
      <c r="B47" s="20"/>
      <c r="C47" s="20"/>
      <c r="D47" s="21"/>
      <c r="E47" s="20"/>
      <c r="G47" s="19"/>
      <c r="H47" s="19"/>
      <c r="I47" s="19"/>
      <c r="J47" s="19"/>
      <c r="K47" s="19"/>
      <c r="L47" s="20"/>
      <c r="M47" s="20"/>
      <c r="N47" s="20"/>
      <c r="O47" s="20"/>
    </row>
    <row r="48" spans="1:15" x14ac:dyDescent="0.3">
      <c r="A48" s="19"/>
      <c r="B48" s="20"/>
      <c r="C48" s="20"/>
      <c r="D48" s="21"/>
      <c r="E48" s="20"/>
      <c r="G48" s="19"/>
      <c r="H48" s="19"/>
      <c r="I48" s="19"/>
      <c r="J48" s="19"/>
      <c r="K48" s="19"/>
      <c r="L48" s="20"/>
      <c r="M48" s="20"/>
      <c r="N48" s="20"/>
      <c r="O48" s="20"/>
    </row>
    <row r="49" spans="1:15" x14ac:dyDescent="0.3">
      <c r="A49" s="19"/>
      <c r="B49" s="20"/>
      <c r="C49" s="20"/>
      <c r="D49" s="21"/>
      <c r="E49" s="20"/>
      <c r="G49" s="19"/>
      <c r="H49" s="19"/>
      <c r="I49" s="19"/>
      <c r="J49" s="19"/>
      <c r="K49" s="19"/>
      <c r="L49" s="20"/>
      <c r="M49" s="20"/>
      <c r="N49" s="20"/>
      <c r="O49" s="20"/>
    </row>
    <row r="50" spans="1:15" x14ac:dyDescent="0.3">
      <c r="A50" s="19"/>
      <c r="B50" s="20"/>
      <c r="C50" s="20"/>
      <c r="D50" s="21"/>
      <c r="E50" s="20"/>
      <c r="G50" s="19"/>
      <c r="H50" s="19"/>
      <c r="I50" s="19"/>
      <c r="J50" s="19"/>
      <c r="K50" s="19"/>
      <c r="L50" s="20"/>
      <c r="M50" s="20"/>
      <c r="N50" s="20"/>
      <c r="O50" s="20"/>
    </row>
    <row r="51" spans="1:15" x14ac:dyDescent="0.3">
      <c r="A51" s="19"/>
      <c r="B51" s="20"/>
      <c r="C51" s="20"/>
      <c r="D51" s="21"/>
      <c r="E51" s="20"/>
      <c r="G51" s="19"/>
      <c r="H51" s="19"/>
      <c r="I51" s="19"/>
      <c r="J51" s="19"/>
      <c r="K51" s="19"/>
      <c r="L51" s="20"/>
      <c r="M51" s="20"/>
      <c r="N51" s="20"/>
      <c r="O51" s="20"/>
    </row>
    <row r="52" spans="1:15" x14ac:dyDescent="0.3">
      <c r="A52" s="19"/>
      <c r="B52" s="20"/>
      <c r="C52" s="20"/>
      <c r="D52" s="21"/>
      <c r="E52" s="20"/>
      <c r="G52" s="19"/>
      <c r="H52" s="19"/>
      <c r="I52" s="19"/>
      <c r="J52" s="19"/>
      <c r="K52" s="19"/>
      <c r="L52" s="20"/>
      <c r="M52" s="20"/>
      <c r="N52" s="20"/>
      <c r="O52" s="20"/>
    </row>
    <row r="53" spans="1:15" x14ac:dyDescent="0.3">
      <c r="A53" s="19"/>
      <c r="B53" s="20"/>
      <c r="C53" s="20"/>
      <c r="D53" s="21"/>
      <c r="E53" s="20"/>
      <c r="G53" s="19"/>
      <c r="H53" s="19"/>
      <c r="I53" s="19"/>
      <c r="J53" s="19"/>
      <c r="K53" s="19"/>
      <c r="L53" s="20"/>
      <c r="M53" s="20"/>
      <c r="N53" s="20"/>
      <c r="O53" s="20"/>
    </row>
    <row r="54" spans="1:15" x14ac:dyDescent="0.3">
      <c r="A54" s="19"/>
      <c r="B54" s="20"/>
      <c r="C54" s="20"/>
      <c r="D54" s="21"/>
      <c r="E54" s="20"/>
      <c r="G54" s="19"/>
      <c r="H54" s="19"/>
      <c r="I54" s="19"/>
      <c r="J54" s="19"/>
      <c r="K54" s="19"/>
      <c r="L54" s="20"/>
      <c r="M54" s="20"/>
      <c r="N54" s="20"/>
      <c r="O54" s="20"/>
    </row>
    <row r="55" spans="1:15" x14ac:dyDescent="0.3">
      <c r="A55" s="19"/>
      <c r="B55" s="20"/>
      <c r="C55" s="20"/>
      <c r="D55" s="21"/>
      <c r="E55" s="20"/>
      <c r="G55" s="19"/>
      <c r="H55" s="19"/>
      <c r="I55" s="19"/>
      <c r="J55" s="19"/>
      <c r="K55" s="19"/>
      <c r="L55" s="20"/>
      <c r="M55" s="20"/>
      <c r="N55" s="20"/>
      <c r="O55" s="20"/>
    </row>
    <row r="56" spans="1:15" x14ac:dyDescent="0.3">
      <c r="A56" s="19"/>
      <c r="B56" s="20"/>
      <c r="C56" s="20"/>
      <c r="D56" s="21"/>
      <c r="E56" s="20"/>
      <c r="F56" s="20"/>
      <c r="G56" s="19"/>
      <c r="H56" s="19"/>
      <c r="I56" s="19"/>
      <c r="J56" s="19"/>
      <c r="K56" s="19"/>
      <c r="L56" s="20"/>
      <c r="M56" s="20"/>
      <c r="N56" s="20"/>
      <c r="O56" s="20"/>
    </row>
    <row r="57" spans="1:15" x14ac:dyDescent="0.3">
      <c r="A57" s="19"/>
      <c r="B57" s="20"/>
      <c r="C57" s="20"/>
      <c r="D57" s="21"/>
      <c r="E57" s="20"/>
      <c r="G57" s="19"/>
      <c r="H57" s="19"/>
      <c r="I57" s="19"/>
      <c r="J57" s="19"/>
      <c r="K57" s="19"/>
      <c r="L57" s="20"/>
      <c r="M57" s="20"/>
      <c r="N57" s="20"/>
      <c r="O57" s="20"/>
    </row>
    <row r="58" spans="1:15" x14ac:dyDescent="0.3">
      <c r="A58" s="19"/>
      <c r="B58" s="20"/>
      <c r="C58" s="20"/>
      <c r="D58" s="21"/>
      <c r="E58" s="20"/>
      <c r="G58" s="19"/>
      <c r="H58" s="19"/>
      <c r="I58" s="19"/>
      <c r="J58" s="19"/>
      <c r="K58" s="19"/>
      <c r="L58" s="20"/>
      <c r="M58" s="20"/>
      <c r="N58" s="20"/>
      <c r="O58" s="20"/>
    </row>
    <row r="59" spans="1:15" x14ac:dyDescent="0.3">
      <c r="A59" s="19"/>
      <c r="B59" s="20"/>
      <c r="C59" s="20"/>
      <c r="D59" s="21"/>
      <c r="E59" s="20"/>
      <c r="G59" s="19"/>
      <c r="H59" s="19"/>
      <c r="I59" s="19"/>
      <c r="J59" s="19"/>
      <c r="K59" s="19"/>
      <c r="L59" s="20"/>
      <c r="M59" s="20"/>
      <c r="N59" s="20"/>
      <c r="O59" s="20"/>
    </row>
    <row r="60" spans="1:15" x14ac:dyDescent="0.3">
      <c r="A60" s="19"/>
      <c r="B60" s="20"/>
      <c r="C60" s="20"/>
      <c r="D60" s="21"/>
      <c r="E60" s="20"/>
      <c r="G60" s="19"/>
      <c r="H60" s="19"/>
      <c r="I60" s="19"/>
      <c r="J60" s="19"/>
      <c r="K60" s="19"/>
      <c r="L60" s="20"/>
      <c r="M60" s="20"/>
      <c r="N60" s="20"/>
      <c r="O60" s="20"/>
    </row>
    <row r="61" spans="1:15" x14ac:dyDescent="0.3">
      <c r="A61" s="19"/>
      <c r="B61" s="20"/>
      <c r="C61" s="20"/>
      <c r="D61" s="21"/>
      <c r="E61" s="20"/>
      <c r="G61" s="19"/>
      <c r="H61" s="19"/>
      <c r="I61" s="19"/>
      <c r="J61" s="19"/>
      <c r="K61" s="19"/>
      <c r="L61" s="20"/>
      <c r="M61" s="20"/>
      <c r="N61" s="20"/>
      <c r="O61" s="20"/>
    </row>
    <row r="62" spans="1:15" x14ac:dyDescent="0.3">
      <c r="A62" s="19"/>
      <c r="B62" s="20"/>
      <c r="C62" s="20"/>
      <c r="D62" s="21"/>
      <c r="E62" s="20"/>
      <c r="G62" s="19"/>
      <c r="H62" s="19"/>
      <c r="I62" s="19"/>
      <c r="J62" s="19"/>
      <c r="K62" s="19"/>
      <c r="L62" s="20"/>
      <c r="M62" s="20"/>
      <c r="N62" s="20"/>
      <c r="O62" s="20"/>
    </row>
    <row r="63" spans="1:15" x14ac:dyDescent="0.3">
      <c r="A63" s="19"/>
      <c r="B63" s="20"/>
      <c r="C63" s="20"/>
      <c r="D63" s="21"/>
      <c r="E63" s="20"/>
      <c r="F63" s="20"/>
      <c r="G63" s="19"/>
      <c r="H63" s="19"/>
      <c r="I63" s="19"/>
      <c r="J63" s="19"/>
      <c r="K63" s="19"/>
      <c r="L63" s="20"/>
      <c r="M63" s="20"/>
      <c r="N63" s="20"/>
      <c r="O63" s="20"/>
    </row>
    <row r="64" spans="1:15" x14ac:dyDescent="0.3">
      <c r="A64" s="19"/>
      <c r="B64" s="20"/>
      <c r="C64" s="20"/>
      <c r="D64" s="21"/>
      <c r="E64" s="20"/>
      <c r="G64" s="19"/>
      <c r="H64" s="19"/>
      <c r="I64" s="19"/>
      <c r="J64" s="19"/>
      <c r="K64" s="19"/>
      <c r="L64" s="20"/>
      <c r="M64" s="20"/>
      <c r="N64" s="20"/>
      <c r="O64" s="20"/>
    </row>
    <row r="65" spans="1:15" x14ac:dyDescent="0.3">
      <c r="A65" s="19"/>
      <c r="B65" s="20"/>
      <c r="C65" s="20"/>
      <c r="D65" s="21"/>
      <c r="E65" s="20"/>
      <c r="F65" s="20"/>
      <c r="G65" s="19"/>
      <c r="H65" s="19"/>
      <c r="I65" s="19"/>
      <c r="J65" s="19"/>
      <c r="K65" s="19"/>
      <c r="L65" s="20"/>
      <c r="M65" s="20"/>
      <c r="N65" s="20"/>
      <c r="O65" s="20"/>
    </row>
    <row r="66" spans="1:15" x14ac:dyDescent="0.3">
      <c r="A66" s="19"/>
      <c r="B66" s="20"/>
      <c r="C66" s="20"/>
      <c r="D66" s="21"/>
      <c r="E66" s="20"/>
      <c r="G66" s="19"/>
      <c r="H66" s="19"/>
      <c r="I66" s="19"/>
      <c r="J66" s="19"/>
      <c r="K66" s="19"/>
      <c r="L66" s="20"/>
      <c r="M66" s="20"/>
      <c r="N66" s="20"/>
      <c r="O66" s="20"/>
    </row>
    <row r="67" spans="1:15" x14ac:dyDescent="0.3">
      <c r="A67" s="19"/>
      <c r="B67" s="20"/>
      <c r="C67" s="20"/>
      <c r="D67" s="21"/>
      <c r="E67" s="20"/>
      <c r="G67" s="19"/>
      <c r="H67" s="19"/>
      <c r="I67" s="19"/>
      <c r="J67" s="19"/>
      <c r="K67" s="19"/>
      <c r="L67" s="20"/>
      <c r="M67" s="20"/>
      <c r="N67" s="20"/>
      <c r="O67" s="20"/>
    </row>
    <row r="68" spans="1:15" x14ac:dyDescent="0.3">
      <c r="A68" s="19"/>
      <c r="B68" s="20"/>
      <c r="C68" s="20"/>
      <c r="D68" s="21"/>
      <c r="E68" s="20"/>
      <c r="G68" s="19"/>
      <c r="H68" s="19"/>
      <c r="I68" s="19"/>
      <c r="J68" s="19"/>
      <c r="K68" s="19"/>
      <c r="L68" s="20"/>
      <c r="M68" s="20"/>
      <c r="N68" s="20"/>
      <c r="O68" s="20"/>
    </row>
    <row r="69" spans="1:15" x14ac:dyDescent="0.3">
      <c r="A69" s="19"/>
      <c r="B69" s="20"/>
      <c r="C69" s="20"/>
      <c r="D69" s="21"/>
      <c r="E69" s="20"/>
      <c r="G69" s="19"/>
      <c r="H69" s="19"/>
      <c r="I69" s="19"/>
      <c r="J69" s="19"/>
      <c r="K69" s="19"/>
      <c r="L69" s="20"/>
      <c r="M69" s="20"/>
      <c r="N69" s="20"/>
      <c r="O69" s="20"/>
    </row>
    <row r="70" spans="1:15" x14ac:dyDescent="0.3">
      <c r="A70" s="19"/>
      <c r="B70" s="20"/>
      <c r="C70" s="20"/>
      <c r="D70" s="21"/>
      <c r="E70" s="20"/>
      <c r="G70" s="19"/>
      <c r="H70" s="19"/>
      <c r="I70" s="19"/>
      <c r="J70" s="19"/>
      <c r="K70" s="19"/>
      <c r="L70" s="20"/>
      <c r="M70" s="20"/>
      <c r="N70" s="20"/>
      <c r="O70" s="20"/>
    </row>
    <row r="71" spans="1:15" x14ac:dyDescent="0.3">
      <c r="A71" s="19"/>
      <c r="B71" s="20"/>
      <c r="C71" s="20"/>
      <c r="D71" s="21"/>
      <c r="E71" s="20"/>
      <c r="G71" s="19"/>
      <c r="H71" s="19"/>
      <c r="I71" s="19"/>
      <c r="J71" s="19"/>
      <c r="K71" s="19"/>
      <c r="L71" s="20"/>
      <c r="M71" s="20"/>
      <c r="N71" s="20"/>
      <c r="O71" s="20"/>
    </row>
    <row r="72" spans="1:15" x14ac:dyDescent="0.3">
      <c r="A72" s="19"/>
      <c r="B72" s="20"/>
      <c r="C72" s="20"/>
      <c r="D72" s="21"/>
      <c r="E72" s="20"/>
      <c r="G72" s="19"/>
      <c r="H72" s="19"/>
      <c r="I72" s="19"/>
      <c r="J72" s="19"/>
      <c r="K72" s="19"/>
      <c r="L72" s="20"/>
      <c r="M72" s="20"/>
      <c r="N72" s="20"/>
      <c r="O72" s="20"/>
    </row>
    <row r="73" spans="1:15" x14ac:dyDescent="0.3">
      <c r="A73" s="19"/>
      <c r="B73" s="20"/>
      <c r="C73" s="20"/>
      <c r="D73" s="21"/>
      <c r="E73" s="20"/>
      <c r="G73" s="19"/>
      <c r="H73" s="19"/>
      <c r="I73" s="19"/>
      <c r="J73" s="19"/>
      <c r="K73" s="19"/>
      <c r="L73" s="20"/>
      <c r="M73" s="20"/>
      <c r="N73" s="20"/>
      <c r="O73" s="20"/>
    </row>
    <row r="74" spans="1:15" x14ac:dyDescent="0.3">
      <c r="A74" s="19"/>
      <c r="B74" s="20"/>
      <c r="C74" s="20"/>
      <c r="D74" s="21"/>
      <c r="E74" s="20"/>
      <c r="G74" s="19"/>
      <c r="H74" s="19"/>
      <c r="I74" s="19"/>
      <c r="J74" s="19"/>
      <c r="K74" s="19"/>
      <c r="L74" s="20"/>
      <c r="M74" s="20"/>
      <c r="N74" s="20"/>
      <c r="O74" s="20"/>
    </row>
    <row r="75" spans="1:15" x14ac:dyDescent="0.3">
      <c r="A75" s="19"/>
      <c r="B75" s="20"/>
      <c r="C75" s="20"/>
      <c r="D75" s="21"/>
      <c r="E75" s="20"/>
      <c r="G75" s="19"/>
      <c r="H75" s="19"/>
      <c r="I75" s="19"/>
      <c r="J75" s="19"/>
      <c r="K75" s="19"/>
      <c r="L75" s="20"/>
      <c r="M75" s="20"/>
      <c r="N75" s="20"/>
      <c r="O75" s="20"/>
    </row>
    <row r="76" spans="1:15" x14ac:dyDescent="0.3">
      <c r="A76" s="19"/>
      <c r="B76" s="20"/>
      <c r="C76" s="20"/>
      <c r="D76" s="21"/>
      <c r="E76" s="20"/>
      <c r="G76" s="19"/>
      <c r="H76" s="19"/>
      <c r="I76" s="19"/>
      <c r="J76" s="19"/>
      <c r="K76" s="19"/>
      <c r="L76" s="20"/>
      <c r="M76" s="20"/>
      <c r="N76" s="20"/>
      <c r="O76" s="20"/>
    </row>
    <row r="77" spans="1:15" x14ac:dyDescent="0.3">
      <c r="A77" s="19"/>
      <c r="B77" s="20"/>
      <c r="C77" s="20"/>
      <c r="D77" s="21"/>
      <c r="E77" s="20"/>
      <c r="G77" s="19"/>
      <c r="H77" s="19"/>
      <c r="I77" s="19"/>
      <c r="J77" s="19"/>
      <c r="K77" s="19"/>
      <c r="L77" s="20"/>
      <c r="M77" s="20"/>
      <c r="N77" s="20"/>
      <c r="O77" s="20"/>
    </row>
    <row r="78" spans="1:15" x14ac:dyDescent="0.3">
      <c r="A78" s="19"/>
      <c r="B78" s="20"/>
      <c r="C78" s="20"/>
      <c r="D78" s="21"/>
      <c r="E78" s="20"/>
      <c r="G78" s="19"/>
      <c r="H78" s="19"/>
      <c r="I78" s="19"/>
      <c r="J78" s="19"/>
      <c r="K78" s="19"/>
      <c r="L78" s="20"/>
      <c r="M78" s="20"/>
      <c r="N78" s="20"/>
      <c r="O78" s="20"/>
    </row>
    <row r="79" spans="1:15" x14ac:dyDescent="0.3">
      <c r="A79" s="19"/>
      <c r="B79" s="20"/>
      <c r="C79" s="20"/>
      <c r="D79" s="21"/>
      <c r="E79" s="20"/>
      <c r="G79" s="19"/>
      <c r="H79" s="19"/>
      <c r="I79" s="19"/>
      <c r="J79" s="19"/>
      <c r="K79" s="19"/>
      <c r="L79" s="20"/>
      <c r="M79" s="20"/>
      <c r="N79" s="20"/>
      <c r="O79" s="20"/>
    </row>
    <row r="80" spans="1:15" x14ac:dyDescent="0.3">
      <c r="A80" s="19"/>
      <c r="B80" s="20"/>
      <c r="C80" s="20"/>
      <c r="D80" s="21"/>
      <c r="E80" s="20"/>
      <c r="F80" s="20"/>
      <c r="G80" s="19"/>
      <c r="H80" s="19"/>
      <c r="I80" s="19"/>
      <c r="J80" s="19"/>
      <c r="K80" s="19"/>
      <c r="L80" s="20"/>
      <c r="M80" s="20"/>
      <c r="N80" s="20"/>
      <c r="O80" s="20"/>
    </row>
    <row r="81" spans="1:15" x14ac:dyDescent="0.3">
      <c r="A81" s="19"/>
      <c r="B81" s="20"/>
      <c r="C81" s="20"/>
      <c r="D81" s="21"/>
      <c r="E81" s="20"/>
      <c r="G81" s="19"/>
      <c r="H81" s="19"/>
      <c r="I81" s="19"/>
      <c r="J81" s="19"/>
      <c r="K81" s="19"/>
      <c r="L81" s="20"/>
      <c r="M81" s="20"/>
      <c r="N81" s="20"/>
      <c r="O81" s="20"/>
    </row>
    <row r="82" spans="1:15" x14ac:dyDescent="0.3">
      <c r="A82" s="19"/>
      <c r="B82" s="20"/>
      <c r="C82" s="20"/>
      <c r="D82" s="21"/>
      <c r="E82" s="20"/>
      <c r="G82" s="19"/>
      <c r="H82" s="19"/>
      <c r="I82" s="19"/>
      <c r="J82" s="19"/>
      <c r="K82" s="19"/>
      <c r="L82" s="20"/>
      <c r="M82" s="20"/>
      <c r="N82" s="20"/>
      <c r="O82" s="20"/>
    </row>
    <row r="83" spans="1:15" x14ac:dyDescent="0.3">
      <c r="A83" s="19"/>
      <c r="B83" s="20"/>
      <c r="C83" s="20"/>
      <c r="D83" s="21"/>
      <c r="E83" s="20"/>
      <c r="G83" s="19"/>
      <c r="H83" s="19"/>
      <c r="I83" s="19"/>
      <c r="J83" s="19"/>
      <c r="K83" s="19"/>
      <c r="L83" s="20"/>
      <c r="M83" s="20"/>
      <c r="N83" s="20"/>
      <c r="O83" s="20"/>
    </row>
    <row r="84" spans="1:15" x14ac:dyDescent="0.3">
      <c r="A84" s="19"/>
      <c r="B84" s="20"/>
      <c r="C84" s="20"/>
      <c r="D84" s="21"/>
      <c r="E84" s="20"/>
      <c r="G84" s="19"/>
      <c r="H84" s="19"/>
      <c r="I84" s="19"/>
      <c r="J84" s="19"/>
      <c r="K84" s="19"/>
      <c r="L84" s="20"/>
      <c r="M84" s="20"/>
      <c r="N84" s="20"/>
      <c r="O84" s="20"/>
    </row>
    <row r="85" spans="1:15" x14ac:dyDescent="0.3">
      <c r="A85" s="19"/>
      <c r="B85" s="20"/>
      <c r="C85" s="20"/>
      <c r="D85" s="21"/>
      <c r="E85" s="20"/>
      <c r="G85" s="19"/>
      <c r="H85" s="19"/>
      <c r="I85" s="19"/>
      <c r="J85" s="19"/>
      <c r="K85" s="19"/>
      <c r="L85" s="20"/>
      <c r="M85" s="20"/>
      <c r="N85" s="20"/>
      <c r="O85" s="20"/>
    </row>
    <row r="86" spans="1:15" x14ac:dyDescent="0.3">
      <c r="A86" s="19"/>
      <c r="B86" s="20"/>
      <c r="C86" s="20"/>
      <c r="D86" s="21"/>
      <c r="E86" s="20"/>
      <c r="G86" s="19"/>
      <c r="H86" s="19"/>
      <c r="I86" s="19"/>
      <c r="J86" s="19"/>
      <c r="K86" s="19"/>
      <c r="L86" s="20"/>
      <c r="M86" s="20"/>
      <c r="N86" s="20"/>
      <c r="O86" s="20"/>
    </row>
    <row r="87" spans="1:15" x14ac:dyDescent="0.3">
      <c r="A87" s="19"/>
      <c r="B87" s="20"/>
      <c r="C87" s="20"/>
      <c r="D87" s="21"/>
      <c r="E87" s="20"/>
      <c r="G87" s="19"/>
      <c r="H87" s="19"/>
      <c r="I87" s="19"/>
      <c r="J87" s="19"/>
      <c r="K87" s="19"/>
      <c r="L87" s="20"/>
      <c r="M87" s="20"/>
      <c r="N87" s="20"/>
      <c r="O87" s="20"/>
    </row>
    <row r="88" spans="1:15" x14ac:dyDescent="0.3">
      <c r="A88" s="19"/>
      <c r="B88" s="20"/>
      <c r="C88" s="20"/>
      <c r="D88" s="21"/>
      <c r="E88" s="20"/>
      <c r="G88" s="19"/>
      <c r="H88" s="19"/>
      <c r="I88" s="19"/>
      <c r="J88" s="19"/>
      <c r="K88" s="19"/>
      <c r="L88" s="20"/>
      <c r="M88" s="20"/>
      <c r="N88" s="20"/>
      <c r="O88" s="20"/>
    </row>
    <row r="89" spans="1:15" x14ac:dyDescent="0.3">
      <c r="A89" s="19"/>
      <c r="B89" s="20"/>
      <c r="C89" s="20"/>
      <c r="D89" s="21"/>
      <c r="E89" s="20"/>
      <c r="G89" s="19"/>
      <c r="H89" s="19"/>
      <c r="I89" s="19"/>
      <c r="J89" s="19"/>
      <c r="K89" s="19"/>
      <c r="L89" s="20"/>
      <c r="M89" s="20"/>
      <c r="N89" s="20"/>
      <c r="O89" s="20"/>
    </row>
    <row r="90" spans="1:15" x14ac:dyDescent="0.3">
      <c r="A90" s="19"/>
      <c r="B90" s="20"/>
      <c r="C90" s="20"/>
      <c r="D90" s="21"/>
      <c r="E90" s="20"/>
      <c r="G90" s="19"/>
      <c r="H90" s="19"/>
      <c r="I90" s="19"/>
      <c r="J90" s="19"/>
      <c r="K90" s="19"/>
      <c r="L90" s="20"/>
      <c r="M90" s="20"/>
      <c r="N90" s="20"/>
      <c r="O90" s="20"/>
    </row>
    <row r="91" spans="1:15" x14ac:dyDescent="0.3">
      <c r="A91" s="19"/>
      <c r="B91" s="20"/>
      <c r="C91" s="20"/>
      <c r="D91" s="21"/>
      <c r="E91" s="20"/>
      <c r="G91" s="19"/>
      <c r="H91" s="19"/>
      <c r="I91" s="19"/>
      <c r="J91" s="19"/>
      <c r="K91" s="19"/>
      <c r="L91" s="20"/>
      <c r="M91" s="20"/>
      <c r="N91" s="20"/>
      <c r="O91" s="20"/>
    </row>
    <row r="92" spans="1:15" x14ac:dyDescent="0.3">
      <c r="A92" s="19"/>
      <c r="B92" s="20"/>
      <c r="C92" s="20"/>
      <c r="D92" s="21"/>
      <c r="E92" s="20"/>
      <c r="G92" s="19"/>
      <c r="H92" s="19"/>
      <c r="I92" s="19"/>
      <c r="J92" s="19"/>
      <c r="K92" s="19"/>
      <c r="L92" s="20"/>
      <c r="M92" s="20"/>
      <c r="N92" s="20"/>
      <c r="O92" s="20"/>
    </row>
    <row r="93" spans="1:15" x14ac:dyDescent="0.3">
      <c r="A93" s="19"/>
      <c r="B93" s="20"/>
      <c r="C93" s="20"/>
      <c r="D93" s="21"/>
      <c r="E93" s="20"/>
      <c r="G93" s="19"/>
      <c r="H93" s="19"/>
      <c r="I93" s="19"/>
      <c r="J93" s="19"/>
      <c r="K93" s="19"/>
      <c r="L93" s="20"/>
      <c r="M93" s="20"/>
      <c r="N93" s="20"/>
      <c r="O93" s="20"/>
    </row>
    <row r="94" spans="1:15" x14ac:dyDescent="0.3">
      <c r="A94" s="19"/>
      <c r="B94" s="20"/>
      <c r="C94" s="20"/>
      <c r="D94" s="21"/>
      <c r="E94" s="20"/>
      <c r="F94" s="20"/>
      <c r="G94" s="19"/>
      <c r="H94" s="19"/>
      <c r="I94" s="19"/>
      <c r="J94" s="19"/>
      <c r="K94" s="19"/>
      <c r="L94" s="20"/>
      <c r="M94" s="20"/>
      <c r="N94" s="20"/>
      <c r="O94" s="20"/>
    </row>
    <row r="95" spans="1:15" x14ac:dyDescent="0.3">
      <c r="A95" s="19"/>
      <c r="B95" s="20"/>
      <c r="C95" s="20"/>
      <c r="D95" s="21"/>
      <c r="E95" s="20"/>
      <c r="G95" s="19"/>
      <c r="H95" s="19"/>
      <c r="I95" s="19"/>
      <c r="J95" s="19"/>
      <c r="K95" s="19"/>
      <c r="L95" s="20"/>
      <c r="M95" s="20"/>
      <c r="N95" s="20"/>
      <c r="O95" s="20"/>
    </row>
    <row r="96" spans="1:15" x14ac:dyDescent="0.3">
      <c r="A96" s="19"/>
      <c r="B96" s="20"/>
      <c r="C96" s="20"/>
      <c r="D96" s="21"/>
      <c r="E96" s="20"/>
      <c r="G96" s="19"/>
      <c r="H96" s="19"/>
      <c r="I96" s="19"/>
      <c r="J96" s="19"/>
      <c r="K96" s="19"/>
      <c r="L96" s="20"/>
      <c r="M96" s="20"/>
      <c r="N96" s="20"/>
      <c r="O96" s="20"/>
    </row>
    <row r="97" spans="1:15" x14ac:dyDescent="0.3">
      <c r="A97" s="19"/>
      <c r="B97" s="20"/>
      <c r="C97" s="20"/>
      <c r="D97" s="21"/>
      <c r="E97" s="20"/>
      <c r="F97" s="20"/>
      <c r="G97" s="19"/>
      <c r="H97" s="19"/>
      <c r="I97" s="19"/>
      <c r="J97" s="19"/>
      <c r="K97" s="19"/>
      <c r="L97" s="20"/>
      <c r="M97" s="20"/>
      <c r="N97" s="20"/>
      <c r="O97" s="20"/>
    </row>
    <row r="98" spans="1:15" x14ac:dyDescent="0.3">
      <c r="A98" s="19"/>
      <c r="B98" s="20"/>
      <c r="C98" s="20"/>
      <c r="D98" s="21"/>
      <c r="E98" s="20"/>
      <c r="G98" s="19"/>
      <c r="H98" s="19"/>
      <c r="I98" s="19"/>
      <c r="J98" s="19"/>
      <c r="K98" s="19"/>
      <c r="L98" s="20"/>
      <c r="M98" s="20"/>
      <c r="N98" s="20"/>
      <c r="O98" s="20"/>
    </row>
    <row r="99" spans="1:15" x14ac:dyDescent="0.3">
      <c r="A99" s="19"/>
      <c r="B99" s="20"/>
      <c r="C99" s="20"/>
      <c r="D99" s="21"/>
      <c r="E99" s="20"/>
      <c r="G99" s="19"/>
      <c r="H99" s="19"/>
      <c r="I99" s="19"/>
      <c r="J99" s="19"/>
      <c r="K99" s="19"/>
      <c r="L99" s="20"/>
      <c r="M99" s="20"/>
      <c r="N99" s="20"/>
      <c r="O99" s="20"/>
    </row>
    <row r="100" spans="1:15" x14ac:dyDescent="0.3">
      <c r="A100" s="19"/>
      <c r="B100" s="20"/>
      <c r="C100" s="20"/>
      <c r="D100" s="21"/>
      <c r="E100" s="20"/>
      <c r="G100" s="19"/>
      <c r="H100" s="19"/>
      <c r="I100" s="19"/>
      <c r="J100" s="19"/>
      <c r="K100" s="19"/>
      <c r="L100" s="20"/>
      <c r="M100" s="20"/>
      <c r="N100" s="20"/>
      <c r="O100" s="20"/>
    </row>
    <row r="101" spans="1:15" x14ac:dyDescent="0.3">
      <c r="A101" s="19"/>
      <c r="B101" s="20"/>
      <c r="C101" s="20"/>
      <c r="D101" s="21"/>
      <c r="E101" s="20"/>
      <c r="G101" s="19"/>
      <c r="H101" s="19"/>
      <c r="I101" s="19"/>
      <c r="J101" s="19"/>
      <c r="K101" s="19"/>
      <c r="L101" s="20"/>
      <c r="M101" s="20"/>
      <c r="N101" s="20"/>
      <c r="O101" s="20"/>
    </row>
    <row r="102" spans="1:15" x14ac:dyDescent="0.3">
      <c r="A102" s="19"/>
      <c r="B102" s="20"/>
      <c r="C102" s="20"/>
      <c r="D102" s="21"/>
      <c r="E102" s="20"/>
      <c r="G102" s="19"/>
      <c r="H102" s="19"/>
      <c r="I102" s="19"/>
      <c r="J102" s="19"/>
      <c r="K102" s="19"/>
      <c r="L102" s="20"/>
      <c r="M102" s="20"/>
      <c r="N102" s="20"/>
      <c r="O102" s="20"/>
    </row>
    <row r="103" spans="1:15" x14ac:dyDescent="0.3">
      <c r="A103" s="19"/>
      <c r="B103" s="20"/>
      <c r="C103" s="20"/>
      <c r="D103" s="21"/>
      <c r="E103" s="20"/>
      <c r="G103" s="19"/>
      <c r="H103" s="19"/>
      <c r="I103" s="19"/>
      <c r="J103" s="19"/>
      <c r="K103" s="19"/>
      <c r="L103" s="20"/>
      <c r="M103" s="20"/>
      <c r="N103" s="20"/>
      <c r="O103" s="20"/>
    </row>
    <row r="104" spans="1:15" x14ac:dyDescent="0.3">
      <c r="A104" s="19"/>
      <c r="B104" s="20"/>
      <c r="C104" s="20"/>
      <c r="D104" s="21"/>
      <c r="E104" s="20"/>
      <c r="G104" s="19"/>
      <c r="H104" s="19"/>
      <c r="I104" s="19"/>
      <c r="J104" s="19"/>
      <c r="K104" s="19"/>
      <c r="L104" s="20"/>
      <c r="M104" s="20"/>
      <c r="N104" s="20"/>
      <c r="O104" s="20"/>
    </row>
    <row r="105" spans="1:15" x14ac:dyDescent="0.3">
      <c r="A105" s="19"/>
      <c r="B105" s="20"/>
      <c r="C105" s="20"/>
      <c r="D105" s="21"/>
      <c r="E105" s="20"/>
      <c r="G105" s="19"/>
      <c r="H105" s="19"/>
      <c r="I105" s="19"/>
      <c r="J105" s="19"/>
      <c r="K105" s="19"/>
      <c r="L105" s="20"/>
      <c r="M105" s="20"/>
      <c r="N105" s="20"/>
      <c r="O105" s="20"/>
    </row>
    <row r="106" spans="1:15" x14ac:dyDescent="0.3">
      <c r="A106" s="19"/>
      <c r="B106" s="20"/>
      <c r="C106" s="20"/>
      <c r="D106" s="21"/>
      <c r="E106" s="20"/>
      <c r="G106" s="19"/>
      <c r="H106" s="19"/>
      <c r="I106" s="19"/>
      <c r="J106" s="19"/>
      <c r="K106" s="19"/>
      <c r="L106" s="20"/>
      <c r="M106" s="20"/>
      <c r="N106" s="20"/>
      <c r="O106" s="20"/>
    </row>
    <row r="107" spans="1:15" x14ac:dyDescent="0.3">
      <c r="A107" s="19"/>
      <c r="B107" s="20"/>
      <c r="C107" s="20"/>
      <c r="D107" s="21"/>
      <c r="E107" s="20"/>
      <c r="G107" s="19"/>
      <c r="H107" s="19"/>
      <c r="I107" s="19"/>
      <c r="J107" s="19"/>
      <c r="K107" s="19"/>
      <c r="L107" s="20"/>
      <c r="M107" s="20"/>
      <c r="N107" s="20"/>
      <c r="O107" s="20"/>
    </row>
    <row r="108" spans="1:15" x14ac:dyDescent="0.3">
      <c r="A108" s="19"/>
      <c r="B108" s="20"/>
      <c r="C108" s="20"/>
      <c r="D108" s="21"/>
      <c r="E108" s="20"/>
      <c r="F108" s="20"/>
      <c r="G108" s="19"/>
      <c r="H108" s="19"/>
      <c r="I108" s="19"/>
      <c r="J108" s="19"/>
      <c r="K108" s="19"/>
      <c r="L108" s="20"/>
      <c r="M108" s="20"/>
      <c r="N108" s="20"/>
      <c r="O108" s="20"/>
    </row>
    <row r="109" spans="1:15" x14ac:dyDescent="0.3">
      <c r="A109" s="19"/>
      <c r="B109" s="20"/>
      <c r="C109" s="20"/>
      <c r="D109" s="21"/>
      <c r="E109" s="20"/>
      <c r="G109" s="19"/>
      <c r="H109" s="19"/>
      <c r="I109" s="19"/>
      <c r="J109" s="19"/>
      <c r="K109" s="19"/>
      <c r="L109" s="20"/>
      <c r="M109" s="20"/>
      <c r="N109" s="20"/>
      <c r="O109" s="20"/>
    </row>
    <row r="110" spans="1:15" x14ac:dyDescent="0.3">
      <c r="A110" s="19"/>
      <c r="B110" s="20"/>
      <c r="C110" s="20"/>
      <c r="D110" s="21"/>
      <c r="E110" s="20"/>
      <c r="G110" s="19"/>
      <c r="H110" s="19"/>
      <c r="I110" s="19"/>
      <c r="J110" s="19"/>
      <c r="K110" s="19"/>
      <c r="L110" s="20"/>
      <c r="M110" s="20"/>
      <c r="N110" s="20"/>
      <c r="O110" s="20"/>
    </row>
    <row r="111" spans="1:15" x14ac:dyDescent="0.3">
      <c r="A111" s="19"/>
      <c r="B111" s="20"/>
      <c r="C111" s="20"/>
      <c r="D111" s="21"/>
      <c r="E111" s="20"/>
      <c r="G111" s="19"/>
      <c r="H111" s="19"/>
      <c r="I111" s="19"/>
      <c r="J111" s="19"/>
      <c r="K111" s="19"/>
      <c r="L111" s="20"/>
      <c r="M111" s="20"/>
      <c r="N111" s="20"/>
      <c r="O111" s="20"/>
    </row>
    <row r="112" spans="1:15" x14ac:dyDescent="0.3">
      <c r="A112" s="19"/>
      <c r="B112" s="20"/>
      <c r="C112" s="20"/>
      <c r="D112" s="21"/>
      <c r="E112" s="20"/>
      <c r="G112" s="19"/>
      <c r="H112" s="19"/>
      <c r="I112" s="19"/>
      <c r="J112" s="19"/>
      <c r="K112" s="19"/>
      <c r="L112" s="20"/>
      <c r="M112" s="20"/>
      <c r="N112" s="20"/>
      <c r="O112" s="20"/>
    </row>
    <row r="113" spans="1:15" x14ac:dyDescent="0.3">
      <c r="A113" s="19"/>
      <c r="B113" s="20"/>
      <c r="C113" s="20"/>
      <c r="D113" s="21"/>
      <c r="E113" s="20"/>
      <c r="G113" s="19"/>
      <c r="H113" s="19"/>
      <c r="I113" s="19"/>
      <c r="J113" s="19"/>
      <c r="K113" s="19"/>
      <c r="L113" s="20"/>
      <c r="M113" s="20"/>
      <c r="N113" s="20"/>
      <c r="O113" s="20"/>
    </row>
    <row r="114" spans="1:15" x14ac:dyDescent="0.3">
      <c r="A114" s="19"/>
      <c r="B114" s="20"/>
      <c r="C114" s="20"/>
      <c r="D114" s="21"/>
      <c r="E114" s="20"/>
      <c r="G114" s="19"/>
      <c r="H114" s="19"/>
      <c r="I114" s="19"/>
      <c r="J114" s="19"/>
      <c r="K114" s="19"/>
      <c r="L114" s="20"/>
      <c r="M114" s="20"/>
      <c r="N114" s="20"/>
      <c r="O114" s="20"/>
    </row>
    <row r="115" spans="1:15" x14ac:dyDescent="0.3">
      <c r="A115" s="19"/>
      <c r="B115" s="20"/>
      <c r="C115" s="20"/>
      <c r="D115" s="21"/>
      <c r="E115" s="20"/>
      <c r="G115" s="19"/>
      <c r="H115" s="19"/>
      <c r="I115" s="19"/>
      <c r="J115" s="19"/>
      <c r="K115" s="19"/>
      <c r="L115" s="20"/>
      <c r="M115" s="20"/>
      <c r="N115" s="20"/>
      <c r="O115" s="20"/>
    </row>
    <row r="116" spans="1:15" x14ac:dyDescent="0.3">
      <c r="A116" s="19"/>
      <c r="B116" s="20"/>
      <c r="C116" s="20"/>
      <c r="D116" s="21"/>
      <c r="E116" s="20"/>
      <c r="G116" s="19"/>
      <c r="H116" s="19"/>
      <c r="I116" s="19"/>
      <c r="J116" s="19"/>
      <c r="K116" s="19"/>
      <c r="L116" s="20"/>
      <c r="M116" s="20"/>
      <c r="N116" s="20"/>
      <c r="O116" s="20"/>
    </row>
    <row r="117" spans="1:15" x14ac:dyDescent="0.3">
      <c r="A117" s="19"/>
      <c r="B117" s="20"/>
      <c r="C117" s="20"/>
      <c r="D117" s="21"/>
      <c r="E117" s="20"/>
      <c r="G117" s="19"/>
      <c r="H117" s="19"/>
      <c r="I117" s="19"/>
      <c r="J117" s="19"/>
      <c r="K117" s="19"/>
      <c r="L117" s="20"/>
      <c r="M117" s="20"/>
      <c r="N117" s="20"/>
      <c r="O117" s="20"/>
    </row>
    <row r="118" spans="1:15" x14ac:dyDescent="0.3">
      <c r="A118" s="19"/>
      <c r="B118" s="20"/>
      <c r="C118" s="20"/>
      <c r="D118" s="21"/>
      <c r="E118" s="20"/>
      <c r="G118" s="19"/>
      <c r="H118" s="19"/>
      <c r="I118" s="19"/>
      <c r="J118" s="19"/>
      <c r="K118" s="19"/>
      <c r="L118" s="20"/>
      <c r="M118" s="20"/>
      <c r="N118" s="20"/>
      <c r="O118" s="20"/>
    </row>
    <row r="119" spans="1:15" x14ac:dyDescent="0.3">
      <c r="A119" s="19"/>
      <c r="B119" s="20"/>
      <c r="C119" s="20"/>
      <c r="D119" s="21"/>
      <c r="E119" s="20"/>
      <c r="G119" s="19"/>
      <c r="H119" s="19"/>
      <c r="I119" s="19"/>
      <c r="J119" s="19"/>
      <c r="K119" s="19"/>
      <c r="L119" s="20"/>
      <c r="M119" s="20"/>
      <c r="N119" s="20"/>
      <c r="O119" s="20"/>
    </row>
    <row r="120" spans="1:15" x14ac:dyDescent="0.3">
      <c r="A120" s="19"/>
      <c r="B120" s="20"/>
      <c r="C120" s="20"/>
      <c r="D120" s="21"/>
      <c r="E120" s="20"/>
      <c r="G120" s="19"/>
      <c r="H120" s="19"/>
      <c r="I120" s="19"/>
      <c r="J120" s="19"/>
      <c r="K120" s="19"/>
      <c r="L120" s="20"/>
      <c r="M120" s="20"/>
      <c r="N120" s="20"/>
      <c r="O120" s="20"/>
    </row>
    <row r="121" spans="1:15" x14ac:dyDescent="0.3">
      <c r="A121" s="19"/>
      <c r="B121" s="20"/>
      <c r="C121" s="20"/>
      <c r="D121" s="21"/>
      <c r="E121" s="20"/>
      <c r="G121" s="19"/>
      <c r="H121" s="19"/>
      <c r="I121" s="19"/>
      <c r="J121" s="19"/>
      <c r="K121" s="19"/>
      <c r="L121" s="20"/>
      <c r="M121" s="20"/>
      <c r="N121" s="20"/>
      <c r="O121" s="20"/>
    </row>
    <row r="122" spans="1:15" x14ac:dyDescent="0.3">
      <c r="A122" s="19"/>
      <c r="B122" s="20"/>
      <c r="C122" s="20"/>
      <c r="D122" s="21"/>
      <c r="E122" s="20"/>
      <c r="G122" s="19"/>
      <c r="H122" s="19"/>
      <c r="I122" s="19"/>
      <c r="J122" s="19"/>
      <c r="K122" s="19"/>
      <c r="L122" s="20"/>
      <c r="M122" s="20"/>
      <c r="N122" s="20"/>
      <c r="O122" s="20"/>
    </row>
    <row r="123" spans="1:15" x14ac:dyDescent="0.3">
      <c r="A123" s="19"/>
      <c r="B123" s="20"/>
      <c r="C123" s="20"/>
      <c r="D123" s="21"/>
      <c r="E123" s="20"/>
      <c r="G123" s="19"/>
      <c r="H123" s="19"/>
      <c r="I123" s="19"/>
      <c r="J123" s="19"/>
      <c r="K123" s="19"/>
      <c r="L123" s="20"/>
      <c r="M123" s="20"/>
      <c r="N123" s="20"/>
      <c r="O123" s="20"/>
    </row>
    <row r="124" spans="1:15" x14ac:dyDescent="0.3">
      <c r="A124" s="19"/>
      <c r="B124" s="20"/>
      <c r="C124" s="20"/>
      <c r="D124" s="21"/>
      <c r="E124" s="20"/>
      <c r="G124" s="19"/>
      <c r="H124" s="19"/>
      <c r="I124" s="19"/>
      <c r="J124" s="19"/>
      <c r="K124" s="19"/>
      <c r="L124" s="20"/>
      <c r="M124" s="20"/>
      <c r="N124" s="20"/>
      <c r="O124" s="20"/>
    </row>
    <row r="125" spans="1:15" x14ac:dyDescent="0.3">
      <c r="A125" s="19"/>
      <c r="B125" s="20"/>
      <c r="C125" s="20"/>
      <c r="D125" s="21"/>
      <c r="E125" s="20"/>
      <c r="G125" s="19"/>
      <c r="H125" s="19"/>
      <c r="I125" s="19"/>
      <c r="J125" s="19"/>
      <c r="K125" s="19"/>
      <c r="L125" s="20"/>
      <c r="M125" s="20"/>
      <c r="N125" s="20"/>
      <c r="O125" s="20"/>
    </row>
    <row r="126" spans="1:15" x14ac:dyDescent="0.3">
      <c r="A126" s="19"/>
      <c r="B126" s="20"/>
      <c r="C126" s="20"/>
      <c r="D126" s="21"/>
      <c r="E126" s="20"/>
      <c r="F126" s="20"/>
      <c r="G126" s="19"/>
      <c r="H126" s="19"/>
      <c r="I126" s="19"/>
      <c r="J126" s="19"/>
      <c r="K126" s="19"/>
      <c r="L126" s="20"/>
      <c r="M126" s="20"/>
      <c r="N126" s="20"/>
      <c r="O126" s="20"/>
    </row>
    <row r="127" spans="1:15" x14ac:dyDescent="0.3">
      <c r="A127" s="19"/>
      <c r="B127" s="20"/>
      <c r="C127" s="20"/>
      <c r="D127" s="21"/>
      <c r="E127" s="20"/>
      <c r="F127" s="20"/>
      <c r="G127" s="20"/>
      <c r="H127" s="20"/>
      <c r="I127" s="20"/>
      <c r="J127" s="20"/>
      <c r="K127" s="24"/>
      <c r="L127" s="20"/>
      <c r="M127" s="20"/>
      <c r="N127" s="20"/>
      <c r="O127" s="20"/>
    </row>
    <row r="128" spans="1:15" x14ac:dyDescent="0.3">
      <c r="A128" s="19"/>
      <c r="B128" s="20"/>
      <c r="C128" s="20"/>
      <c r="D128" s="21"/>
      <c r="E128" s="20"/>
      <c r="F128" s="20"/>
      <c r="G128" s="20"/>
      <c r="H128" s="20"/>
      <c r="I128" s="20"/>
      <c r="J128" s="20"/>
      <c r="K128" s="24"/>
      <c r="L128" s="20"/>
      <c r="M128" s="20"/>
      <c r="N128" s="20"/>
      <c r="O128" s="20"/>
    </row>
    <row r="129" spans="1:15" x14ac:dyDescent="0.3">
      <c r="A129" s="19"/>
      <c r="B129" s="20"/>
      <c r="C129" s="20"/>
      <c r="D129" s="21"/>
      <c r="E129" s="20"/>
      <c r="F129" s="20"/>
      <c r="G129" s="20"/>
      <c r="H129" s="20"/>
      <c r="I129" s="20"/>
      <c r="J129" s="20"/>
      <c r="K129" s="24"/>
      <c r="L129" s="20"/>
      <c r="M129" s="20"/>
      <c r="N129" s="20"/>
      <c r="O129" s="20"/>
    </row>
    <row r="130" spans="1:15" x14ac:dyDescent="0.3">
      <c r="A130" s="19"/>
      <c r="B130" s="20"/>
      <c r="C130" s="20"/>
      <c r="D130" s="21"/>
      <c r="E130" s="20"/>
      <c r="F130" s="20"/>
      <c r="G130" s="20"/>
      <c r="H130" s="20"/>
      <c r="I130" s="20"/>
      <c r="J130" s="20"/>
      <c r="K130" s="24"/>
      <c r="L130" s="20"/>
      <c r="M130" s="20"/>
      <c r="N130" s="20"/>
      <c r="O130" s="20"/>
    </row>
    <row r="131" spans="1:15" x14ac:dyDescent="0.3">
      <c r="A131" s="19"/>
      <c r="B131" s="20"/>
      <c r="C131" s="20"/>
      <c r="D131" s="21"/>
      <c r="E131" s="20"/>
      <c r="F131" s="20"/>
      <c r="G131" s="20"/>
      <c r="H131" s="20"/>
      <c r="I131" s="20"/>
      <c r="J131" s="20"/>
      <c r="K131" s="24"/>
      <c r="L131" s="20"/>
      <c r="M131" s="20"/>
      <c r="N131" s="20"/>
      <c r="O131" s="20"/>
    </row>
    <row r="132" spans="1:15" x14ac:dyDescent="0.3">
      <c r="A132" s="19"/>
      <c r="B132" s="20"/>
      <c r="C132" s="20"/>
      <c r="D132" s="21"/>
      <c r="E132" s="20"/>
      <c r="F132" s="20"/>
      <c r="G132" s="20"/>
      <c r="H132" s="20"/>
      <c r="I132" s="20"/>
      <c r="J132" s="20"/>
      <c r="K132" s="24"/>
      <c r="L132" s="20"/>
      <c r="M132" s="20"/>
      <c r="N132" s="20"/>
      <c r="O132" s="20"/>
    </row>
    <row r="133" spans="1:15" x14ac:dyDescent="0.3">
      <c r="A133" s="19"/>
      <c r="B133" s="20"/>
      <c r="C133" s="20"/>
      <c r="D133" s="21"/>
      <c r="E133" s="20"/>
      <c r="F133" s="20"/>
      <c r="G133" s="20"/>
      <c r="H133" s="20"/>
      <c r="I133" s="20"/>
      <c r="J133" s="20"/>
      <c r="K133" s="24"/>
      <c r="L133" s="20"/>
      <c r="M133" s="20"/>
      <c r="N133" s="20"/>
      <c r="O133" s="20"/>
    </row>
    <row r="134" spans="1:15" x14ac:dyDescent="0.3">
      <c r="A134" s="19"/>
      <c r="B134" s="20"/>
      <c r="C134" s="20"/>
      <c r="D134" s="21"/>
      <c r="E134" s="20"/>
      <c r="F134" s="20"/>
      <c r="G134" s="20"/>
      <c r="H134" s="20"/>
      <c r="I134" s="20"/>
      <c r="J134" s="20"/>
      <c r="K134" s="24"/>
      <c r="L134" s="20"/>
      <c r="M134" s="20"/>
      <c r="N134" s="20"/>
      <c r="O134" s="20"/>
    </row>
    <row r="135" spans="1:15" x14ac:dyDescent="0.3">
      <c r="A135" s="19"/>
      <c r="B135" s="20"/>
      <c r="C135" s="20"/>
      <c r="D135" s="21"/>
      <c r="E135" s="20"/>
      <c r="F135" s="20"/>
      <c r="G135" s="20"/>
      <c r="H135" s="20"/>
      <c r="I135" s="20"/>
      <c r="J135" s="20"/>
      <c r="K135" s="24"/>
      <c r="L135" s="20"/>
      <c r="M135" s="20"/>
      <c r="N135" s="20"/>
      <c r="O135" s="20"/>
    </row>
    <row r="136" spans="1:15" x14ac:dyDescent="0.3">
      <c r="A136" s="19"/>
      <c r="B136" s="20"/>
      <c r="C136" s="20"/>
      <c r="D136" s="21"/>
      <c r="E136" s="20"/>
      <c r="F136" s="20"/>
      <c r="G136" s="20"/>
      <c r="H136" s="20"/>
      <c r="I136" s="20"/>
      <c r="J136" s="20"/>
      <c r="K136" s="24"/>
      <c r="L136" s="20"/>
      <c r="M136" s="20"/>
      <c r="N136" s="20"/>
      <c r="O136" s="20"/>
    </row>
    <row r="137" spans="1:15" x14ac:dyDescent="0.3">
      <c r="A137" s="19"/>
      <c r="B137" s="20"/>
      <c r="C137" s="20"/>
      <c r="D137" s="21"/>
      <c r="E137" s="20"/>
      <c r="F137" s="20"/>
      <c r="G137" s="20"/>
      <c r="H137" s="20"/>
      <c r="I137" s="20"/>
      <c r="J137" s="20"/>
      <c r="K137" s="24"/>
      <c r="L137" s="20"/>
      <c r="M137" s="20"/>
      <c r="N137" s="20"/>
      <c r="O137" s="20"/>
    </row>
    <row r="138" spans="1:15" x14ac:dyDescent="0.3">
      <c r="A138" s="19"/>
      <c r="B138" s="20"/>
      <c r="C138" s="20"/>
      <c r="D138" s="21"/>
      <c r="E138" s="20"/>
      <c r="F138" s="20"/>
      <c r="G138" s="20"/>
      <c r="H138" s="20"/>
      <c r="I138" s="20"/>
      <c r="J138" s="20"/>
      <c r="K138" s="24"/>
      <c r="L138" s="20"/>
      <c r="M138" s="20"/>
      <c r="N138" s="20"/>
      <c r="O138" s="20"/>
    </row>
    <row r="139" spans="1:15" x14ac:dyDescent="0.3">
      <c r="A139" s="19"/>
      <c r="B139" s="20"/>
      <c r="C139" s="20"/>
      <c r="D139" s="21"/>
      <c r="E139" s="20"/>
      <c r="F139" s="20"/>
      <c r="G139" s="20"/>
      <c r="H139" s="20"/>
      <c r="I139" s="20"/>
      <c r="J139" s="20"/>
      <c r="K139" s="24"/>
      <c r="L139" s="20"/>
      <c r="M139" s="20"/>
      <c r="N139" s="20"/>
      <c r="O139" s="20"/>
    </row>
    <row r="140" spans="1:15" x14ac:dyDescent="0.3">
      <c r="A140" s="19"/>
      <c r="B140" s="20"/>
      <c r="C140" s="20"/>
      <c r="D140" s="21"/>
      <c r="E140" s="20"/>
      <c r="F140" s="20"/>
      <c r="G140" s="20"/>
      <c r="H140" s="20"/>
      <c r="I140" s="20"/>
      <c r="J140" s="20"/>
      <c r="K140" s="24"/>
      <c r="L140" s="20"/>
      <c r="M140" s="20"/>
      <c r="N140" s="20"/>
      <c r="O140" s="20"/>
    </row>
    <row r="141" spans="1:15" x14ac:dyDescent="0.3">
      <c r="A141" s="19"/>
      <c r="B141" s="20"/>
      <c r="C141" s="20"/>
      <c r="D141" s="21"/>
      <c r="E141" s="20"/>
      <c r="F141" s="20"/>
      <c r="G141" s="20"/>
      <c r="H141" s="20"/>
      <c r="I141" s="20"/>
      <c r="J141" s="20"/>
      <c r="K141" s="24"/>
      <c r="L141" s="20"/>
      <c r="M141" s="20"/>
      <c r="N141" s="20"/>
      <c r="O141" s="20"/>
    </row>
    <row r="142" spans="1:15" x14ac:dyDescent="0.3">
      <c r="A142" s="19"/>
      <c r="B142" s="20"/>
      <c r="C142" s="20"/>
      <c r="D142" s="21"/>
      <c r="E142" s="20"/>
      <c r="F142" s="20"/>
      <c r="G142" s="20"/>
      <c r="H142" s="20"/>
      <c r="I142" s="20"/>
      <c r="J142" s="20"/>
      <c r="K142" s="24"/>
      <c r="L142" s="20"/>
      <c r="M142" s="20"/>
      <c r="N142" s="20"/>
      <c r="O142" s="20"/>
    </row>
    <row r="143" spans="1:15" x14ac:dyDescent="0.3">
      <c r="A143" s="19"/>
      <c r="B143" s="20"/>
      <c r="C143" s="20"/>
      <c r="D143" s="21"/>
      <c r="E143" s="20"/>
      <c r="F143" s="20"/>
      <c r="G143" s="20"/>
      <c r="H143" s="20"/>
      <c r="I143" s="20"/>
      <c r="J143" s="20"/>
      <c r="K143" s="24"/>
      <c r="L143" s="20"/>
      <c r="M143" s="20"/>
      <c r="N143" s="20"/>
      <c r="O143" s="20"/>
    </row>
    <row r="144" spans="1:15" x14ac:dyDescent="0.3">
      <c r="A144" s="19"/>
      <c r="B144" s="20"/>
      <c r="C144" s="20"/>
      <c r="D144" s="21"/>
      <c r="E144" s="20"/>
      <c r="F144" s="20"/>
      <c r="G144" s="20"/>
      <c r="H144" s="20"/>
      <c r="I144" s="20"/>
      <c r="J144" s="20"/>
      <c r="K144" s="24"/>
      <c r="L144" s="20"/>
      <c r="M144" s="20"/>
      <c r="N144" s="20"/>
      <c r="O144" s="20"/>
    </row>
    <row r="145" spans="1:15" x14ac:dyDescent="0.3">
      <c r="A145" s="19"/>
      <c r="B145" s="20"/>
      <c r="C145" s="20"/>
      <c r="D145" s="21"/>
      <c r="E145" s="20"/>
      <c r="F145" s="20"/>
      <c r="G145" s="20"/>
      <c r="H145" s="20"/>
      <c r="I145" s="20"/>
      <c r="J145" s="20"/>
      <c r="K145" s="24"/>
      <c r="L145" s="20"/>
      <c r="M145" s="20"/>
      <c r="N145" s="20"/>
      <c r="O145" s="20"/>
    </row>
    <row r="146" spans="1:15" x14ac:dyDescent="0.3">
      <c r="A146" s="19"/>
      <c r="B146" s="20"/>
      <c r="C146" s="20"/>
      <c r="D146" s="21"/>
      <c r="E146" s="20"/>
      <c r="F146" s="20"/>
      <c r="G146" s="20"/>
      <c r="H146" s="20"/>
      <c r="I146" s="20"/>
      <c r="J146" s="20"/>
      <c r="K146" s="24"/>
      <c r="L146" s="20"/>
      <c r="M146" s="20"/>
      <c r="N146" s="20"/>
      <c r="O146" s="20"/>
    </row>
    <row r="147" spans="1:15" x14ac:dyDescent="0.3">
      <c r="A147" s="19"/>
      <c r="B147" s="20"/>
      <c r="C147" s="20"/>
      <c r="D147" s="21"/>
      <c r="E147" s="20"/>
      <c r="F147" s="20"/>
      <c r="G147" s="20"/>
      <c r="H147" s="20"/>
      <c r="I147" s="20"/>
      <c r="J147" s="20"/>
      <c r="K147" s="24"/>
      <c r="L147" s="20"/>
      <c r="M147" s="20"/>
      <c r="N147" s="20"/>
      <c r="O147" s="20"/>
    </row>
    <row r="148" spans="1:15" x14ac:dyDescent="0.3">
      <c r="A148" s="19"/>
      <c r="B148" s="20"/>
      <c r="C148" s="20"/>
      <c r="D148" s="21"/>
      <c r="E148" s="20"/>
      <c r="F148" s="20"/>
      <c r="G148" s="20"/>
      <c r="H148" s="20"/>
      <c r="I148" s="20"/>
      <c r="J148" s="20"/>
      <c r="K148" s="24"/>
      <c r="L148" s="20"/>
      <c r="M148" s="20"/>
      <c r="N148" s="20"/>
      <c r="O148" s="20"/>
    </row>
    <row r="149" spans="1:15" x14ac:dyDescent="0.3">
      <c r="A149" s="19"/>
      <c r="B149" s="20"/>
      <c r="C149" s="20"/>
      <c r="D149" s="21"/>
      <c r="E149" s="20"/>
      <c r="F149" s="20"/>
      <c r="G149" s="20"/>
      <c r="H149" s="20"/>
      <c r="I149" s="20"/>
      <c r="J149" s="20"/>
      <c r="K149" s="24"/>
      <c r="L149" s="20"/>
      <c r="M149" s="20"/>
      <c r="N149" s="20"/>
      <c r="O149" s="20"/>
    </row>
    <row r="150" spans="1:15" x14ac:dyDescent="0.3">
      <c r="A150" s="19"/>
      <c r="B150" s="20"/>
      <c r="C150" s="20"/>
      <c r="D150" s="21"/>
      <c r="E150" s="20"/>
      <c r="F150" s="20"/>
      <c r="G150" s="20"/>
      <c r="H150" s="20"/>
      <c r="I150" s="20"/>
      <c r="J150" s="20"/>
      <c r="K150" s="24"/>
      <c r="L150" s="20"/>
      <c r="M150" s="20"/>
      <c r="N150" s="20"/>
      <c r="O150" s="20"/>
    </row>
    <row r="151" spans="1:15" x14ac:dyDescent="0.3">
      <c r="A151" s="19"/>
      <c r="B151" s="20"/>
      <c r="C151" s="20"/>
      <c r="D151" s="21"/>
      <c r="E151" s="20"/>
      <c r="F151" s="20"/>
      <c r="G151" s="20"/>
      <c r="H151" s="20"/>
      <c r="I151" s="20"/>
      <c r="J151" s="20"/>
      <c r="K151" s="24"/>
      <c r="L151" s="20"/>
      <c r="M151" s="20"/>
      <c r="N151" s="20"/>
      <c r="O151" s="20"/>
    </row>
    <row r="152" spans="1:15" x14ac:dyDescent="0.3">
      <c r="A152" s="19"/>
      <c r="B152" s="20"/>
      <c r="C152" s="20"/>
      <c r="D152" s="21"/>
      <c r="E152" s="20"/>
      <c r="F152" s="20"/>
      <c r="G152" s="20"/>
      <c r="H152" s="20"/>
      <c r="I152" s="20"/>
      <c r="J152" s="20"/>
      <c r="K152" s="24"/>
      <c r="L152" s="20"/>
      <c r="M152" s="20"/>
      <c r="N152" s="20"/>
      <c r="O152" s="20"/>
    </row>
    <row r="153" spans="1:15" x14ac:dyDescent="0.3">
      <c r="A153" s="19"/>
      <c r="B153" s="20"/>
      <c r="C153" s="20"/>
      <c r="D153" s="21"/>
      <c r="E153" s="20"/>
      <c r="F153" s="20"/>
      <c r="G153" s="20"/>
      <c r="H153" s="20"/>
      <c r="I153" s="20"/>
      <c r="J153" s="20"/>
      <c r="K153" s="24"/>
      <c r="L153" s="20"/>
      <c r="M153" s="20"/>
      <c r="N153" s="20"/>
      <c r="O153" s="20"/>
    </row>
    <row r="154" spans="1:15" x14ac:dyDescent="0.3">
      <c r="A154" s="19"/>
      <c r="B154" s="20"/>
      <c r="C154" s="20"/>
      <c r="D154" s="21"/>
      <c r="E154" s="20"/>
      <c r="F154" s="20"/>
      <c r="G154" s="20"/>
      <c r="H154" s="20"/>
      <c r="I154" s="20"/>
      <c r="J154" s="20"/>
      <c r="K154" s="24"/>
      <c r="L154" s="20"/>
      <c r="M154" s="20"/>
      <c r="N154" s="20"/>
      <c r="O154" s="20"/>
    </row>
    <row r="155" spans="1:15" x14ac:dyDescent="0.3">
      <c r="A155" s="19"/>
      <c r="B155" s="20"/>
      <c r="C155" s="20"/>
      <c r="D155" s="21"/>
      <c r="E155" s="20"/>
      <c r="F155" s="20"/>
      <c r="G155" s="20"/>
      <c r="H155" s="20"/>
      <c r="I155" s="20"/>
      <c r="J155" s="20"/>
      <c r="K155" s="24"/>
      <c r="L155" s="20"/>
      <c r="M155" s="20"/>
      <c r="N155" s="20"/>
      <c r="O155" s="20"/>
    </row>
    <row r="156" spans="1:15" x14ac:dyDescent="0.3">
      <c r="A156" s="19"/>
      <c r="B156" s="20"/>
      <c r="C156" s="20"/>
      <c r="D156" s="21"/>
      <c r="E156" s="20"/>
      <c r="F156" s="20"/>
      <c r="G156" s="20"/>
      <c r="H156" s="20"/>
      <c r="I156" s="20"/>
      <c r="J156" s="20"/>
      <c r="K156" s="24"/>
      <c r="L156" s="20"/>
      <c r="M156" s="20"/>
      <c r="N156" s="20"/>
      <c r="O156" s="20"/>
    </row>
    <row r="157" spans="1:15" x14ac:dyDescent="0.3">
      <c r="A157" s="19"/>
      <c r="B157" s="20"/>
      <c r="C157" s="20"/>
      <c r="D157" s="21"/>
      <c r="E157" s="20"/>
      <c r="F157" s="20"/>
      <c r="G157" s="20"/>
      <c r="H157" s="20"/>
      <c r="I157" s="20"/>
      <c r="J157" s="20"/>
      <c r="K157" s="24"/>
      <c r="L157" s="20"/>
      <c r="M157" s="20"/>
      <c r="N157" s="20"/>
      <c r="O157" s="20"/>
    </row>
    <row r="158" spans="1:15" x14ac:dyDescent="0.3">
      <c r="A158" s="19"/>
      <c r="B158" s="20"/>
      <c r="C158" s="20"/>
      <c r="D158" s="21"/>
      <c r="E158" s="20"/>
      <c r="F158" s="20"/>
      <c r="G158" s="20"/>
      <c r="H158" s="20"/>
      <c r="I158" s="20"/>
      <c r="J158" s="20"/>
      <c r="K158" s="24"/>
      <c r="L158" s="20"/>
      <c r="M158" s="20"/>
      <c r="N158" s="20"/>
      <c r="O158" s="20"/>
    </row>
    <row r="159" spans="1:15" x14ac:dyDescent="0.3">
      <c r="A159" s="19"/>
      <c r="B159" s="20"/>
      <c r="C159" s="20"/>
      <c r="D159" s="21"/>
      <c r="E159" s="20"/>
      <c r="F159" s="20"/>
      <c r="G159" s="20"/>
      <c r="H159" s="20"/>
      <c r="I159" s="20"/>
      <c r="J159" s="20"/>
      <c r="K159" s="24"/>
      <c r="L159" s="20"/>
      <c r="M159" s="20"/>
      <c r="N159" s="20"/>
      <c r="O159" s="20"/>
    </row>
    <row r="160" spans="1:15" x14ac:dyDescent="0.3">
      <c r="A160" s="19"/>
      <c r="B160" s="20"/>
      <c r="C160" s="20"/>
      <c r="D160" s="21"/>
      <c r="E160" s="20"/>
      <c r="F160" s="20"/>
      <c r="G160" s="20"/>
      <c r="H160" s="20"/>
      <c r="I160" s="20"/>
      <c r="J160" s="20"/>
      <c r="K160" s="24"/>
      <c r="L160" s="20"/>
      <c r="M160" s="20"/>
      <c r="N160" s="20"/>
      <c r="O160" s="20"/>
    </row>
    <row r="161" spans="1:15" x14ac:dyDescent="0.3">
      <c r="A161" s="19"/>
      <c r="B161" s="20"/>
      <c r="C161" s="20"/>
      <c r="D161" s="21"/>
      <c r="E161" s="20"/>
      <c r="F161" s="20"/>
      <c r="G161" s="20"/>
      <c r="H161" s="20"/>
      <c r="I161" s="20"/>
      <c r="J161" s="20"/>
      <c r="K161" s="24"/>
      <c r="L161" s="20"/>
      <c r="M161" s="20"/>
      <c r="N161" s="20"/>
      <c r="O161" s="20"/>
    </row>
    <row r="162" spans="1:15" x14ac:dyDescent="0.3">
      <c r="A162" s="19"/>
      <c r="B162" s="20"/>
      <c r="C162" s="20"/>
      <c r="D162" s="21"/>
      <c r="E162" s="20"/>
      <c r="F162" s="20"/>
      <c r="G162" s="20"/>
      <c r="H162" s="20"/>
      <c r="I162" s="20"/>
      <c r="J162" s="20"/>
      <c r="K162" s="24"/>
      <c r="L162" s="20"/>
      <c r="M162" s="20"/>
      <c r="N162" s="20"/>
      <c r="O162" s="20"/>
    </row>
    <row r="163" spans="1:15" x14ac:dyDescent="0.3">
      <c r="A163" s="19"/>
      <c r="B163" s="20"/>
      <c r="C163" s="20"/>
      <c r="D163" s="21"/>
      <c r="E163" s="20"/>
      <c r="F163" s="20"/>
      <c r="G163" s="20"/>
      <c r="H163" s="20"/>
      <c r="I163" s="20"/>
      <c r="J163" s="20"/>
      <c r="K163" s="24"/>
      <c r="L163" s="20"/>
      <c r="M163" s="20"/>
      <c r="N163" s="20"/>
      <c r="O163" s="20"/>
    </row>
    <row r="164" spans="1:15" x14ac:dyDescent="0.3">
      <c r="A164" s="19"/>
      <c r="B164" s="20"/>
      <c r="C164" s="20"/>
      <c r="D164" s="21"/>
      <c r="E164" s="20"/>
      <c r="F164" s="20"/>
      <c r="G164" s="20"/>
      <c r="H164" s="20"/>
      <c r="I164" s="20"/>
      <c r="J164" s="20"/>
      <c r="K164" s="24"/>
      <c r="L164" s="20"/>
      <c r="M164" s="20"/>
      <c r="N164" s="20"/>
      <c r="O164" s="20"/>
    </row>
    <row r="165" spans="1:15" x14ac:dyDescent="0.3">
      <c r="A165" s="19"/>
      <c r="B165" s="20"/>
      <c r="C165" s="20"/>
      <c r="D165" s="21"/>
      <c r="E165" s="20"/>
      <c r="F165" s="20"/>
      <c r="G165" s="20"/>
      <c r="H165" s="20"/>
      <c r="I165" s="20"/>
      <c r="J165" s="20"/>
      <c r="K165" s="24"/>
      <c r="L165" s="20"/>
      <c r="M165" s="20"/>
      <c r="N165" s="20"/>
      <c r="O165" s="20"/>
    </row>
    <row r="166" spans="1:15" x14ac:dyDescent="0.3">
      <c r="A166" s="19"/>
      <c r="B166" s="20"/>
      <c r="C166" s="20"/>
      <c r="D166" s="21"/>
      <c r="E166" s="20"/>
      <c r="F166" s="20"/>
      <c r="G166" s="20"/>
      <c r="H166" s="20"/>
      <c r="I166" s="20"/>
      <c r="J166" s="20"/>
      <c r="K166" s="24"/>
      <c r="L166" s="20"/>
      <c r="M166" s="20"/>
      <c r="N166" s="20"/>
      <c r="O166" s="20"/>
    </row>
    <row r="167" spans="1:15" x14ac:dyDescent="0.3">
      <c r="A167" s="19"/>
      <c r="B167" s="20"/>
      <c r="C167" s="20"/>
      <c r="D167" s="21"/>
      <c r="E167" s="20"/>
      <c r="F167" s="20"/>
      <c r="G167" s="20"/>
      <c r="H167" s="20"/>
      <c r="I167" s="20"/>
      <c r="J167" s="20"/>
      <c r="K167" s="24"/>
      <c r="L167" s="20"/>
      <c r="M167" s="20"/>
      <c r="N167" s="20"/>
      <c r="O167" s="20"/>
    </row>
    <row r="168" spans="1:15" x14ac:dyDescent="0.3">
      <c r="A168" s="19"/>
      <c r="B168" s="20"/>
      <c r="C168" s="20"/>
      <c r="D168" s="21"/>
      <c r="E168" s="20"/>
      <c r="F168" s="20"/>
      <c r="G168" s="20"/>
      <c r="H168" s="20"/>
      <c r="I168" s="20"/>
      <c r="J168" s="20"/>
      <c r="K168" s="24"/>
      <c r="L168" s="20"/>
      <c r="M168" s="20"/>
      <c r="N168" s="20"/>
      <c r="O168" s="20"/>
    </row>
    <row r="169" spans="1:15" x14ac:dyDescent="0.3">
      <c r="A169" s="19"/>
      <c r="B169" s="20"/>
      <c r="C169" s="20"/>
      <c r="D169" s="21"/>
      <c r="E169" s="20"/>
      <c r="F169" s="20"/>
      <c r="G169" s="20"/>
      <c r="H169" s="20"/>
      <c r="I169" s="20"/>
      <c r="J169" s="20"/>
      <c r="K169" s="24"/>
      <c r="L169" s="20"/>
      <c r="M169" s="20"/>
      <c r="N169" s="20"/>
      <c r="O169" s="20"/>
    </row>
    <row r="170" spans="1:15" x14ac:dyDescent="0.3">
      <c r="A170" s="19"/>
      <c r="B170" s="20"/>
      <c r="C170" s="20"/>
      <c r="D170" s="21"/>
      <c r="E170" s="20"/>
      <c r="F170" s="20"/>
      <c r="G170" s="20"/>
      <c r="H170" s="20"/>
      <c r="I170" s="20"/>
      <c r="J170" s="20"/>
      <c r="K170" s="24"/>
      <c r="L170" s="20"/>
      <c r="M170" s="20"/>
      <c r="N170" s="20"/>
      <c r="O170" s="20"/>
    </row>
    <row r="171" spans="1:15" x14ac:dyDescent="0.3">
      <c r="A171" s="19"/>
      <c r="B171" s="20"/>
      <c r="C171" s="20"/>
      <c r="D171" s="21"/>
      <c r="E171" s="20"/>
      <c r="F171" s="20"/>
      <c r="G171" s="20"/>
      <c r="H171" s="20"/>
      <c r="I171" s="20"/>
      <c r="J171" s="20"/>
      <c r="K171" s="24"/>
      <c r="L171" s="20"/>
      <c r="M171" s="20"/>
      <c r="N171" s="20"/>
      <c r="O171" s="20"/>
    </row>
    <row r="172" spans="1:15" x14ac:dyDescent="0.3">
      <c r="A172" s="19"/>
      <c r="B172" s="20"/>
      <c r="C172" s="20"/>
      <c r="D172" s="21"/>
      <c r="E172" s="20"/>
      <c r="F172" s="20"/>
      <c r="G172" s="20"/>
      <c r="H172" s="20"/>
      <c r="I172" s="20"/>
      <c r="J172" s="20"/>
      <c r="K172" s="24"/>
      <c r="L172" s="20"/>
      <c r="M172" s="20"/>
      <c r="N172" s="20"/>
      <c r="O172" s="20"/>
    </row>
    <row r="173" spans="1:15" x14ac:dyDescent="0.3">
      <c r="A173" s="19"/>
      <c r="B173" s="20"/>
      <c r="C173" s="20"/>
      <c r="D173" s="21"/>
      <c r="E173" s="20"/>
      <c r="F173" s="20"/>
      <c r="G173" s="20"/>
      <c r="H173" s="20"/>
      <c r="I173" s="20"/>
      <c r="J173" s="20"/>
      <c r="K173" s="24"/>
      <c r="L173" s="20"/>
      <c r="M173" s="20"/>
      <c r="N173" s="20"/>
      <c r="O173" s="20"/>
    </row>
    <row r="174" spans="1:15" x14ac:dyDescent="0.3">
      <c r="A174" s="19"/>
      <c r="B174" s="20"/>
      <c r="C174" s="20"/>
      <c r="D174" s="21"/>
      <c r="E174" s="20"/>
      <c r="F174" s="20"/>
      <c r="G174" s="20"/>
      <c r="H174" s="20"/>
      <c r="I174" s="20"/>
      <c r="J174" s="20"/>
      <c r="K174" s="24"/>
      <c r="L174" s="20"/>
      <c r="M174" s="20"/>
      <c r="N174" s="20"/>
      <c r="O174" s="20"/>
    </row>
    <row r="175" spans="1:15" x14ac:dyDescent="0.3">
      <c r="A175" s="19"/>
      <c r="B175" s="20"/>
      <c r="C175" s="20"/>
      <c r="D175" s="21"/>
      <c r="E175" s="20"/>
      <c r="F175" s="20"/>
      <c r="G175" s="20"/>
      <c r="H175" s="20"/>
      <c r="I175" s="20"/>
      <c r="J175" s="20"/>
      <c r="K175" s="24"/>
      <c r="L175" s="20"/>
      <c r="M175" s="20"/>
      <c r="N175" s="20"/>
      <c r="O175" s="20"/>
    </row>
    <row r="176" spans="1:15" x14ac:dyDescent="0.3">
      <c r="A176" s="19"/>
      <c r="B176" s="20"/>
      <c r="C176" s="20"/>
      <c r="D176" s="21"/>
      <c r="E176" s="20"/>
      <c r="F176" s="20"/>
      <c r="G176" s="20"/>
      <c r="H176" s="20"/>
      <c r="I176" s="20"/>
      <c r="J176" s="20"/>
      <c r="K176" s="24"/>
      <c r="L176" s="20"/>
      <c r="M176" s="20"/>
      <c r="N176" s="20"/>
      <c r="O176" s="20"/>
    </row>
    <row r="177" spans="1:15" x14ac:dyDescent="0.3">
      <c r="A177" s="19"/>
      <c r="B177" s="20"/>
      <c r="C177" s="20"/>
      <c r="D177" s="21"/>
      <c r="E177" s="20"/>
      <c r="F177" s="20"/>
      <c r="G177" s="20"/>
      <c r="H177" s="20"/>
      <c r="I177" s="20"/>
      <c r="J177" s="20"/>
      <c r="K177" s="24"/>
      <c r="L177" s="20"/>
      <c r="M177" s="20"/>
      <c r="N177" s="20"/>
      <c r="O177" s="20"/>
    </row>
    <row r="178" spans="1:15" x14ac:dyDescent="0.3">
      <c r="A178" s="19"/>
      <c r="B178" s="20"/>
      <c r="C178" s="20"/>
      <c r="D178" s="21"/>
      <c r="E178" s="20"/>
      <c r="F178" s="20"/>
      <c r="G178" s="20"/>
      <c r="H178" s="20"/>
      <c r="I178" s="20"/>
      <c r="J178" s="20"/>
      <c r="K178" s="24"/>
      <c r="L178" s="20"/>
      <c r="M178" s="20"/>
      <c r="N178" s="20"/>
      <c r="O178" s="20"/>
    </row>
    <row r="179" spans="1:15" x14ac:dyDescent="0.3">
      <c r="A179" s="19"/>
      <c r="B179" s="20"/>
      <c r="C179" s="20"/>
      <c r="D179" s="21"/>
      <c r="E179" s="20"/>
      <c r="F179" s="20"/>
      <c r="G179" s="20"/>
      <c r="H179" s="20"/>
      <c r="I179" s="20"/>
      <c r="J179" s="20"/>
      <c r="K179" s="24"/>
      <c r="L179" s="20"/>
      <c r="M179" s="20"/>
      <c r="N179" s="20"/>
      <c r="O179" s="20"/>
    </row>
    <row r="180" spans="1:15" x14ac:dyDescent="0.3">
      <c r="A180" s="19"/>
      <c r="B180" s="20"/>
      <c r="C180" s="20"/>
      <c r="D180" s="21"/>
      <c r="E180" s="20"/>
      <c r="F180" s="20"/>
      <c r="G180" s="20"/>
      <c r="H180" s="20"/>
      <c r="I180" s="20"/>
      <c r="J180" s="20"/>
      <c r="K180" s="24"/>
      <c r="L180" s="20"/>
      <c r="M180" s="20"/>
      <c r="N180" s="20"/>
      <c r="O180" s="20"/>
    </row>
    <row r="181" spans="1:15" x14ac:dyDescent="0.3">
      <c r="A181" s="19"/>
      <c r="B181" s="20"/>
      <c r="C181" s="20"/>
      <c r="D181" s="21"/>
      <c r="E181" s="20"/>
      <c r="F181" s="20"/>
      <c r="G181" s="20"/>
      <c r="H181" s="20"/>
      <c r="I181" s="20"/>
      <c r="J181" s="20"/>
      <c r="K181" s="24"/>
      <c r="L181" s="20"/>
      <c r="M181" s="20"/>
      <c r="N181" s="20"/>
      <c r="O181" s="20"/>
    </row>
    <row r="182" spans="1:15" x14ac:dyDescent="0.3">
      <c r="A182" s="19"/>
      <c r="B182" s="20"/>
      <c r="C182" s="20"/>
      <c r="D182" s="21"/>
      <c r="E182" s="20"/>
      <c r="F182" s="20"/>
      <c r="G182" s="20"/>
      <c r="H182" s="20"/>
      <c r="I182" s="20"/>
      <c r="J182" s="20"/>
      <c r="K182" s="24"/>
      <c r="L182" s="20"/>
      <c r="M182" s="20"/>
      <c r="N182" s="20"/>
      <c r="O182" s="20"/>
    </row>
    <row r="183" spans="1:15" x14ac:dyDescent="0.3">
      <c r="A183" s="19"/>
      <c r="B183" s="20"/>
      <c r="C183" s="20"/>
      <c r="D183" s="21"/>
      <c r="E183" s="20"/>
      <c r="F183" s="20"/>
      <c r="G183" s="20"/>
      <c r="H183" s="20"/>
      <c r="I183" s="20"/>
      <c r="J183" s="20"/>
      <c r="K183" s="24"/>
      <c r="L183" s="20"/>
      <c r="M183" s="20"/>
      <c r="N183" s="20"/>
      <c r="O183" s="20"/>
    </row>
    <row r="184" spans="1:15" x14ac:dyDescent="0.3">
      <c r="A184" s="19"/>
      <c r="B184" s="20"/>
      <c r="C184" s="20"/>
      <c r="D184" s="21"/>
      <c r="E184" s="20"/>
      <c r="F184" s="20"/>
      <c r="G184" s="20"/>
      <c r="H184" s="20"/>
      <c r="I184" s="20"/>
      <c r="J184" s="20"/>
      <c r="K184" s="24"/>
      <c r="L184" s="20"/>
      <c r="M184" s="20"/>
      <c r="N184" s="20"/>
      <c r="O184" s="20"/>
    </row>
    <row r="185" spans="1:15" x14ac:dyDescent="0.3">
      <c r="A185" s="19"/>
      <c r="B185" s="20"/>
      <c r="C185" s="20"/>
      <c r="D185" s="21"/>
      <c r="E185" s="20"/>
      <c r="F185" s="20"/>
      <c r="G185" s="20"/>
      <c r="H185" s="20"/>
      <c r="I185" s="20"/>
      <c r="J185" s="20"/>
      <c r="K185" s="24"/>
      <c r="L185" s="20"/>
      <c r="M185" s="20"/>
      <c r="N185" s="20"/>
      <c r="O185" s="20"/>
    </row>
    <row r="186" spans="1:15" x14ac:dyDescent="0.3">
      <c r="A186" s="19"/>
      <c r="B186" s="20"/>
      <c r="C186" s="20"/>
      <c r="D186" s="21"/>
      <c r="E186" s="20"/>
      <c r="F186" s="20"/>
      <c r="G186" s="20"/>
      <c r="H186" s="20"/>
      <c r="I186" s="20"/>
      <c r="J186" s="20"/>
      <c r="K186" s="24"/>
      <c r="L186" s="20"/>
      <c r="M186" s="20"/>
      <c r="N186" s="20"/>
      <c r="O186" s="20"/>
    </row>
    <row r="187" spans="1:15" x14ac:dyDescent="0.3">
      <c r="A187" s="19"/>
      <c r="B187" s="20"/>
      <c r="C187" s="20"/>
      <c r="D187" s="21"/>
      <c r="E187" s="20"/>
      <c r="F187" s="20"/>
      <c r="G187" s="20"/>
      <c r="H187" s="20"/>
      <c r="I187" s="20"/>
      <c r="J187" s="20"/>
      <c r="K187" s="24"/>
      <c r="L187" s="20"/>
      <c r="M187" s="20"/>
      <c r="N187" s="20"/>
      <c r="O187" s="20"/>
    </row>
    <row r="188" spans="1:15" x14ac:dyDescent="0.3">
      <c r="A188" s="19"/>
      <c r="B188" s="20"/>
      <c r="C188" s="20"/>
      <c r="D188" s="21"/>
      <c r="E188" s="20"/>
      <c r="F188" s="20"/>
      <c r="G188" s="20"/>
      <c r="H188" s="20"/>
      <c r="I188" s="20"/>
      <c r="J188" s="20"/>
      <c r="K188" s="24"/>
      <c r="L188" s="20"/>
      <c r="M188" s="20"/>
      <c r="N188" s="20"/>
      <c r="O188" s="20"/>
    </row>
    <row r="189" spans="1:15" x14ac:dyDescent="0.3">
      <c r="A189" s="19"/>
      <c r="B189" s="20"/>
      <c r="C189" s="20"/>
      <c r="D189" s="21"/>
      <c r="E189" s="20"/>
      <c r="F189" s="20"/>
      <c r="G189" s="20"/>
      <c r="H189" s="20"/>
      <c r="I189" s="20"/>
      <c r="J189" s="20"/>
      <c r="K189" s="24"/>
      <c r="L189" s="20"/>
      <c r="M189" s="20"/>
      <c r="N189" s="20"/>
      <c r="O189" s="20"/>
    </row>
    <row r="190" spans="1:15" x14ac:dyDescent="0.3">
      <c r="A190" s="19"/>
      <c r="B190" s="20"/>
      <c r="C190" s="20"/>
      <c r="D190" s="21"/>
      <c r="E190" s="20"/>
      <c r="F190" s="20"/>
      <c r="G190" s="20"/>
      <c r="H190" s="20"/>
      <c r="I190" s="20"/>
      <c r="J190" s="20"/>
      <c r="K190" s="24"/>
      <c r="L190" s="20"/>
      <c r="M190" s="20"/>
      <c r="N190" s="20"/>
      <c r="O190" s="20"/>
    </row>
    <row r="191" spans="1:15" x14ac:dyDescent="0.3">
      <c r="A191" s="19"/>
      <c r="B191" s="20"/>
      <c r="C191" s="20"/>
      <c r="D191" s="21"/>
      <c r="E191" s="20"/>
      <c r="F191" s="20"/>
      <c r="G191" s="20"/>
      <c r="H191" s="20"/>
      <c r="I191" s="20"/>
      <c r="J191" s="20"/>
      <c r="K191" s="24"/>
      <c r="L191" s="20"/>
      <c r="M191" s="20"/>
      <c r="N191" s="20"/>
      <c r="O191" s="20"/>
    </row>
    <row r="192" spans="1:15" x14ac:dyDescent="0.3">
      <c r="A192" s="19"/>
      <c r="B192" s="20"/>
      <c r="C192" s="20"/>
      <c r="D192" s="21"/>
      <c r="E192" s="20"/>
      <c r="F192" s="20"/>
      <c r="G192" s="20"/>
      <c r="H192" s="20"/>
      <c r="I192" s="20"/>
      <c r="J192" s="20"/>
      <c r="K192" s="24"/>
      <c r="L192" s="20"/>
      <c r="M192" s="20"/>
      <c r="N192" s="20"/>
      <c r="O192" s="20"/>
    </row>
    <row r="193" spans="1:15" x14ac:dyDescent="0.3">
      <c r="A193" s="19"/>
      <c r="B193" s="20"/>
      <c r="C193" s="20"/>
      <c r="D193" s="21"/>
      <c r="E193" s="20"/>
      <c r="F193" s="20"/>
      <c r="G193" s="20"/>
      <c r="H193" s="20"/>
      <c r="I193" s="20"/>
      <c r="J193" s="20"/>
      <c r="K193" s="24"/>
      <c r="L193" s="20"/>
      <c r="M193" s="20"/>
      <c r="N193" s="20"/>
      <c r="O193" s="20"/>
    </row>
    <row r="194" spans="1:15" x14ac:dyDescent="0.3">
      <c r="A194" s="19"/>
      <c r="B194" s="20"/>
      <c r="C194" s="20"/>
      <c r="D194" s="21"/>
      <c r="E194" s="20"/>
      <c r="F194" s="20"/>
      <c r="G194" s="20"/>
      <c r="H194" s="20"/>
      <c r="I194" s="20"/>
      <c r="J194" s="20"/>
      <c r="K194" s="24"/>
      <c r="L194" s="20"/>
      <c r="M194" s="20"/>
      <c r="N194" s="20"/>
      <c r="O194" s="20"/>
    </row>
    <row r="195" spans="1:15" x14ac:dyDescent="0.3">
      <c r="A195" s="19"/>
      <c r="B195" s="20"/>
      <c r="C195" s="20"/>
      <c r="D195" s="21"/>
      <c r="E195" s="20"/>
      <c r="F195" s="20"/>
      <c r="G195" s="20"/>
      <c r="H195" s="20"/>
      <c r="I195" s="20"/>
      <c r="J195" s="20"/>
      <c r="K195" s="24"/>
      <c r="L195" s="20"/>
      <c r="M195" s="20"/>
      <c r="N195" s="20"/>
      <c r="O195" s="20"/>
    </row>
    <row r="196" spans="1:15" x14ac:dyDescent="0.3">
      <c r="A196" s="19"/>
      <c r="B196" s="20"/>
      <c r="C196" s="20"/>
      <c r="D196" s="21"/>
      <c r="E196" s="20"/>
      <c r="F196" s="20"/>
      <c r="G196" s="20"/>
      <c r="H196" s="20"/>
      <c r="I196" s="20"/>
      <c r="J196" s="20"/>
      <c r="K196" s="24"/>
      <c r="L196" s="20"/>
      <c r="M196" s="20"/>
      <c r="N196" s="20"/>
      <c r="O196" s="20"/>
    </row>
    <row r="197" spans="1:15" x14ac:dyDescent="0.3">
      <c r="A197" s="19"/>
      <c r="B197" s="20"/>
      <c r="C197" s="20"/>
      <c r="D197" s="21"/>
      <c r="E197" s="20"/>
      <c r="F197" s="20"/>
      <c r="G197" s="20"/>
      <c r="H197" s="20"/>
      <c r="I197" s="20"/>
      <c r="J197" s="20"/>
      <c r="K197" s="24"/>
      <c r="L197" s="20"/>
      <c r="M197" s="20"/>
      <c r="N197" s="20"/>
      <c r="O197" s="20"/>
    </row>
    <row r="198" spans="1:15" x14ac:dyDescent="0.3">
      <c r="A198" s="19"/>
      <c r="B198" s="20"/>
      <c r="C198" s="20"/>
      <c r="D198" s="21"/>
      <c r="E198" s="20"/>
      <c r="F198" s="20"/>
      <c r="G198" s="20"/>
      <c r="H198" s="20"/>
      <c r="I198" s="20"/>
      <c r="J198" s="20"/>
      <c r="K198" s="24"/>
      <c r="L198" s="20"/>
      <c r="M198" s="20"/>
      <c r="N198" s="20"/>
      <c r="O198" s="20"/>
    </row>
    <row r="199" spans="1:15" x14ac:dyDescent="0.3">
      <c r="A199" s="19"/>
      <c r="B199" s="20"/>
      <c r="C199" s="20"/>
      <c r="D199" s="21"/>
      <c r="E199" s="20"/>
      <c r="F199" s="20"/>
      <c r="G199" s="20"/>
      <c r="H199" s="20"/>
      <c r="I199" s="20"/>
      <c r="J199" s="20"/>
      <c r="K199" s="24"/>
      <c r="L199" s="20"/>
      <c r="M199" s="20"/>
      <c r="N199" s="20"/>
      <c r="O199" s="20"/>
    </row>
    <row r="200" spans="1:15" x14ac:dyDescent="0.3">
      <c r="A200" s="19"/>
      <c r="B200" s="20"/>
      <c r="C200" s="20"/>
      <c r="D200" s="21"/>
      <c r="E200" s="20"/>
      <c r="F200" s="20"/>
      <c r="G200" s="20"/>
      <c r="H200" s="20"/>
      <c r="I200" s="20"/>
      <c r="J200" s="20"/>
      <c r="K200" s="24"/>
      <c r="L200" s="20"/>
      <c r="M200" s="20"/>
      <c r="N200" s="20"/>
      <c r="O200" s="20"/>
    </row>
    <row r="201" spans="1:15" x14ac:dyDescent="0.3">
      <c r="A201" s="19"/>
      <c r="B201" s="20"/>
      <c r="C201" s="20"/>
      <c r="D201" s="21"/>
      <c r="E201" s="20"/>
      <c r="F201" s="20"/>
      <c r="G201" s="20"/>
      <c r="H201" s="20"/>
      <c r="I201" s="20"/>
      <c r="J201" s="20"/>
      <c r="K201" s="24"/>
      <c r="L201" s="20"/>
      <c r="M201" s="20"/>
      <c r="N201" s="20"/>
      <c r="O201" s="20"/>
    </row>
    <row r="202" spans="1:15" x14ac:dyDescent="0.3">
      <c r="A202" s="19"/>
      <c r="B202" s="20"/>
      <c r="C202" s="20"/>
      <c r="D202" s="21"/>
      <c r="E202" s="20"/>
      <c r="F202" s="20"/>
      <c r="G202" s="20"/>
      <c r="H202" s="20"/>
      <c r="I202" s="20"/>
      <c r="J202" s="20"/>
      <c r="K202" s="24"/>
      <c r="L202" s="20"/>
      <c r="M202" s="20"/>
      <c r="N202" s="20"/>
      <c r="O202" s="20"/>
    </row>
    <row r="203" spans="1:15" x14ac:dyDescent="0.3">
      <c r="A203" s="19"/>
      <c r="B203" s="20"/>
      <c r="C203" s="20"/>
      <c r="D203" s="21"/>
      <c r="E203" s="20"/>
      <c r="F203" s="20"/>
      <c r="G203" s="20"/>
      <c r="H203" s="20"/>
      <c r="I203" s="20"/>
      <c r="J203" s="20"/>
      <c r="K203" s="24"/>
      <c r="L203" s="20"/>
      <c r="M203" s="20"/>
      <c r="N203" s="20"/>
      <c r="O203" s="20"/>
    </row>
    <row r="204" spans="1:15" x14ac:dyDescent="0.3">
      <c r="A204" s="19"/>
      <c r="B204" s="20"/>
      <c r="C204" s="20"/>
      <c r="D204" s="21"/>
      <c r="E204" s="20"/>
      <c r="F204" s="20"/>
      <c r="G204" s="20"/>
      <c r="H204" s="20"/>
      <c r="I204" s="20"/>
      <c r="J204" s="20"/>
      <c r="K204" s="24"/>
      <c r="L204" s="20"/>
      <c r="M204" s="20"/>
      <c r="N204" s="20"/>
      <c r="O204" s="20"/>
    </row>
    <row r="205" spans="1:15" x14ac:dyDescent="0.3">
      <c r="A205" s="19" t="str">
        <f t="shared" ref="A205:A268" si="0">IF($B205="","",ROW()-1)</f>
        <v/>
      </c>
      <c r="B205" s="20"/>
      <c r="C205" s="20"/>
      <c r="D205" s="21" t="str">
        <f>IF($C205="","",IFERROR(VLOOKUP($C205,Map_Register!$A$2:$C$5,3,FALSE()),""))</f>
        <v/>
      </c>
      <c r="E205" s="20"/>
      <c r="F205" s="20"/>
      <c r="G205" s="20"/>
      <c r="H205" s="20"/>
      <c r="I205" s="20"/>
      <c r="J205" s="20"/>
      <c r="K205" s="24"/>
      <c r="L205" s="20"/>
      <c r="M205" s="20"/>
      <c r="N205" s="20"/>
      <c r="O205" s="20"/>
    </row>
    <row r="206" spans="1:15" x14ac:dyDescent="0.3">
      <c r="A206" s="19" t="str">
        <f t="shared" si="0"/>
        <v/>
      </c>
      <c r="B206" s="20"/>
      <c r="C206" s="20"/>
      <c r="D206" s="21" t="str">
        <f>IF($C206="","",IFERROR(VLOOKUP($C206,Map_Register!$A$2:$C$5,3,FALSE()),""))</f>
        <v/>
      </c>
      <c r="E206" s="20"/>
      <c r="F206" s="20"/>
      <c r="G206" s="20"/>
      <c r="H206" s="20"/>
      <c r="I206" s="20"/>
      <c r="J206" s="20"/>
      <c r="K206" s="24"/>
      <c r="L206" s="20"/>
      <c r="M206" s="20"/>
      <c r="N206" s="20"/>
      <c r="O206" s="20"/>
    </row>
    <row r="207" spans="1:15" x14ac:dyDescent="0.3">
      <c r="A207" s="19" t="str">
        <f t="shared" si="0"/>
        <v/>
      </c>
      <c r="B207" s="20"/>
      <c r="C207" s="20"/>
      <c r="D207" s="21" t="str">
        <f>IF($C207="","",IFERROR(VLOOKUP($C207,Map_Register!$A$2:$C$5,3,FALSE()),""))</f>
        <v/>
      </c>
      <c r="E207" s="20"/>
      <c r="F207" s="20"/>
      <c r="G207" s="20"/>
      <c r="H207" s="20"/>
      <c r="I207" s="20"/>
      <c r="J207" s="20"/>
      <c r="K207" s="24"/>
      <c r="L207" s="20"/>
      <c r="M207" s="20"/>
      <c r="N207" s="20"/>
      <c r="O207" s="20"/>
    </row>
    <row r="208" spans="1:15" x14ac:dyDescent="0.3">
      <c r="A208" s="19" t="str">
        <f t="shared" si="0"/>
        <v/>
      </c>
      <c r="B208" s="20"/>
      <c r="C208" s="20"/>
      <c r="D208" s="21" t="str">
        <f>IF($C208="","",IFERROR(VLOOKUP($C208,Map_Register!$A$2:$C$5,3,FALSE()),""))</f>
        <v/>
      </c>
      <c r="E208" s="20"/>
      <c r="F208" s="20"/>
      <c r="G208" s="20"/>
      <c r="H208" s="20"/>
      <c r="I208" s="20"/>
      <c r="J208" s="20"/>
      <c r="K208" s="24"/>
      <c r="L208" s="20"/>
      <c r="M208" s="20"/>
      <c r="N208" s="20"/>
      <c r="O208" s="20"/>
    </row>
    <row r="209" spans="1:15" x14ac:dyDescent="0.3">
      <c r="A209" s="19" t="str">
        <f t="shared" si="0"/>
        <v/>
      </c>
      <c r="B209" s="20"/>
      <c r="C209" s="20"/>
      <c r="D209" s="21" t="str">
        <f>IF($C209="","",IFERROR(VLOOKUP($C209,Map_Register!$A$2:$C$5,3,FALSE()),""))</f>
        <v/>
      </c>
      <c r="E209" s="20"/>
      <c r="F209" s="20"/>
      <c r="G209" s="20"/>
      <c r="H209" s="20"/>
      <c r="I209" s="20"/>
      <c r="J209" s="20"/>
      <c r="K209" s="24"/>
      <c r="L209" s="20"/>
      <c r="M209" s="20"/>
      <c r="N209" s="20"/>
      <c r="O209" s="20"/>
    </row>
    <row r="210" spans="1:15" x14ac:dyDescent="0.3">
      <c r="A210" s="19" t="str">
        <f t="shared" si="0"/>
        <v/>
      </c>
      <c r="B210" s="20"/>
      <c r="C210" s="20"/>
      <c r="D210" s="21" t="str">
        <f>IF($C210="","",IFERROR(VLOOKUP($C210,Map_Register!$A$2:$C$5,3,FALSE()),""))</f>
        <v/>
      </c>
      <c r="E210" s="20"/>
      <c r="F210" s="20"/>
      <c r="G210" s="20"/>
      <c r="H210" s="20"/>
      <c r="I210" s="20"/>
      <c r="J210" s="20"/>
      <c r="K210" s="24"/>
      <c r="L210" s="20"/>
      <c r="M210" s="20"/>
      <c r="N210" s="20"/>
      <c r="O210" s="20"/>
    </row>
    <row r="211" spans="1:15" x14ac:dyDescent="0.3">
      <c r="A211" s="19" t="str">
        <f t="shared" si="0"/>
        <v/>
      </c>
      <c r="B211" s="20"/>
      <c r="C211" s="20"/>
      <c r="D211" s="21" t="str">
        <f>IF($C211="","",IFERROR(VLOOKUP($C211,Map_Register!$A$2:$C$5,3,FALSE()),""))</f>
        <v/>
      </c>
      <c r="E211" s="20"/>
      <c r="F211" s="20"/>
      <c r="G211" s="20"/>
      <c r="H211" s="20"/>
      <c r="I211" s="20"/>
      <c r="J211" s="20"/>
      <c r="K211" s="24"/>
      <c r="L211" s="20"/>
      <c r="M211" s="20"/>
      <c r="N211" s="20"/>
      <c r="O211" s="20"/>
    </row>
    <row r="212" spans="1:15" x14ac:dyDescent="0.3">
      <c r="A212" s="19" t="str">
        <f t="shared" si="0"/>
        <v/>
      </c>
      <c r="B212" s="20"/>
      <c r="C212" s="20"/>
      <c r="D212" s="21" t="str">
        <f>IF($C212="","",IFERROR(VLOOKUP($C212,Map_Register!$A$2:$C$5,3,FALSE()),""))</f>
        <v/>
      </c>
      <c r="E212" s="20"/>
      <c r="F212" s="20"/>
      <c r="G212" s="20"/>
      <c r="H212" s="20"/>
      <c r="I212" s="20"/>
      <c r="J212" s="20"/>
      <c r="K212" s="24"/>
      <c r="L212" s="20"/>
      <c r="M212" s="20"/>
      <c r="N212" s="20"/>
      <c r="O212" s="20"/>
    </row>
    <row r="213" spans="1:15" x14ac:dyDescent="0.3">
      <c r="A213" s="19" t="str">
        <f t="shared" si="0"/>
        <v/>
      </c>
      <c r="B213" s="20"/>
      <c r="C213" s="20"/>
      <c r="D213" s="21" t="str">
        <f>IF($C213="","",IFERROR(VLOOKUP($C213,Map_Register!$A$2:$C$5,3,FALSE()),""))</f>
        <v/>
      </c>
      <c r="E213" s="20"/>
      <c r="F213" s="20"/>
      <c r="G213" s="20"/>
      <c r="H213" s="20"/>
      <c r="I213" s="20"/>
      <c r="J213" s="20"/>
      <c r="K213" s="24"/>
      <c r="L213" s="20"/>
      <c r="M213" s="20"/>
      <c r="N213" s="20"/>
      <c r="O213" s="20"/>
    </row>
    <row r="214" spans="1:15" x14ac:dyDescent="0.3">
      <c r="A214" s="19" t="str">
        <f t="shared" si="0"/>
        <v/>
      </c>
      <c r="B214" s="20"/>
      <c r="C214" s="20"/>
      <c r="D214" s="21" t="str">
        <f>IF($C214="","",IFERROR(VLOOKUP($C214,Map_Register!$A$2:$C$5,3,FALSE()),""))</f>
        <v/>
      </c>
      <c r="E214" s="20"/>
      <c r="F214" s="20"/>
      <c r="G214" s="20"/>
      <c r="H214" s="20"/>
      <c r="I214" s="20"/>
      <c r="J214" s="20"/>
      <c r="K214" s="24"/>
      <c r="L214" s="20"/>
      <c r="M214" s="20"/>
      <c r="N214" s="20"/>
      <c r="O214" s="20"/>
    </row>
    <row r="215" spans="1:15" x14ac:dyDescent="0.3">
      <c r="A215" s="19" t="str">
        <f t="shared" si="0"/>
        <v/>
      </c>
      <c r="B215" s="20"/>
      <c r="C215" s="20"/>
      <c r="D215" s="21" t="str">
        <f>IF($C215="","",IFERROR(VLOOKUP($C215,Map_Register!$A$2:$C$5,3,FALSE()),""))</f>
        <v/>
      </c>
      <c r="E215" s="20"/>
      <c r="F215" s="20"/>
      <c r="G215" s="20"/>
      <c r="H215" s="20"/>
      <c r="I215" s="20"/>
      <c r="J215" s="20"/>
      <c r="K215" s="24"/>
      <c r="L215" s="20"/>
      <c r="M215" s="20"/>
      <c r="N215" s="20"/>
      <c r="O215" s="20"/>
    </row>
    <row r="216" spans="1:15" x14ac:dyDescent="0.3">
      <c r="A216" s="19" t="str">
        <f t="shared" si="0"/>
        <v/>
      </c>
      <c r="B216" s="20"/>
      <c r="C216" s="20"/>
      <c r="D216" s="21" t="str">
        <f>IF($C216="","",IFERROR(VLOOKUP($C216,Map_Register!$A$2:$C$5,3,FALSE()),""))</f>
        <v/>
      </c>
      <c r="E216" s="20"/>
      <c r="F216" s="20"/>
      <c r="G216" s="20"/>
      <c r="H216" s="20"/>
      <c r="I216" s="20"/>
      <c r="J216" s="20"/>
      <c r="K216" s="24"/>
      <c r="L216" s="20"/>
      <c r="M216" s="20"/>
      <c r="N216" s="20"/>
      <c r="O216" s="20"/>
    </row>
    <row r="217" spans="1:15" x14ac:dyDescent="0.3">
      <c r="A217" s="19" t="str">
        <f t="shared" si="0"/>
        <v/>
      </c>
      <c r="B217" s="20"/>
      <c r="C217" s="20"/>
      <c r="D217" s="21" t="str">
        <f>IF($C217="","",IFERROR(VLOOKUP($C217,Map_Register!$A$2:$C$5,3,FALSE()),""))</f>
        <v/>
      </c>
      <c r="E217" s="20"/>
      <c r="F217" s="20"/>
      <c r="G217" s="20"/>
      <c r="H217" s="20"/>
      <c r="I217" s="20"/>
      <c r="J217" s="20"/>
      <c r="K217" s="24"/>
      <c r="L217" s="20"/>
      <c r="M217" s="20"/>
      <c r="N217" s="20"/>
      <c r="O217" s="20"/>
    </row>
    <row r="218" spans="1:15" x14ac:dyDescent="0.3">
      <c r="A218" s="19" t="str">
        <f t="shared" si="0"/>
        <v/>
      </c>
      <c r="B218" s="20"/>
      <c r="C218" s="20"/>
      <c r="D218" s="21" t="str">
        <f>IF($C218="","",IFERROR(VLOOKUP($C218,Map_Register!$A$2:$C$5,3,FALSE()),""))</f>
        <v/>
      </c>
      <c r="E218" s="20"/>
      <c r="F218" s="20"/>
      <c r="G218" s="20"/>
      <c r="H218" s="20"/>
      <c r="I218" s="20"/>
      <c r="J218" s="20"/>
      <c r="K218" s="24"/>
      <c r="L218" s="20"/>
      <c r="M218" s="20"/>
      <c r="N218" s="20"/>
      <c r="O218" s="20"/>
    </row>
    <row r="219" spans="1:15" x14ac:dyDescent="0.3">
      <c r="A219" s="19" t="str">
        <f t="shared" si="0"/>
        <v/>
      </c>
      <c r="B219" s="20"/>
      <c r="C219" s="20"/>
      <c r="D219" s="21" t="str">
        <f>IF($C219="","",IFERROR(VLOOKUP($C219,Map_Register!$A$2:$C$5,3,FALSE()),""))</f>
        <v/>
      </c>
      <c r="E219" s="20"/>
      <c r="F219" s="20"/>
      <c r="G219" s="20"/>
      <c r="H219" s="20"/>
      <c r="I219" s="20"/>
      <c r="J219" s="20"/>
      <c r="K219" s="24"/>
      <c r="L219" s="20"/>
      <c r="M219" s="20"/>
      <c r="N219" s="20"/>
      <c r="O219" s="20"/>
    </row>
    <row r="220" spans="1:15" x14ac:dyDescent="0.3">
      <c r="A220" s="19" t="str">
        <f t="shared" si="0"/>
        <v/>
      </c>
      <c r="B220" s="20"/>
      <c r="C220" s="20"/>
      <c r="D220" s="21" t="str">
        <f>IF($C220="","",IFERROR(VLOOKUP($C220,Map_Register!$A$2:$C$5,3,FALSE()),""))</f>
        <v/>
      </c>
      <c r="E220" s="20"/>
      <c r="F220" s="20"/>
      <c r="G220" s="20"/>
      <c r="H220" s="20"/>
      <c r="I220" s="20"/>
      <c r="J220" s="20"/>
      <c r="K220" s="24"/>
      <c r="L220" s="20"/>
      <c r="M220" s="20"/>
      <c r="N220" s="20"/>
      <c r="O220" s="20"/>
    </row>
    <row r="221" spans="1:15" x14ac:dyDescent="0.3">
      <c r="A221" s="19" t="str">
        <f t="shared" si="0"/>
        <v/>
      </c>
      <c r="B221" s="20"/>
      <c r="C221" s="20"/>
      <c r="D221" s="21" t="str">
        <f>IF($C221="","",IFERROR(VLOOKUP($C221,Map_Register!$A$2:$C$5,3,FALSE()),""))</f>
        <v/>
      </c>
      <c r="E221" s="20"/>
      <c r="F221" s="20"/>
      <c r="G221" s="20"/>
      <c r="H221" s="20"/>
      <c r="I221" s="20"/>
      <c r="J221" s="20"/>
      <c r="K221" s="24"/>
      <c r="L221" s="20"/>
      <c r="M221" s="20"/>
      <c r="N221" s="20"/>
      <c r="O221" s="20"/>
    </row>
    <row r="222" spans="1:15" x14ac:dyDescent="0.3">
      <c r="A222" s="19" t="str">
        <f t="shared" si="0"/>
        <v/>
      </c>
      <c r="B222" s="20"/>
      <c r="C222" s="20"/>
      <c r="D222" s="21" t="str">
        <f>IF($C222="","",IFERROR(VLOOKUP($C222,Map_Register!$A$2:$C$5,3,FALSE()),""))</f>
        <v/>
      </c>
      <c r="E222" s="20"/>
      <c r="F222" s="20"/>
      <c r="G222" s="20"/>
      <c r="H222" s="20"/>
      <c r="I222" s="20"/>
      <c r="J222" s="20"/>
      <c r="K222" s="24"/>
      <c r="L222" s="20"/>
      <c r="M222" s="20"/>
      <c r="N222" s="20"/>
      <c r="O222" s="20"/>
    </row>
    <row r="223" spans="1:15" x14ac:dyDescent="0.3">
      <c r="A223" s="19" t="str">
        <f t="shared" si="0"/>
        <v/>
      </c>
      <c r="B223" s="20"/>
      <c r="C223" s="20"/>
      <c r="D223" s="21" t="str">
        <f>IF($C223="","",IFERROR(VLOOKUP($C223,Map_Register!$A$2:$C$5,3,FALSE()),""))</f>
        <v/>
      </c>
      <c r="E223" s="20"/>
      <c r="F223" s="20"/>
      <c r="G223" s="20"/>
      <c r="H223" s="20"/>
      <c r="I223" s="20"/>
      <c r="J223" s="20"/>
      <c r="K223" s="24"/>
      <c r="L223" s="20"/>
      <c r="M223" s="20"/>
      <c r="N223" s="20"/>
      <c r="O223" s="20"/>
    </row>
    <row r="224" spans="1:15" x14ac:dyDescent="0.3">
      <c r="A224" s="19" t="str">
        <f t="shared" si="0"/>
        <v/>
      </c>
      <c r="B224" s="20"/>
      <c r="C224" s="20"/>
      <c r="D224" s="21" t="str">
        <f>IF($C224="","",IFERROR(VLOOKUP($C224,Map_Register!$A$2:$C$5,3,FALSE()),""))</f>
        <v/>
      </c>
      <c r="E224" s="20"/>
      <c r="F224" s="20"/>
      <c r="G224" s="20"/>
      <c r="H224" s="20"/>
      <c r="I224" s="20"/>
      <c r="J224" s="20"/>
      <c r="K224" s="24"/>
      <c r="L224" s="20"/>
      <c r="M224" s="20"/>
      <c r="N224" s="20"/>
      <c r="O224" s="20"/>
    </row>
    <row r="225" spans="1:15" x14ac:dyDescent="0.3">
      <c r="A225" s="19" t="str">
        <f t="shared" si="0"/>
        <v/>
      </c>
      <c r="B225" s="20"/>
      <c r="C225" s="20"/>
      <c r="D225" s="21" t="str">
        <f>IF($C225="","",IFERROR(VLOOKUP($C225,Map_Register!$A$2:$C$5,3,FALSE()),""))</f>
        <v/>
      </c>
      <c r="E225" s="20"/>
      <c r="F225" s="20"/>
      <c r="G225" s="20"/>
      <c r="H225" s="20"/>
      <c r="I225" s="20"/>
      <c r="J225" s="20"/>
      <c r="K225" s="24"/>
      <c r="L225" s="20"/>
      <c r="M225" s="20"/>
      <c r="N225" s="20"/>
      <c r="O225" s="20"/>
    </row>
    <row r="226" spans="1:15" x14ac:dyDescent="0.3">
      <c r="A226" s="19" t="str">
        <f t="shared" si="0"/>
        <v/>
      </c>
      <c r="B226" s="20"/>
      <c r="C226" s="20"/>
      <c r="D226" s="21" t="str">
        <f>IF($C226="","",IFERROR(VLOOKUP($C226,Map_Register!$A$2:$C$5,3,FALSE()),""))</f>
        <v/>
      </c>
      <c r="E226" s="20"/>
      <c r="F226" s="20"/>
      <c r="G226" s="20"/>
      <c r="H226" s="20"/>
      <c r="I226" s="20"/>
      <c r="J226" s="20"/>
      <c r="K226" s="24"/>
      <c r="L226" s="20"/>
      <c r="M226" s="20"/>
      <c r="N226" s="20"/>
      <c r="O226" s="20"/>
    </row>
    <row r="227" spans="1:15" x14ac:dyDescent="0.3">
      <c r="A227" s="19" t="str">
        <f t="shared" si="0"/>
        <v/>
      </c>
      <c r="B227" s="20"/>
      <c r="C227" s="20"/>
      <c r="D227" s="21" t="str">
        <f>IF($C227="","",IFERROR(VLOOKUP($C227,Map_Register!$A$2:$C$5,3,FALSE()),""))</f>
        <v/>
      </c>
      <c r="E227" s="20"/>
      <c r="F227" s="20"/>
      <c r="G227" s="20"/>
      <c r="H227" s="20"/>
      <c r="I227" s="20"/>
      <c r="J227" s="20"/>
      <c r="K227" s="24"/>
      <c r="L227" s="20"/>
      <c r="M227" s="20"/>
      <c r="N227" s="20"/>
      <c r="O227" s="20"/>
    </row>
    <row r="228" spans="1:15" x14ac:dyDescent="0.3">
      <c r="A228" s="19" t="str">
        <f t="shared" si="0"/>
        <v/>
      </c>
      <c r="B228" s="20"/>
      <c r="C228" s="20"/>
      <c r="D228" s="21" t="str">
        <f>IF($C228="","",IFERROR(VLOOKUP($C228,Map_Register!$A$2:$C$5,3,FALSE()),""))</f>
        <v/>
      </c>
      <c r="E228" s="20"/>
      <c r="F228" s="20"/>
      <c r="G228" s="20"/>
      <c r="H228" s="20"/>
      <c r="I228" s="20"/>
      <c r="J228" s="20"/>
      <c r="K228" s="24"/>
      <c r="L228" s="20"/>
      <c r="M228" s="20"/>
      <c r="N228" s="20"/>
      <c r="O228" s="20"/>
    </row>
    <row r="229" spans="1:15" x14ac:dyDescent="0.3">
      <c r="A229" s="19" t="str">
        <f t="shared" si="0"/>
        <v/>
      </c>
      <c r="B229" s="20"/>
      <c r="C229" s="20"/>
      <c r="D229" s="21" t="str">
        <f>IF($C229="","",IFERROR(VLOOKUP($C229,Map_Register!$A$2:$C$5,3,FALSE()),""))</f>
        <v/>
      </c>
      <c r="E229" s="20"/>
      <c r="F229" s="20"/>
      <c r="G229" s="20"/>
      <c r="H229" s="20"/>
      <c r="I229" s="20"/>
      <c r="J229" s="20"/>
      <c r="K229" s="24"/>
      <c r="L229" s="20"/>
      <c r="M229" s="20"/>
      <c r="N229" s="20"/>
      <c r="O229" s="20"/>
    </row>
    <row r="230" spans="1:15" x14ac:dyDescent="0.3">
      <c r="A230" s="19" t="str">
        <f t="shared" si="0"/>
        <v/>
      </c>
      <c r="B230" s="20"/>
      <c r="C230" s="20"/>
      <c r="D230" s="21" t="str">
        <f>IF($C230="","",IFERROR(VLOOKUP($C230,Map_Register!$A$2:$C$5,3,FALSE()),""))</f>
        <v/>
      </c>
      <c r="E230" s="20"/>
      <c r="F230" s="20"/>
      <c r="G230" s="20"/>
      <c r="H230" s="20"/>
      <c r="I230" s="20"/>
      <c r="J230" s="20"/>
      <c r="K230" s="24"/>
      <c r="L230" s="20"/>
      <c r="M230" s="20"/>
      <c r="N230" s="20"/>
      <c r="O230" s="20"/>
    </row>
    <row r="231" spans="1:15" x14ac:dyDescent="0.3">
      <c r="A231" s="19" t="str">
        <f t="shared" si="0"/>
        <v/>
      </c>
      <c r="B231" s="20"/>
      <c r="C231" s="20"/>
      <c r="D231" s="21" t="str">
        <f>IF($C231="","",IFERROR(VLOOKUP($C231,Map_Register!$A$2:$C$5,3,FALSE()),""))</f>
        <v/>
      </c>
      <c r="E231" s="20"/>
      <c r="F231" s="20"/>
      <c r="G231" s="20"/>
      <c r="H231" s="20"/>
      <c r="I231" s="20"/>
      <c r="J231" s="20"/>
      <c r="K231" s="24"/>
      <c r="L231" s="20"/>
      <c r="M231" s="20"/>
      <c r="N231" s="20"/>
      <c r="O231" s="20"/>
    </row>
    <row r="232" spans="1:15" x14ac:dyDescent="0.3">
      <c r="A232" s="19" t="str">
        <f t="shared" si="0"/>
        <v/>
      </c>
      <c r="B232" s="20"/>
      <c r="C232" s="20"/>
      <c r="D232" s="21" t="str">
        <f>IF($C232="","",IFERROR(VLOOKUP($C232,Map_Register!$A$2:$C$5,3,FALSE()),""))</f>
        <v/>
      </c>
      <c r="E232" s="20"/>
      <c r="F232" s="20"/>
      <c r="G232" s="20"/>
      <c r="H232" s="20"/>
      <c r="I232" s="20"/>
      <c r="J232" s="20"/>
      <c r="K232" s="24"/>
      <c r="L232" s="20"/>
      <c r="M232" s="20"/>
      <c r="N232" s="20"/>
      <c r="O232" s="20"/>
    </row>
    <row r="233" spans="1:15" x14ac:dyDescent="0.3">
      <c r="A233" s="19" t="str">
        <f t="shared" si="0"/>
        <v/>
      </c>
      <c r="B233" s="20"/>
      <c r="C233" s="20"/>
      <c r="D233" s="21" t="str">
        <f>IF($C233="","",IFERROR(VLOOKUP($C233,Map_Register!$A$2:$C$5,3,FALSE()),""))</f>
        <v/>
      </c>
      <c r="E233" s="20"/>
      <c r="F233" s="20"/>
      <c r="G233" s="20"/>
      <c r="H233" s="20"/>
      <c r="I233" s="20"/>
      <c r="J233" s="20"/>
      <c r="K233" s="24"/>
      <c r="L233" s="20"/>
      <c r="M233" s="20"/>
      <c r="N233" s="20"/>
      <c r="O233" s="20"/>
    </row>
    <row r="234" spans="1:15" x14ac:dyDescent="0.3">
      <c r="A234" s="19" t="str">
        <f t="shared" si="0"/>
        <v/>
      </c>
      <c r="B234" s="20"/>
      <c r="C234" s="20"/>
      <c r="D234" s="21" t="str">
        <f>IF($C234="","",IFERROR(VLOOKUP($C234,Map_Register!$A$2:$C$5,3,FALSE()),""))</f>
        <v/>
      </c>
      <c r="E234" s="20"/>
      <c r="F234" s="20"/>
      <c r="G234" s="20"/>
      <c r="H234" s="20"/>
      <c r="I234" s="20"/>
      <c r="J234" s="20"/>
      <c r="K234" s="24"/>
      <c r="L234" s="20"/>
      <c r="M234" s="20"/>
      <c r="N234" s="20"/>
      <c r="O234" s="20"/>
    </row>
    <row r="235" spans="1:15" x14ac:dyDescent="0.3">
      <c r="A235" s="19" t="str">
        <f t="shared" si="0"/>
        <v/>
      </c>
      <c r="B235" s="20"/>
      <c r="C235" s="20"/>
      <c r="D235" s="21" t="str">
        <f>IF($C235="","",IFERROR(VLOOKUP($C235,Map_Register!$A$2:$C$5,3,FALSE()),""))</f>
        <v/>
      </c>
      <c r="E235" s="20"/>
      <c r="F235" s="20"/>
      <c r="G235" s="20"/>
      <c r="H235" s="20"/>
      <c r="I235" s="20"/>
      <c r="J235" s="20"/>
      <c r="K235" s="24"/>
      <c r="L235" s="20"/>
      <c r="M235" s="20"/>
      <c r="N235" s="20"/>
      <c r="O235" s="20"/>
    </row>
    <row r="236" spans="1:15" x14ac:dyDescent="0.3">
      <c r="A236" s="19" t="str">
        <f t="shared" si="0"/>
        <v/>
      </c>
      <c r="B236" s="20"/>
      <c r="C236" s="20"/>
      <c r="D236" s="21" t="str">
        <f>IF($C236="","",IFERROR(VLOOKUP($C236,Map_Register!$A$2:$C$5,3,FALSE()),""))</f>
        <v/>
      </c>
      <c r="E236" s="20"/>
      <c r="F236" s="20"/>
      <c r="G236" s="20"/>
      <c r="H236" s="20"/>
      <c r="I236" s="20"/>
      <c r="J236" s="20"/>
      <c r="K236" s="24"/>
      <c r="L236" s="20"/>
      <c r="M236" s="20"/>
      <c r="N236" s="20"/>
      <c r="O236" s="20"/>
    </row>
    <row r="237" spans="1:15" x14ac:dyDescent="0.3">
      <c r="A237" s="19" t="str">
        <f t="shared" si="0"/>
        <v/>
      </c>
      <c r="B237" s="20"/>
      <c r="C237" s="20"/>
      <c r="D237" s="21" t="str">
        <f>IF($C237="","",IFERROR(VLOOKUP($C237,Map_Register!$A$2:$C$5,3,FALSE()),""))</f>
        <v/>
      </c>
      <c r="E237" s="20"/>
      <c r="F237" s="20"/>
      <c r="G237" s="20"/>
      <c r="H237" s="20"/>
      <c r="I237" s="20"/>
      <c r="J237" s="20"/>
      <c r="K237" s="24"/>
      <c r="L237" s="20"/>
      <c r="M237" s="20"/>
      <c r="N237" s="20"/>
      <c r="O237" s="20"/>
    </row>
    <row r="238" spans="1:15" x14ac:dyDescent="0.3">
      <c r="A238" s="19" t="str">
        <f t="shared" si="0"/>
        <v/>
      </c>
      <c r="B238" s="20"/>
      <c r="C238" s="20"/>
      <c r="D238" s="21" t="str">
        <f>IF($C238="","",IFERROR(VLOOKUP($C238,Map_Register!$A$2:$C$5,3,FALSE()),""))</f>
        <v/>
      </c>
      <c r="E238" s="20"/>
      <c r="F238" s="20"/>
      <c r="G238" s="20"/>
      <c r="H238" s="20"/>
      <c r="I238" s="20"/>
      <c r="J238" s="20"/>
      <c r="K238" s="24"/>
      <c r="L238" s="20"/>
      <c r="M238" s="20"/>
      <c r="N238" s="20"/>
      <c r="O238" s="20"/>
    </row>
    <row r="239" spans="1:15" x14ac:dyDescent="0.3">
      <c r="A239" s="19" t="str">
        <f t="shared" si="0"/>
        <v/>
      </c>
      <c r="B239" s="20"/>
      <c r="C239" s="20"/>
      <c r="D239" s="21" t="str">
        <f>IF($C239="","",IFERROR(VLOOKUP($C239,Map_Register!$A$2:$C$5,3,FALSE()),""))</f>
        <v/>
      </c>
      <c r="E239" s="20"/>
      <c r="F239" s="20"/>
      <c r="G239" s="20"/>
      <c r="H239" s="20"/>
      <c r="I239" s="20"/>
      <c r="J239" s="20"/>
      <c r="K239" s="24"/>
      <c r="L239" s="20"/>
      <c r="M239" s="20"/>
      <c r="N239" s="20"/>
      <c r="O239" s="20"/>
    </row>
    <row r="240" spans="1:15" x14ac:dyDescent="0.3">
      <c r="A240" s="19" t="str">
        <f t="shared" si="0"/>
        <v/>
      </c>
      <c r="B240" s="20"/>
      <c r="C240" s="20"/>
      <c r="D240" s="21" t="str">
        <f>IF($C240="","",IFERROR(VLOOKUP($C240,Map_Register!$A$2:$C$5,3,FALSE()),""))</f>
        <v/>
      </c>
      <c r="E240" s="20"/>
      <c r="F240" s="20"/>
      <c r="G240" s="20"/>
      <c r="H240" s="20"/>
      <c r="I240" s="20"/>
      <c r="J240" s="20"/>
      <c r="K240" s="24"/>
      <c r="L240" s="20"/>
      <c r="M240" s="20"/>
      <c r="N240" s="20"/>
      <c r="O240" s="20"/>
    </row>
    <row r="241" spans="1:15" x14ac:dyDescent="0.3">
      <c r="A241" s="19" t="str">
        <f t="shared" si="0"/>
        <v/>
      </c>
      <c r="B241" s="20"/>
      <c r="C241" s="20"/>
      <c r="D241" s="21" t="str">
        <f>IF($C241="","",IFERROR(VLOOKUP($C241,Map_Register!$A$2:$C$5,3,FALSE()),""))</f>
        <v/>
      </c>
      <c r="E241" s="20"/>
      <c r="F241" s="20"/>
      <c r="G241" s="20"/>
      <c r="H241" s="20"/>
      <c r="I241" s="20"/>
      <c r="J241" s="20"/>
      <c r="K241" s="24"/>
      <c r="L241" s="20"/>
      <c r="M241" s="20"/>
      <c r="N241" s="20"/>
      <c r="O241" s="20"/>
    </row>
    <row r="242" spans="1:15" x14ac:dyDescent="0.3">
      <c r="A242" s="19" t="str">
        <f t="shared" si="0"/>
        <v/>
      </c>
      <c r="B242" s="20"/>
      <c r="C242" s="20"/>
      <c r="D242" s="21" t="str">
        <f>IF($C242="","",IFERROR(VLOOKUP($C242,Map_Register!$A$2:$C$5,3,FALSE()),""))</f>
        <v/>
      </c>
      <c r="E242" s="20"/>
      <c r="F242" s="20"/>
      <c r="G242" s="20"/>
      <c r="H242" s="20"/>
      <c r="I242" s="20"/>
      <c r="J242" s="20"/>
      <c r="K242" s="24"/>
      <c r="L242" s="20"/>
      <c r="M242" s="20"/>
      <c r="N242" s="20"/>
      <c r="O242" s="20"/>
    </row>
    <row r="243" spans="1:15" x14ac:dyDescent="0.3">
      <c r="A243" s="19" t="str">
        <f t="shared" si="0"/>
        <v/>
      </c>
      <c r="B243" s="20"/>
      <c r="C243" s="20"/>
      <c r="D243" s="21" t="str">
        <f>IF($C243="","",IFERROR(VLOOKUP($C243,Map_Register!$A$2:$C$5,3,FALSE()),""))</f>
        <v/>
      </c>
      <c r="E243" s="20"/>
      <c r="F243" s="20"/>
      <c r="G243" s="20"/>
      <c r="H243" s="20"/>
      <c r="I243" s="20"/>
      <c r="J243" s="20"/>
      <c r="K243" s="24"/>
      <c r="L243" s="20"/>
      <c r="M243" s="20"/>
      <c r="N243" s="20"/>
      <c r="O243" s="20"/>
    </row>
    <row r="244" spans="1:15" x14ac:dyDescent="0.3">
      <c r="A244" s="19" t="str">
        <f t="shared" si="0"/>
        <v/>
      </c>
      <c r="B244" s="20"/>
      <c r="C244" s="20"/>
      <c r="D244" s="21" t="str">
        <f>IF($C244="","",IFERROR(VLOOKUP($C244,Map_Register!$A$2:$C$5,3,FALSE()),""))</f>
        <v/>
      </c>
      <c r="E244" s="20"/>
      <c r="F244" s="20"/>
      <c r="G244" s="20"/>
      <c r="H244" s="20"/>
      <c r="I244" s="20"/>
      <c r="J244" s="20"/>
      <c r="K244" s="24"/>
      <c r="L244" s="20"/>
      <c r="M244" s="20"/>
      <c r="N244" s="20"/>
      <c r="O244" s="20"/>
    </row>
    <row r="245" spans="1:15" x14ac:dyDescent="0.3">
      <c r="A245" s="19" t="str">
        <f t="shared" si="0"/>
        <v/>
      </c>
      <c r="B245" s="20"/>
      <c r="C245" s="20"/>
      <c r="D245" s="21" t="str">
        <f>IF($C245="","",IFERROR(VLOOKUP($C245,Map_Register!$A$2:$C$5,3,FALSE()),""))</f>
        <v/>
      </c>
      <c r="E245" s="20"/>
      <c r="F245" s="20"/>
      <c r="G245" s="20"/>
      <c r="H245" s="20"/>
      <c r="I245" s="20"/>
      <c r="J245" s="20"/>
      <c r="K245" s="24"/>
      <c r="L245" s="20"/>
      <c r="M245" s="20"/>
      <c r="N245" s="20"/>
      <c r="O245" s="20"/>
    </row>
    <row r="246" spans="1:15" x14ac:dyDescent="0.3">
      <c r="A246" s="19" t="str">
        <f t="shared" si="0"/>
        <v/>
      </c>
      <c r="B246" s="20"/>
      <c r="C246" s="20"/>
      <c r="D246" s="21" t="str">
        <f>IF($C246="","",IFERROR(VLOOKUP($C246,Map_Register!$A$2:$C$5,3,FALSE()),""))</f>
        <v/>
      </c>
      <c r="E246" s="20"/>
      <c r="F246" s="20"/>
      <c r="G246" s="20"/>
      <c r="H246" s="20"/>
      <c r="I246" s="20"/>
      <c r="J246" s="20"/>
      <c r="K246" s="24"/>
      <c r="L246" s="20"/>
      <c r="M246" s="20"/>
      <c r="N246" s="20"/>
      <c r="O246" s="20"/>
    </row>
    <row r="247" spans="1:15" x14ac:dyDescent="0.3">
      <c r="A247" s="19" t="str">
        <f t="shared" si="0"/>
        <v/>
      </c>
      <c r="B247" s="20"/>
      <c r="C247" s="20"/>
      <c r="D247" s="21" t="str">
        <f>IF($C247="","",IFERROR(VLOOKUP($C247,Map_Register!$A$2:$C$5,3,FALSE()),""))</f>
        <v/>
      </c>
      <c r="E247" s="20"/>
      <c r="F247" s="20"/>
      <c r="G247" s="20"/>
      <c r="H247" s="20"/>
      <c r="I247" s="20"/>
      <c r="J247" s="20"/>
      <c r="K247" s="24"/>
      <c r="L247" s="20"/>
      <c r="M247" s="20"/>
      <c r="N247" s="20"/>
      <c r="O247" s="20"/>
    </row>
    <row r="248" spans="1:15" x14ac:dyDescent="0.3">
      <c r="A248" s="19" t="str">
        <f t="shared" si="0"/>
        <v/>
      </c>
      <c r="B248" s="20"/>
      <c r="C248" s="20"/>
      <c r="D248" s="21" t="str">
        <f>IF($C248="","",IFERROR(VLOOKUP($C248,Map_Register!$A$2:$C$5,3,FALSE()),""))</f>
        <v/>
      </c>
      <c r="E248" s="20"/>
      <c r="F248" s="20"/>
      <c r="G248" s="20"/>
      <c r="H248" s="20"/>
      <c r="I248" s="20"/>
      <c r="J248" s="20"/>
      <c r="K248" s="24"/>
      <c r="L248" s="20"/>
      <c r="M248" s="20"/>
      <c r="N248" s="20"/>
      <c r="O248" s="20"/>
    </row>
    <row r="249" spans="1:15" x14ac:dyDescent="0.3">
      <c r="A249" s="19" t="str">
        <f t="shared" si="0"/>
        <v/>
      </c>
      <c r="B249" s="20"/>
      <c r="C249" s="20"/>
      <c r="D249" s="21" t="str">
        <f>IF($C249="","",IFERROR(VLOOKUP($C249,Map_Register!$A$2:$C$5,3,FALSE()),""))</f>
        <v/>
      </c>
      <c r="E249" s="20"/>
      <c r="F249" s="20"/>
      <c r="G249" s="20"/>
      <c r="H249" s="20"/>
      <c r="I249" s="20"/>
      <c r="J249" s="20"/>
      <c r="K249" s="24"/>
      <c r="L249" s="20"/>
      <c r="M249" s="20"/>
      <c r="N249" s="20"/>
      <c r="O249" s="20"/>
    </row>
    <row r="250" spans="1:15" x14ac:dyDescent="0.3">
      <c r="A250" s="19" t="str">
        <f t="shared" si="0"/>
        <v/>
      </c>
      <c r="B250" s="20"/>
      <c r="C250" s="20"/>
      <c r="D250" s="21" t="str">
        <f>IF($C250="","",IFERROR(VLOOKUP($C250,Map_Register!$A$2:$C$5,3,FALSE()),""))</f>
        <v/>
      </c>
      <c r="E250" s="20"/>
      <c r="F250" s="20"/>
      <c r="G250" s="20"/>
      <c r="H250" s="20"/>
      <c r="I250" s="20"/>
      <c r="J250" s="20"/>
      <c r="K250" s="24"/>
      <c r="L250" s="20"/>
      <c r="M250" s="20"/>
      <c r="N250" s="20"/>
      <c r="O250" s="20"/>
    </row>
    <row r="251" spans="1:15" x14ac:dyDescent="0.3">
      <c r="A251" s="19" t="str">
        <f t="shared" si="0"/>
        <v/>
      </c>
      <c r="B251" s="20"/>
      <c r="C251" s="20"/>
      <c r="D251" s="21" t="str">
        <f>IF($C251="","",IFERROR(VLOOKUP($C251,Map_Register!$A$2:$C$5,3,FALSE()),""))</f>
        <v/>
      </c>
      <c r="E251" s="20"/>
      <c r="F251" s="20"/>
      <c r="G251" s="20"/>
      <c r="H251" s="20"/>
      <c r="I251" s="20"/>
      <c r="J251" s="20"/>
      <c r="K251" s="24"/>
      <c r="L251" s="20"/>
      <c r="M251" s="20"/>
      <c r="N251" s="20"/>
      <c r="O251" s="20"/>
    </row>
    <row r="252" spans="1:15" x14ac:dyDescent="0.3">
      <c r="A252" s="19" t="str">
        <f t="shared" si="0"/>
        <v/>
      </c>
      <c r="B252" s="20"/>
      <c r="C252" s="20"/>
      <c r="D252" s="21" t="str">
        <f>IF($C252="","",IFERROR(VLOOKUP($C252,Map_Register!$A$2:$C$5,3,FALSE()),""))</f>
        <v/>
      </c>
      <c r="E252" s="20"/>
      <c r="F252" s="20"/>
      <c r="G252" s="20"/>
      <c r="H252" s="20"/>
      <c r="I252" s="20"/>
      <c r="J252" s="20"/>
      <c r="K252" s="24"/>
      <c r="L252" s="20"/>
      <c r="M252" s="20"/>
      <c r="N252" s="20"/>
      <c r="O252" s="20"/>
    </row>
    <row r="253" spans="1:15" x14ac:dyDescent="0.3">
      <c r="A253" s="19" t="str">
        <f t="shared" si="0"/>
        <v/>
      </c>
      <c r="B253" s="20"/>
      <c r="C253" s="20"/>
      <c r="D253" s="21" t="str">
        <f>IF($C253="","",IFERROR(VLOOKUP($C253,Map_Register!$A$2:$C$5,3,FALSE()),""))</f>
        <v/>
      </c>
      <c r="E253" s="20"/>
      <c r="F253" s="20"/>
      <c r="G253" s="20"/>
      <c r="H253" s="20"/>
      <c r="I253" s="20"/>
      <c r="J253" s="20"/>
      <c r="K253" s="24"/>
      <c r="L253" s="20"/>
      <c r="M253" s="20"/>
      <c r="N253" s="20"/>
      <c r="O253" s="20"/>
    </row>
    <row r="254" spans="1:15" x14ac:dyDescent="0.3">
      <c r="A254" s="19" t="str">
        <f t="shared" si="0"/>
        <v/>
      </c>
      <c r="B254" s="20"/>
      <c r="C254" s="20"/>
      <c r="D254" s="21" t="str">
        <f>IF($C254="","",IFERROR(VLOOKUP($C254,Map_Register!$A$2:$C$5,3,FALSE()),""))</f>
        <v/>
      </c>
      <c r="E254" s="20"/>
      <c r="F254" s="20"/>
      <c r="G254" s="20"/>
      <c r="H254" s="20"/>
      <c r="I254" s="20"/>
      <c r="J254" s="20"/>
      <c r="K254" s="24"/>
      <c r="L254" s="20"/>
      <c r="M254" s="20"/>
      <c r="N254" s="20"/>
      <c r="O254" s="20"/>
    </row>
    <row r="255" spans="1:15" x14ac:dyDescent="0.3">
      <c r="A255" s="19" t="str">
        <f t="shared" si="0"/>
        <v/>
      </c>
      <c r="B255" s="20"/>
      <c r="C255" s="20"/>
      <c r="D255" s="21" t="str">
        <f>IF($C255="","",IFERROR(VLOOKUP($C255,Map_Register!$A$2:$C$5,3,FALSE()),""))</f>
        <v/>
      </c>
      <c r="E255" s="20"/>
      <c r="F255" s="20"/>
      <c r="G255" s="20"/>
      <c r="H255" s="20"/>
      <c r="I255" s="20"/>
      <c r="J255" s="20"/>
      <c r="K255" s="24"/>
      <c r="L255" s="20"/>
      <c r="M255" s="20"/>
      <c r="N255" s="20"/>
      <c r="O255" s="20"/>
    </row>
    <row r="256" spans="1:15" x14ac:dyDescent="0.3">
      <c r="A256" s="19" t="str">
        <f t="shared" si="0"/>
        <v/>
      </c>
      <c r="B256" s="20"/>
      <c r="C256" s="20"/>
      <c r="D256" s="21" t="str">
        <f>IF($C256="","",IFERROR(VLOOKUP($C256,Map_Register!$A$2:$C$5,3,FALSE()),""))</f>
        <v/>
      </c>
      <c r="E256" s="20"/>
      <c r="F256" s="20"/>
      <c r="G256" s="20"/>
      <c r="H256" s="20"/>
      <c r="I256" s="20"/>
      <c r="J256" s="20"/>
      <c r="K256" s="24"/>
      <c r="L256" s="20"/>
      <c r="M256" s="20"/>
      <c r="N256" s="20"/>
      <c r="O256" s="20"/>
    </row>
    <row r="257" spans="1:15" x14ac:dyDescent="0.3">
      <c r="A257" s="19" t="str">
        <f t="shared" si="0"/>
        <v/>
      </c>
      <c r="B257" s="20"/>
      <c r="C257" s="20"/>
      <c r="D257" s="21" t="str">
        <f>IF($C257="","",IFERROR(VLOOKUP($C257,Map_Register!$A$2:$C$5,3,FALSE()),""))</f>
        <v/>
      </c>
      <c r="E257" s="20"/>
      <c r="F257" s="20"/>
      <c r="G257" s="20"/>
      <c r="H257" s="20"/>
      <c r="I257" s="20"/>
      <c r="J257" s="20"/>
      <c r="K257" s="24"/>
      <c r="L257" s="20"/>
      <c r="M257" s="20"/>
      <c r="N257" s="20"/>
      <c r="O257" s="20"/>
    </row>
    <row r="258" spans="1:15" x14ac:dyDescent="0.3">
      <c r="A258" s="19" t="str">
        <f t="shared" si="0"/>
        <v/>
      </c>
      <c r="B258" s="20"/>
      <c r="C258" s="20"/>
      <c r="D258" s="21" t="str">
        <f>IF($C258="","",IFERROR(VLOOKUP($C258,Map_Register!$A$2:$C$5,3,FALSE()),""))</f>
        <v/>
      </c>
      <c r="E258" s="20"/>
      <c r="F258" s="20"/>
      <c r="G258" s="20"/>
      <c r="H258" s="20"/>
      <c r="I258" s="20"/>
      <c r="J258" s="20"/>
      <c r="K258" s="24"/>
      <c r="L258" s="20"/>
      <c r="M258" s="20"/>
      <c r="N258" s="20"/>
      <c r="O258" s="20"/>
    </row>
    <row r="259" spans="1:15" x14ac:dyDescent="0.3">
      <c r="A259" s="19" t="str">
        <f t="shared" si="0"/>
        <v/>
      </c>
      <c r="B259" s="20"/>
      <c r="C259" s="20"/>
      <c r="D259" s="21" t="str">
        <f>IF($C259="","",IFERROR(VLOOKUP($C259,Map_Register!$A$2:$C$5,3,FALSE()),""))</f>
        <v/>
      </c>
      <c r="E259" s="20"/>
      <c r="F259" s="20"/>
      <c r="G259" s="20"/>
      <c r="H259" s="20"/>
      <c r="I259" s="20"/>
      <c r="J259" s="20"/>
      <c r="K259" s="24"/>
      <c r="L259" s="20"/>
      <c r="M259" s="20"/>
      <c r="N259" s="20"/>
      <c r="O259" s="20"/>
    </row>
    <row r="260" spans="1:15" x14ac:dyDescent="0.3">
      <c r="A260" s="19" t="str">
        <f t="shared" si="0"/>
        <v/>
      </c>
      <c r="B260" s="20"/>
      <c r="C260" s="20"/>
      <c r="D260" s="21" t="str">
        <f>IF($C260="","",IFERROR(VLOOKUP($C260,Map_Register!$A$2:$C$5,3,FALSE()),""))</f>
        <v/>
      </c>
      <c r="E260" s="20"/>
      <c r="F260" s="20"/>
      <c r="G260" s="20"/>
      <c r="H260" s="20"/>
      <c r="I260" s="20"/>
      <c r="J260" s="20"/>
      <c r="K260" s="24"/>
      <c r="L260" s="20"/>
      <c r="M260" s="20"/>
      <c r="N260" s="20"/>
      <c r="O260" s="20"/>
    </row>
    <row r="261" spans="1:15" x14ac:dyDescent="0.3">
      <c r="A261" s="19" t="str">
        <f t="shared" si="0"/>
        <v/>
      </c>
      <c r="B261" s="20"/>
      <c r="C261" s="20"/>
      <c r="D261" s="21" t="str">
        <f>IF($C261="","",IFERROR(VLOOKUP($C261,Map_Register!$A$2:$C$5,3,FALSE()),""))</f>
        <v/>
      </c>
      <c r="E261" s="20"/>
      <c r="F261" s="20"/>
      <c r="G261" s="20"/>
      <c r="H261" s="20"/>
      <c r="I261" s="20"/>
      <c r="J261" s="20"/>
      <c r="K261" s="24"/>
      <c r="L261" s="20"/>
      <c r="M261" s="20"/>
      <c r="N261" s="20"/>
      <c r="O261" s="20"/>
    </row>
    <row r="262" spans="1:15" x14ac:dyDescent="0.3">
      <c r="A262" s="19" t="str">
        <f t="shared" si="0"/>
        <v/>
      </c>
      <c r="B262" s="20"/>
      <c r="C262" s="20"/>
      <c r="D262" s="21" t="str">
        <f>IF($C262="","",IFERROR(VLOOKUP($C262,Map_Register!$A$2:$C$5,3,FALSE()),""))</f>
        <v/>
      </c>
      <c r="E262" s="20"/>
      <c r="F262" s="20"/>
      <c r="G262" s="20"/>
      <c r="H262" s="20"/>
      <c r="I262" s="20"/>
      <c r="J262" s="20"/>
      <c r="K262" s="24"/>
      <c r="L262" s="20"/>
      <c r="M262" s="20"/>
      <c r="N262" s="20"/>
      <c r="O262" s="20"/>
    </row>
    <row r="263" spans="1:15" x14ac:dyDescent="0.3">
      <c r="A263" s="19" t="str">
        <f t="shared" si="0"/>
        <v/>
      </c>
      <c r="B263" s="20"/>
      <c r="C263" s="20"/>
      <c r="D263" s="21" t="str">
        <f>IF($C263="","",IFERROR(VLOOKUP($C263,Map_Register!$A$2:$C$5,3,FALSE()),""))</f>
        <v/>
      </c>
      <c r="E263" s="20"/>
      <c r="F263" s="20"/>
      <c r="G263" s="20"/>
      <c r="H263" s="20"/>
      <c r="I263" s="20"/>
      <c r="J263" s="20"/>
      <c r="K263" s="24"/>
      <c r="L263" s="20"/>
      <c r="M263" s="20"/>
      <c r="N263" s="20"/>
      <c r="O263" s="20"/>
    </row>
    <row r="264" spans="1:15" x14ac:dyDescent="0.3">
      <c r="A264" s="19" t="str">
        <f t="shared" si="0"/>
        <v/>
      </c>
      <c r="B264" s="20"/>
      <c r="C264" s="20"/>
      <c r="D264" s="21" t="str">
        <f>IF($C264="","",IFERROR(VLOOKUP($C264,Map_Register!$A$2:$C$5,3,FALSE()),""))</f>
        <v/>
      </c>
      <c r="E264" s="20"/>
      <c r="F264" s="20"/>
      <c r="G264" s="20"/>
      <c r="H264" s="20"/>
      <c r="I264" s="20"/>
      <c r="J264" s="20"/>
      <c r="K264" s="24"/>
      <c r="L264" s="20"/>
      <c r="M264" s="20"/>
      <c r="N264" s="20"/>
      <c r="O264" s="20"/>
    </row>
    <row r="265" spans="1:15" x14ac:dyDescent="0.3">
      <c r="A265" s="19" t="str">
        <f t="shared" si="0"/>
        <v/>
      </c>
      <c r="B265" s="20"/>
      <c r="C265" s="20"/>
      <c r="D265" s="21" t="str">
        <f>IF($C265="","",IFERROR(VLOOKUP($C265,Map_Register!$A$2:$C$5,3,FALSE()),""))</f>
        <v/>
      </c>
      <c r="E265" s="20"/>
      <c r="F265" s="20"/>
      <c r="G265" s="20"/>
      <c r="H265" s="20"/>
      <c r="I265" s="20"/>
      <c r="J265" s="20"/>
      <c r="K265" s="24"/>
      <c r="L265" s="20"/>
      <c r="M265" s="20"/>
      <c r="N265" s="20"/>
      <c r="O265" s="20"/>
    </row>
    <row r="266" spans="1:15" x14ac:dyDescent="0.3">
      <c r="A266" s="19" t="str">
        <f t="shared" si="0"/>
        <v/>
      </c>
      <c r="B266" s="20"/>
      <c r="C266" s="20"/>
      <c r="D266" s="21" t="str">
        <f>IF($C266="","",IFERROR(VLOOKUP($C266,Map_Register!$A$2:$C$5,3,FALSE()),""))</f>
        <v/>
      </c>
      <c r="E266" s="20"/>
      <c r="F266" s="20"/>
      <c r="G266" s="20"/>
      <c r="H266" s="20"/>
      <c r="I266" s="20"/>
      <c r="J266" s="20"/>
      <c r="K266" s="24"/>
      <c r="L266" s="20"/>
      <c r="M266" s="20"/>
      <c r="N266" s="20"/>
      <c r="O266" s="20"/>
    </row>
    <row r="267" spans="1:15" x14ac:dyDescent="0.3">
      <c r="A267" s="19" t="str">
        <f t="shared" si="0"/>
        <v/>
      </c>
      <c r="B267" s="20"/>
      <c r="C267" s="20"/>
      <c r="D267" s="21" t="str">
        <f>IF($C267="","",IFERROR(VLOOKUP($C267,Map_Register!$A$2:$C$5,3,FALSE()),""))</f>
        <v/>
      </c>
      <c r="E267" s="20"/>
      <c r="F267" s="20"/>
      <c r="G267" s="20"/>
      <c r="H267" s="20"/>
      <c r="I267" s="20"/>
      <c r="J267" s="20"/>
      <c r="K267" s="24"/>
      <c r="L267" s="20"/>
      <c r="M267" s="20"/>
      <c r="N267" s="20"/>
      <c r="O267" s="20"/>
    </row>
    <row r="268" spans="1:15" x14ac:dyDescent="0.3">
      <c r="A268" s="19" t="str">
        <f t="shared" si="0"/>
        <v/>
      </c>
      <c r="B268" s="20"/>
      <c r="C268" s="20"/>
      <c r="D268" s="21" t="str">
        <f>IF($C268="","",IFERROR(VLOOKUP($C268,Map_Register!$A$2:$C$5,3,FALSE()),""))</f>
        <v/>
      </c>
      <c r="E268" s="20"/>
      <c r="F268" s="20"/>
      <c r="G268" s="20"/>
      <c r="H268" s="20"/>
      <c r="I268" s="20"/>
      <c r="J268" s="20"/>
      <c r="K268" s="24"/>
      <c r="L268" s="20"/>
      <c r="M268" s="20"/>
      <c r="N268" s="20"/>
      <c r="O268" s="20"/>
    </row>
    <row r="269" spans="1:15" x14ac:dyDescent="0.3">
      <c r="A269" s="19" t="str">
        <f t="shared" ref="A269:A332" si="1">IF($B269="","",ROW()-1)</f>
        <v/>
      </c>
      <c r="B269" s="20"/>
      <c r="C269" s="20"/>
      <c r="D269" s="21" t="str">
        <f>IF($C269="","",IFERROR(VLOOKUP($C269,Map_Register!$A$2:$C$5,3,FALSE()),""))</f>
        <v/>
      </c>
      <c r="E269" s="20"/>
      <c r="F269" s="20"/>
      <c r="G269" s="20"/>
      <c r="H269" s="20"/>
      <c r="I269" s="20"/>
      <c r="J269" s="20"/>
      <c r="K269" s="24"/>
      <c r="L269" s="20"/>
      <c r="M269" s="20"/>
      <c r="N269" s="20"/>
      <c r="O269" s="20"/>
    </row>
    <row r="270" spans="1:15" x14ac:dyDescent="0.3">
      <c r="A270" s="19" t="str">
        <f t="shared" si="1"/>
        <v/>
      </c>
      <c r="B270" s="20"/>
      <c r="C270" s="20"/>
      <c r="D270" s="21" t="str">
        <f>IF($C270="","",IFERROR(VLOOKUP($C270,Map_Register!$A$2:$C$5,3,FALSE()),""))</f>
        <v/>
      </c>
      <c r="E270" s="20"/>
      <c r="F270" s="20"/>
      <c r="G270" s="20"/>
      <c r="H270" s="20"/>
      <c r="I270" s="20"/>
      <c r="J270" s="20"/>
      <c r="K270" s="24"/>
      <c r="L270" s="20"/>
      <c r="M270" s="20"/>
      <c r="N270" s="20"/>
      <c r="O270" s="20"/>
    </row>
    <row r="271" spans="1:15" x14ac:dyDescent="0.3">
      <c r="A271" s="19" t="str">
        <f t="shared" si="1"/>
        <v/>
      </c>
      <c r="B271" s="20"/>
      <c r="C271" s="20"/>
      <c r="D271" s="21" t="str">
        <f>IF($C271="","",IFERROR(VLOOKUP($C271,Map_Register!$A$2:$C$5,3,FALSE()),""))</f>
        <v/>
      </c>
      <c r="E271" s="20"/>
      <c r="F271" s="20"/>
      <c r="G271" s="20"/>
      <c r="H271" s="20"/>
      <c r="I271" s="20"/>
      <c r="J271" s="20"/>
      <c r="K271" s="24"/>
      <c r="L271" s="20"/>
      <c r="M271" s="20"/>
      <c r="N271" s="20"/>
      <c r="O271" s="20"/>
    </row>
    <row r="272" spans="1:15" x14ac:dyDescent="0.3">
      <c r="A272" s="19" t="str">
        <f t="shared" si="1"/>
        <v/>
      </c>
      <c r="B272" s="20"/>
      <c r="C272" s="20"/>
      <c r="D272" s="21" t="str">
        <f>IF($C272="","",IFERROR(VLOOKUP($C272,Map_Register!$A$2:$C$5,3,FALSE()),""))</f>
        <v/>
      </c>
      <c r="E272" s="20"/>
      <c r="F272" s="20"/>
      <c r="G272" s="20"/>
      <c r="H272" s="20"/>
      <c r="I272" s="20"/>
      <c r="J272" s="20"/>
      <c r="K272" s="24"/>
      <c r="L272" s="20"/>
      <c r="M272" s="20"/>
      <c r="N272" s="20"/>
      <c r="O272" s="20"/>
    </row>
    <row r="273" spans="1:15" x14ac:dyDescent="0.3">
      <c r="A273" s="19" t="str">
        <f t="shared" si="1"/>
        <v/>
      </c>
      <c r="B273" s="20"/>
      <c r="C273" s="20"/>
      <c r="D273" s="21" t="str">
        <f>IF($C273="","",IFERROR(VLOOKUP($C273,Map_Register!$A$2:$C$5,3,FALSE()),""))</f>
        <v/>
      </c>
      <c r="E273" s="20"/>
      <c r="F273" s="20"/>
      <c r="G273" s="20"/>
      <c r="H273" s="20"/>
      <c r="I273" s="20"/>
      <c r="J273" s="20"/>
      <c r="K273" s="24"/>
      <c r="L273" s="20"/>
      <c r="M273" s="20"/>
      <c r="N273" s="20"/>
      <c r="O273" s="20"/>
    </row>
    <row r="274" spans="1:15" x14ac:dyDescent="0.3">
      <c r="A274" s="19" t="str">
        <f t="shared" si="1"/>
        <v/>
      </c>
      <c r="B274" s="20"/>
      <c r="C274" s="20"/>
      <c r="D274" s="21" t="str">
        <f>IF($C274="","",IFERROR(VLOOKUP($C274,Map_Register!$A$2:$C$5,3,FALSE()),""))</f>
        <v/>
      </c>
      <c r="E274" s="20"/>
      <c r="F274" s="20"/>
      <c r="G274" s="20"/>
      <c r="H274" s="20"/>
      <c r="I274" s="20"/>
      <c r="J274" s="20"/>
      <c r="K274" s="24"/>
      <c r="L274" s="20"/>
      <c r="M274" s="20"/>
      <c r="N274" s="20"/>
      <c r="O274" s="20"/>
    </row>
    <row r="275" spans="1:15" x14ac:dyDescent="0.3">
      <c r="A275" s="19" t="str">
        <f t="shared" si="1"/>
        <v/>
      </c>
      <c r="B275" s="20"/>
      <c r="C275" s="20"/>
      <c r="D275" s="21" t="str">
        <f>IF($C275="","",IFERROR(VLOOKUP($C275,Map_Register!$A$2:$C$5,3,FALSE()),""))</f>
        <v/>
      </c>
      <c r="E275" s="20"/>
      <c r="F275" s="20"/>
      <c r="G275" s="20"/>
      <c r="H275" s="20"/>
      <c r="I275" s="20"/>
      <c r="J275" s="20"/>
      <c r="K275" s="24"/>
      <c r="L275" s="20"/>
      <c r="M275" s="20"/>
      <c r="N275" s="20"/>
      <c r="O275" s="20"/>
    </row>
    <row r="276" spans="1:15" x14ac:dyDescent="0.3">
      <c r="A276" s="19" t="str">
        <f t="shared" si="1"/>
        <v/>
      </c>
      <c r="B276" s="20"/>
      <c r="C276" s="20"/>
      <c r="D276" s="21" t="str">
        <f>IF($C276="","",IFERROR(VLOOKUP($C276,Map_Register!$A$2:$C$5,3,FALSE()),""))</f>
        <v/>
      </c>
      <c r="E276" s="20"/>
      <c r="F276" s="20"/>
      <c r="G276" s="20"/>
      <c r="H276" s="20"/>
      <c r="I276" s="20"/>
      <c r="J276" s="20"/>
      <c r="K276" s="24"/>
      <c r="L276" s="20"/>
      <c r="M276" s="20"/>
      <c r="N276" s="20"/>
      <c r="O276" s="20"/>
    </row>
    <row r="277" spans="1:15" x14ac:dyDescent="0.3">
      <c r="A277" s="19" t="str">
        <f t="shared" si="1"/>
        <v/>
      </c>
      <c r="B277" s="20"/>
      <c r="C277" s="20"/>
      <c r="D277" s="21" t="str">
        <f>IF($C277="","",IFERROR(VLOOKUP($C277,Map_Register!$A$2:$C$5,3,FALSE()),""))</f>
        <v/>
      </c>
      <c r="E277" s="20"/>
      <c r="F277" s="20"/>
      <c r="G277" s="20"/>
      <c r="H277" s="20"/>
      <c r="I277" s="20"/>
      <c r="J277" s="20"/>
      <c r="K277" s="24"/>
      <c r="L277" s="20"/>
      <c r="M277" s="20"/>
      <c r="N277" s="20"/>
      <c r="O277" s="20"/>
    </row>
    <row r="278" spans="1:15" x14ac:dyDescent="0.3">
      <c r="A278" s="19" t="str">
        <f t="shared" si="1"/>
        <v/>
      </c>
      <c r="B278" s="20"/>
      <c r="C278" s="20"/>
      <c r="D278" s="21" t="str">
        <f>IF($C278="","",IFERROR(VLOOKUP($C278,Map_Register!$A$2:$C$5,3,FALSE()),""))</f>
        <v/>
      </c>
      <c r="E278" s="20"/>
      <c r="F278" s="20"/>
      <c r="G278" s="20"/>
      <c r="H278" s="20"/>
      <c r="I278" s="20"/>
      <c r="J278" s="20"/>
      <c r="K278" s="24"/>
      <c r="L278" s="20"/>
      <c r="M278" s="20"/>
      <c r="N278" s="20"/>
      <c r="O278" s="20"/>
    </row>
    <row r="279" spans="1:15" x14ac:dyDescent="0.3">
      <c r="A279" s="19" t="str">
        <f t="shared" si="1"/>
        <v/>
      </c>
      <c r="B279" s="20"/>
      <c r="C279" s="20"/>
      <c r="D279" s="21" t="str">
        <f>IF($C279="","",IFERROR(VLOOKUP($C279,Map_Register!$A$2:$C$5,3,FALSE()),""))</f>
        <v/>
      </c>
      <c r="E279" s="20"/>
      <c r="F279" s="20"/>
      <c r="G279" s="20"/>
      <c r="H279" s="20"/>
      <c r="I279" s="20"/>
      <c r="J279" s="20"/>
      <c r="K279" s="24"/>
      <c r="L279" s="20"/>
      <c r="M279" s="20"/>
      <c r="N279" s="20"/>
      <c r="O279" s="20"/>
    </row>
    <row r="280" spans="1:15" x14ac:dyDescent="0.3">
      <c r="A280" s="19" t="str">
        <f t="shared" si="1"/>
        <v/>
      </c>
      <c r="B280" s="20"/>
      <c r="C280" s="20"/>
      <c r="D280" s="21" t="str">
        <f>IF($C280="","",IFERROR(VLOOKUP($C280,Map_Register!$A$2:$C$5,3,FALSE()),""))</f>
        <v/>
      </c>
      <c r="E280" s="20"/>
      <c r="F280" s="20"/>
      <c r="G280" s="20"/>
      <c r="H280" s="20"/>
      <c r="I280" s="20"/>
      <c r="J280" s="20"/>
      <c r="K280" s="24"/>
      <c r="L280" s="20"/>
      <c r="M280" s="20"/>
      <c r="N280" s="20"/>
      <c r="O280" s="20"/>
    </row>
    <row r="281" spans="1:15" x14ac:dyDescent="0.3">
      <c r="A281" s="19" t="str">
        <f t="shared" si="1"/>
        <v/>
      </c>
      <c r="B281" s="20"/>
      <c r="C281" s="20"/>
      <c r="D281" s="21" t="str">
        <f>IF($C281="","",IFERROR(VLOOKUP($C281,Map_Register!$A$2:$C$5,3,FALSE()),""))</f>
        <v/>
      </c>
      <c r="E281" s="20"/>
      <c r="F281" s="20"/>
      <c r="G281" s="20"/>
      <c r="H281" s="20"/>
      <c r="I281" s="20"/>
      <c r="J281" s="20"/>
      <c r="K281" s="24"/>
      <c r="L281" s="20"/>
      <c r="M281" s="20"/>
      <c r="N281" s="20"/>
      <c r="O281" s="20"/>
    </row>
    <row r="282" spans="1:15" x14ac:dyDescent="0.3">
      <c r="A282" s="19" t="str">
        <f t="shared" si="1"/>
        <v/>
      </c>
      <c r="B282" s="20"/>
      <c r="C282" s="20"/>
      <c r="D282" s="21" t="str">
        <f>IF($C282="","",IFERROR(VLOOKUP($C282,Map_Register!$A$2:$C$5,3,FALSE()),""))</f>
        <v/>
      </c>
      <c r="E282" s="20"/>
      <c r="F282" s="20"/>
      <c r="G282" s="20"/>
      <c r="H282" s="20"/>
      <c r="I282" s="20"/>
      <c r="J282" s="20"/>
      <c r="K282" s="24"/>
      <c r="L282" s="20"/>
      <c r="M282" s="20"/>
      <c r="N282" s="20"/>
      <c r="O282" s="20"/>
    </row>
    <row r="283" spans="1:15" x14ac:dyDescent="0.3">
      <c r="A283" s="19" t="str">
        <f t="shared" si="1"/>
        <v/>
      </c>
      <c r="B283" s="20"/>
      <c r="C283" s="20"/>
      <c r="D283" s="21" t="str">
        <f>IF($C283="","",IFERROR(VLOOKUP($C283,Map_Register!$A$2:$C$5,3,FALSE()),""))</f>
        <v/>
      </c>
      <c r="E283" s="20"/>
      <c r="F283" s="20"/>
      <c r="G283" s="20"/>
      <c r="H283" s="20"/>
      <c r="I283" s="20"/>
      <c r="J283" s="20"/>
      <c r="K283" s="24"/>
      <c r="L283" s="20"/>
      <c r="M283" s="20"/>
      <c r="N283" s="20"/>
      <c r="O283" s="20"/>
    </row>
    <row r="284" spans="1:15" x14ac:dyDescent="0.3">
      <c r="A284" s="19" t="str">
        <f t="shared" si="1"/>
        <v/>
      </c>
      <c r="B284" s="20"/>
      <c r="C284" s="20"/>
      <c r="D284" s="21" t="str">
        <f>IF($C284="","",IFERROR(VLOOKUP($C284,Map_Register!$A$2:$C$5,3,FALSE()),""))</f>
        <v/>
      </c>
      <c r="E284" s="20"/>
      <c r="F284" s="20"/>
      <c r="G284" s="20"/>
      <c r="H284" s="20"/>
      <c r="I284" s="20"/>
      <c r="J284" s="20"/>
      <c r="K284" s="24"/>
      <c r="L284" s="20"/>
      <c r="M284" s="20"/>
      <c r="N284" s="20"/>
      <c r="O284" s="20"/>
    </row>
    <row r="285" spans="1:15" x14ac:dyDescent="0.3">
      <c r="A285" s="19" t="str">
        <f t="shared" si="1"/>
        <v/>
      </c>
      <c r="B285" s="20"/>
      <c r="C285" s="20"/>
      <c r="D285" s="21" t="str">
        <f>IF($C285="","",IFERROR(VLOOKUP($C285,Map_Register!$A$2:$C$5,3,FALSE()),""))</f>
        <v/>
      </c>
      <c r="E285" s="20"/>
      <c r="F285" s="20"/>
      <c r="G285" s="20"/>
      <c r="H285" s="20"/>
      <c r="I285" s="20"/>
      <c r="J285" s="20"/>
      <c r="K285" s="24"/>
      <c r="L285" s="20"/>
      <c r="M285" s="20"/>
      <c r="N285" s="20"/>
      <c r="O285" s="20"/>
    </row>
    <row r="286" spans="1:15" x14ac:dyDescent="0.3">
      <c r="A286" s="19" t="str">
        <f t="shared" si="1"/>
        <v/>
      </c>
      <c r="B286" s="20"/>
      <c r="C286" s="20"/>
      <c r="D286" s="21" t="str">
        <f>IF($C286="","",IFERROR(VLOOKUP($C286,Map_Register!$A$2:$C$5,3,FALSE()),""))</f>
        <v/>
      </c>
      <c r="E286" s="20"/>
      <c r="F286" s="20"/>
      <c r="G286" s="20"/>
      <c r="H286" s="20"/>
      <c r="I286" s="20"/>
      <c r="J286" s="20"/>
      <c r="K286" s="24"/>
      <c r="L286" s="20"/>
      <c r="M286" s="20"/>
      <c r="N286" s="20"/>
      <c r="O286" s="20"/>
    </row>
    <row r="287" spans="1:15" x14ac:dyDescent="0.3">
      <c r="A287" s="19" t="str">
        <f t="shared" si="1"/>
        <v/>
      </c>
      <c r="B287" s="20"/>
      <c r="C287" s="20"/>
      <c r="D287" s="21" t="str">
        <f>IF($C287="","",IFERROR(VLOOKUP($C287,Map_Register!$A$2:$C$5,3,FALSE()),""))</f>
        <v/>
      </c>
      <c r="E287" s="20"/>
      <c r="F287" s="20"/>
      <c r="G287" s="20"/>
      <c r="H287" s="20"/>
      <c r="I287" s="20"/>
      <c r="J287" s="20"/>
      <c r="K287" s="24"/>
      <c r="L287" s="20"/>
      <c r="M287" s="20"/>
      <c r="N287" s="20"/>
      <c r="O287" s="20"/>
    </row>
    <row r="288" spans="1:15" x14ac:dyDescent="0.3">
      <c r="A288" s="19" t="str">
        <f t="shared" si="1"/>
        <v/>
      </c>
      <c r="B288" s="20"/>
      <c r="C288" s="20"/>
      <c r="D288" s="21" t="str">
        <f>IF($C288="","",IFERROR(VLOOKUP($C288,Map_Register!$A$2:$C$5,3,FALSE()),""))</f>
        <v/>
      </c>
      <c r="E288" s="20"/>
      <c r="F288" s="20"/>
      <c r="G288" s="20"/>
      <c r="H288" s="20"/>
      <c r="I288" s="20"/>
      <c r="J288" s="20"/>
      <c r="K288" s="24"/>
      <c r="L288" s="20"/>
      <c r="M288" s="20"/>
      <c r="N288" s="20"/>
      <c r="O288" s="20"/>
    </row>
    <row r="289" spans="1:15" x14ac:dyDescent="0.3">
      <c r="A289" s="19" t="str">
        <f t="shared" si="1"/>
        <v/>
      </c>
      <c r="B289" s="20"/>
      <c r="C289" s="20"/>
      <c r="D289" s="21" t="str">
        <f>IF($C289="","",IFERROR(VLOOKUP($C289,Map_Register!$A$2:$C$5,3,FALSE()),""))</f>
        <v/>
      </c>
      <c r="E289" s="20"/>
      <c r="F289" s="20"/>
      <c r="G289" s="20"/>
      <c r="H289" s="20"/>
      <c r="I289" s="20"/>
      <c r="J289" s="20"/>
      <c r="K289" s="24"/>
      <c r="L289" s="20"/>
      <c r="M289" s="20"/>
      <c r="N289" s="20"/>
      <c r="O289" s="20"/>
    </row>
    <row r="290" spans="1:15" x14ac:dyDescent="0.3">
      <c r="A290" s="19" t="str">
        <f t="shared" si="1"/>
        <v/>
      </c>
      <c r="B290" s="20"/>
      <c r="C290" s="20"/>
      <c r="D290" s="21" t="str">
        <f>IF($C290="","",IFERROR(VLOOKUP($C290,Map_Register!$A$2:$C$5,3,FALSE()),""))</f>
        <v/>
      </c>
      <c r="E290" s="20"/>
      <c r="F290" s="20"/>
      <c r="G290" s="20"/>
      <c r="H290" s="20"/>
      <c r="I290" s="20"/>
      <c r="J290" s="20"/>
      <c r="K290" s="24"/>
      <c r="L290" s="20"/>
      <c r="M290" s="20"/>
      <c r="N290" s="20"/>
      <c r="O290" s="20"/>
    </row>
    <row r="291" spans="1:15" x14ac:dyDescent="0.3">
      <c r="A291" s="19" t="str">
        <f t="shared" si="1"/>
        <v/>
      </c>
      <c r="B291" s="20"/>
      <c r="C291" s="20"/>
      <c r="D291" s="21" t="str">
        <f>IF($C291="","",IFERROR(VLOOKUP($C291,Map_Register!$A$2:$C$5,3,FALSE()),""))</f>
        <v/>
      </c>
      <c r="E291" s="20"/>
      <c r="F291" s="20"/>
      <c r="G291" s="20"/>
      <c r="H291" s="20"/>
      <c r="I291" s="20"/>
      <c r="J291" s="20"/>
      <c r="K291" s="24"/>
      <c r="L291" s="20"/>
      <c r="M291" s="20"/>
      <c r="N291" s="20"/>
      <c r="O291" s="20"/>
    </row>
    <row r="292" spans="1:15" x14ac:dyDescent="0.3">
      <c r="A292" s="19" t="str">
        <f t="shared" si="1"/>
        <v/>
      </c>
      <c r="B292" s="20"/>
      <c r="C292" s="20"/>
      <c r="D292" s="21" t="str">
        <f>IF($C292="","",IFERROR(VLOOKUP($C292,Map_Register!$A$2:$C$5,3,FALSE()),""))</f>
        <v/>
      </c>
      <c r="E292" s="20"/>
      <c r="F292" s="20"/>
      <c r="G292" s="20"/>
      <c r="H292" s="20"/>
      <c r="I292" s="20"/>
      <c r="J292" s="20"/>
      <c r="K292" s="24"/>
      <c r="L292" s="20"/>
      <c r="M292" s="20"/>
      <c r="N292" s="20"/>
      <c r="O292" s="20"/>
    </row>
    <row r="293" spans="1:15" x14ac:dyDescent="0.3">
      <c r="A293" s="19" t="str">
        <f t="shared" si="1"/>
        <v/>
      </c>
      <c r="B293" s="20"/>
      <c r="C293" s="20"/>
      <c r="D293" s="21" t="str">
        <f>IF($C293="","",IFERROR(VLOOKUP($C293,Map_Register!$A$2:$C$5,3,FALSE()),""))</f>
        <v/>
      </c>
      <c r="E293" s="20"/>
      <c r="F293" s="20"/>
      <c r="G293" s="20"/>
      <c r="H293" s="20"/>
      <c r="I293" s="20"/>
      <c r="J293" s="20"/>
      <c r="K293" s="24"/>
      <c r="L293" s="20"/>
      <c r="M293" s="20"/>
      <c r="N293" s="20"/>
      <c r="O293" s="20"/>
    </row>
    <row r="294" spans="1:15" x14ac:dyDescent="0.3">
      <c r="A294" s="19" t="str">
        <f t="shared" si="1"/>
        <v/>
      </c>
      <c r="B294" s="20"/>
      <c r="C294" s="20"/>
      <c r="D294" s="21" t="str">
        <f>IF($C294="","",IFERROR(VLOOKUP($C294,Map_Register!$A$2:$C$5,3,FALSE()),""))</f>
        <v/>
      </c>
      <c r="E294" s="20"/>
      <c r="F294" s="20"/>
      <c r="G294" s="20"/>
      <c r="H294" s="20"/>
      <c r="I294" s="20"/>
      <c r="J294" s="20"/>
      <c r="K294" s="24"/>
      <c r="L294" s="20"/>
      <c r="M294" s="20"/>
      <c r="N294" s="20"/>
      <c r="O294" s="20"/>
    </row>
    <row r="295" spans="1:15" x14ac:dyDescent="0.3">
      <c r="A295" s="19" t="str">
        <f t="shared" si="1"/>
        <v/>
      </c>
      <c r="B295" s="20"/>
      <c r="C295" s="20"/>
      <c r="D295" s="21" t="str">
        <f>IF($C295="","",IFERROR(VLOOKUP($C295,Map_Register!$A$2:$C$5,3,FALSE()),""))</f>
        <v/>
      </c>
      <c r="E295" s="20"/>
      <c r="F295" s="20"/>
      <c r="G295" s="20"/>
      <c r="H295" s="20"/>
      <c r="I295" s="20"/>
      <c r="J295" s="20"/>
      <c r="K295" s="24"/>
      <c r="L295" s="20"/>
      <c r="M295" s="20"/>
      <c r="N295" s="20"/>
      <c r="O295" s="20"/>
    </row>
    <row r="296" spans="1:15" x14ac:dyDescent="0.3">
      <c r="A296" s="19" t="str">
        <f t="shared" si="1"/>
        <v/>
      </c>
      <c r="B296" s="20"/>
      <c r="C296" s="20"/>
      <c r="D296" s="21" t="str">
        <f>IF($C296="","",IFERROR(VLOOKUP($C296,Map_Register!$A$2:$C$5,3,FALSE()),""))</f>
        <v/>
      </c>
      <c r="E296" s="20"/>
      <c r="F296" s="20"/>
      <c r="G296" s="20"/>
      <c r="H296" s="20"/>
      <c r="I296" s="20"/>
      <c r="J296" s="20"/>
      <c r="K296" s="24"/>
      <c r="L296" s="20"/>
      <c r="M296" s="20"/>
      <c r="N296" s="20"/>
      <c r="O296" s="20"/>
    </row>
    <row r="297" spans="1:15" x14ac:dyDescent="0.3">
      <c r="A297" s="19" t="str">
        <f t="shared" si="1"/>
        <v/>
      </c>
      <c r="B297" s="20"/>
      <c r="C297" s="20"/>
      <c r="D297" s="21" t="str">
        <f>IF($C297="","",IFERROR(VLOOKUP($C297,Map_Register!$A$2:$C$5,3,FALSE()),""))</f>
        <v/>
      </c>
      <c r="E297" s="20"/>
      <c r="F297" s="20"/>
      <c r="G297" s="20"/>
      <c r="H297" s="20"/>
      <c r="I297" s="20"/>
      <c r="J297" s="20"/>
      <c r="K297" s="24"/>
      <c r="L297" s="20"/>
      <c r="M297" s="20"/>
      <c r="N297" s="20"/>
      <c r="O297" s="20"/>
    </row>
    <row r="298" spans="1:15" x14ac:dyDescent="0.3">
      <c r="A298" s="19" t="str">
        <f t="shared" si="1"/>
        <v/>
      </c>
      <c r="B298" s="20"/>
      <c r="C298" s="20"/>
      <c r="D298" s="21" t="str">
        <f>IF($C298="","",IFERROR(VLOOKUP($C298,Map_Register!$A$2:$C$5,3,FALSE()),""))</f>
        <v/>
      </c>
      <c r="E298" s="20"/>
      <c r="F298" s="20"/>
      <c r="G298" s="20"/>
      <c r="H298" s="20"/>
      <c r="I298" s="20"/>
      <c r="J298" s="20"/>
      <c r="K298" s="24"/>
      <c r="L298" s="20"/>
      <c r="M298" s="20"/>
      <c r="N298" s="20"/>
      <c r="O298" s="20"/>
    </row>
    <row r="299" spans="1:15" x14ac:dyDescent="0.3">
      <c r="A299" s="19" t="str">
        <f t="shared" si="1"/>
        <v/>
      </c>
      <c r="B299" s="20"/>
      <c r="C299" s="20"/>
      <c r="D299" s="21" t="str">
        <f>IF($C299="","",IFERROR(VLOOKUP($C299,Map_Register!$A$2:$C$5,3,FALSE()),""))</f>
        <v/>
      </c>
      <c r="E299" s="20"/>
      <c r="F299" s="20"/>
      <c r="G299" s="20"/>
      <c r="H299" s="20"/>
      <c r="I299" s="20"/>
      <c r="J299" s="20"/>
      <c r="K299" s="24"/>
      <c r="L299" s="20"/>
      <c r="M299" s="20"/>
      <c r="N299" s="20"/>
      <c r="O299" s="20"/>
    </row>
    <row r="300" spans="1:15" x14ac:dyDescent="0.3">
      <c r="A300" s="19" t="str">
        <f t="shared" si="1"/>
        <v/>
      </c>
      <c r="B300" s="20"/>
      <c r="C300" s="20"/>
      <c r="D300" s="21" t="str">
        <f>IF($C300="","",IFERROR(VLOOKUP($C300,Map_Register!$A$2:$C$5,3,FALSE()),""))</f>
        <v/>
      </c>
      <c r="E300" s="20"/>
      <c r="F300" s="20"/>
      <c r="G300" s="20"/>
      <c r="H300" s="20"/>
      <c r="I300" s="20"/>
      <c r="J300" s="20"/>
      <c r="K300" s="24"/>
      <c r="L300" s="20"/>
      <c r="M300" s="20"/>
      <c r="N300" s="20"/>
      <c r="O300" s="20"/>
    </row>
    <row r="301" spans="1:15" x14ac:dyDescent="0.3">
      <c r="A301" s="19" t="str">
        <f t="shared" si="1"/>
        <v/>
      </c>
      <c r="B301" s="20"/>
      <c r="C301" s="20"/>
      <c r="D301" s="21" t="str">
        <f>IF($C301="","",IFERROR(VLOOKUP($C301,Map_Register!$A$2:$C$5,3,FALSE()),""))</f>
        <v/>
      </c>
      <c r="E301" s="20"/>
      <c r="F301" s="20"/>
      <c r="G301" s="20"/>
      <c r="H301" s="20"/>
      <c r="I301" s="20"/>
      <c r="J301" s="20"/>
      <c r="K301" s="24"/>
      <c r="L301" s="20"/>
      <c r="M301" s="20"/>
      <c r="N301" s="20"/>
      <c r="O301" s="20"/>
    </row>
    <row r="302" spans="1:15" x14ac:dyDescent="0.3">
      <c r="A302" s="19" t="str">
        <f t="shared" si="1"/>
        <v/>
      </c>
      <c r="B302" s="20"/>
      <c r="C302" s="20"/>
      <c r="D302" s="21" t="str">
        <f>IF($C302="","",IFERROR(VLOOKUP($C302,Map_Register!$A$2:$C$5,3,FALSE()),""))</f>
        <v/>
      </c>
      <c r="E302" s="20"/>
      <c r="F302" s="20"/>
      <c r="G302" s="20"/>
      <c r="H302" s="20"/>
      <c r="I302" s="20"/>
      <c r="J302" s="20"/>
      <c r="K302" s="24"/>
      <c r="L302" s="20"/>
      <c r="M302" s="20"/>
      <c r="N302" s="20"/>
      <c r="O302" s="20"/>
    </row>
    <row r="303" spans="1:15" x14ac:dyDescent="0.3">
      <c r="A303" s="19" t="str">
        <f t="shared" si="1"/>
        <v/>
      </c>
      <c r="B303" s="20"/>
      <c r="C303" s="20"/>
      <c r="D303" s="21" t="str">
        <f>IF($C303="","",IFERROR(VLOOKUP($C303,Map_Register!$A$2:$C$5,3,FALSE()),""))</f>
        <v/>
      </c>
      <c r="E303" s="20"/>
      <c r="F303" s="20"/>
      <c r="G303" s="20"/>
      <c r="H303" s="20"/>
      <c r="I303" s="20"/>
      <c r="J303" s="20"/>
      <c r="K303" s="24"/>
      <c r="L303" s="20"/>
      <c r="M303" s="20"/>
      <c r="N303" s="20"/>
      <c r="O303" s="20"/>
    </row>
    <row r="304" spans="1:15" x14ac:dyDescent="0.3">
      <c r="A304" s="19" t="str">
        <f t="shared" si="1"/>
        <v/>
      </c>
      <c r="B304" s="20"/>
      <c r="C304" s="20"/>
      <c r="D304" s="21" t="str">
        <f>IF($C304="","",IFERROR(VLOOKUP($C304,Map_Register!$A$2:$C$5,3,FALSE()),""))</f>
        <v/>
      </c>
      <c r="E304" s="20"/>
      <c r="F304" s="20"/>
      <c r="G304" s="20"/>
      <c r="H304" s="20"/>
      <c r="I304" s="20"/>
      <c r="J304" s="20"/>
      <c r="K304" s="24"/>
      <c r="L304" s="20"/>
      <c r="M304" s="20"/>
      <c r="N304" s="20"/>
      <c r="O304" s="20"/>
    </row>
    <row r="305" spans="1:15" x14ac:dyDescent="0.3">
      <c r="A305" s="19" t="str">
        <f t="shared" si="1"/>
        <v/>
      </c>
      <c r="B305" s="20"/>
      <c r="C305" s="20"/>
      <c r="D305" s="21" t="str">
        <f>IF($C305="","",IFERROR(VLOOKUP($C305,Map_Register!$A$2:$C$5,3,FALSE()),""))</f>
        <v/>
      </c>
      <c r="E305" s="20"/>
      <c r="F305" s="20"/>
      <c r="G305" s="20"/>
      <c r="H305" s="20"/>
      <c r="I305" s="20"/>
      <c r="J305" s="20"/>
      <c r="K305" s="24"/>
      <c r="L305" s="20"/>
      <c r="M305" s="20"/>
      <c r="N305" s="20"/>
      <c r="O305" s="20"/>
    </row>
    <row r="306" spans="1:15" x14ac:dyDescent="0.3">
      <c r="A306" s="19" t="str">
        <f t="shared" si="1"/>
        <v/>
      </c>
      <c r="B306" s="20"/>
      <c r="C306" s="20"/>
      <c r="D306" s="21" t="str">
        <f>IF($C306="","",IFERROR(VLOOKUP($C306,Map_Register!$A$2:$C$5,3,FALSE()),""))</f>
        <v/>
      </c>
      <c r="E306" s="20"/>
      <c r="F306" s="20"/>
      <c r="G306" s="20"/>
      <c r="H306" s="20"/>
      <c r="I306" s="20"/>
      <c r="J306" s="20"/>
      <c r="K306" s="24"/>
      <c r="L306" s="20"/>
      <c r="M306" s="20"/>
      <c r="N306" s="20"/>
      <c r="O306" s="20"/>
    </row>
    <row r="307" spans="1:15" x14ac:dyDescent="0.3">
      <c r="A307" s="19" t="str">
        <f t="shared" si="1"/>
        <v/>
      </c>
      <c r="B307" s="20"/>
      <c r="C307" s="20"/>
      <c r="D307" s="21" t="str">
        <f>IF($C307="","",IFERROR(VLOOKUP($C307,Map_Register!$A$2:$C$5,3,FALSE()),""))</f>
        <v/>
      </c>
      <c r="E307" s="20"/>
      <c r="F307" s="20"/>
      <c r="G307" s="20"/>
      <c r="H307" s="20"/>
      <c r="I307" s="20"/>
      <c r="J307" s="20"/>
      <c r="K307" s="24"/>
      <c r="L307" s="20"/>
      <c r="M307" s="20"/>
      <c r="N307" s="20"/>
      <c r="O307" s="20"/>
    </row>
    <row r="308" spans="1:15" x14ac:dyDescent="0.3">
      <c r="A308" s="19" t="str">
        <f t="shared" si="1"/>
        <v/>
      </c>
      <c r="B308" s="20"/>
      <c r="C308" s="20"/>
      <c r="D308" s="21" t="str">
        <f>IF($C308="","",IFERROR(VLOOKUP($C308,Map_Register!$A$2:$C$5,3,FALSE()),""))</f>
        <v/>
      </c>
      <c r="E308" s="20"/>
      <c r="F308" s="20"/>
      <c r="G308" s="20"/>
      <c r="H308" s="20"/>
      <c r="I308" s="20"/>
      <c r="J308" s="20"/>
      <c r="K308" s="24"/>
      <c r="L308" s="20"/>
      <c r="M308" s="20"/>
      <c r="N308" s="20"/>
      <c r="O308" s="20"/>
    </row>
    <row r="309" spans="1:15" x14ac:dyDescent="0.3">
      <c r="A309" s="19" t="str">
        <f t="shared" si="1"/>
        <v/>
      </c>
      <c r="B309" s="20"/>
      <c r="C309" s="20"/>
      <c r="D309" s="21" t="str">
        <f>IF($C309="","",IFERROR(VLOOKUP($C309,Map_Register!$A$2:$C$5,3,FALSE()),""))</f>
        <v/>
      </c>
      <c r="E309" s="20"/>
      <c r="F309" s="20"/>
      <c r="G309" s="20"/>
      <c r="H309" s="20"/>
      <c r="I309" s="20"/>
      <c r="J309" s="20"/>
      <c r="K309" s="24"/>
      <c r="L309" s="20"/>
      <c r="M309" s="20"/>
      <c r="N309" s="20"/>
      <c r="O309" s="20"/>
    </row>
    <row r="310" spans="1:15" x14ac:dyDescent="0.3">
      <c r="A310" s="19" t="str">
        <f t="shared" si="1"/>
        <v/>
      </c>
      <c r="B310" s="20"/>
      <c r="C310" s="20"/>
      <c r="D310" s="21" t="str">
        <f>IF($C310="","",IFERROR(VLOOKUP($C310,Map_Register!$A$2:$C$5,3,FALSE()),""))</f>
        <v/>
      </c>
      <c r="E310" s="20"/>
      <c r="F310" s="20"/>
      <c r="G310" s="20"/>
      <c r="H310" s="20"/>
      <c r="I310" s="20"/>
      <c r="J310" s="20"/>
      <c r="K310" s="24"/>
      <c r="L310" s="20"/>
      <c r="M310" s="20"/>
      <c r="N310" s="20"/>
      <c r="O310" s="20"/>
    </row>
    <row r="311" spans="1:15" x14ac:dyDescent="0.3">
      <c r="A311" s="19" t="str">
        <f t="shared" si="1"/>
        <v/>
      </c>
      <c r="B311" s="20"/>
      <c r="C311" s="20"/>
      <c r="D311" s="21" t="str">
        <f>IF($C311="","",IFERROR(VLOOKUP($C311,Map_Register!$A$2:$C$5,3,FALSE()),""))</f>
        <v/>
      </c>
      <c r="E311" s="20"/>
      <c r="F311" s="20"/>
      <c r="G311" s="20"/>
      <c r="H311" s="20"/>
      <c r="I311" s="20"/>
      <c r="J311" s="20"/>
      <c r="K311" s="24"/>
      <c r="L311" s="20"/>
      <c r="M311" s="20"/>
      <c r="N311" s="20"/>
      <c r="O311" s="20"/>
    </row>
    <row r="312" spans="1:15" x14ac:dyDescent="0.3">
      <c r="A312" s="19" t="str">
        <f t="shared" si="1"/>
        <v/>
      </c>
      <c r="B312" s="20"/>
      <c r="C312" s="20"/>
      <c r="D312" s="21" t="str">
        <f>IF($C312="","",IFERROR(VLOOKUP($C312,Map_Register!$A$2:$C$5,3,FALSE()),""))</f>
        <v/>
      </c>
      <c r="E312" s="20"/>
      <c r="F312" s="20"/>
      <c r="G312" s="20"/>
      <c r="H312" s="20"/>
      <c r="I312" s="20"/>
      <c r="J312" s="20"/>
      <c r="K312" s="24"/>
      <c r="L312" s="20"/>
      <c r="M312" s="20"/>
      <c r="N312" s="20"/>
      <c r="O312" s="20"/>
    </row>
    <row r="313" spans="1:15" x14ac:dyDescent="0.3">
      <c r="A313" s="19" t="str">
        <f t="shared" si="1"/>
        <v/>
      </c>
      <c r="B313" s="20"/>
      <c r="C313" s="20"/>
      <c r="D313" s="21" t="str">
        <f>IF($C313="","",IFERROR(VLOOKUP($C313,Map_Register!$A$2:$C$5,3,FALSE()),""))</f>
        <v/>
      </c>
      <c r="E313" s="20"/>
      <c r="F313" s="20"/>
      <c r="G313" s="20"/>
      <c r="H313" s="20"/>
      <c r="I313" s="20"/>
      <c r="J313" s="20"/>
      <c r="K313" s="24"/>
      <c r="L313" s="20"/>
      <c r="M313" s="20"/>
      <c r="N313" s="20"/>
      <c r="O313" s="20"/>
    </row>
    <row r="314" spans="1:15" x14ac:dyDescent="0.3">
      <c r="A314" s="19" t="str">
        <f t="shared" si="1"/>
        <v/>
      </c>
      <c r="B314" s="20"/>
      <c r="C314" s="20"/>
      <c r="D314" s="21" t="str">
        <f>IF($C314="","",IFERROR(VLOOKUP($C314,Map_Register!$A$2:$C$5,3,FALSE()),""))</f>
        <v/>
      </c>
      <c r="E314" s="20"/>
      <c r="F314" s="20"/>
      <c r="G314" s="20"/>
      <c r="H314" s="20"/>
      <c r="I314" s="20"/>
      <c r="J314" s="20"/>
      <c r="K314" s="24"/>
      <c r="L314" s="20"/>
      <c r="M314" s="20"/>
      <c r="N314" s="20"/>
      <c r="O314" s="20"/>
    </row>
    <row r="315" spans="1:15" x14ac:dyDescent="0.3">
      <c r="A315" s="19" t="str">
        <f t="shared" si="1"/>
        <v/>
      </c>
      <c r="B315" s="20"/>
      <c r="C315" s="20"/>
      <c r="D315" s="21" t="str">
        <f>IF($C315="","",IFERROR(VLOOKUP($C315,Map_Register!$A$2:$C$5,3,FALSE()),""))</f>
        <v/>
      </c>
      <c r="E315" s="20"/>
      <c r="F315" s="20"/>
      <c r="G315" s="20"/>
      <c r="H315" s="20"/>
      <c r="I315" s="20"/>
      <c r="J315" s="20"/>
      <c r="K315" s="24"/>
      <c r="L315" s="20"/>
      <c r="M315" s="20"/>
      <c r="N315" s="20"/>
      <c r="O315" s="20"/>
    </row>
    <row r="316" spans="1:15" x14ac:dyDescent="0.3">
      <c r="A316" s="19" t="str">
        <f t="shared" si="1"/>
        <v/>
      </c>
      <c r="B316" s="20"/>
      <c r="C316" s="20"/>
      <c r="D316" s="21" t="str">
        <f>IF($C316="","",IFERROR(VLOOKUP($C316,Map_Register!$A$2:$C$5,3,FALSE()),""))</f>
        <v/>
      </c>
      <c r="E316" s="20"/>
      <c r="F316" s="20"/>
      <c r="G316" s="20"/>
      <c r="H316" s="20"/>
      <c r="I316" s="20"/>
      <c r="J316" s="20"/>
      <c r="K316" s="24"/>
      <c r="L316" s="20"/>
      <c r="M316" s="20"/>
      <c r="N316" s="20"/>
      <c r="O316" s="20"/>
    </row>
    <row r="317" spans="1:15" x14ac:dyDescent="0.3">
      <c r="A317" s="19" t="str">
        <f t="shared" si="1"/>
        <v/>
      </c>
      <c r="B317" s="20"/>
      <c r="C317" s="20"/>
      <c r="D317" s="21" t="str">
        <f>IF($C317="","",IFERROR(VLOOKUP($C317,Map_Register!$A$2:$C$5,3,FALSE()),""))</f>
        <v/>
      </c>
      <c r="E317" s="20"/>
      <c r="F317" s="20"/>
      <c r="G317" s="20"/>
      <c r="H317" s="20"/>
      <c r="I317" s="20"/>
      <c r="J317" s="20"/>
      <c r="K317" s="24"/>
      <c r="L317" s="20"/>
      <c r="M317" s="20"/>
      <c r="N317" s="20"/>
      <c r="O317" s="20"/>
    </row>
    <row r="318" spans="1:15" x14ac:dyDescent="0.3">
      <c r="A318" s="19" t="str">
        <f t="shared" si="1"/>
        <v/>
      </c>
      <c r="B318" s="20"/>
      <c r="C318" s="20"/>
      <c r="D318" s="21" t="str">
        <f>IF($C318="","",IFERROR(VLOOKUP($C318,Map_Register!$A$2:$C$5,3,FALSE()),""))</f>
        <v/>
      </c>
      <c r="E318" s="20"/>
      <c r="F318" s="20"/>
      <c r="G318" s="20"/>
      <c r="H318" s="20"/>
      <c r="I318" s="20"/>
      <c r="J318" s="20"/>
      <c r="K318" s="24"/>
      <c r="L318" s="20"/>
      <c r="M318" s="20"/>
      <c r="N318" s="20"/>
      <c r="O318" s="20"/>
    </row>
    <row r="319" spans="1:15" x14ac:dyDescent="0.3">
      <c r="A319" s="19" t="str">
        <f t="shared" si="1"/>
        <v/>
      </c>
      <c r="B319" s="20"/>
      <c r="C319" s="20"/>
      <c r="D319" s="21" t="str">
        <f>IF($C319="","",IFERROR(VLOOKUP($C319,Map_Register!$A$2:$C$5,3,FALSE()),""))</f>
        <v/>
      </c>
      <c r="E319" s="20"/>
      <c r="F319" s="20"/>
      <c r="G319" s="20"/>
      <c r="H319" s="20"/>
      <c r="I319" s="20"/>
      <c r="J319" s="20"/>
      <c r="K319" s="24"/>
      <c r="L319" s="20"/>
      <c r="M319" s="20"/>
      <c r="N319" s="20"/>
      <c r="O319" s="20"/>
    </row>
    <row r="320" spans="1:15" x14ac:dyDescent="0.3">
      <c r="A320" s="19" t="str">
        <f t="shared" si="1"/>
        <v/>
      </c>
      <c r="B320" s="20"/>
      <c r="C320" s="20"/>
      <c r="D320" s="21" t="str">
        <f>IF($C320="","",IFERROR(VLOOKUP($C320,Map_Register!$A$2:$C$5,3,FALSE()),""))</f>
        <v/>
      </c>
      <c r="E320" s="20"/>
      <c r="F320" s="20"/>
      <c r="G320" s="20"/>
      <c r="H320" s="20"/>
      <c r="I320" s="20"/>
      <c r="J320" s="20"/>
      <c r="K320" s="24"/>
      <c r="L320" s="20"/>
      <c r="M320" s="20"/>
      <c r="N320" s="20"/>
      <c r="O320" s="20"/>
    </row>
    <row r="321" spans="1:15" x14ac:dyDescent="0.3">
      <c r="A321" s="19" t="str">
        <f t="shared" si="1"/>
        <v/>
      </c>
      <c r="B321" s="20"/>
      <c r="C321" s="20"/>
      <c r="D321" s="21" t="str">
        <f>IF($C321="","",IFERROR(VLOOKUP($C321,Map_Register!$A$2:$C$5,3,FALSE()),""))</f>
        <v/>
      </c>
      <c r="E321" s="20"/>
      <c r="F321" s="20"/>
      <c r="G321" s="20"/>
      <c r="H321" s="20"/>
      <c r="I321" s="20"/>
      <c r="J321" s="20"/>
      <c r="K321" s="24"/>
      <c r="L321" s="20"/>
      <c r="M321" s="20"/>
      <c r="N321" s="20"/>
      <c r="O321" s="20"/>
    </row>
    <row r="322" spans="1:15" x14ac:dyDescent="0.3">
      <c r="A322" s="19" t="str">
        <f t="shared" si="1"/>
        <v/>
      </c>
      <c r="B322" s="20"/>
      <c r="C322" s="20"/>
      <c r="D322" s="21" t="str">
        <f>IF($C322="","",IFERROR(VLOOKUP($C322,Map_Register!$A$2:$C$5,3,FALSE()),""))</f>
        <v/>
      </c>
      <c r="E322" s="20"/>
      <c r="F322" s="20"/>
      <c r="G322" s="20"/>
      <c r="H322" s="20"/>
      <c r="I322" s="20"/>
      <c r="J322" s="20"/>
      <c r="K322" s="24"/>
      <c r="L322" s="20"/>
      <c r="M322" s="20"/>
      <c r="N322" s="20"/>
      <c r="O322" s="20"/>
    </row>
    <row r="323" spans="1:15" x14ac:dyDescent="0.3">
      <c r="A323" s="19" t="str">
        <f t="shared" si="1"/>
        <v/>
      </c>
      <c r="B323" s="20"/>
      <c r="C323" s="20"/>
      <c r="D323" s="21" t="str">
        <f>IF($C323="","",IFERROR(VLOOKUP($C323,Map_Register!$A$2:$C$5,3,FALSE()),""))</f>
        <v/>
      </c>
      <c r="E323" s="20"/>
      <c r="F323" s="20"/>
      <c r="G323" s="20"/>
      <c r="H323" s="20"/>
      <c r="I323" s="20"/>
      <c r="J323" s="20"/>
      <c r="K323" s="24"/>
      <c r="L323" s="20"/>
      <c r="M323" s="20"/>
      <c r="N323" s="20"/>
      <c r="O323" s="20"/>
    </row>
    <row r="324" spans="1:15" x14ac:dyDescent="0.3">
      <c r="A324" s="19" t="str">
        <f t="shared" si="1"/>
        <v/>
      </c>
      <c r="B324" s="20"/>
      <c r="C324" s="20"/>
      <c r="D324" s="21" t="str">
        <f>IF($C324="","",IFERROR(VLOOKUP($C324,Map_Register!$A$2:$C$5,3,FALSE()),""))</f>
        <v/>
      </c>
      <c r="E324" s="20"/>
      <c r="F324" s="20"/>
      <c r="G324" s="20"/>
      <c r="H324" s="20"/>
      <c r="I324" s="20"/>
      <c r="J324" s="20"/>
      <c r="K324" s="24"/>
      <c r="L324" s="20"/>
      <c r="M324" s="20"/>
      <c r="N324" s="20"/>
      <c r="O324" s="20"/>
    </row>
    <row r="325" spans="1:15" x14ac:dyDescent="0.3">
      <c r="A325" s="19" t="str">
        <f t="shared" si="1"/>
        <v/>
      </c>
      <c r="B325" s="20"/>
      <c r="C325" s="20"/>
      <c r="D325" s="21" t="str">
        <f>IF($C325="","",IFERROR(VLOOKUP($C325,Map_Register!$A$2:$C$5,3,FALSE()),""))</f>
        <v/>
      </c>
      <c r="E325" s="20"/>
      <c r="F325" s="20"/>
      <c r="G325" s="20"/>
      <c r="H325" s="20"/>
      <c r="I325" s="20"/>
      <c r="J325" s="20"/>
      <c r="K325" s="24"/>
      <c r="L325" s="20"/>
      <c r="M325" s="20"/>
      <c r="N325" s="20"/>
      <c r="O325" s="20"/>
    </row>
    <row r="326" spans="1:15" x14ac:dyDescent="0.3">
      <c r="A326" s="19" t="str">
        <f t="shared" si="1"/>
        <v/>
      </c>
      <c r="B326" s="20"/>
      <c r="C326" s="20"/>
      <c r="D326" s="21" t="str">
        <f>IF($C326="","",IFERROR(VLOOKUP($C326,Map_Register!$A$2:$C$5,3,FALSE()),""))</f>
        <v/>
      </c>
      <c r="E326" s="20"/>
      <c r="F326" s="20"/>
      <c r="G326" s="20"/>
      <c r="H326" s="20"/>
      <c r="I326" s="20"/>
      <c r="J326" s="20"/>
      <c r="K326" s="24"/>
      <c r="L326" s="20"/>
      <c r="M326" s="20"/>
      <c r="N326" s="20"/>
      <c r="O326" s="20"/>
    </row>
    <row r="327" spans="1:15" x14ac:dyDescent="0.3">
      <c r="A327" s="19" t="str">
        <f t="shared" si="1"/>
        <v/>
      </c>
      <c r="B327" s="20"/>
      <c r="C327" s="20"/>
      <c r="D327" s="21" t="str">
        <f>IF($C327="","",IFERROR(VLOOKUP($C327,Map_Register!$A$2:$C$5,3,FALSE()),""))</f>
        <v/>
      </c>
      <c r="E327" s="20"/>
      <c r="F327" s="20"/>
      <c r="G327" s="20"/>
      <c r="H327" s="20"/>
      <c r="I327" s="20"/>
      <c r="J327" s="20"/>
      <c r="K327" s="24"/>
      <c r="L327" s="20"/>
      <c r="M327" s="20"/>
      <c r="N327" s="20"/>
      <c r="O327" s="20"/>
    </row>
    <row r="328" spans="1:15" x14ac:dyDescent="0.3">
      <c r="A328" s="19" t="str">
        <f t="shared" si="1"/>
        <v/>
      </c>
      <c r="B328" s="20"/>
      <c r="C328" s="20"/>
      <c r="D328" s="21" t="str">
        <f>IF($C328="","",IFERROR(VLOOKUP($C328,Map_Register!$A$2:$C$5,3,FALSE()),""))</f>
        <v/>
      </c>
      <c r="E328" s="20"/>
      <c r="F328" s="20"/>
      <c r="G328" s="20"/>
      <c r="H328" s="20"/>
      <c r="I328" s="20"/>
      <c r="J328" s="20"/>
      <c r="K328" s="24"/>
      <c r="L328" s="20"/>
      <c r="M328" s="20"/>
      <c r="N328" s="20"/>
      <c r="O328" s="20"/>
    </row>
    <row r="329" spans="1:15" x14ac:dyDescent="0.3">
      <c r="A329" s="19" t="str">
        <f t="shared" si="1"/>
        <v/>
      </c>
      <c r="B329" s="20"/>
      <c r="C329" s="20"/>
      <c r="D329" s="21" t="str">
        <f>IF($C329="","",IFERROR(VLOOKUP($C329,Map_Register!$A$2:$C$5,3,FALSE()),""))</f>
        <v/>
      </c>
      <c r="E329" s="20"/>
      <c r="F329" s="20"/>
      <c r="G329" s="20"/>
      <c r="H329" s="20"/>
      <c r="I329" s="20"/>
      <c r="J329" s="20"/>
      <c r="K329" s="24"/>
      <c r="L329" s="20"/>
      <c r="M329" s="20"/>
      <c r="N329" s="20"/>
      <c r="O329" s="20"/>
    </row>
    <row r="330" spans="1:15" x14ac:dyDescent="0.3">
      <c r="A330" s="19" t="str">
        <f t="shared" si="1"/>
        <v/>
      </c>
      <c r="B330" s="20"/>
      <c r="C330" s="20"/>
      <c r="D330" s="21" t="str">
        <f>IF($C330="","",IFERROR(VLOOKUP($C330,Map_Register!$A$2:$C$5,3,FALSE()),""))</f>
        <v/>
      </c>
      <c r="E330" s="20"/>
      <c r="F330" s="20"/>
      <c r="G330" s="20"/>
      <c r="H330" s="20"/>
      <c r="I330" s="20"/>
      <c r="J330" s="20"/>
      <c r="K330" s="24"/>
      <c r="L330" s="20"/>
      <c r="M330" s="20"/>
      <c r="N330" s="20"/>
      <c r="O330" s="20"/>
    </row>
    <row r="331" spans="1:15" x14ac:dyDescent="0.3">
      <c r="A331" s="19" t="str">
        <f t="shared" si="1"/>
        <v/>
      </c>
      <c r="B331" s="20"/>
      <c r="C331" s="20"/>
      <c r="D331" s="21" t="str">
        <f>IF($C331="","",IFERROR(VLOOKUP($C331,Map_Register!$A$2:$C$5,3,FALSE()),""))</f>
        <v/>
      </c>
      <c r="E331" s="20"/>
      <c r="F331" s="20"/>
      <c r="G331" s="20"/>
      <c r="H331" s="20"/>
      <c r="I331" s="20"/>
      <c r="J331" s="20"/>
      <c r="K331" s="24"/>
      <c r="L331" s="20"/>
      <c r="M331" s="20"/>
      <c r="N331" s="20"/>
      <c r="O331" s="20"/>
    </row>
    <row r="332" spans="1:15" x14ac:dyDescent="0.3">
      <c r="A332" s="19" t="str">
        <f t="shared" si="1"/>
        <v/>
      </c>
      <c r="B332" s="20"/>
      <c r="C332" s="20"/>
      <c r="D332" s="21" t="str">
        <f>IF($C332="","",IFERROR(VLOOKUP($C332,Map_Register!$A$2:$C$5,3,FALSE()),""))</f>
        <v/>
      </c>
      <c r="E332" s="20"/>
      <c r="F332" s="20"/>
      <c r="G332" s="20"/>
      <c r="H332" s="20"/>
      <c r="I332" s="20"/>
      <c r="J332" s="20"/>
      <c r="K332" s="24"/>
      <c r="L332" s="20"/>
      <c r="M332" s="20"/>
      <c r="N332" s="20"/>
      <c r="O332" s="20"/>
    </row>
    <row r="333" spans="1:15" x14ac:dyDescent="0.3">
      <c r="A333" s="19" t="str">
        <f t="shared" ref="A333:A396" si="2">IF($B333="","",ROW()-1)</f>
        <v/>
      </c>
      <c r="B333" s="20"/>
      <c r="C333" s="20"/>
      <c r="D333" s="21" t="str">
        <f>IF($C333="","",IFERROR(VLOOKUP($C333,Map_Register!$A$2:$C$5,3,FALSE()),""))</f>
        <v/>
      </c>
      <c r="E333" s="20"/>
      <c r="F333" s="20"/>
      <c r="G333" s="20"/>
      <c r="H333" s="20"/>
      <c r="I333" s="20"/>
      <c r="J333" s="20"/>
      <c r="K333" s="24"/>
      <c r="L333" s="20"/>
      <c r="M333" s="20"/>
      <c r="N333" s="20"/>
      <c r="O333" s="20"/>
    </row>
    <row r="334" spans="1:15" x14ac:dyDescent="0.3">
      <c r="A334" s="19" t="str">
        <f t="shared" si="2"/>
        <v/>
      </c>
      <c r="B334" s="20"/>
      <c r="C334" s="20"/>
      <c r="D334" s="21" t="str">
        <f>IF($C334="","",IFERROR(VLOOKUP($C334,Map_Register!$A$2:$C$5,3,FALSE()),""))</f>
        <v/>
      </c>
      <c r="E334" s="20"/>
      <c r="F334" s="20"/>
      <c r="G334" s="20"/>
      <c r="H334" s="20"/>
      <c r="I334" s="20"/>
      <c r="J334" s="20"/>
      <c r="K334" s="24"/>
      <c r="L334" s="20"/>
      <c r="M334" s="20"/>
      <c r="N334" s="20"/>
      <c r="O334" s="20"/>
    </row>
    <row r="335" spans="1:15" x14ac:dyDescent="0.3">
      <c r="A335" s="19" t="str">
        <f t="shared" si="2"/>
        <v/>
      </c>
      <c r="B335" s="20"/>
      <c r="C335" s="20"/>
      <c r="D335" s="21" t="str">
        <f>IF($C335="","",IFERROR(VLOOKUP($C335,Map_Register!$A$2:$C$5,3,FALSE()),""))</f>
        <v/>
      </c>
      <c r="E335" s="20"/>
      <c r="F335" s="20"/>
      <c r="G335" s="20"/>
      <c r="H335" s="20"/>
      <c r="I335" s="20"/>
      <c r="J335" s="20"/>
      <c r="K335" s="24"/>
      <c r="L335" s="20"/>
      <c r="M335" s="20"/>
      <c r="N335" s="20"/>
      <c r="O335" s="20"/>
    </row>
    <row r="336" spans="1:15" x14ac:dyDescent="0.3">
      <c r="A336" s="19" t="str">
        <f t="shared" si="2"/>
        <v/>
      </c>
      <c r="B336" s="20"/>
      <c r="C336" s="20"/>
      <c r="D336" s="21" t="str">
        <f>IF($C336="","",IFERROR(VLOOKUP($C336,Map_Register!$A$2:$C$5,3,FALSE()),""))</f>
        <v/>
      </c>
      <c r="E336" s="20"/>
      <c r="F336" s="20"/>
      <c r="G336" s="20"/>
      <c r="H336" s="20"/>
      <c r="I336" s="20"/>
      <c r="J336" s="20"/>
      <c r="K336" s="24"/>
      <c r="L336" s="20"/>
      <c r="M336" s="20"/>
      <c r="N336" s="20"/>
      <c r="O336" s="20"/>
    </row>
    <row r="337" spans="1:15" x14ac:dyDescent="0.3">
      <c r="A337" s="19" t="str">
        <f t="shared" si="2"/>
        <v/>
      </c>
      <c r="B337" s="20"/>
      <c r="C337" s="20"/>
      <c r="D337" s="21" t="str">
        <f>IF($C337="","",IFERROR(VLOOKUP($C337,Map_Register!$A$2:$C$5,3,FALSE()),""))</f>
        <v/>
      </c>
      <c r="E337" s="20"/>
      <c r="F337" s="20"/>
      <c r="G337" s="20"/>
      <c r="H337" s="20"/>
      <c r="I337" s="20"/>
      <c r="J337" s="20"/>
      <c r="K337" s="24"/>
      <c r="L337" s="20"/>
      <c r="M337" s="20"/>
      <c r="N337" s="20"/>
      <c r="O337" s="20"/>
    </row>
    <row r="338" spans="1:15" x14ac:dyDescent="0.3">
      <c r="A338" s="19" t="str">
        <f t="shared" si="2"/>
        <v/>
      </c>
      <c r="B338" s="20"/>
      <c r="C338" s="20"/>
      <c r="D338" s="21" t="str">
        <f>IF($C338="","",IFERROR(VLOOKUP($C338,Map_Register!$A$2:$C$5,3,FALSE()),""))</f>
        <v/>
      </c>
      <c r="E338" s="20"/>
      <c r="F338" s="20"/>
      <c r="G338" s="20"/>
      <c r="H338" s="20"/>
      <c r="I338" s="20"/>
      <c r="J338" s="20"/>
      <c r="K338" s="24"/>
      <c r="L338" s="20"/>
      <c r="M338" s="20"/>
      <c r="N338" s="20"/>
      <c r="O338" s="20"/>
    </row>
    <row r="339" spans="1:15" x14ac:dyDescent="0.3">
      <c r="A339" s="19" t="str">
        <f t="shared" si="2"/>
        <v/>
      </c>
      <c r="B339" s="20"/>
      <c r="C339" s="20"/>
      <c r="D339" s="21" t="str">
        <f>IF($C339="","",IFERROR(VLOOKUP($C339,Map_Register!$A$2:$C$5,3,FALSE()),""))</f>
        <v/>
      </c>
      <c r="E339" s="20"/>
      <c r="F339" s="20"/>
      <c r="G339" s="20"/>
      <c r="H339" s="20"/>
      <c r="I339" s="20"/>
      <c r="J339" s="20"/>
      <c r="K339" s="24"/>
      <c r="L339" s="20"/>
      <c r="M339" s="20"/>
      <c r="N339" s="20"/>
      <c r="O339" s="20"/>
    </row>
    <row r="340" spans="1:15" x14ac:dyDescent="0.3">
      <c r="A340" s="19" t="str">
        <f t="shared" si="2"/>
        <v/>
      </c>
      <c r="B340" s="20"/>
      <c r="C340" s="20"/>
      <c r="D340" s="21" t="str">
        <f>IF($C340="","",IFERROR(VLOOKUP($C340,Map_Register!$A$2:$C$5,3,FALSE()),""))</f>
        <v/>
      </c>
      <c r="E340" s="20"/>
      <c r="F340" s="20"/>
      <c r="G340" s="20"/>
      <c r="H340" s="20"/>
      <c r="I340" s="20"/>
      <c r="J340" s="20"/>
      <c r="K340" s="24"/>
      <c r="L340" s="20"/>
      <c r="M340" s="20"/>
      <c r="N340" s="20"/>
      <c r="O340" s="20"/>
    </row>
    <row r="341" spans="1:15" x14ac:dyDescent="0.3">
      <c r="A341" s="19" t="str">
        <f t="shared" si="2"/>
        <v/>
      </c>
      <c r="B341" s="20"/>
      <c r="C341" s="20"/>
      <c r="D341" s="21" t="str">
        <f>IF($C341="","",IFERROR(VLOOKUP($C341,Map_Register!$A$2:$C$5,3,FALSE()),""))</f>
        <v/>
      </c>
      <c r="E341" s="20"/>
      <c r="F341" s="20"/>
      <c r="G341" s="20"/>
      <c r="H341" s="20"/>
      <c r="I341" s="20"/>
      <c r="J341" s="20"/>
      <c r="K341" s="24"/>
      <c r="L341" s="20"/>
      <c r="M341" s="20"/>
      <c r="N341" s="20"/>
      <c r="O341" s="20"/>
    </row>
    <row r="342" spans="1:15" x14ac:dyDescent="0.3">
      <c r="A342" s="19" t="str">
        <f t="shared" si="2"/>
        <v/>
      </c>
      <c r="B342" s="20"/>
      <c r="C342" s="20"/>
      <c r="D342" s="21" t="str">
        <f>IF($C342="","",IFERROR(VLOOKUP($C342,Map_Register!$A$2:$C$5,3,FALSE()),""))</f>
        <v/>
      </c>
      <c r="E342" s="20"/>
      <c r="F342" s="20"/>
      <c r="G342" s="20"/>
      <c r="H342" s="20"/>
      <c r="I342" s="20"/>
      <c r="J342" s="20"/>
      <c r="K342" s="24"/>
      <c r="L342" s="20"/>
      <c r="M342" s="20"/>
      <c r="N342" s="20"/>
      <c r="O342" s="20"/>
    </row>
    <row r="343" spans="1:15" x14ac:dyDescent="0.3">
      <c r="A343" s="19" t="str">
        <f t="shared" si="2"/>
        <v/>
      </c>
      <c r="B343" s="20"/>
      <c r="C343" s="20"/>
      <c r="D343" s="21" t="str">
        <f>IF($C343="","",IFERROR(VLOOKUP($C343,Map_Register!$A$2:$C$5,3,FALSE()),""))</f>
        <v/>
      </c>
      <c r="E343" s="20"/>
      <c r="F343" s="20"/>
      <c r="G343" s="20"/>
      <c r="H343" s="20"/>
      <c r="I343" s="20"/>
      <c r="J343" s="20"/>
      <c r="K343" s="24"/>
      <c r="L343" s="20"/>
      <c r="M343" s="20"/>
      <c r="N343" s="20"/>
      <c r="O343" s="20"/>
    </row>
    <row r="344" spans="1:15" x14ac:dyDescent="0.3">
      <c r="A344" s="19" t="str">
        <f t="shared" si="2"/>
        <v/>
      </c>
      <c r="B344" s="20"/>
      <c r="C344" s="20"/>
      <c r="D344" s="21" t="str">
        <f>IF($C344="","",IFERROR(VLOOKUP($C344,Map_Register!$A$2:$C$5,3,FALSE()),""))</f>
        <v/>
      </c>
      <c r="E344" s="20"/>
      <c r="F344" s="20"/>
      <c r="G344" s="20"/>
      <c r="H344" s="20"/>
      <c r="I344" s="20"/>
      <c r="J344" s="20"/>
      <c r="K344" s="24"/>
      <c r="L344" s="20"/>
      <c r="M344" s="20"/>
      <c r="N344" s="20"/>
      <c r="O344" s="20"/>
    </row>
    <row r="345" spans="1:15" x14ac:dyDescent="0.3">
      <c r="A345" s="19" t="str">
        <f t="shared" si="2"/>
        <v/>
      </c>
      <c r="B345" s="20"/>
      <c r="C345" s="20"/>
      <c r="D345" s="21" t="str">
        <f>IF($C345="","",IFERROR(VLOOKUP($C345,Map_Register!$A$2:$C$5,3,FALSE()),""))</f>
        <v/>
      </c>
      <c r="E345" s="20"/>
      <c r="F345" s="20"/>
      <c r="G345" s="20"/>
      <c r="H345" s="20"/>
      <c r="I345" s="20"/>
      <c r="J345" s="20"/>
      <c r="K345" s="24"/>
      <c r="L345" s="20"/>
      <c r="M345" s="20"/>
      <c r="N345" s="20"/>
      <c r="O345" s="20"/>
    </row>
    <row r="346" spans="1:15" x14ac:dyDescent="0.3">
      <c r="A346" s="19" t="str">
        <f t="shared" si="2"/>
        <v/>
      </c>
      <c r="B346" s="20"/>
      <c r="C346" s="20"/>
      <c r="D346" s="21" t="str">
        <f>IF($C346="","",IFERROR(VLOOKUP($C346,Map_Register!$A$2:$C$5,3,FALSE()),""))</f>
        <v/>
      </c>
      <c r="E346" s="20"/>
      <c r="F346" s="20"/>
      <c r="G346" s="20"/>
      <c r="H346" s="20"/>
      <c r="I346" s="20"/>
      <c r="J346" s="20"/>
      <c r="K346" s="24"/>
      <c r="L346" s="20"/>
      <c r="M346" s="20"/>
      <c r="N346" s="20"/>
      <c r="O346" s="20"/>
    </row>
    <row r="347" spans="1:15" x14ac:dyDescent="0.3">
      <c r="A347" s="19" t="str">
        <f t="shared" si="2"/>
        <v/>
      </c>
      <c r="B347" s="20"/>
      <c r="C347" s="20"/>
      <c r="D347" s="21" t="str">
        <f>IF($C347="","",IFERROR(VLOOKUP($C347,Map_Register!$A$2:$C$5,3,FALSE()),""))</f>
        <v/>
      </c>
      <c r="E347" s="20"/>
      <c r="F347" s="20"/>
      <c r="G347" s="20"/>
      <c r="H347" s="20"/>
      <c r="I347" s="20"/>
      <c r="J347" s="20"/>
      <c r="K347" s="24"/>
      <c r="L347" s="20"/>
      <c r="M347" s="20"/>
      <c r="N347" s="20"/>
      <c r="O347" s="20"/>
    </row>
    <row r="348" spans="1:15" x14ac:dyDescent="0.3">
      <c r="A348" s="19" t="str">
        <f t="shared" si="2"/>
        <v/>
      </c>
      <c r="B348" s="20"/>
      <c r="C348" s="20"/>
      <c r="D348" s="21" t="str">
        <f>IF($C348="","",IFERROR(VLOOKUP($C348,Map_Register!$A$2:$C$5,3,FALSE()),""))</f>
        <v/>
      </c>
      <c r="E348" s="20"/>
      <c r="F348" s="20"/>
      <c r="G348" s="20"/>
      <c r="H348" s="20"/>
      <c r="I348" s="20"/>
      <c r="J348" s="20"/>
      <c r="K348" s="24"/>
      <c r="L348" s="20"/>
      <c r="M348" s="20"/>
      <c r="N348" s="20"/>
      <c r="O348" s="20"/>
    </row>
    <row r="349" spans="1:15" x14ac:dyDescent="0.3">
      <c r="A349" s="19" t="str">
        <f t="shared" si="2"/>
        <v/>
      </c>
      <c r="B349" s="20"/>
      <c r="C349" s="20"/>
      <c r="D349" s="21" t="str">
        <f>IF($C349="","",IFERROR(VLOOKUP($C349,Map_Register!$A$2:$C$5,3,FALSE()),""))</f>
        <v/>
      </c>
      <c r="E349" s="20"/>
      <c r="F349" s="20"/>
      <c r="G349" s="20"/>
      <c r="H349" s="20"/>
      <c r="I349" s="20"/>
      <c r="J349" s="20"/>
      <c r="K349" s="24"/>
      <c r="L349" s="20"/>
      <c r="M349" s="20"/>
      <c r="N349" s="20"/>
      <c r="O349" s="20"/>
    </row>
    <row r="350" spans="1:15" x14ac:dyDescent="0.3">
      <c r="A350" s="19" t="str">
        <f t="shared" si="2"/>
        <v/>
      </c>
      <c r="B350" s="20"/>
      <c r="C350" s="20"/>
      <c r="D350" s="21" t="str">
        <f>IF($C350="","",IFERROR(VLOOKUP($C350,Map_Register!$A$2:$C$5,3,FALSE()),""))</f>
        <v/>
      </c>
      <c r="E350" s="20"/>
      <c r="F350" s="20"/>
      <c r="G350" s="20"/>
      <c r="H350" s="20"/>
      <c r="I350" s="20"/>
      <c r="J350" s="20"/>
      <c r="K350" s="24"/>
      <c r="L350" s="20"/>
      <c r="M350" s="20"/>
      <c r="N350" s="20"/>
      <c r="O350" s="20"/>
    </row>
    <row r="351" spans="1:15" x14ac:dyDescent="0.3">
      <c r="A351" s="19" t="str">
        <f t="shared" si="2"/>
        <v/>
      </c>
      <c r="B351" s="20"/>
      <c r="C351" s="20"/>
      <c r="D351" s="21" t="str">
        <f>IF($C351="","",IFERROR(VLOOKUP($C351,Map_Register!$A$2:$C$5,3,FALSE()),""))</f>
        <v/>
      </c>
      <c r="E351" s="20"/>
      <c r="F351" s="20"/>
      <c r="G351" s="20"/>
      <c r="H351" s="20"/>
      <c r="I351" s="20"/>
      <c r="J351" s="20"/>
      <c r="K351" s="24"/>
      <c r="L351" s="20"/>
      <c r="M351" s="20"/>
      <c r="N351" s="20"/>
      <c r="O351" s="20"/>
    </row>
    <row r="352" spans="1:15" x14ac:dyDescent="0.3">
      <c r="A352" s="19" t="str">
        <f t="shared" si="2"/>
        <v/>
      </c>
      <c r="B352" s="20"/>
      <c r="C352" s="20"/>
      <c r="D352" s="21" t="str">
        <f>IF($C352="","",IFERROR(VLOOKUP($C352,Map_Register!$A$2:$C$5,3,FALSE()),""))</f>
        <v/>
      </c>
      <c r="E352" s="20"/>
      <c r="F352" s="20"/>
      <c r="G352" s="20"/>
      <c r="H352" s="20"/>
      <c r="I352" s="20"/>
      <c r="J352" s="20"/>
      <c r="K352" s="24"/>
      <c r="L352" s="20"/>
      <c r="M352" s="20"/>
      <c r="N352" s="20"/>
      <c r="O352" s="20"/>
    </row>
    <row r="353" spans="1:15" x14ac:dyDescent="0.3">
      <c r="A353" s="19" t="str">
        <f t="shared" si="2"/>
        <v/>
      </c>
      <c r="B353" s="20"/>
      <c r="C353" s="20"/>
      <c r="D353" s="21" t="str">
        <f>IF($C353="","",IFERROR(VLOOKUP($C353,Map_Register!$A$2:$C$5,3,FALSE()),""))</f>
        <v/>
      </c>
      <c r="E353" s="20"/>
      <c r="F353" s="20"/>
      <c r="G353" s="20"/>
      <c r="H353" s="20"/>
      <c r="I353" s="20"/>
      <c r="J353" s="20"/>
      <c r="K353" s="24"/>
      <c r="L353" s="20"/>
      <c r="M353" s="20"/>
      <c r="N353" s="20"/>
      <c r="O353" s="20"/>
    </row>
    <row r="354" spans="1:15" x14ac:dyDescent="0.3">
      <c r="A354" s="19" t="str">
        <f t="shared" si="2"/>
        <v/>
      </c>
      <c r="B354" s="20"/>
      <c r="C354" s="20"/>
      <c r="D354" s="21" t="str">
        <f>IF($C354="","",IFERROR(VLOOKUP($C354,Map_Register!$A$2:$C$5,3,FALSE()),""))</f>
        <v/>
      </c>
      <c r="E354" s="20"/>
      <c r="F354" s="20"/>
      <c r="G354" s="20"/>
      <c r="H354" s="20"/>
      <c r="I354" s="20"/>
      <c r="J354" s="20"/>
      <c r="K354" s="24"/>
      <c r="L354" s="20"/>
      <c r="M354" s="20"/>
      <c r="N354" s="20"/>
      <c r="O354" s="20"/>
    </row>
    <row r="355" spans="1:15" x14ac:dyDescent="0.3">
      <c r="A355" s="19" t="str">
        <f t="shared" si="2"/>
        <v/>
      </c>
      <c r="B355" s="20"/>
      <c r="C355" s="20"/>
      <c r="D355" s="21" t="str">
        <f>IF($C355="","",IFERROR(VLOOKUP($C355,Map_Register!$A$2:$C$5,3,FALSE()),""))</f>
        <v/>
      </c>
      <c r="E355" s="20"/>
      <c r="F355" s="20"/>
      <c r="G355" s="20"/>
      <c r="H355" s="20"/>
      <c r="I355" s="20"/>
      <c r="J355" s="20"/>
      <c r="K355" s="24"/>
      <c r="L355" s="20"/>
      <c r="M355" s="20"/>
      <c r="N355" s="20"/>
      <c r="O355" s="20"/>
    </row>
    <row r="356" spans="1:15" x14ac:dyDescent="0.3">
      <c r="A356" s="19" t="str">
        <f t="shared" si="2"/>
        <v/>
      </c>
      <c r="B356" s="20"/>
      <c r="C356" s="20"/>
      <c r="D356" s="21" t="str">
        <f>IF($C356="","",IFERROR(VLOOKUP($C356,Map_Register!$A$2:$C$5,3,FALSE()),""))</f>
        <v/>
      </c>
      <c r="E356" s="20"/>
      <c r="F356" s="20"/>
      <c r="G356" s="20"/>
      <c r="H356" s="20"/>
      <c r="I356" s="20"/>
      <c r="J356" s="20"/>
      <c r="K356" s="24"/>
      <c r="L356" s="20"/>
      <c r="M356" s="20"/>
      <c r="N356" s="20"/>
      <c r="O356" s="20"/>
    </row>
    <row r="357" spans="1:15" x14ac:dyDescent="0.3">
      <c r="A357" s="19" t="str">
        <f t="shared" si="2"/>
        <v/>
      </c>
      <c r="B357" s="20"/>
      <c r="C357" s="20"/>
      <c r="D357" s="21" t="str">
        <f>IF($C357="","",IFERROR(VLOOKUP($C357,Map_Register!$A$2:$C$5,3,FALSE()),""))</f>
        <v/>
      </c>
      <c r="E357" s="20"/>
      <c r="F357" s="20"/>
      <c r="G357" s="20"/>
      <c r="H357" s="20"/>
      <c r="I357" s="20"/>
      <c r="J357" s="20"/>
      <c r="K357" s="24"/>
      <c r="L357" s="20"/>
      <c r="M357" s="20"/>
      <c r="N357" s="20"/>
      <c r="O357" s="20"/>
    </row>
    <row r="358" spans="1:15" x14ac:dyDescent="0.3">
      <c r="A358" s="19" t="str">
        <f t="shared" si="2"/>
        <v/>
      </c>
      <c r="B358" s="20"/>
      <c r="C358" s="20"/>
      <c r="D358" s="21" t="str">
        <f>IF($C358="","",IFERROR(VLOOKUP($C358,Map_Register!$A$2:$C$5,3,FALSE()),""))</f>
        <v/>
      </c>
      <c r="E358" s="20"/>
      <c r="F358" s="20"/>
      <c r="G358" s="20"/>
      <c r="H358" s="20"/>
      <c r="I358" s="20"/>
      <c r="J358" s="20"/>
      <c r="K358" s="24"/>
      <c r="L358" s="20"/>
      <c r="M358" s="20"/>
      <c r="N358" s="20"/>
      <c r="O358" s="20"/>
    </row>
    <row r="359" spans="1:15" x14ac:dyDescent="0.3">
      <c r="A359" s="19" t="str">
        <f t="shared" si="2"/>
        <v/>
      </c>
      <c r="B359" s="20"/>
      <c r="C359" s="20"/>
      <c r="D359" s="21" t="str">
        <f>IF($C359="","",IFERROR(VLOOKUP($C359,Map_Register!$A$2:$C$5,3,FALSE()),""))</f>
        <v/>
      </c>
      <c r="E359" s="20"/>
      <c r="F359" s="20"/>
      <c r="G359" s="20"/>
      <c r="H359" s="20"/>
      <c r="I359" s="20"/>
      <c r="J359" s="20"/>
      <c r="K359" s="24"/>
      <c r="L359" s="20"/>
      <c r="M359" s="20"/>
      <c r="N359" s="20"/>
      <c r="O359" s="20"/>
    </row>
    <row r="360" spans="1:15" x14ac:dyDescent="0.3">
      <c r="A360" s="19" t="str">
        <f t="shared" si="2"/>
        <v/>
      </c>
      <c r="B360" s="20"/>
      <c r="C360" s="20"/>
      <c r="D360" s="21" t="str">
        <f>IF($C360="","",IFERROR(VLOOKUP($C360,Map_Register!$A$2:$C$5,3,FALSE()),""))</f>
        <v/>
      </c>
      <c r="E360" s="20"/>
      <c r="F360" s="20"/>
      <c r="G360" s="20"/>
      <c r="H360" s="20"/>
      <c r="I360" s="20"/>
      <c r="J360" s="20"/>
      <c r="K360" s="24"/>
      <c r="L360" s="20"/>
      <c r="M360" s="20"/>
      <c r="N360" s="20"/>
      <c r="O360" s="20"/>
    </row>
    <row r="361" spans="1:15" x14ac:dyDescent="0.3">
      <c r="A361" s="19" t="str">
        <f t="shared" si="2"/>
        <v/>
      </c>
      <c r="B361" s="20"/>
      <c r="C361" s="20"/>
      <c r="D361" s="21" t="str">
        <f>IF($C361="","",IFERROR(VLOOKUP($C361,Map_Register!$A$2:$C$5,3,FALSE()),""))</f>
        <v/>
      </c>
      <c r="E361" s="20"/>
      <c r="F361" s="20"/>
      <c r="G361" s="20"/>
      <c r="H361" s="20"/>
      <c r="I361" s="20"/>
      <c r="J361" s="20"/>
      <c r="K361" s="24"/>
      <c r="L361" s="20"/>
      <c r="M361" s="20"/>
      <c r="N361" s="20"/>
      <c r="O361" s="20"/>
    </row>
    <row r="362" spans="1:15" x14ac:dyDescent="0.3">
      <c r="A362" s="19" t="str">
        <f t="shared" si="2"/>
        <v/>
      </c>
      <c r="B362" s="20"/>
      <c r="C362" s="20"/>
      <c r="D362" s="21" t="str">
        <f>IF($C362="","",IFERROR(VLOOKUP($C362,Map_Register!$A$2:$C$5,3,FALSE()),""))</f>
        <v/>
      </c>
      <c r="E362" s="20"/>
      <c r="F362" s="20"/>
      <c r="G362" s="20"/>
      <c r="H362" s="20"/>
      <c r="I362" s="20"/>
      <c r="J362" s="20"/>
      <c r="K362" s="24"/>
      <c r="L362" s="20"/>
      <c r="M362" s="20"/>
      <c r="N362" s="20"/>
      <c r="O362" s="20"/>
    </row>
    <row r="363" spans="1:15" x14ac:dyDescent="0.3">
      <c r="A363" s="19" t="str">
        <f t="shared" si="2"/>
        <v/>
      </c>
      <c r="B363" s="20"/>
      <c r="C363" s="20"/>
      <c r="D363" s="21" t="str">
        <f>IF($C363="","",IFERROR(VLOOKUP($C363,Map_Register!$A$2:$C$5,3,FALSE()),""))</f>
        <v/>
      </c>
      <c r="E363" s="20"/>
      <c r="F363" s="20"/>
      <c r="G363" s="20"/>
      <c r="H363" s="20"/>
      <c r="I363" s="20"/>
      <c r="J363" s="20"/>
      <c r="K363" s="24"/>
      <c r="L363" s="20"/>
      <c r="M363" s="20"/>
      <c r="N363" s="20"/>
      <c r="O363" s="20"/>
    </row>
    <row r="364" spans="1:15" x14ac:dyDescent="0.3">
      <c r="A364" s="19" t="str">
        <f t="shared" si="2"/>
        <v/>
      </c>
      <c r="B364" s="20"/>
      <c r="C364" s="20"/>
      <c r="D364" s="21" t="str">
        <f>IF($C364="","",IFERROR(VLOOKUP($C364,Map_Register!$A$2:$C$5,3,FALSE()),""))</f>
        <v/>
      </c>
      <c r="E364" s="20"/>
      <c r="F364" s="20"/>
      <c r="G364" s="20"/>
      <c r="H364" s="20"/>
      <c r="I364" s="20"/>
      <c r="J364" s="20"/>
      <c r="K364" s="24"/>
      <c r="L364" s="20"/>
      <c r="M364" s="20"/>
      <c r="N364" s="20"/>
      <c r="O364" s="20"/>
    </row>
    <row r="365" spans="1:15" x14ac:dyDescent="0.3">
      <c r="A365" s="19" t="str">
        <f t="shared" si="2"/>
        <v/>
      </c>
      <c r="B365" s="20"/>
      <c r="C365" s="20"/>
      <c r="D365" s="21" t="str">
        <f>IF($C365="","",IFERROR(VLOOKUP($C365,Map_Register!$A$2:$C$5,3,FALSE()),""))</f>
        <v/>
      </c>
      <c r="E365" s="20"/>
      <c r="F365" s="20"/>
      <c r="G365" s="20"/>
      <c r="H365" s="20"/>
      <c r="I365" s="20"/>
      <c r="J365" s="20"/>
      <c r="K365" s="24"/>
      <c r="L365" s="20"/>
      <c r="M365" s="20"/>
      <c r="N365" s="20"/>
      <c r="O365" s="20"/>
    </row>
    <row r="366" spans="1:15" x14ac:dyDescent="0.3">
      <c r="A366" s="19" t="str">
        <f t="shared" si="2"/>
        <v/>
      </c>
      <c r="B366" s="20"/>
      <c r="C366" s="20"/>
      <c r="D366" s="21" t="str">
        <f>IF($C366="","",IFERROR(VLOOKUP($C366,Map_Register!$A$2:$C$5,3,FALSE()),""))</f>
        <v/>
      </c>
      <c r="E366" s="20"/>
      <c r="F366" s="20"/>
      <c r="G366" s="20"/>
      <c r="H366" s="20"/>
      <c r="I366" s="20"/>
      <c r="J366" s="20"/>
      <c r="K366" s="24"/>
      <c r="L366" s="20"/>
      <c r="M366" s="20"/>
      <c r="N366" s="20"/>
      <c r="O366" s="20"/>
    </row>
    <row r="367" spans="1:15" x14ac:dyDescent="0.3">
      <c r="A367" s="19" t="str">
        <f t="shared" si="2"/>
        <v/>
      </c>
      <c r="B367" s="20"/>
      <c r="C367" s="20"/>
      <c r="D367" s="21" t="str">
        <f>IF($C367="","",IFERROR(VLOOKUP($C367,Map_Register!$A$2:$C$5,3,FALSE()),""))</f>
        <v/>
      </c>
      <c r="E367" s="20"/>
      <c r="F367" s="20"/>
      <c r="G367" s="20"/>
      <c r="H367" s="20"/>
      <c r="I367" s="20"/>
      <c r="J367" s="20"/>
      <c r="K367" s="24"/>
      <c r="L367" s="20"/>
      <c r="M367" s="20"/>
      <c r="N367" s="20"/>
      <c r="O367" s="20"/>
    </row>
    <row r="368" spans="1:15" x14ac:dyDescent="0.3">
      <c r="A368" s="19" t="str">
        <f t="shared" si="2"/>
        <v/>
      </c>
      <c r="B368" s="20"/>
      <c r="C368" s="20"/>
      <c r="D368" s="21" t="str">
        <f>IF($C368="","",IFERROR(VLOOKUP($C368,Map_Register!$A$2:$C$5,3,FALSE()),""))</f>
        <v/>
      </c>
      <c r="E368" s="20"/>
      <c r="F368" s="20"/>
      <c r="G368" s="20"/>
      <c r="H368" s="20"/>
      <c r="I368" s="20"/>
      <c r="J368" s="20"/>
      <c r="K368" s="24"/>
      <c r="L368" s="20"/>
      <c r="M368" s="20"/>
      <c r="N368" s="20"/>
      <c r="O368" s="20"/>
    </row>
    <row r="369" spans="1:15" x14ac:dyDescent="0.3">
      <c r="A369" s="19" t="str">
        <f t="shared" si="2"/>
        <v/>
      </c>
      <c r="B369" s="20"/>
      <c r="C369" s="20"/>
      <c r="D369" s="21" t="str">
        <f>IF($C369="","",IFERROR(VLOOKUP($C369,Map_Register!$A$2:$C$5,3,FALSE()),""))</f>
        <v/>
      </c>
      <c r="E369" s="20"/>
      <c r="F369" s="20"/>
      <c r="G369" s="20"/>
      <c r="H369" s="20"/>
      <c r="I369" s="20"/>
      <c r="J369" s="20"/>
      <c r="K369" s="24"/>
      <c r="L369" s="20"/>
      <c r="M369" s="20"/>
      <c r="N369" s="20"/>
      <c r="O369" s="20"/>
    </row>
    <row r="370" spans="1:15" x14ac:dyDescent="0.3">
      <c r="A370" s="19" t="str">
        <f t="shared" si="2"/>
        <v/>
      </c>
      <c r="B370" s="20"/>
      <c r="C370" s="20"/>
      <c r="D370" s="21" t="str">
        <f>IF($C370="","",IFERROR(VLOOKUP($C370,Map_Register!$A$2:$C$5,3,FALSE()),""))</f>
        <v/>
      </c>
      <c r="E370" s="20"/>
      <c r="F370" s="20"/>
      <c r="G370" s="20"/>
      <c r="H370" s="20"/>
      <c r="I370" s="20"/>
      <c r="J370" s="20"/>
      <c r="K370" s="24"/>
      <c r="L370" s="20"/>
      <c r="M370" s="20"/>
      <c r="N370" s="20"/>
      <c r="O370" s="20"/>
    </row>
    <row r="371" spans="1:15" x14ac:dyDescent="0.3">
      <c r="A371" s="19" t="str">
        <f t="shared" si="2"/>
        <v/>
      </c>
      <c r="B371" s="20"/>
      <c r="C371" s="20"/>
      <c r="D371" s="21" t="str">
        <f>IF($C371="","",IFERROR(VLOOKUP($C371,Map_Register!$A$2:$C$5,3,FALSE()),""))</f>
        <v/>
      </c>
      <c r="E371" s="20"/>
      <c r="F371" s="20"/>
      <c r="G371" s="20"/>
      <c r="H371" s="20"/>
      <c r="I371" s="20"/>
      <c r="J371" s="20"/>
      <c r="K371" s="24"/>
      <c r="L371" s="20"/>
      <c r="M371" s="20"/>
      <c r="N371" s="20"/>
      <c r="O371" s="20"/>
    </row>
    <row r="372" spans="1:15" x14ac:dyDescent="0.3">
      <c r="A372" s="19" t="str">
        <f t="shared" si="2"/>
        <v/>
      </c>
      <c r="B372" s="20"/>
      <c r="C372" s="20"/>
      <c r="D372" s="21" t="str">
        <f>IF($C372="","",IFERROR(VLOOKUP($C372,Map_Register!$A$2:$C$5,3,FALSE()),""))</f>
        <v/>
      </c>
      <c r="E372" s="20"/>
      <c r="F372" s="20"/>
      <c r="G372" s="20"/>
      <c r="H372" s="20"/>
      <c r="I372" s="20"/>
      <c r="J372" s="20"/>
      <c r="K372" s="24"/>
      <c r="L372" s="20"/>
      <c r="M372" s="20"/>
      <c r="N372" s="20"/>
      <c r="O372" s="20"/>
    </row>
    <row r="373" spans="1:15" x14ac:dyDescent="0.3">
      <c r="A373" s="19" t="str">
        <f t="shared" si="2"/>
        <v/>
      </c>
      <c r="B373" s="20"/>
      <c r="C373" s="20"/>
      <c r="D373" s="21" t="str">
        <f>IF($C373="","",IFERROR(VLOOKUP($C373,Map_Register!$A$2:$C$5,3,FALSE()),""))</f>
        <v/>
      </c>
      <c r="E373" s="20"/>
      <c r="F373" s="20"/>
      <c r="G373" s="20"/>
      <c r="H373" s="20"/>
      <c r="I373" s="20"/>
      <c r="J373" s="20"/>
      <c r="K373" s="24"/>
      <c r="L373" s="20"/>
      <c r="M373" s="20"/>
      <c r="N373" s="20"/>
      <c r="O373" s="20"/>
    </row>
    <row r="374" spans="1:15" x14ac:dyDescent="0.3">
      <c r="A374" s="19" t="str">
        <f t="shared" si="2"/>
        <v/>
      </c>
      <c r="B374" s="20"/>
      <c r="C374" s="20"/>
      <c r="D374" s="21" t="str">
        <f>IF($C374="","",IFERROR(VLOOKUP($C374,Map_Register!$A$2:$C$5,3,FALSE()),""))</f>
        <v/>
      </c>
      <c r="E374" s="20"/>
      <c r="F374" s="20"/>
      <c r="G374" s="20"/>
      <c r="H374" s="20"/>
      <c r="I374" s="20"/>
      <c r="J374" s="20"/>
      <c r="K374" s="24"/>
      <c r="L374" s="20"/>
      <c r="M374" s="20"/>
      <c r="N374" s="20"/>
      <c r="O374" s="20"/>
    </row>
    <row r="375" spans="1:15" x14ac:dyDescent="0.3">
      <c r="A375" s="19" t="str">
        <f t="shared" si="2"/>
        <v/>
      </c>
      <c r="B375" s="20"/>
      <c r="C375" s="20"/>
      <c r="D375" s="21" t="str">
        <f>IF($C375="","",IFERROR(VLOOKUP($C375,Map_Register!$A$2:$C$5,3,FALSE()),""))</f>
        <v/>
      </c>
      <c r="E375" s="20"/>
      <c r="F375" s="20"/>
      <c r="G375" s="20"/>
      <c r="H375" s="20"/>
      <c r="I375" s="20"/>
      <c r="J375" s="20"/>
      <c r="K375" s="24"/>
      <c r="L375" s="20"/>
      <c r="M375" s="20"/>
      <c r="N375" s="20"/>
      <c r="O375" s="20"/>
    </row>
    <row r="376" spans="1:15" x14ac:dyDescent="0.3">
      <c r="A376" s="19" t="str">
        <f t="shared" si="2"/>
        <v/>
      </c>
      <c r="B376" s="20"/>
      <c r="C376" s="20"/>
      <c r="D376" s="21" t="str">
        <f>IF($C376="","",IFERROR(VLOOKUP($C376,Map_Register!$A$2:$C$5,3,FALSE()),""))</f>
        <v/>
      </c>
      <c r="E376" s="20"/>
      <c r="F376" s="20"/>
      <c r="G376" s="20"/>
      <c r="H376" s="20"/>
      <c r="I376" s="20"/>
      <c r="J376" s="20"/>
      <c r="K376" s="24"/>
      <c r="L376" s="20"/>
      <c r="M376" s="20"/>
      <c r="N376" s="20"/>
      <c r="O376" s="20"/>
    </row>
    <row r="377" spans="1:15" x14ac:dyDescent="0.3">
      <c r="A377" s="19" t="str">
        <f t="shared" si="2"/>
        <v/>
      </c>
      <c r="B377" s="20"/>
      <c r="C377" s="20"/>
      <c r="D377" s="21" t="str">
        <f>IF($C377="","",IFERROR(VLOOKUP($C377,Map_Register!$A$2:$C$5,3,FALSE()),""))</f>
        <v/>
      </c>
      <c r="E377" s="20"/>
      <c r="F377" s="20"/>
      <c r="G377" s="20"/>
      <c r="H377" s="20"/>
      <c r="I377" s="20"/>
      <c r="J377" s="20"/>
      <c r="K377" s="24"/>
      <c r="L377" s="20"/>
      <c r="M377" s="20"/>
      <c r="N377" s="20"/>
      <c r="O377" s="20"/>
    </row>
    <row r="378" spans="1:15" x14ac:dyDescent="0.3">
      <c r="A378" s="19" t="str">
        <f t="shared" si="2"/>
        <v/>
      </c>
      <c r="B378" s="20"/>
      <c r="C378" s="20"/>
      <c r="D378" s="21" t="str">
        <f>IF($C378="","",IFERROR(VLOOKUP($C378,Map_Register!$A$2:$C$5,3,FALSE()),""))</f>
        <v/>
      </c>
      <c r="E378" s="20"/>
      <c r="F378" s="20"/>
      <c r="G378" s="20"/>
      <c r="H378" s="20"/>
      <c r="I378" s="20"/>
      <c r="J378" s="20"/>
      <c r="K378" s="24"/>
      <c r="L378" s="20"/>
      <c r="M378" s="20"/>
      <c r="N378" s="20"/>
      <c r="O378" s="20"/>
    </row>
    <row r="379" spans="1:15" x14ac:dyDescent="0.3">
      <c r="A379" s="19" t="str">
        <f t="shared" si="2"/>
        <v/>
      </c>
      <c r="B379" s="20"/>
      <c r="C379" s="20"/>
      <c r="D379" s="21" t="str">
        <f>IF($C379="","",IFERROR(VLOOKUP($C379,Map_Register!$A$2:$C$5,3,FALSE()),""))</f>
        <v/>
      </c>
      <c r="E379" s="20"/>
      <c r="F379" s="20"/>
      <c r="G379" s="20"/>
      <c r="H379" s="20"/>
      <c r="I379" s="20"/>
      <c r="J379" s="20"/>
      <c r="K379" s="24"/>
      <c r="L379" s="20"/>
      <c r="M379" s="20"/>
      <c r="N379" s="20"/>
      <c r="O379" s="20"/>
    </row>
    <row r="380" spans="1:15" x14ac:dyDescent="0.3">
      <c r="A380" s="19" t="str">
        <f t="shared" si="2"/>
        <v/>
      </c>
      <c r="B380" s="20"/>
      <c r="C380" s="20"/>
      <c r="D380" s="21" t="str">
        <f>IF($C380="","",IFERROR(VLOOKUP($C380,Map_Register!$A$2:$C$5,3,FALSE()),""))</f>
        <v/>
      </c>
      <c r="E380" s="20"/>
      <c r="F380" s="20"/>
      <c r="G380" s="20"/>
      <c r="H380" s="20"/>
      <c r="I380" s="20"/>
      <c r="J380" s="20"/>
      <c r="K380" s="24"/>
      <c r="L380" s="20"/>
      <c r="M380" s="20"/>
      <c r="N380" s="20"/>
      <c r="O380" s="20"/>
    </row>
    <row r="381" spans="1:15" x14ac:dyDescent="0.3">
      <c r="A381" s="19" t="str">
        <f t="shared" si="2"/>
        <v/>
      </c>
      <c r="B381" s="20"/>
      <c r="C381" s="20"/>
      <c r="D381" s="21" t="str">
        <f>IF($C381="","",IFERROR(VLOOKUP($C381,Map_Register!$A$2:$C$5,3,FALSE()),""))</f>
        <v/>
      </c>
      <c r="E381" s="20"/>
      <c r="F381" s="20"/>
      <c r="G381" s="20"/>
      <c r="H381" s="20"/>
      <c r="I381" s="20"/>
      <c r="J381" s="20"/>
      <c r="K381" s="24"/>
      <c r="L381" s="20"/>
      <c r="M381" s="20"/>
      <c r="N381" s="20"/>
      <c r="O381" s="20"/>
    </row>
    <row r="382" spans="1:15" x14ac:dyDescent="0.3">
      <c r="A382" s="19" t="str">
        <f t="shared" si="2"/>
        <v/>
      </c>
      <c r="B382" s="20"/>
      <c r="C382" s="20"/>
      <c r="D382" s="21" t="str">
        <f>IF($C382="","",IFERROR(VLOOKUP($C382,Map_Register!$A$2:$C$5,3,FALSE()),""))</f>
        <v/>
      </c>
      <c r="E382" s="20"/>
      <c r="F382" s="20"/>
      <c r="G382" s="20"/>
      <c r="H382" s="20"/>
      <c r="I382" s="20"/>
      <c r="J382" s="20"/>
      <c r="K382" s="24"/>
      <c r="L382" s="20"/>
      <c r="M382" s="20"/>
      <c r="N382" s="20"/>
      <c r="O382" s="20"/>
    </row>
    <row r="383" spans="1:15" x14ac:dyDescent="0.3">
      <c r="A383" s="19" t="str">
        <f t="shared" si="2"/>
        <v/>
      </c>
      <c r="B383" s="20"/>
      <c r="C383" s="20"/>
      <c r="D383" s="21" t="str">
        <f>IF($C383="","",IFERROR(VLOOKUP($C383,Map_Register!$A$2:$C$5,3,FALSE()),""))</f>
        <v/>
      </c>
      <c r="E383" s="20"/>
      <c r="F383" s="20"/>
      <c r="G383" s="20"/>
      <c r="H383" s="20"/>
      <c r="I383" s="20"/>
      <c r="J383" s="20"/>
      <c r="K383" s="24"/>
      <c r="L383" s="20"/>
      <c r="M383" s="20"/>
      <c r="N383" s="20"/>
      <c r="O383" s="20"/>
    </row>
    <row r="384" spans="1:15" x14ac:dyDescent="0.3">
      <c r="A384" s="19" t="str">
        <f t="shared" si="2"/>
        <v/>
      </c>
      <c r="B384" s="20"/>
      <c r="C384" s="20"/>
      <c r="D384" s="21" t="str">
        <f>IF($C384="","",IFERROR(VLOOKUP($C384,Map_Register!$A$2:$C$5,3,FALSE()),""))</f>
        <v/>
      </c>
      <c r="E384" s="20"/>
      <c r="F384" s="20"/>
      <c r="G384" s="20"/>
      <c r="H384" s="20"/>
      <c r="I384" s="20"/>
      <c r="J384" s="20"/>
      <c r="K384" s="24"/>
      <c r="L384" s="20"/>
      <c r="M384" s="20"/>
      <c r="N384" s="20"/>
      <c r="O384" s="20"/>
    </row>
    <row r="385" spans="1:15" x14ac:dyDescent="0.3">
      <c r="A385" s="19" t="str">
        <f t="shared" si="2"/>
        <v/>
      </c>
      <c r="B385" s="20"/>
      <c r="C385" s="20"/>
      <c r="D385" s="21" t="str">
        <f>IF($C385="","",IFERROR(VLOOKUP($C385,Map_Register!$A$2:$C$5,3,FALSE()),""))</f>
        <v/>
      </c>
      <c r="E385" s="20"/>
      <c r="F385" s="20"/>
      <c r="G385" s="20"/>
      <c r="H385" s="20"/>
      <c r="I385" s="20"/>
      <c r="J385" s="20"/>
      <c r="K385" s="24"/>
      <c r="L385" s="20"/>
      <c r="M385" s="20"/>
      <c r="N385" s="20"/>
      <c r="O385" s="20"/>
    </row>
    <row r="386" spans="1:15" x14ac:dyDescent="0.3">
      <c r="A386" s="19" t="str">
        <f t="shared" si="2"/>
        <v/>
      </c>
      <c r="B386" s="20"/>
      <c r="C386" s="20"/>
      <c r="D386" s="21" t="str">
        <f>IF($C386="","",IFERROR(VLOOKUP($C386,Map_Register!$A$2:$C$5,3,FALSE()),""))</f>
        <v/>
      </c>
      <c r="E386" s="20"/>
      <c r="F386" s="20"/>
      <c r="G386" s="20"/>
      <c r="H386" s="20"/>
      <c r="I386" s="20"/>
      <c r="J386" s="20"/>
      <c r="K386" s="24"/>
      <c r="L386" s="20"/>
      <c r="M386" s="20"/>
      <c r="N386" s="20"/>
      <c r="O386" s="20"/>
    </row>
    <row r="387" spans="1:15" x14ac:dyDescent="0.3">
      <c r="A387" s="19" t="str">
        <f t="shared" si="2"/>
        <v/>
      </c>
      <c r="B387" s="20"/>
      <c r="C387" s="20"/>
      <c r="D387" s="21" t="str">
        <f>IF($C387="","",IFERROR(VLOOKUP($C387,Map_Register!$A$2:$C$5,3,FALSE()),""))</f>
        <v/>
      </c>
      <c r="E387" s="20"/>
      <c r="F387" s="20"/>
      <c r="G387" s="20"/>
      <c r="H387" s="20"/>
      <c r="I387" s="20"/>
      <c r="J387" s="20"/>
      <c r="K387" s="24"/>
      <c r="L387" s="20"/>
      <c r="M387" s="20"/>
      <c r="N387" s="20"/>
      <c r="O387" s="20"/>
    </row>
    <row r="388" spans="1:15" x14ac:dyDescent="0.3">
      <c r="A388" s="19" t="str">
        <f t="shared" si="2"/>
        <v/>
      </c>
      <c r="B388" s="20"/>
      <c r="C388" s="20"/>
      <c r="D388" s="21" t="str">
        <f>IF($C388="","",IFERROR(VLOOKUP($C388,Map_Register!$A$2:$C$5,3,FALSE()),""))</f>
        <v/>
      </c>
      <c r="E388" s="20"/>
      <c r="F388" s="20"/>
      <c r="G388" s="20"/>
      <c r="H388" s="20"/>
      <c r="I388" s="20"/>
      <c r="J388" s="20"/>
      <c r="K388" s="24"/>
      <c r="L388" s="20"/>
      <c r="M388" s="20"/>
      <c r="N388" s="20"/>
      <c r="O388" s="20"/>
    </row>
    <row r="389" spans="1:15" x14ac:dyDescent="0.3">
      <c r="A389" s="19" t="str">
        <f t="shared" si="2"/>
        <v/>
      </c>
      <c r="B389" s="20"/>
      <c r="C389" s="20"/>
      <c r="D389" s="21" t="str">
        <f>IF($C389="","",IFERROR(VLOOKUP($C389,Map_Register!$A$2:$C$5,3,FALSE()),""))</f>
        <v/>
      </c>
      <c r="E389" s="20"/>
      <c r="F389" s="20"/>
      <c r="G389" s="20"/>
      <c r="H389" s="20"/>
      <c r="I389" s="20"/>
      <c r="J389" s="20"/>
      <c r="K389" s="24"/>
      <c r="L389" s="20"/>
      <c r="M389" s="20"/>
      <c r="N389" s="20"/>
      <c r="O389" s="20"/>
    </row>
    <row r="390" spans="1:15" x14ac:dyDescent="0.3">
      <c r="A390" s="19" t="str">
        <f t="shared" si="2"/>
        <v/>
      </c>
      <c r="B390" s="20"/>
      <c r="C390" s="20"/>
      <c r="D390" s="21" t="str">
        <f>IF($C390="","",IFERROR(VLOOKUP($C390,Map_Register!$A$2:$C$5,3,FALSE()),""))</f>
        <v/>
      </c>
      <c r="E390" s="20"/>
      <c r="F390" s="20"/>
      <c r="G390" s="20"/>
      <c r="H390" s="20"/>
      <c r="I390" s="20"/>
      <c r="J390" s="20"/>
      <c r="K390" s="24"/>
      <c r="L390" s="20"/>
      <c r="M390" s="20"/>
      <c r="N390" s="20"/>
      <c r="O390" s="20"/>
    </row>
    <row r="391" spans="1:15" x14ac:dyDescent="0.3">
      <c r="A391" s="19" t="str">
        <f t="shared" si="2"/>
        <v/>
      </c>
      <c r="B391" s="20"/>
      <c r="C391" s="20"/>
      <c r="D391" s="21" t="str">
        <f>IF($C391="","",IFERROR(VLOOKUP($C391,Map_Register!$A$2:$C$5,3,FALSE()),""))</f>
        <v/>
      </c>
      <c r="E391" s="20"/>
      <c r="F391" s="20"/>
      <c r="G391" s="20"/>
      <c r="H391" s="20"/>
      <c r="I391" s="20"/>
      <c r="J391" s="20"/>
      <c r="K391" s="24"/>
      <c r="L391" s="20"/>
      <c r="M391" s="20"/>
      <c r="N391" s="20"/>
      <c r="O391" s="20"/>
    </row>
    <row r="392" spans="1:15" x14ac:dyDescent="0.3">
      <c r="A392" s="19" t="str">
        <f t="shared" si="2"/>
        <v/>
      </c>
      <c r="B392" s="20"/>
      <c r="C392" s="20"/>
      <c r="D392" s="21" t="str">
        <f>IF($C392="","",IFERROR(VLOOKUP($C392,Map_Register!$A$2:$C$5,3,FALSE()),""))</f>
        <v/>
      </c>
      <c r="E392" s="20"/>
      <c r="F392" s="20"/>
      <c r="G392" s="20"/>
      <c r="H392" s="20"/>
      <c r="I392" s="20"/>
      <c r="J392" s="20"/>
      <c r="K392" s="24"/>
      <c r="L392" s="20"/>
      <c r="M392" s="20"/>
      <c r="N392" s="20"/>
      <c r="O392" s="20"/>
    </row>
    <row r="393" spans="1:15" x14ac:dyDescent="0.3">
      <c r="A393" s="19" t="str">
        <f t="shared" si="2"/>
        <v/>
      </c>
      <c r="B393" s="20"/>
      <c r="C393" s="20"/>
      <c r="D393" s="21" t="str">
        <f>IF($C393="","",IFERROR(VLOOKUP($C393,Map_Register!$A$2:$C$5,3,FALSE()),""))</f>
        <v/>
      </c>
      <c r="E393" s="20"/>
      <c r="F393" s="20"/>
      <c r="G393" s="20"/>
      <c r="H393" s="20"/>
      <c r="I393" s="20"/>
      <c r="J393" s="20"/>
      <c r="K393" s="24"/>
      <c r="L393" s="20"/>
      <c r="M393" s="20"/>
      <c r="N393" s="20"/>
      <c r="O393" s="20"/>
    </row>
    <row r="394" spans="1:15" x14ac:dyDescent="0.3">
      <c r="A394" s="19" t="str">
        <f t="shared" si="2"/>
        <v/>
      </c>
      <c r="B394" s="20"/>
      <c r="C394" s="20"/>
      <c r="D394" s="21" t="str">
        <f>IF($C394="","",IFERROR(VLOOKUP($C394,Map_Register!$A$2:$C$5,3,FALSE()),""))</f>
        <v/>
      </c>
      <c r="E394" s="20"/>
      <c r="F394" s="20"/>
      <c r="G394" s="20"/>
      <c r="H394" s="20"/>
      <c r="I394" s="20"/>
      <c r="J394" s="20"/>
      <c r="K394" s="24"/>
      <c r="L394" s="20"/>
      <c r="M394" s="20"/>
      <c r="N394" s="20"/>
      <c r="O394" s="20"/>
    </row>
    <row r="395" spans="1:15" x14ac:dyDescent="0.3">
      <c r="A395" s="19" t="str">
        <f t="shared" si="2"/>
        <v/>
      </c>
      <c r="B395" s="20"/>
      <c r="C395" s="20"/>
      <c r="D395" s="21" t="str">
        <f>IF($C395="","",IFERROR(VLOOKUP($C395,Map_Register!$A$2:$C$5,3,FALSE()),""))</f>
        <v/>
      </c>
      <c r="E395" s="20"/>
      <c r="F395" s="20"/>
      <c r="G395" s="20"/>
      <c r="H395" s="20"/>
      <c r="I395" s="20"/>
      <c r="J395" s="20"/>
      <c r="K395" s="24"/>
      <c r="L395" s="20"/>
      <c r="M395" s="20"/>
      <c r="N395" s="20"/>
      <c r="O395" s="20"/>
    </row>
    <row r="396" spans="1:15" x14ac:dyDescent="0.3">
      <c r="A396" s="19" t="str">
        <f t="shared" si="2"/>
        <v/>
      </c>
      <c r="B396" s="20"/>
      <c r="C396" s="20"/>
      <c r="D396" s="21" t="str">
        <f>IF($C396="","",IFERROR(VLOOKUP($C396,Map_Register!$A$2:$C$5,3,FALSE()),""))</f>
        <v/>
      </c>
      <c r="E396" s="20"/>
      <c r="F396" s="20"/>
      <c r="G396" s="20"/>
      <c r="H396" s="20"/>
      <c r="I396" s="20"/>
      <c r="J396" s="20"/>
      <c r="K396" s="24"/>
      <c r="L396" s="20"/>
      <c r="M396" s="20"/>
      <c r="N396" s="20"/>
      <c r="O396" s="20"/>
    </row>
    <row r="397" spans="1:15" x14ac:dyDescent="0.3">
      <c r="A397" s="19" t="str">
        <f t="shared" ref="A397:A460" si="3">IF($B397="","",ROW()-1)</f>
        <v/>
      </c>
      <c r="B397" s="20"/>
      <c r="C397" s="20"/>
      <c r="D397" s="21" t="str">
        <f>IF($C397="","",IFERROR(VLOOKUP($C397,Map_Register!$A$2:$C$5,3,FALSE()),""))</f>
        <v/>
      </c>
      <c r="E397" s="20"/>
      <c r="F397" s="20"/>
      <c r="G397" s="20"/>
      <c r="H397" s="20"/>
      <c r="I397" s="20"/>
      <c r="J397" s="20"/>
      <c r="K397" s="24"/>
      <c r="L397" s="20"/>
      <c r="M397" s="20"/>
      <c r="N397" s="20"/>
      <c r="O397" s="20"/>
    </row>
    <row r="398" spans="1:15" x14ac:dyDescent="0.3">
      <c r="A398" s="19" t="str">
        <f t="shared" si="3"/>
        <v/>
      </c>
      <c r="B398" s="20"/>
      <c r="C398" s="20"/>
      <c r="D398" s="21" t="str">
        <f>IF($C398="","",IFERROR(VLOOKUP($C398,Map_Register!$A$2:$C$5,3,FALSE()),""))</f>
        <v/>
      </c>
      <c r="E398" s="20"/>
      <c r="F398" s="20"/>
      <c r="G398" s="20"/>
      <c r="H398" s="20"/>
      <c r="I398" s="20"/>
      <c r="J398" s="20"/>
      <c r="K398" s="24"/>
      <c r="L398" s="20"/>
      <c r="M398" s="20"/>
      <c r="N398" s="20"/>
      <c r="O398" s="20"/>
    </row>
    <row r="399" spans="1:15" x14ac:dyDescent="0.3">
      <c r="A399" s="19" t="str">
        <f t="shared" si="3"/>
        <v/>
      </c>
      <c r="B399" s="20"/>
      <c r="C399" s="20"/>
      <c r="D399" s="21" t="str">
        <f>IF($C399="","",IFERROR(VLOOKUP($C399,Map_Register!$A$2:$C$5,3,FALSE()),""))</f>
        <v/>
      </c>
      <c r="E399" s="20"/>
      <c r="F399" s="20"/>
      <c r="G399" s="20"/>
      <c r="H399" s="20"/>
      <c r="I399" s="20"/>
      <c r="J399" s="20"/>
      <c r="K399" s="24"/>
      <c r="L399" s="20"/>
      <c r="M399" s="20"/>
      <c r="N399" s="20"/>
      <c r="O399" s="20"/>
    </row>
    <row r="400" spans="1:15" x14ac:dyDescent="0.3">
      <c r="A400" s="19" t="str">
        <f t="shared" si="3"/>
        <v/>
      </c>
      <c r="B400" s="20"/>
      <c r="C400" s="20"/>
      <c r="D400" s="21" t="str">
        <f>IF($C400="","",IFERROR(VLOOKUP($C400,Map_Register!$A$2:$C$5,3,FALSE()),""))</f>
        <v/>
      </c>
      <c r="E400" s="20"/>
      <c r="F400" s="20"/>
      <c r="G400" s="20"/>
      <c r="H400" s="20"/>
      <c r="I400" s="20"/>
      <c r="J400" s="20"/>
      <c r="K400" s="24"/>
      <c r="L400" s="20"/>
      <c r="M400" s="20"/>
      <c r="N400" s="20"/>
      <c r="O400" s="20"/>
    </row>
    <row r="401" spans="1:15" x14ac:dyDescent="0.3">
      <c r="A401" s="19" t="str">
        <f t="shared" si="3"/>
        <v/>
      </c>
      <c r="B401" s="20"/>
      <c r="C401" s="20"/>
      <c r="D401" s="21" t="str">
        <f>IF($C401="","",IFERROR(VLOOKUP($C401,Map_Register!$A$2:$C$5,3,FALSE()),""))</f>
        <v/>
      </c>
      <c r="E401" s="20"/>
      <c r="F401" s="20"/>
      <c r="G401" s="20"/>
      <c r="H401" s="20"/>
      <c r="I401" s="20"/>
      <c r="J401" s="20"/>
      <c r="K401" s="24"/>
      <c r="L401" s="20"/>
      <c r="M401" s="20"/>
      <c r="N401" s="20"/>
      <c r="O401" s="20"/>
    </row>
    <row r="402" spans="1:15" x14ac:dyDescent="0.3">
      <c r="A402" s="19" t="str">
        <f t="shared" si="3"/>
        <v/>
      </c>
      <c r="B402" s="20"/>
      <c r="C402" s="20"/>
      <c r="D402" s="21" t="str">
        <f>IF($C402="","",IFERROR(VLOOKUP($C402,Map_Register!$A$2:$C$5,3,FALSE()),""))</f>
        <v/>
      </c>
      <c r="E402" s="20"/>
      <c r="F402" s="20"/>
      <c r="G402" s="20"/>
      <c r="H402" s="20"/>
      <c r="I402" s="20"/>
      <c r="J402" s="20"/>
      <c r="K402" s="24"/>
      <c r="L402" s="20"/>
      <c r="M402" s="20"/>
      <c r="N402" s="20"/>
      <c r="O402" s="20"/>
    </row>
    <row r="403" spans="1:15" x14ac:dyDescent="0.3">
      <c r="A403" s="19" t="str">
        <f t="shared" si="3"/>
        <v/>
      </c>
      <c r="B403" s="20"/>
      <c r="C403" s="20"/>
      <c r="D403" s="21" t="str">
        <f>IF($C403="","",IFERROR(VLOOKUP($C403,Map_Register!$A$2:$C$5,3,FALSE()),""))</f>
        <v/>
      </c>
      <c r="E403" s="20"/>
      <c r="F403" s="20"/>
      <c r="G403" s="20"/>
      <c r="H403" s="20"/>
      <c r="I403" s="20"/>
      <c r="J403" s="20"/>
      <c r="K403" s="24"/>
      <c r="L403" s="20"/>
      <c r="M403" s="20"/>
      <c r="N403" s="20"/>
      <c r="O403" s="20"/>
    </row>
    <row r="404" spans="1:15" x14ac:dyDescent="0.3">
      <c r="A404" s="19" t="str">
        <f t="shared" si="3"/>
        <v/>
      </c>
      <c r="B404" s="20"/>
      <c r="C404" s="20"/>
      <c r="D404" s="21" t="str">
        <f>IF($C404="","",IFERROR(VLOOKUP($C404,Map_Register!$A$2:$C$5,3,FALSE()),""))</f>
        <v/>
      </c>
      <c r="E404" s="20"/>
      <c r="F404" s="20"/>
      <c r="G404" s="20"/>
      <c r="H404" s="20"/>
      <c r="I404" s="20"/>
      <c r="J404" s="20"/>
      <c r="K404" s="24"/>
      <c r="L404" s="20"/>
      <c r="M404" s="20"/>
      <c r="N404" s="20"/>
      <c r="O404" s="20"/>
    </row>
    <row r="405" spans="1:15" x14ac:dyDescent="0.3">
      <c r="A405" s="19" t="str">
        <f t="shared" si="3"/>
        <v/>
      </c>
      <c r="B405" s="20"/>
      <c r="C405" s="20"/>
      <c r="D405" s="21" t="str">
        <f>IF($C405="","",IFERROR(VLOOKUP($C405,Map_Register!$A$2:$C$5,3,FALSE()),""))</f>
        <v/>
      </c>
      <c r="E405" s="20"/>
      <c r="F405" s="20"/>
      <c r="G405" s="20"/>
      <c r="H405" s="20"/>
      <c r="I405" s="20"/>
      <c r="J405" s="20"/>
      <c r="K405" s="24"/>
      <c r="L405" s="20"/>
      <c r="M405" s="20"/>
      <c r="N405" s="20"/>
      <c r="O405" s="20"/>
    </row>
    <row r="406" spans="1:15" x14ac:dyDescent="0.3">
      <c r="A406" s="19" t="str">
        <f t="shared" si="3"/>
        <v/>
      </c>
      <c r="B406" s="20"/>
      <c r="C406" s="20"/>
      <c r="D406" s="21" t="str">
        <f>IF($C406="","",IFERROR(VLOOKUP($C406,Map_Register!$A$2:$C$5,3,FALSE()),""))</f>
        <v/>
      </c>
      <c r="E406" s="20"/>
      <c r="F406" s="20"/>
      <c r="G406" s="20"/>
      <c r="H406" s="20"/>
      <c r="I406" s="20"/>
      <c r="J406" s="20"/>
      <c r="K406" s="24"/>
      <c r="L406" s="20"/>
      <c r="M406" s="20"/>
      <c r="N406" s="20"/>
      <c r="O406" s="20"/>
    </row>
    <row r="407" spans="1:15" x14ac:dyDescent="0.3">
      <c r="A407" s="19" t="str">
        <f t="shared" si="3"/>
        <v/>
      </c>
      <c r="B407" s="20"/>
      <c r="C407" s="20"/>
      <c r="D407" s="21" t="str">
        <f>IF($C407="","",IFERROR(VLOOKUP($C407,Map_Register!$A$2:$C$5,3,FALSE()),""))</f>
        <v/>
      </c>
      <c r="E407" s="20"/>
      <c r="F407" s="20"/>
      <c r="G407" s="20"/>
      <c r="H407" s="20"/>
      <c r="I407" s="20"/>
      <c r="J407" s="20"/>
      <c r="K407" s="24"/>
      <c r="L407" s="20"/>
      <c r="M407" s="20"/>
      <c r="N407" s="20"/>
      <c r="O407" s="20"/>
    </row>
    <row r="408" spans="1:15" x14ac:dyDescent="0.3">
      <c r="A408" s="19" t="str">
        <f t="shared" si="3"/>
        <v/>
      </c>
      <c r="B408" s="20"/>
      <c r="C408" s="20"/>
      <c r="D408" s="21" t="str">
        <f>IF($C408="","",IFERROR(VLOOKUP($C408,Map_Register!$A$2:$C$5,3,FALSE()),""))</f>
        <v/>
      </c>
      <c r="E408" s="20"/>
      <c r="F408" s="20"/>
      <c r="G408" s="20"/>
      <c r="H408" s="20"/>
      <c r="I408" s="20"/>
      <c r="J408" s="20"/>
      <c r="K408" s="24"/>
      <c r="L408" s="20"/>
      <c r="M408" s="20"/>
      <c r="N408" s="20"/>
      <c r="O408" s="20"/>
    </row>
    <row r="409" spans="1:15" x14ac:dyDescent="0.3">
      <c r="A409" s="19" t="str">
        <f t="shared" si="3"/>
        <v/>
      </c>
      <c r="B409" s="20"/>
      <c r="C409" s="20"/>
      <c r="D409" s="21" t="str">
        <f>IF($C409="","",IFERROR(VLOOKUP($C409,Map_Register!$A$2:$C$5,3,FALSE()),""))</f>
        <v/>
      </c>
      <c r="E409" s="20"/>
      <c r="F409" s="20"/>
      <c r="G409" s="20"/>
      <c r="H409" s="20"/>
      <c r="I409" s="20"/>
      <c r="J409" s="20"/>
      <c r="K409" s="24"/>
      <c r="L409" s="20"/>
      <c r="M409" s="20"/>
      <c r="N409" s="20"/>
      <c r="O409" s="20"/>
    </row>
    <row r="410" spans="1:15" x14ac:dyDescent="0.3">
      <c r="A410" s="19" t="str">
        <f t="shared" si="3"/>
        <v/>
      </c>
      <c r="B410" s="20"/>
      <c r="C410" s="20"/>
      <c r="D410" s="21" t="str">
        <f>IF($C410="","",IFERROR(VLOOKUP($C410,Map_Register!$A$2:$C$5,3,FALSE()),""))</f>
        <v/>
      </c>
      <c r="E410" s="20"/>
      <c r="F410" s="20"/>
      <c r="G410" s="20"/>
      <c r="H410" s="20"/>
      <c r="I410" s="20"/>
      <c r="J410" s="20"/>
      <c r="K410" s="24"/>
      <c r="L410" s="20"/>
      <c r="M410" s="20"/>
      <c r="N410" s="20"/>
      <c r="O410" s="20"/>
    </row>
    <row r="411" spans="1:15" x14ac:dyDescent="0.3">
      <c r="A411" s="19" t="str">
        <f t="shared" si="3"/>
        <v/>
      </c>
      <c r="B411" s="20"/>
      <c r="C411" s="20"/>
      <c r="D411" s="21" t="str">
        <f>IF($C411="","",IFERROR(VLOOKUP($C411,Map_Register!$A$2:$C$5,3,FALSE()),""))</f>
        <v/>
      </c>
      <c r="E411" s="20"/>
      <c r="F411" s="20"/>
      <c r="G411" s="20"/>
      <c r="H411" s="20"/>
      <c r="I411" s="20"/>
      <c r="J411" s="20"/>
      <c r="K411" s="24"/>
      <c r="L411" s="20"/>
      <c r="M411" s="20"/>
      <c r="N411" s="20"/>
      <c r="O411" s="20"/>
    </row>
    <row r="412" spans="1:15" x14ac:dyDescent="0.3">
      <c r="A412" s="19" t="str">
        <f t="shared" si="3"/>
        <v/>
      </c>
      <c r="B412" s="20"/>
      <c r="C412" s="20"/>
      <c r="D412" s="21" t="str">
        <f>IF($C412="","",IFERROR(VLOOKUP($C412,Map_Register!$A$2:$C$5,3,FALSE()),""))</f>
        <v/>
      </c>
      <c r="E412" s="20"/>
      <c r="F412" s="20"/>
      <c r="G412" s="20"/>
      <c r="H412" s="20"/>
      <c r="I412" s="20"/>
      <c r="J412" s="20"/>
      <c r="K412" s="24"/>
      <c r="L412" s="20"/>
      <c r="M412" s="20"/>
      <c r="N412" s="20"/>
      <c r="O412" s="20"/>
    </row>
    <row r="413" spans="1:15" x14ac:dyDescent="0.3">
      <c r="A413" s="19" t="str">
        <f t="shared" si="3"/>
        <v/>
      </c>
      <c r="B413" s="20"/>
      <c r="C413" s="20"/>
      <c r="D413" s="21" t="str">
        <f>IF($C413="","",IFERROR(VLOOKUP($C413,Map_Register!$A$2:$C$5,3,FALSE()),""))</f>
        <v/>
      </c>
      <c r="E413" s="20"/>
      <c r="F413" s="20"/>
      <c r="G413" s="20"/>
      <c r="H413" s="20"/>
      <c r="I413" s="20"/>
      <c r="J413" s="20"/>
      <c r="K413" s="24"/>
      <c r="L413" s="20"/>
      <c r="M413" s="20"/>
      <c r="N413" s="20"/>
      <c r="O413" s="20"/>
    </row>
    <row r="414" spans="1:15" x14ac:dyDescent="0.3">
      <c r="A414" s="19" t="str">
        <f t="shared" si="3"/>
        <v/>
      </c>
      <c r="B414" s="20"/>
      <c r="C414" s="20"/>
      <c r="D414" s="21" t="str">
        <f>IF($C414="","",IFERROR(VLOOKUP($C414,Map_Register!$A$2:$C$5,3,FALSE()),""))</f>
        <v/>
      </c>
      <c r="E414" s="20"/>
      <c r="F414" s="20"/>
      <c r="G414" s="20"/>
      <c r="H414" s="20"/>
      <c r="I414" s="20"/>
      <c r="J414" s="20"/>
      <c r="K414" s="24"/>
      <c r="L414" s="20"/>
      <c r="M414" s="20"/>
      <c r="N414" s="20"/>
      <c r="O414" s="20"/>
    </row>
    <row r="415" spans="1:15" x14ac:dyDescent="0.3">
      <c r="A415" s="19" t="str">
        <f t="shared" si="3"/>
        <v/>
      </c>
      <c r="B415" s="20"/>
      <c r="C415" s="20"/>
      <c r="D415" s="21" t="str">
        <f>IF($C415="","",IFERROR(VLOOKUP($C415,Map_Register!$A$2:$C$5,3,FALSE()),""))</f>
        <v/>
      </c>
      <c r="E415" s="20"/>
      <c r="F415" s="20"/>
      <c r="G415" s="20"/>
      <c r="H415" s="20"/>
      <c r="I415" s="20"/>
      <c r="J415" s="20"/>
      <c r="K415" s="24"/>
      <c r="L415" s="20"/>
      <c r="M415" s="20"/>
      <c r="N415" s="20"/>
      <c r="O415" s="20"/>
    </row>
    <row r="416" spans="1:15" x14ac:dyDescent="0.3">
      <c r="A416" s="19" t="str">
        <f t="shared" si="3"/>
        <v/>
      </c>
      <c r="B416" s="20"/>
      <c r="C416" s="20"/>
      <c r="D416" s="21" t="str">
        <f>IF($C416="","",IFERROR(VLOOKUP($C416,Map_Register!$A$2:$C$5,3,FALSE()),""))</f>
        <v/>
      </c>
      <c r="E416" s="20"/>
      <c r="F416" s="20"/>
      <c r="G416" s="20"/>
      <c r="H416" s="20"/>
      <c r="I416" s="20"/>
      <c r="J416" s="20"/>
      <c r="K416" s="24"/>
      <c r="L416" s="20"/>
      <c r="M416" s="20"/>
      <c r="N416" s="20"/>
      <c r="O416" s="20"/>
    </row>
    <row r="417" spans="1:15" x14ac:dyDescent="0.3">
      <c r="A417" s="19" t="str">
        <f t="shared" si="3"/>
        <v/>
      </c>
      <c r="B417" s="20"/>
      <c r="C417" s="20"/>
      <c r="D417" s="21" t="str">
        <f>IF($C417="","",IFERROR(VLOOKUP($C417,Map_Register!$A$2:$C$5,3,FALSE()),""))</f>
        <v/>
      </c>
      <c r="E417" s="20"/>
      <c r="F417" s="20"/>
      <c r="G417" s="20"/>
      <c r="H417" s="20"/>
      <c r="I417" s="20"/>
      <c r="J417" s="20"/>
      <c r="K417" s="24"/>
      <c r="L417" s="20"/>
      <c r="M417" s="20"/>
      <c r="N417" s="20"/>
      <c r="O417" s="20"/>
    </row>
    <row r="418" spans="1:15" x14ac:dyDescent="0.3">
      <c r="A418" s="19" t="str">
        <f t="shared" si="3"/>
        <v/>
      </c>
      <c r="B418" s="20"/>
      <c r="C418" s="20"/>
      <c r="D418" s="21" t="str">
        <f>IF($C418="","",IFERROR(VLOOKUP($C418,Map_Register!$A$2:$C$5,3,FALSE()),""))</f>
        <v/>
      </c>
      <c r="E418" s="20"/>
      <c r="F418" s="20"/>
      <c r="G418" s="20"/>
      <c r="H418" s="20"/>
      <c r="I418" s="20"/>
      <c r="J418" s="20"/>
      <c r="K418" s="24"/>
      <c r="L418" s="20"/>
      <c r="M418" s="20"/>
      <c r="N418" s="20"/>
      <c r="O418" s="20"/>
    </row>
    <row r="419" spans="1:15" x14ac:dyDescent="0.3">
      <c r="A419" s="19" t="str">
        <f t="shared" si="3"/>
        <v/>
      </c>
      <c r="B419" s="20"/>
      <c r="C419" s="20"/>
      <c r="D419" s="21" t="str">
        <f>IF($C419="","",IFERROR(VLOOKUP($C419,Map_Register!$A$2:$C$5,3,FALSE()),""))</f>
        <v/>
      </c>
      <c r="E419" s="20"/>
      <c r="F419" s="20"/>
      <c r="G419" s="20"/>
      <c r="H419" s="20"/>
      <c r="I419" s="20"/>
      <c r="J419" s="20"/>
      <c r="K419" s="24"/>
      <c r="L419" s="20"/>
      <c r="M419" s="20"/>
      <c r="N419" s="20"/>
      <c r="O419" s="20"/>
    </row>
    <row r="420" spans="1:15" x14ac:dyDescent="0.3">
      <c r="A420" s="19" t="str">
        <f t="shared" si="3"/>
        <v/>
      </c>
      <c r="B420" s="20"/>
      <c r="C420" s="20"/>
      <c r="D420" s="21" t="str">
        <f>IF($C420="","",IFERROR(VLOOKUP($C420,Map_Register!$A$2:$C$5,3,FALSE()),""))</f>
        <v/>
      </c>
      <c r="E420" s="20"/>
      <c r="F420" s="20"/>
      <c r="G420" s="20"/>
      <c r="H420" s="20"/>
      <c r="I420" s="20"/>
      <c r="J420" s="20"/>
      <c r="K420" s="24"/>
      <c r="L420" s="20"/>
      <c r="M420" s="20"/>
      <c r="N420" s="20"/>
      <c r="O420" s="20"/>
    </row>
    <row r="421" spans="1:15" x14ac:dyDescent="0.3">
      <c r="A421" s="19" t="str">
        <f t="shared" si="3"/>
        <v/>
      </c>
      <c r="B421" s="20"/>
      <c r="C421" s="20"/>
      <c r="D421" s="21" t="str">
        <f>IF($C421="","",IFERROR(VLOOKUP($C421,Map_Register!$A$2:$C$5,3,FALSE()),""))</f>
        <v/>
      </c>
      <c r="E421" s="20"/>
      <c r="F421" s="20"/>
      <c r="G421" s="20"/>
      <c r="H421" s="20"/>
      <c r="I421" s="20"/>
      <c r="J421" s="20"/>
      <c r="K421" s="24"/>
      <c r="L421" s="20"/>
      <c r="M421" s="20"/>
      <c r="N421" s="20"/>
      <c r="O421" s="20"/>
    </row>
    <row r="422" spans="1:15" x14ac:dyDescent="0.3">
      <c r="A422" s="19" t="str">
        <f t="shared" si="3"/>
        <v/>
      </c>
      <c r="B422" s="20"/>
      <c r="C422" s="20"/>
      <c r="D422" s="21" t="str">
        <f>IF($C422="","",IFERROR(VLOOKUP($C422,Map_Register!$A$2:$C$5,3,FALSE()),""))</f>
        <v/>
      </c>
      <c r="E422" s="20"/>
      <c r="F422" s="20"/>
      <c r="G422" s="20"/>
      <c r="H422" s="20"/>
      <c r="I422" s="20"/>
      <c r="J422" s="20"/>
      <c r="K422" s="24"/>
      <c r="L422" s="20"/>
      <c r="M422" s="20"/>
      <c r="N422" s="20"/>
      <c r="O422" s="20"/>
    </row>
    <row r="423" spans="1:15" x14ac:dyDescent="0.3">
      <c r="A423" s="19" t="str">
        <f t="shared" si="3"/>
        <v/>
      </c>
      <c r="B423" s="20"/>
      <c r="C423" s="20"/>
      <c r="D423" s="21" t="str">
        <f>IF($C423="","",IFERROR(VLOOKUP($C423,Map_Register!$A$2:$C$5,3,FALSE()),""))</f>
        <v/>
      </c>
      <c r="E423" s="20"/>
      <c r="F423" s="20"/>
      <c r="G423" s="20"/>
      <c r="H423" s="20"/>
      <c r="I423" s="20"/>
      <c r="J423" s="20"/>
      <c r="K423" s="24"/>
      <c r="L423" s="20"/>
      <c r="M423" s="20"/>
      <c r="N423" s="20"/>
      <c r="O423" s="20"/>
    </row>
    <row r="424" spans="1:15" x14ac:dyDescent="0.3">
      <c r="A424" s="19" t="str">
        <f t="shared" si="3"/>
        <v/>
      </c>
      <c r="B424" s="20"/>
      <c r="C424" s="20"/>
      <c r="D424" s="21" t="str">
        <f>IF($C424="","",IFERROR(VLOOKUP($C424,Map_Register!$A$2:$C$5,3,FALSE()),""))</f>
        <v/>
      </c>
      <c r="E424" s="20"/>
      <c r="F424" s="20"/>
      <c r="G424" s="20"/>
      <c r="H424" s="20"/>
      <c r="I424" s="20"/>
      <c r="J424" s="20"/>
      <c r="K424" s="24"/>
      <c r="L424" s="20"/>
      <c r="M424" s="20"/>
      <c r="N424" s="20"/>
      <c r="O424" s="20"/>
    </row>
    <row r="425" spans="1:15" x14ac:dyDescent="0.3">
      <c r="A425" s="19" t="str">
        <f t="shared" si="3"/>
        <v/>
      </c>
      <c r="B425" s="20"/>
      <c r="C425" s="20"/>
      <c r="D425" s="21" t="str">
        <f>IF($C425="","",IFERROR(VLOOKUP($C425,Map_Register!$A$2:$C$5,3,FALSE()),""))</f>
        <v/>
      </c>
      <c r="E425" s="20"/>
      <c r="F425" s="20"/>
      <c r="G425" s="20"/>
      <c r="H425" s="20"/>
      <c r="I425" s="20"/>
      <c r="J425" s="20"/>
      <c r="K425" s="24"/>
      <c r="L425" s="20"/>
      <c r="M425" s="20"/>
      <c r="N425" s="20"/>
      <c r="O425" s="20"/>
    </row>
    <row r="426" spans="1:15" x14ac:dyDescent="0.3">
      <c r="A426" s="19" t="str">
        <f t="shared" si="3"/>
        <v/>
      </c>
      <c r="B426" s="20"/>
      <c r="C426" s="20"/>
      <c r="D426" s="21" t="str">
        <f>IF($C426="","",IFERROR(VLOOKUP($C426,Map_Register!$A$2:$C$5,3,FALSE()),""))</f>
        <v/>
      </c>
      <c r="E426" s="20"/>
      <c r="F426" s="20"/>
      <c r="G426" s="20"/>
      <c r="H426" s="20"/>
      <c r="I426" s="20"/>
      <c r="J426" s="20"/>
      <c r="K426" s="24"/>
      <c r="L426" s="20"/>
      <c r="M426" s="20"/>
      <c r="N426" s="20"/>
      <c r="O426" s="20"/>
    </row>
    <row r="427" spans="1:15" x14ac:dyDescent="0.3">
      <c r="A427" s="19" t="str">
        <f t="shared" si="3"/>
        <v/>
      </c>
      <c r="B427" s="20"/>
      <c r="C427" s="20"/>
      <c r="D427" s="21" t="str">
        <f>IF($C427="","",IFERROR(VLOOKUP($C427,Map_Register!$A$2:$C$5,3,FALSE()),""))</f>
        <v/>
      </c>
      <c r="E427" s="20"/>
      <c r="F427" s="20"/>
      <c r="G427" s="20"/>
      <c r="H427" s="20"/>
      <c r="I427" s="20"/>
      <c r="J427" s="20"/>
      <c r="K427" s="24"/>
      <c r="L427" s="20"/>
      <c r="M427" s="20"/>
      <c r="N427" s="20"/>
      <c r="O427" s="20"/>
    </row>
    <row r="428" spans="1:15" x14ac:dyDescent="0.3">
      <c r="A428" s="19" t="str">
        <f t="shared" si="3"/>
        <v/>
      </c>
      <c r="B428" s="20"/>
      <c r="C428" s="20"/>
      <c r="D428" s="21" t="str">
        <f>IF($C428="","",IFERROR(VLOOKUP($C428,Map_Register!$A$2:$C$5,3,FALSE()),""))</f>
        <v/>
      </c>
      <c r="E428" s="20"/>
      <c r="F428" s="20"/>
      <c r="G428" s="20"/>
      <c r="H428" s="20"/>
      <c r="I428" s="20"/>
      <c r="J428" s="20"/>
      <c r="K428" s="24"/>
      <c r="L428" s="20"/>
      <c r="M428" s="20"/>
      <c r="N428" s="20"/>
      <c r="O428" s="20"/>
    </row>
    <row r="429" spans="1:15" x14ac:dyDescent="0.3">
      <c r="A429" s="19" t="str">
        <f t="shared" si="3"/>
        <v/>
      </c>
      <c r="B429" s="20"/>
      <c r="C429" s="20"/>
      <c r="D429" s="21" t="str">
        <f>IF($C429="","",IFERROR(VLOOKUP($C429,Map_Register!$A$2:$C$5,3,FALSE()),""))</f>
        <v/>
      </c>
      <c r="E429" s="20"/>
      <c r="F429" s="20"/>
      <c r="G429" s="20"/>
      <c r="H429" s="20"/>
      <c r="I429" s="20"/>
      <c r="J429" s="20"/>
      <c r="K429" s="24"/>
      <c r="L429" s="20"/>
      <c r="M429" s="20"/>
      <c r="N429" s="20"/>
      <c r="O429" s="20"/>
    </row>
    <row r="430" spans="1:15" x14ac:dyDescent="0.3">
      <c r="A430" s="19" t="str">
        <f t="shared" si="3"/>
        <v/>
      </c>
      <c r="B430" s="20"/>
      <c r="C430" s="20"/>
      <c r="D430" s="21" t="str">
        <f>IF($C430="","",IFERROR(VLOOKUP($C430,Map_Register!$A$2:$C$5,3,FALSE()),""))</f>
        <v/>
      </c>
      <c r="E430" s="20"/>
      <c r="F430" s="20"/>
      <c r="G430" s="20"/>
      <c r="H430" s="20"/>
      <c r="I430" s="20"/>
      <c r="J430" s="20"/>
      <c r="K430" s="24"/>
      <c r="L430" s="20"/>
      <c r="M430" s="20"/>
      <c r="N430" s="20"/>
      <c r="O430" s="20"/>
    </row>
    <row r="431" spans="1:15" x14ac:dyDescent="0.3">
      <c r="A431" s="19" t="str">
        <f t="shared" si="3"/>
        <v/>
      </c>
      <c r="B431" s="20"/>
      <c r="C431" s="20"/>
      <c r="D431" s="21" t="str">
        <f>IF($C431="","",IFERROR(VLOOKUP($C431,Map_Register!$A$2:$C$5,3,FALSE()),""))</f>
        <v/>
      </c>
      <c r="E431" s="20"/>
      <c r="F431" s="20"/>
      <c r="G431" s="20"/>
      <c r="H431" s="20"/>
      <c r="I431" s="20"/>
      <c r="J431" s="20"/>
      <c r="K431" s="24"/>
      <c r="L431" s="20"/>
      <c r="M431" s="20"/>
      <c r="N431" s="20"/>
      <c r="O431" s="20"/>
    </row>
    <row r="432" spans="1:15" x14ac:dyDescent="0.3">
      <c r="A432" s="19" t="str">
        <f t="shared" si="3"/>
        <v/>
      </c>
      <c r="B432" s="20"/>
      <c r="C432" s="20"/>
      <c r="D432" s="21" t="str">
        <f>IF($C432="","",IFERROR(VLOOKUP($C432,Map_Register!$A$2:$C$5,3,FALSE()),""))</f>
        <v/>
      </c>
      <c r="E432" s="20"/>
      <c r="F432" s="20"/>
      <c r="G432" s="20"/>
      <c r="H432" s="20"/>
      <c r="I432" s="20"/>
      <c r="J432" s="20"/>
      <c r="K432" s="24"/>
      <c r="L432" s="20"/>
      <c r="M432" s="20"/>
      <c r="N432" s="20"/>
      <c r="O432" s="20"/>
    </row>
    <row r="433" spans="1:15" x14ac:dyDescent="0.3">
      <c r="A433" s="19" t="str">
        <f t="shared" si="3"/>
        <v/>
      </c>
      <c r="B433" s="20"/>
      <c r="C433" s="20"/>
      <c r="D433" s="21" t="str">
        <f>IF($C433="","",IFERROR(VLOOKUP($C433,Map_Register!$A$2:$C$5,3,FALSE()),""))</f>
        <v/>
      </c>
      <c r="E433" s="20"/>
      <c r="F433" s="20"/>
      <c r="G433" s="20"/>
      <c r="H433" s="20"/>
      <c r="I433" s="20"/>
      <c r="J433" s="20"/>
      <c r="K433" s="24"/>
      <c r="L433" s="20"/>
      <c r="M433" s="20"/>
      <c r="N433" s="20"/>
      <c r="O433" s="20"/>
    </row>
    <row r="434" spans="1:15" x14ac:dyDescent="0.3">
      <c r="A434" s="19" t="str">
        <f t="shared" si="3"/>
        <v/>
      </c>
      <c r="B434" s="20"/>
      <c r="C434" s="20"/>
      <c r="D434" s="21" t="str">
        <f>IF($C434="","",IFERROR(VLOOKUP($C434,Map_Register!$A$2:$C$5,3,FALSE()),""))</f>
        <v/>
      </c>
      <c r="E434" s="20"/>
      <c r="F434" s="20"/>
      <c r="G434" s="20"/>
      <c r="H434" s="20"/>
      <c r="I434" s="20"/>
      <c r="J434" s="20"/>
      <c r="K434" s="24"/>
      <c r="L434" s="20"/>
      <c r="M434" s="20"/>
      <c r="N434" s="20"/>
      <c r="O434" s="20"/>
    </row>
    <row r="435" spans="1:15" x14ac:dyDescent="0.3">
      <c r="A435" s="19" t="str">
        <f t="shared" si="3"/>
        <v/>
      </c>
      <c r="B435" s="20"/>
      <c r="C435" s="20"/>
      <c r="D435" s="21" t="str">
        <f>IF($C435="","",IFERROR(VLOOKUP($C435,Map_Register!$A$2:$C$5,3,FALSE()),""))</f>
        <v/>
      </c>
      <c r="E435" s="20"/>
      <c r="F435" s="20"/>
      <c r="G435" s="20"/>
      <c r="H435" s="20"/>
      <c r="I435" s="20"/>
      <c r="J435" s="20"/>
      <c r="K435" s="24"/>
      <c r="L435" s="20"/>
      <c r="M435" s="20"/>
      <c r="N435" s="20"/>
      <c r="O435" s="20"/>
    </row>
    <row r="436" spans="1:15" x14ac:dyDescent="0.3">
      <c r="A436" s="19" t="str">
        <f t="shared" si="3"/>
        <v/>
      </c>
      <c r="B436" s="20"/>
      <c r="C436" s="20"/>
      <c r="D436" s="21" t="str">
        <f>IF($C436="","",IFERROR(VLOOKUP($C436,Map_Register!$A$2:$C$5,3,FALSE()),""))</f>
        <v/>
      </c>
      <c r="E436" s="20"/>
      <c r="F436" s="20"/>
      <c r="G436" s="20"/>
      <c r="H436" s="20"/>
      <c r="I436" s="20"/>
      <c r="J436" s="20"/>
      <c r="K436" s="24"/>
      <c r="L436" s="20"/>
      <c r="M436" s="20"/>
      <c r="N436" s="20"/>
      <c r="O436" s="20"/>
    </row>
    <row r="437" spans="1:15" x14ac:dyDescent="0.3">
      <c r="A437" s="19" t="str">
        <f t="shared" si="3"/>
        <v/>
      </c>
      <c r="B437" s="20"/>
      <c r="C437" s="20"/>
      <c r="D437" s="21" t="str">
        <f>IF($C437="","",IFERROR(VLOOKUP($C437,Map_Register!$A$2:$C$5,3,FALSE()),""))</f>
        <v/>
      </c>
      <c r="E437" s="20"/>
      <c r="F437" s="20"/>
      <c r="G437" s="20"/>
      <c r="H437" s="20"/>
      <c r="I437" s="20"/>
      <c r="J437" s="20"/>
      <c r="K437" s="24"/>
      <c r="L437" s="20"/>
      <c r="M437" s="20"/>
      <c r="N437" s="20"/>
      <c r="O437" s="20"/>
    </row>
    <row r="438" spans="1:15" x14ac:dyDescent="0.3">
      <c r="A438" s="19" t="str">
        <f t="shared" si="3"/>
        <v/>
      </c>
      <c r="B438" s="20"/>
      <c r="C438" s="20"/>
      <c r="D438" s="21" t="str">
        <f>IF($C438="","",IFERROR(VLOOKUP($C438,Map_Register!$A$2:$C$5,3,FALSE()),""))</f>
        <v/>
      </c>
      <c r="E438" s="20"/>
      <c r="F438" s="20"/>
      <c r="G438" s="20"/>
      <c r="H438" s="20"/>
      <c r="I438" s="20"/>
      <c r="J438" s="20"/>
      <c r="K438" s="24"/>
      <c r="L438" s="20"/>
      <c r="M438" s="20"/>
      <c r="N438" s="20"/>
      <c r="O438" s="20"/>
    </row>
    <row r="439" spans="1:15" x14ac:dyDescent="0.3">
      <c r="A439" s="19" t="str">
        <f t="shared" si="3"/>
        <v/>
      </c>
      <c r="B439" s="20"/>
      <c r="C439" s="20"/>
      <c r="D439" s="21" t="str">
        <f>IF($C439="","",IFERROR(VLOOKUP($C439,Map_Register!$A$2:$C$5,3,FALSE()),""))</f>
        <v/>
      </c>
      <c r="E439" s="20"/>
      <c r="F439" s="20"/>
      <c r="G439" s="20"/>
      <c r="H439" s="20"/>
      <c r="I439" s="20"/>
      <c r="J439" s="20"/>
      <c r="K439" s="24"/>
      <c r="L439" s="20"/>
      <c r="M439" s="20"/>
      <c r="N439" s="20"/>
      <c r="O439" s="20"/>
    </row>
    <row r="440" spans="1:15" x14ac:dyDescent="0.3">
      <c r="A440" s="19" t="str">
        <f t="shared" si="3"/>
        <v/>
      </c>
      <c r="B440" s="20"/>
      <c r="C440" s="20"/>
      <c r="D440" s="21" t="str">
        <f>IF($C440="","",IFERROR(VLOOKUP($C440,Map_Register!$A$2:$C$5,3,FALSE()),""))</f>
        <v/>
      </c>
      <c r="E440" s="20"/>
      <c r="F440" s="20"/>
      <c r="G440" s="20"/>
      <c r="H440" s="20"/>
      <c r="I440" s="20"/>
      <c r="J440" s="20"/>
      <c r="K440" s="24"/>
      <c r="L440" s="20"/>
      <c r="M440" s="20"/>
      <c r="N440" s="20"/>
      <c r="O440" s="20"/>
    </row>
    <row r="441" spans="1:15" x14ac:dyDescent="0.3">
      <c r="A441" s="19" t="str">
        <f t="shared" si="3"/>
        <v/>
      </c>
      <c r="B441" s="20"/>
      <c r="C441" s="20"/>
      <c r="D441" s="21" t="str">
        <f>IF($C441="","",IFERROR(VLOOKUP($C441,Map_Register!$A$2:$C$5,3,FALSE()),""))</f>
        <v/>
      </c>
      <c r="E441" s="20"/>
      <c r="F441" s="20"/>
      <c r="G441" s="20"/>
      <c r="H441" s="20"/>
      <c r="I441" s="20"/>
      <c r="J441" s="20"/>
      <c r="K441" s="24"/>
      <c r="L441" s="20"/>
      <c r="M441" s="20"/>
      <c r="N441" s="20"/>
      <c r="O441" s="20"/>
    </row>
    <row r="442" spans="1:15" x14ac:dyDescent="0.3">
      <c r="A442" s="19" t="str">
        <f t="shared" si="3"/>
        <v/>
      </c>
      <c r="B442" s="20"/>
      <c r="C442" s="20"/>
      <c r="D442" s="21" t="str">
        <f>IF($C442="","",IFERROR(VLOOKUP($C442,Map_Register!$A$2:$C$5,3,FALSE()),""))</f>
        <v/>
      </c>
      <c r="E442" s="20"/>
      <c r="F442" s="20"/>
      <c r="G442" s="20"/>
      <c r="H442" s="20"/>
      <c r="I442" s="20"/>
      <c r="J442" s="20"/>
      <c r="K442" s="24"/>
      <c r="L442" s="20"/>
      <c r="M442" s="20"/>
      <c r="N442" s="20"/>
      <c r="O442" s="20"/>
    </row>
    <row r="443" spans="1:15" x14ac:dyDescent="0.3">
      <c r="A443" s="19" t="str">
        <f t="shared" si="3"/>
        <v/>
      </c>
      <c r="B443" s="20"/>
      <c r="C443" s="20"/>
      <c r="D443" s="21" t="str">
        <f>IF($C443="","",IFERROR(VLOOKUP($C443,Map_Register!$A$2:$C$5,3,FALSE()),""))</f>
        <v/>
      </c>
      <c r="E443" s="20"/>
      <c r="F443" s="20"/>
      <c r="G443" s="20"/>
      <c r="H443" s="20"/>
      <c r="I443" s="20"/>
      <c r="J443" s="20"/>
      <c r="K443" s="24"/>
      <c r="L443" s="20"/>
      <c r="M443" s="20"/>
      <c r="N443" s="20"/>
      <c r="O443" s="20"/>
    </row>
    <row r="444" spans="1:15" x14ac:dyDescent="0.3">
      <c r="A444" s="19" t="str">
        <f t="shared" si="3"/>
        <v/>
      </c>
      <c r="B444" s="20"/>
      <c r="C444" s="20"/>
      <c r="D444" s="21" t="str">
        <f>IF($C444="","",IFERROR(VLOOKUP($C444,Map_Register!$A$2:$C$5,3,FALSE()),""))</f>
        <v/>
      </c>
      <c r="E444" s="20"/>
      <c r="F444" s="20"/>
      <c r="G444" s="20"/>
      <c r="H444" s="20"/>
      <c r="I444" s="20"/>
      <c r="J444" s="20"/>
      <c r="K444" s="24"/>
      <c r="L444" s="20"/>
      <c r="M444" s="20"/>
      <c r="N444" s="20"/>
      <c r="O444" s="20"/>
    </row>
    <row r="445" spans="1:15" x14ac:dyDescent="0.3">
      <c r="A445" s="19" t="str">
        <f t="shared" si="3"/>
        <v/>
      </c>
      <c r="B445" s="20"/>
      <c r="C445" s="20"/>
      <c r="D445" s="21" t="str">
        <f>IF($C445="","",IFERROR(VLOOKUP($C445,Map_Register!$A$2:$C$5,3,FALSE()),""))</f>
        <v/>
      </c>
      <c r="E445" s="20"/>
      <c r="F445" s="20"/>
      <c r="G445" s="20"/>
      <c r="H445" s="20"/>
      <c r="I445" s="20"/>
      <c r="J445" s="20"/>
      <c r="K445" s="24"/>
      <c r="L445" s="20"/>
      <c r="M445" s="20"/>
      <c r="N445" s="20"/>
      <c r="O445" s="20"/>
    </row>
    <row r="446" spans="1:15" x14ac:dyDescent="0.3">
      <c r="A446" s="19" t="str">
        <f t="shared" si="3"/>
        <v/>
      </c>
      <c r="B446" s="20"/>
      <c r="C446" s="20"/>
      <c r="D446" s="21" t="str">
        <f>IF($C446="","",IFERROR(VLOOKUP($C446,Map_Register!$A$2:$C$5,3,FALSE()),""))</f>
        <v/>
      </c>
      <c r="E446" s="20"/>
      <c r="F446" s="20"/>
      <c r="G446" s="20"/>
      <c r="H446" s="20"/>
      <c r="I446" s="20"/>
      <c r="J446" s="20"/>
      <c r="K446" s="24"/>
      <c r="L446" s="20"/>
      <c r="M446" s="20"/>
      <c r="N446" s="20"/>
      <c r="O446" s="20"/>
    </row>
    <row r="447" spans="1:15" x14ac:dyDescent="0.3">
      <c r="A447" s="19" t="str">
        <f t="shared" si="3"/>
        <v/>
      </c>
      <c r="B447" s="20"/>
      <c r="C447" s="20"/>
      <c r="D447" s="21" t="str">
        <f>IF($C447="","",IFERROR(VLOOKUP($C447,Map_Register!$A$2:$C$5,3,FALSE()),""))</f>
        <v/>
      </c>
      <c r="E447" s="20"/>
      <c r="F447" s="20"/>
      <c r="G447" s="20"/>
      <c r="H447" s="20"/>
      <c r="I447" s="20"/>
      <c r="J447" s="20"/>
      <c r="K447" s="24"/>
      <c r="L447" s="20"/>
      <c r="M447" s="20"/>
      <c r="N447" s="20"/>
      <c r="O447" s="20"/>
    </row>
    <row r="448" spans="1:15" x14ac:dyDescent="0.3">
      <c r="A448" s="19" t="str">
        <f t="shared" si="3"/>
        <v/>
      </c>
      <c r="B448" s="20"/>
      <c r="C448" s="20"/>
      <c r="D448" s="21" t="str">
        <f>IF($C448="","",IFERROR(VLOOKUP($C448,Map_Register!$A$2:$C$5,3,FALSE()),""))</f>
        <v/>
      </c>
      <c r="E448" s="20"/>
      <c r="F448" s="20"/>
      <c r="G448" s="20"/>
      <c r="H448" s="20"/>
      <c r="I448" s="20"/>
      <c r="J448" s="20"/>
      <c r="K448" s="24"/>
      <c r="L448" s="20"/>
      <c r="M448" s="20"/>
      <c r="N448" s="20"/>
      <c r="O448" s="20"/>
    </row>
    <row r="449" spans="1:15" x14ac:dyDescent="0.3">
      <c r="A449" s="19" t="str">
        <f t="shared" si="3"/>
        <v/>
      </c>
      <c r="B449" s="20"/>
      <c r="C449" s="20"/>
      <c r="D449" s="21" t="str">
        <f>IF($C449="","",IFERROR(VLOOKUP($C449,Map_Register!$A$2:$C$5,3,FALSE()),""))</f>
        <v/>
      </c>
      <c r="E449" s="20"/>
      <c r="F449" s="20"/>
      <c r="G449" s="20"/>
      <c r="H449" s="20"/>
      <c r="I449" s="20"/>
      <c r="J449" s="20"/>
      <c r="K449" s="24"/>
      <c r="L449" s="20"/>
      <c r="M449" s="20"/>
      <c r="N449" s="20"/>
      <c r="O449" s="20"/>
    </row>
    <row r="450" spans="1:15" x14ac:dyDescent="0.3">
      <c r="A450" s="19" t="str">
        <f t="shared" si="3"/>
        <v/>
      </c>
      <c r="B450" s="20"/>
      <c r="C450" s="20"/>
      <c r="D450" s="21" t="str">
        <f>IF($C450="","",IFERROR(VLOOKUP($C450,Map_Register!$A$2:$C$5,3,FALSE()),""))</f>
        <v/>
      </c>
      <c r="E450" s="20"/>
      <c r="F450" s="20"/>
      <c r="G450" s="20"/>
      <c r="H450" s="20"/>
      <c r="I450" s="20"/>
      <c r="J450" s="20"/>
      <c r="K450" s="24"/>
      <c r="L450" s="20"/>
      <c r="M450" s="20"/>
      <c r="N450" s="20"/>
      <c r="O450" s="20"/>
    </row>
    <row r="451" spans="1:15" x14ac:dyDescent="0.3">
      <c r="A451" s="19" t="str">
        <f t="shared" si="3"/>
        <v/>
      </c>
      <c r="B451" s="20"/>
      <c r="C451" s="20"/>
      <c r="D451" s="21" t="str">
        <f>IF($C451="","",IFERROR(VLOOKUP($C451,Map_Register!$A$2:$C$5,3,FALSE()),""))</f>
        <v/>
      </c>
      <c r="E451" s="20"/>
      <c r="F451" s="20"/>
      <c r="G451" s="20"/>
      <c r="H451" s="20"/>
      <c r="I451" s="20"/>
      <c r="J451" s="20"/>
      <c r="K451" s="24"/>
      <c r="L451" s="20"/>
      <c r="M451" s="20"/>
      <c r="N451" s="20"/>
      <c r="O451" s="20"/>
    </row>
    <row r="452" spans="1:15" x14ac:dyDescent="0.3">
      <c r="A452" s="19" t="str">
        <f t="shared" si="3"/>
        <v/>
      </c>
      <c r="B452" s="20"/>
      <c r="C452" s="20"/>
      <c r="D452" s="21" t="str">
        <f>IF($C452="","",IFERROR(VLOOKUP($C452,Map_Register!$A$2:$C$5,3,FALSE()),""))</f>
        <v/>
      </c>
      <c r="E452" s="20"/>
      <c r="F452" s="20"/>
      <c r="G452" s="20"/>
      <c r="H452" s="20"/>
      <c r="I452" s="20"/>
      <c r="J452" s="20"/>
      <c r="K452" s="24"/>
      <c r="L452" s="20"/>
      <c r="M452" s="20"/>
      <c r="N452" s="20"/>
      <c r="O452" s="20"/>
    </row>
    <row r="453" spans="1:15" x14ac:dyDescent="0.3">
      <c r="A453" s="19" t="str">
        <f t="shared" si="3"/>
        <v/>
      </c>
      <c r="B453" s="20"/>
      <c r="C453" s="20"/>
      <c r="D453" s="21" t="str">
        <f>IF($C453="","",IFERROR(VLOOKUP($C453,Map_Register!$A$2:$C$5,3,FALSE()),""))</f>
        <v/>
      </c>
      <c r="E453" s="20"/>
      <c r="F453" s="20"/>
      <c r="G453" s="20"/>
      <c r="H453" s="20"/>
      <c r="I453" s="20"/>
      <c r="J453" s="20"/>
      <c r="K453" s="24"/>
      <c r="L453" s="20"/>
      <c r="M453" s="20"/>
      <c r="N453" s="20"/>
      <c r="O453" s="20"/>
    </row>
    <row r="454" spans="1:15" x14ac:dyDescent="0.3">
      <c r="A454" s="19" t="str">
        <f t="shared" si="3"/>
        <v/>
      </c>
      <c r="B454" s="20"/>
      <c r="C454" s="20"/>
      <c r="D454" s="21" t="str">
        <f>IF($C454="","",IFERROR(VLOOKUP($C454,Map_Register!$A$2:$C$5,3,FALSE()),""))</f>
        <v/>
      </c>
      <c r="E454" s="20"/>
      <c r="F454" s="20"/>
      <c r="G454" s="20"/>
      <c r="H454" s="20"/>
      <c r="I454" s="20"/>
      <c r="J454" s="20"/>
      <c r="K454" s="24"/>
      <c r="L454" s="20"/>
      <c r="M454" s="20"/>
      <c r="N454" s="20"/>
      <c r="O454" s="20"/>
    </row>
    <row r="455" spans="1:15" x14ac:dyDescent="0.3">
      <c r="A455" s="19" t="str">
        <f t="shared" si="3"/>
        <v/>
      </c>
      <c r="B455" s="20"/>
      <c r="C455" s="20"/>
      <c r="D455" s="21" t="str">
        <f>IF($C455="","",IFERROR(VLOOKUP($C455,Map_Register!$A$2:$C$5,3,FALSE()),""))</f>
        <v/>
      </c>
      <c r="E455" s="20"/>
      <c r="F455" s="20"/>
      <c r="G455" s="20"/>
      <c r="H455" s="20"/>
      <c r="I455" s="20"/>
      <c r="J455" s="20"/>
      <c r="K455" s="24"/>
      <c r="L455" s="20"/>
      <c r="M455" s="20"/>
      <c r="N455" s="20"/>
      <c r="O455" s="20"/>
    </row>
    <row r="456" spans="1:15" x14ac:dyDescent="0.3">
      <c r="A456" s="19" t="str">
        <f t="shared" si="3"/>
        <v/>
      </c>
      <c r="B456" s="20"/>
      <c r="C456" s="20"/>
      <c r="D456" s="21" t="str">
        <f>IF($C456="","",IFERROR(VLOOKUP($C456,Map_Register!$A$2:$C$5,3,FALSE()),""))</f>
        <v/>
      </c>
      <c r="E456" s="20"/>
      <c r="F456" s="20"/>
      <c r="G456" s="20"/>
      <c r="H456" s="20"/>
      <c r="I456" s="20"/>
      <c r="J456" s="20"/>
      <c r="K456" s="24"/>
      <c r="L456" s="20"/>
      <c r="M456" s="20"/>
      <c r="N456" s="20"/>
      <c r="O456" s="20"/>
    </row>
    <row r="457" spans="1:15" x14ac:dyDescent="0.3">
      <c r="A457" s="19" t="str">
        <f t="shared" si="3"/>
        <v/>
      </c>
      <c r="B457" s="20"/>
      <c r="C457" s="20"/>
      <c r="D457" s="21" t="str">
        <f>IF($C457="","",IFERROR(VLOOKUP($C457,Map_Register!$A$2:$C$5,3,FALSE()),""))</f>
        <v/>
      </c>
      <c r="E457" s="20"/>
      <c r="F457" s="20"/>
      <c r="G457" s="20"/>
      <c r="H457" s="20"/>
      <c r="I457" s="20"/>
      <c r="J457" s="20"/>
      <c r="K457" s="24"/>
      <c r="L457" s="20"/>
      <c r="M457" s="20"/>
      <c r="N457" s="20"/>
      <c r="O457" s="20"/>
    </row>
    <row r="458" spans="1:15" x14ac:dyDescent="0.3">
      <c r="A458" s="19" t="str">
        <f t="shared" si="3"/>
        <v/>
      </c>
      <c r="B458" s="20"/>
      <c r="C458" s="20"/>
      <c r="D458" s="21" t="str">
        <f>IF($C458="","",IFERROR(VLOOKUP($C458,Map_Register!$A$2:$C$5,3,FALSE()),""))</f>
        <v/>
      </c>
      <c r="E458" s="20"/>
      <c r="F458" s="20"/>
      <c r="G458" s="20"/>
      <c r="H458" s="20"/>
      <c r="I458" s="20"/>
      <c r="J458" s="20"/>
      <c r="K458" s="24"/>
      <c r="L458" s="20"/>
      <c r="M458" s="20"/>
      <c r="N458" s="20"/>
      <c r="O458" s="20"/>
    </row>
    <row r="459" spans="1:15" x14ac:dyDescent="0.3">
      <c r="A459" s="19" t="str">
        <f t="shared" si="3"/>
        <v/>
      </c>
      <c r="B459" s="20"/>
      <c r="C459" s="20"/>
      <c r="D459" s="21" t="str">
        <f>IF($C459="","",IFERROR(VLOOKUP($C459,Map_Register!$A$2:$C$5,3,FALSE()),""))</f>
        <v/>
      </c>
      <c r="E459" s="20"/>
      <c r="F459" s="20"/>
      <c r="G459" s="20"/>
      <c r="H459" s="20"/>
      <c r="I459" s="20"/>
      <c r="J459" s="20"/>
      <c r="K459" s="24"/>
      <c r="L459" s="20"/>
      <c r="M459" s="20"/>
      <c r="N459" s="20"/>
      <c r="O459" s="20"/>
    </row>
    <row r="460" spans="1:15" x14ac:dyDescent="0.3">
      <c r="A460" s="19" t="str">
        <f t="shared" si="3"/>
        <v/>
      </c>
      <c r="B460" s="20"/>
      <c r="C460" s="20"/>
      <c r="D460" s="21" t="str">
        <f>IF($C460="","",IFERROR(VLOOKUP($C460,Map_Register!$A$2:$C$5,3,FALSE()),""))</f>
        <v/>
      </c>
      <c r="E460" s="20"/>
      <c r="F460" s="20"/>
      <c r="G460" s="20"/>
      <c r="H460" s="20"/>
      <c r="I460" s="20"/>
      <c r="J460" s="20"/>
      <c r="K460" s="24"/>
      <c r="L460" s="20"/>
      <c r="M460" s="20"/>
      <c r="N460" s="20"/>
      <c r="O460" s="20"/>
    </row>
    <row r="461" spans="1:15" x14ac:dyDescent="0.3">
      <c r="A461" s="19" t="str">
        <f t="shared" ref="A461:A501" si="4">IF($B461="","",ROW()-1)</f>
        <v/>
      </c>
      <c r="B461" s="20"/>
      <c r="C461" s="20"/>
      <c r="D461" s="21" t="str">
        <f>IF($C461="","",IFERROR(VLOOKUP($C461,Map_Register!$A$2:$C$5,3,FALSE()),""))</f>
        <v/>
      </c>
      <c r="E461" s="20"/>
      <c r="F461" s="20"/>
      <c r="G461" s="20"/>
      <c r="H461" s="20"/>
      <c r="I461" s="20"/>
      <c r="J461" s="20"/>
      <c r="K461" s="24"/>
      <c r="L461" s="20"/>
      <c r="M461" s="20"/>
      <c r="N461" s="20"/>
      <c r="O461" s="20"/>
    </row>
    <row r="462" spans="1:15" x14ac:dyDescent="0.3">
      <c r="A462" s="19" t="str">
        <f t="shared" si="4"/>
        <v/>
      </c>
      <c r="B462" s="20"/>
      <c r="C462" s="20"/>
      <c r="D462" s="21" t="str">
        <f>IF($C462="","",IFERROR(VLOOKUP($C462,Map_Register!$A$2:$C$5,3,FALSE()),""))</f>
        <v/>
      </c>
      <c r="E462" s="20"/>
      <c r="F462" s="20"/>
      <c r="G462" s="20"/>
      <c r="H462" s="20"/>
      <c r="I462" s="20"/>
      <c r="J462" s="20"/>
      <c r="K462" s="24"/>
      <c r="L462" s="20"/>
      <c r="M462" s="20"/>
      <c r="N462" s="20"/>
      <c r="O462" s="20"/>
    </row>
    <row r="463" spans="1:15" x14ac:dyDescent="0.3">
      <c r="A463" s="19" t="str">
        <f t="shared" si="4"/>
        <v/>
      </c>
      <c r="B463" s="20"/>
      <c r="C463" s="20"/>
      <c r="D463" s="21" t="str">
        <f>IF($C463="","",IFERROR(VLOOKUP($C463,Map_Register!$A$2:$C$5,3,FALSE()),""))</f>
        <v/>
      </c>
      <c r="E463" s="20"/>
      <c r="F463" s="20"/>
      <c r="G463" s="20"/>
      <c r="H463" s="20"/>
      <c r="I463" s="20"/>
      <c r="J463" s="20"/>
      <c r="K463" s="24"/>
      <c r="L463" s="20"/>
      <c r="M463" s="20"/>
      <c r="N463" s="20"/>
      <c r="O463" s="20"/>
    </row>
    <row r="464" spans="1:15" x14ac:dyDescent="0.3">
      <c r="A464" s="19" t="str">
        <f t="shared" si="4"/>
        <v/>
      </c>
      <c r="B464" s="20"/>
      <c r="C464" s="20"/>
      <c r="D464" s="21" t="str">
        <f>IF($C464="","",IFERROR(VLOOKUP($C464,Map_Register!$A$2:$C$5,3,FALSE()),""))</f>
        <v/>
      </c>
      <c r="E464" s="20"/>
      <c r="F464" s="20"/>
      <c r="G464" s="20"/>
      <c r="H464" s="20"/>
      <c r="I464" s="20"/>
      <c r="J464" s="20"/>
      <c r="K464" s="24"/>
      <c r="L464" s="20"/>
      <c r="M464" s="20"/>
      <c r="N464" s="20"/>
      <c r="O464" s="20"/>
    </row>
    <row r="465" spans="1:15" x14ac:dyDescent="0.3">
      <c r="A465" s="19" t="str">
        <f t="shared" si="4"/>
        <v/>
      </c>
      <c r="B465" s="20"/>
      <c r="C465" s="20"/>
      <c r="D465" s="21" t="str">
        <f>IF($C465="","",IFERROR(VLOOKUP($C465,Map_Register!$A$2:$C$5,3,FALSE()),""))</f>
        <v/>
      </c>
      <c r="E465" s="20"/>
      <c r="F465" s="20"/>
      <c r="G465" s="20"/>
      <c r="H465" s="20"/>
      <c r="I465" s="20"/>
      <c r="J465" s="20"/>
      <c r="K465" s="24"/>
      <c r="L465" s="20"/>
      <c r="M465" s="20"/>
      <c r="N465" s="20"/>
      <c r="O465" s="20"/>
    </row>
    <row r="466" spans="1:15" x14ac:dyDescent="0.3">
      <c r="A466" s="19" t="str">
        <f t="shared" si="4"/>
        <v/>
      </c>
      <c r="B466" s="20"/>
      <c r="C466" s="20"/>
      <c r="D466" s="21" t="str">
        <f>IF($C466="","",IFERROR(VLOOKUP($C466,Map_Register!$A$2:$C$5,3,FALSE()),""))</f>
        <v/>
      </c>
      <c r="E466" s="20"/>
      <c r="F466" s="20"/>
      <c r="G466" s="20"/>
      <c r="H466" s="20"/>
      <c r="I466" s="20"/>
      <c r="J466" s="20"/>
      <c r="K466" s="24"/>
      <c r="L466" s="20"/>
      <c r="M466" s="20"/>
      <c r="N466" s="20"/>
      <c r="O466" s="20"/>
    </row>
    <row r="467" spans="1:15" x14ac:dyDescent="0.3">
      <c r="A467" s="19" t="str">
        <f t="shared" si="4"/>
        <v/>
      </c>
      <c r="B467" s="20"/>
      <c r="C467" s="20"/>
      <c r="D467" s="21" t="str">
        <f>IF($C467="","",IFERROR(VLOOKUP($C467,Map_Register!$A$2:$C$5,3,FALSE()),""))</f>
        <v/>
      </c>
      <c r="E467" s="20"/>
      <c r="F467" s="20"/>
      <c r="G467" s="20"/>
      <c r="H467" s="20"/>
      <c r="I467" s="20"/>
      <c r="J467" s="20"/>
      <c r="K467" s="24"/>
      <c r="L467" s="20"/>
      <c r="M467" s="20"/>
      <c r="N467" s="20"/>
      <c r="O467" s="20"/>
    </row>
    <row r="468" spans="1:15" x14ac:dyDescent="0.3">
      <c r="A468" s="19" t="str">
        <f t="shared" si="4"/>
        <v/>
      </c>
      <c r="B468" s="20"/>
      <c r="C468" s="20"/>
      <c r="D468" s="21" t="str">
        <f>IF($C468="","",IFERROR(VLOOKUP($C468,Map_Register!$A$2:$C$5,3,FALSE()),""))</f>
        <v/>
      </c>
      <c r="E468" s="20"/>
      <c r="F468" s="20"/>
      <c r="G468" s="20"/>
      <c r="H468" s="20"/>
      <c r="I468" s="20"/>
      <c r="J468" s="20"/>
      <c r="K468" s="24"/>
      <c r="L468" s="20"/>
      <c r="M468" s="20"/>
      <c r="N468" s="20"/>
      <c r="O468" s="20"/>
    </row>
    <row r="469" spans="1:15" x14ac:dyDescent="0.3">
      <c r="A469" s="19" t="str">
        <f t="shared" si="4"/>
        <v/>
      </c>
      <c r="B469" s="20"/>
      <c r="C469" s="20"/>
      <c r="D469" s="21" t="str">
        <f>IF($C469="","",IFERROR(VLOOKUP($C469,Map_Register!$A$2:$C$5,3,FALSE()),""))</f>
        <v/>
      </c>
      <c r="E469" s="20"/>
      <c r="F469" s="20"/>
      <c r="G469" s="20"/>
      <c r="H469" s="20"/>
      <c r="I469" s="20"/>
      <c r="J469" s="20"/>
      <c r="K469" s="24"/>
      <c r="L469" s="20"/>
      <c r="M469" s="20"/>
      <c r="N469" s="20"/>
      <c r="O469" s="20"/>
    </row>
    <row r="470" spans="1:15" x14ac:dyDescent="0.3">
      <c r="A470" s="19" t="str">
        <f t="shared" si="4"/>
        <v/>
      </c>
      <c r="B470" s="20"/>
      <c r="C470" s="20"/>
      <c r="D470" s="21" t="str">
        <f>IF($C470="","",IFERROR(VLOOKUP($C470,Map_Register!$A$2:$C$5,3,FALSE()),""))</f>
        <v/>
      </c>
      <c r="E470" s="20"/>
      <c r="F470" s="20"/>
      <c r="G470" s="20"/>
      <c r="H470" s="20"/>
      <c r="I470" s="20"/>
      <c r="J470" s="20"/>
      <c r="K470" s="24"/>
      <c r="L470" s="20"/>
      <c r="M470" s="20"/>
      <c r="N470" s="20"/>
      <c r="O470" s="20"/>
    </row>
    <row r="471" spans="1:15" x14ac:dyDescent="0.3">
      <c r="A471" s="19" t="str">
        <f t="shared" si="4"/>
        <v/>
      </c>
      <c r="B471" s="20"/>
      <c r="C471" s="20"/>
      <c r="D471" s="21" t="str">
        <f>IF($C471="","",IFERROR(VLOOKUP($C471,Map_Register!$A$2:$C$5,3,FALSE()),""))</f>
        <v/>
      </c>
      <c r="E471" s="20"/>
      <c r="F471" s="20"/>
      <c r="G471" s="20"/>
      <c r="H471" s="20"/>
      <c r="I471" s="20"/>
      <c r="J471" s="20"/>
      <c r="K471" s="24"/>
      <c r="L471" s="20"/>
      <c r="M471" s="20"/>
      <c r="N471" s="20"/>
      <c r="O471" s="20"/>
    </row>
    <row r="472" spans="1:15" x14ac:dyDescent="0.3">
      <c r="A472" s="19" t="str">
        <f t="shared" si="4"/>
        <v/>
      </c>
      <c r="B472" s="20"/>
      <c r="C472" s="20"/>
      <c r="D472" s="21" t="str">
        <f>IF($C472="","",IFERROR(VLOOKUP($C472,Map_Register!$A$2:$C$5,3,FALSE()),""))</f>
        <v/>
      </c>
      <c r="E472" s="20"/>
      <c r="F472" s="20"/>
      <c r="G472" s="20"/>
      <c r="H472" s="20"/>
      <c r="I472" s="20"/>
      <c r="J472" s="20"/>
      <c r="K472" s="24"/>
      <c r="L472" s="20"/>
      <c r="M472" s="20"/>
      <c r="N472" s="20"/>
      <c r="O472" s="20"/>
    </row>
    <row r="473" spans="1:15" x14ac:dyDescent="0.3">
      <c r="A473" s="19" t="str">
        <f t="shared" si="4"/>
        <v/>
      </c>
      <c r="B473" s="20"/>
      <c r="C473" s="20"/>
      <c r="D473" s="21" t="str">
        <f>IF($C473="","",IFERROR(VLOOKUP($C473,Map_Register!$A$2:$C$5,3,FALSE()),""))</f>
        <v/>
      </c>
      <c r="E473" s="20"/>
      <c r="F473" s="20"/>
      <c r="G473" s="20"/>
      <c r="H473" s="20"/>
      <c r="I473" s="20"/>
      <c r="J473" s="20"/>
      <c r="K473" s="24"/>
      <c r="L473" s="20"/>
      <c r="M473" s="20"/>
      <c r="N473" s="20"/>
      <c r="O473" s="20"/>
    </row>
    <row r="474" spans="1:15" x14ac:dyDescent="0.3">
      <c r="A474" s="19" t="str">
        <f t="shared" si="4"/>
        <v/>
      </c>
      <c r="B474" s="20"/>
      <c r="C474" s="20"/>
      <c r="D474" s="21" t="str">
        <f>IF($C474="","",IFERROR(VLOOKUP($C474,Map_Register!$A$2:$C$5,3,FALSE()),""))</f>
        <v/>
      </c>
      <c r="E474" s="20"/>
      <c r="F474" s="20"/>
      <c r="G474" s="20"/>
      <c r="H474" s="20"/>
      <c r="I474" s="20"/>
      <c r="J474" s="20"/>
      <c r="K474" s="24"/>
      <c r="L474" s="20"/>
      <c r="M474" s="20"/>
      <c r="N474" s="20"/>
      <c r="O474" s="20"/>
    </row>
    <row r="475" spans="1:15" x14ac:dyDescent="0.3">
      <c r="A475" s="19" t="str">
        <f t="shared" si="4"/>
        <v/>
      </c>
      <c r="B475" s="20"/>
      <c r="C475" s="20"/>
      <c r="D475" s="21" t="str">
        <f>IF($C475="","",IFERROR(VLOOKUP($C475,Map_Register!$A$2:$C$5,3,FALSE()),""))</f>
        <v/>
      </c>
      <c r="E475" s="20"/>
      <c r="F475" s="20"/>
      <c r="G475" s="20"/>
      <c r="H475" s="20"/>
      <c r="I475" s="20"/>
      <c r="J475" s="20"/>
      <c r="K475" s="24"/>
      <c r="L475" s="20"/>
      <c r="M475" s="20"/>
      <c r="N475" s="20"/>
      <c r="O475" s="20"/>
    </row>
    <row r="476" spans="1:15" x14ac:dyDescent="0.3">
      <c r="A476" s="19" t="str">
        <f t="shared" si="4"/>
        <v/>
      </c>
      <c r="B476" s="20"/>
      <c r="C476" s="20"/>
      <c r="D476" s="21" t="str">
        <f>IF($C476="","",IFERROR(VLOOKUP($C476,Map_Register!$A$2:$C$5,3,FALSE()),""))</f>
        <v/>
      </c>
      <c r="E476" s="20"/>
      <c r="F476" s="20"/>
      <c r="G476" s="20"/>
      <c r="H476" s="20"/>
      <c r="I476" s="20"/>
      <c r="J476" s="20"/>
      <c r="K476" s="24"/>
      <c r="L476" s="20"/>
      <c r="M476" s="20"/>
      <c r="N476" s="20"/>
      <c r="O476" s="20"/>
    </row>
    <row r="477" spans="1:15" x14ac:dyDescent="0.3">
      <c r="A477" s="19" t="str">
        <f t="shared" si="4"/>
        <v/>
      </c>
      <c r="B477" s="20"/>
      <c r="C477" s="20"/>
      <c r="D477" s="21" t="str">
        <f>IF($C477="","",IFERROR(VLOOKUP($C477,Map_Register!$A$2:$C$5,3,FALSE()),""))</f>
        <v/>
      </c>
      <c r="E477" s="20"/>
      <c r="F477" s="20"/>
      <c r="G477" s="20"/>
      <c r="H477" s="20"/>
      <c r="I477" s="20"/>
      <c r="J477" s="20"/>
      <c r="K477" s="24"/>
      <c r="L477" s="20"/>
      <c r="M477" s="20"/>
      <c r="N477" s="20"/>
      <c r="O477" s="20"/>
    </row>
    <row r="478" spans="1:15" x14ac:dyDescent="0.3">
      <c r="A478" s="19" t="str">
        <f t="shared" si="4"/>
        <v/>
      </c>
      <c r="B478" s="20"/>
      <c r="C478" s="20"/>
      <c r="D478" s="21" t="str">
        <f>IF($C478="","",IFERROR(VLOOKUP($C478,Map_Register!$A$2:$C$5,3,FALSE()),""))</f>
        <v/>
      </c>
      <c r="E478" s="20"/>
      <c r="F478" s="20"/>
      <c r="G478" s="20"/>
      <c r="H478" s="20"/>
      <c r="I478" s="20"/>
      <c r="J478" s="20"/>
      <c r="K478" s="24"/>
      <c r="L478" s="20"/>
      <c r="M478" s="20"/>
      <c r="N478" s="20"/>
      <c r="O478" s="20"/>
    </row>
    <row r="479" spans="1:15" x14ac:dyDescent="0.3">
      <c r="A479" s="19" t="str">
        <f t="shared" si="4"/>
        <v/>
      </c>
      <c r="B479" s="20"/>
      <c r="C479" s="20"/>
      <c r="D479" s="21" t="str">
        <f>IF($C479="","",IFERROR(VLOOKUP($C479,Map_Register!$A$2:$C$5,3,FALSE()),""))</f>
        <v/>
      </c>
      <c r="E479" s="20"/>
      <c r="F479" s="20"/>
      <c r="G479" s="20"/>
      <c r="H479" s="20"/>
      <c r="I479" s="20"/>
      <c r="J479" s="20"/>
      <c r="K479" s="24"/>
      <c r="L479" s="20"/>
      <c r="M479" s="20"/>
      <c r="N479" s="20"/>
      <c r="O479" s="20"/>
    </row>
    <row r="480" spans="1:15" x14ac:dyDescent="0.3">
      <c r="A480" s="19" t="str">
        <f t="shared" si="4"/>
        <v/>
      </c>
      <c r="B480" s="20"/>
      <c r="C480" s="20"/>
      <c r="D480" s="21" t="str">
        <f>IF($C480="","",IFERROR(VLOOKUP($C480,Map_Register!$A$2:$C$5,3,FALSE()),""))</f>
        <v/>
      </c>
      <c r="E480" s="20"/>
      <c r="F480" s="20"/>
      <c r="G480" s="20"/>
      <c r="H480" s="20"/>
      <c r="I480" s="20"/>
      <c r="J480" s="20"/>
      <c r="K480" s="24"/>
      <c r="L480" s="20"/>
      <c r="M480" s="20"/>
      <c r="N480" s="20"/>
      <c r="O480" s="20"/>
    </row>
    <row r="481" spans="1:15" x14ac:dyDescent="0.3">
      <c r="A481" s="19" t="str">
        <f t="shared" si="4"/>
        <v/>
      </c>
      <c r="B481" s="20"/>
      <c r="C481" s="20"/>
      <c r="D481" s="21" t="str">
        <f>IF($C481="","",IFERROR(VLOOKUP($C481,Map_Register!$A$2:$C$5,3,FALSE()),""))</f>
        <v/>
      </c>
      <c r="E481" s="20"/>
      <c r="F481" s="20"/>
      <c r="G481" s="20"/>
      <c r="H481" s="20"/>
      <c r="I481" s="20"/>
      <c r="J481" s="20"/>
      <c r="K481" s="24"/>
      <c r="L481" s="20"/>
      <c r="M481" s="20"/>
      <c r="N481" s="20"/>
      <c r="O481" s="20"/>
    </row>
    <row r="482" spans="1:15" x14ac:dyDescent="0.3">
      <c r="A482" s="19" t="str">
        <f t="shared" si="4"/>
        <v/>
      </c>
      <c r="B482" s="20"/>
      <c r="C482" s="20"/>
      <c r="D482" s="21" t="str">
        <f>IF($C482="","",IFERROR(VLOOKUP($C482,Map_Register!$A$2:$C$5,3,FALSE()),""))</f>
        <v/>
      </c>
      <c r="E482" s="20"/>
      <c r="F482" s="20"/>
      <c r="G482" s="20"/>
      <c r="H482" s="20"/>
      <c r="I482" s="20"/>
      <c r="J482" s="20"/>
      <c r="K482" s="24"/>
      <c r="L482" s="20"/>
      <c r="M482" s="20"/>
      <c r="N482" s="20"/>
      <c r="O482" s="20"/>
    </row>
    <row r="483" spans="1:15" x14ac:dyDescent="0.3">
      <c r="A483" s="19" t="str">
        <f t="shared" si="4"/>
        <v/>
      </c>
      <c r="B483" s="20"/>
      <c r="C483" s="20"/>
      <c r="D483" s="21" t="str">
        <f>IF($C483="","",IFERROR(VLOOKUP($C483,Map_Register!$A$2:$C$5,3,FALSE()),""))</f>
        <v/>
      </c>
      <c r="E483" s="20"/>
      <c r="F483" s="20"/>
      <c r="G483" s="20"/>
      <c r="H483" s="20"/>
      <c r="I483" s="20"/>
      <c r="J483" s="20"/>
      <c r="K483" s="24"/>
      <c r="L483" s="20"/>
      <c r="M483" s="20"/>
      <c r="N483" s="20"/>
      <c r="O483" s="20"/>
    </row>
    <row r="484" spans="1:15" x14ac:dyDescent="0.3">
      <c r="A484" s="19" t="str">
        <f t="shared" si="4"/>
        <v/>
      </c>
      <c r="B484" s="20"/>
      <c r="C484" s="20"/>
      <c r="D484" s="21" t="str">
        <f>IF($C484="","",IFERROR(VLOOKUP($C484,Map_Register!$A$2:$C$5,3,FALSE()),""))</f>
        <v/>
      </c>
      <c r="E484" s="20"/>
      <c r="F484" s="20"/>
      <c r="G484" s="20"/>
      <c r="H484" s="20"/>
      <c r="I484" s="20"/>
      <c r="J484" s="20"/>
      <c r="K484" s="24"/>
      <c r="L484" s="20"/>
      <c r="M484" s="20"/>
      <c r="N484" s="20"/>
      <c r="O484" s="20"/>
    </row>
    <row r="485" spans="1:15" x14ac:dyDescent="0.3">
      <c r="A485" s="19" t="str">
        <f t="shared" si="4"/>
        <v/>
      </c>
      <c r="B485" s="20"/>
      <c r="C485" s="20"/>
      <c r="D485" s="21" t="str">
        <f>IF($C485="","",IFERROR(VLOOKUP($C485,Map_Register!$A$2:$C$5,3,FALSE()),""))</f>
        <v/>
      </c>
      <c r="E485" s="20"/>
      <c r="F485" s="20"/>
      <c r="G485" s="20"/>
      <c r="H485" s="20"/>
      <c r="I485" s="20"/>
      <c r="J485" s="20"/>
      <c r="K485" s="24"/>
      <c r="L485" s="20"/>
      <c r="M485" s="20"/>
      <c r="N485" s="20"/>
      <c r="O485" s="20"/>
    </row>
    <row r="486" spans="1:15" x14ac:dyDescent="0.3">
      <c r="A486" s="19" t="str">
        <f t="shared" si="4"/>
        <v/>
      </c>
      <c r="B486" s="20"/>
      <c r="C486" s="20"/>
      <c r="D486" s="21" t="str">
        <f>IF($C486="","",IFERROR(VLOOKUP($C486,Map_Register!$A$2:$C$5,3,FALSE()),""))</f>
        <v/>
      </c>
      <c r="E486" s="20"/>
      <c r="F486" s="20"/>
      <c r="G486" s="20"/>
      <c r="H486" s="20"/>
      <c r="I486" s="20"/>
      <c r="J486" s="20"/>
      <c r="K486" s="24"/>
      <c r="L486" s="20"/>
      <c r="M486" s="20"/>
      <c r="N486" s="20"/>
      <c r="O486" s="20"/>
    </row>
    <row r="487" spans="1:15" x14ac:dyDescent="0.3">
      <c r="A487" s="19" t="str">
        <f t="shared" si="4"/>
        <v/>
      </c>
      <c r="B487" s="20"/>
      <c r="C487" s="20"/>
      <c r="D487" s="21" t="str">
        <f>IF($C487="","",IFERROR(VLOOKUP($C487,Map_Register!$A$2:$C$5,3,FALSE()),""))</f>
        <v/>
      </c>
      <c r="E487" s="20"/>
      <c r="F487" s="20"/>
      <c r="G487" s="20"/>
      <c r="H487" s="20"/>
      <c r="I487" s="20"/>
      <c r="J487" s="20"/>
      <c r="K487" s="24"/>
      <c r="L487" s="20"/>
      <c r="M487" s="20"/>
      <c r="N487" s="20"/>
      <c r="O487" s="20"/>
    </row>
    <row r="488" spans="1:15" x14ac:dyDescent="0.3">
      <c r="A488" s="19" t="str">
        <f t="shared" si="4"/>
        <v/>
      </c>
      <c r="B488" s="20"/>
      <c r="C488" s="20"/>
      <c r="D488" s="21" t="str">
        <f>IF($C488="","",IFERROR(VLOOKUP($C488,Map_Register!$A$2:$C$5,3,FALSE()),""))</f>
        <v/>
      </c>
      <c r="E488" s="20"/>
      <c r="F488" s="20"/>
      <c r="G488" s="20"/>
      <c r="H488" s="20"/>
      <c r="I488" s="20"/>
      <c r="J488" s="20"/>
      <c r="K488" s="24"/>
      <c r="L488" s="20"/>
      <c r="M488" s="20"/>
      <c r="N488" s="20"/>
      <c r="O488" s="20"/>
    </row>
    <row r="489" spans="1:15" x14ac:dyDescent="0.3">
      <c r="A489" s="19" t="str">
        <f t="shared" si="4"/>
        <v/>
      </c>
      <c r="B489" s="20"/>
      <c r="C489" s="20"/>
      <c r="D489" s="21" t="str">
        <f>IF($C489="","",IFERROR(VLOOKUP($C489,Map_Register!$A$2:$C$5,3,FALSE()),""))</f>
        <v/>
      </c>
      <c r="E489" s="20"/>
      <c r="F489" s="20"/>
      <c r="G489" s="20"/>
      <c r="H489" s="20"/>
      <c r="I489" s="20"/>
      <c r="J489" s="20"/>
      <c r="K489" s="24"/>
      <c r="L489" s="20"/>
      <c r="M489" s="20"/>
      <c r="N489" s="20"/>
      <c r="O489" s="20"/>
    </row>
    <row r="490" spans="1:15" x14ac:dyDescent="0.3">
      <c r="A490" s="19" t="str">
        <f t="shared" si="4"/>
        <v/>
      </c>
      <c r="B490" s="20"/>
      <c r="C490" s="20"/>
      <c r="D490" s="21" t="str">
        <f>IF($C490="","",IFERROR(VLOOKUP($C490,Map_Register!$A$2:$C$5,3,FALSE()),""))</f>
        <v/>
      </c>
      <c r="E490" s="20"/>
      <c r="F490" s="20"/>
      <c r="G490" s="20"/>
      <c r="H490" s="20"/>
      <c r="I490" s="20"/>
      <c r="J490" s="20"/>
      <c r="K490" s="24"/>
      <c r="L490" s="20"/>
      <c r="M490" s="20"/>
      <c r="N490" s="20"/>
      <c r="O490" s="20"/>
    </row>
    <row r="491" spans="1:15" x14ac:dyDescent="0.3">
      <c r="A491" s="19" t="str">
        <f t="shared" si="4"/>
        <v/>
      </c>
      <c r="B491" s="20"/>
      <c r="C491" s="20"/>
      <c r="D491" s="21" t="str">
        <f>IF($C491="","",IFERROR(VLOOKUP($C491,Map_Register!$A$2:$C$5,3,FALSE()),""))</f>
        <v/>
      </c>
      <c r="E491" s="20"/>
      <c r="F491" s="20"/>
      <c r="G491" s="20"/>
      <c r="H491" s="20"/>
      <c r="I491" s="20"/>
      <c r="J491" s="20"/>
      <c r="K491" s="24"/>
      <c r="L491" s="20"/>
      <c r="M491" s="20"/>
      <c r="N491" s="20"/>
      <c r="O491" s="20"/>
    </row>
    <row r="492" spans="1:15" x14ac:dyDescent="0.3">
      <c r="A492" s="19" t="str">
        <f t="shared" si="4"/>
        <v/>
      </c>
      <c r="B492" s="20"/>
      <c r="C492" s="20"/>
      <c r="D492" s="21" t="str">
        <f>IF($C492="","",IFERROR(VLOOKUP($C492,Map_Register!$A$2:$C$5,3,FALSE()),""))</f>
        <v/>
      </c>
      <c r="E492" s="20"/>
      <c r="F492" s="20"/>
      <c r="G492" s="20"/>
      <c r="H492" s="20"/>
      <c r="I492" s="20"/>
      <c r="J492" s="20"/>
      <c r="K492" s="24"/>
      <c r="L492" s="20"/>
      <c r="M492" s="20"/>
      <c r="N492" s="20"/>
      <c r="O492" s="20"/>
    </row>
    <row r="493" spans="1:15" x14ac:dyDescent="0.3">
      <c r="A493" s="19" t="str">
        <f t="shared" si="4"/>
        <v/>
      </c>
      <c r="B493" s="20"/>
      <c r="C493" s="20"/>
      <c r="D493" s="21" t="str">
        <f>IF($C493="","",IFERROR(VLOOKUP($C493,Map_Register!$A$2:$C$5,3,FALSE()),""))</f>
        <v/>
      </c>
      <c r="E493" s="20"/>
      <c r="F493" s="20"/>
      <c r="G493" s="20"/>
      <c r="H493" s="20"/>
      <c r="I493" s="20"/>
      <c r="J493" s="20"/>
      <c r="K493" s="24"/>
      <c r="L493" s="20"/>
      <c r="M493" s="20"/>
      <c r="N493" s="20"/>
      <c r="O493" s="20"/>
    </row>
    <row r="494" spans="1:15" x14ac:dyDescent="0.3">
      <c r="A494" s="19" t="str">
        <f t="shared" si="4"/>
        <v/>
      </c>
      <c r="B494" s="20"/>
      <c r="C494" s="20"/>
      <c r="D494" s="21" t="str">
        <f>IF($C494="","",IFERROR(VLOOKUP($C494,Map_Register!$A$2:$C$5,3,FALSE()),""))</f>
        <v/>
      </c>
      <c r="E494" s="20"/>
      <c r="F494" s="20"/>
      <c r="G494" s="20"/>
      <c r="H494" s="20"/>
      <c r="I494" s="20"/>
      <c r="J494" s="20"/>
      <c r="K494" s="24"/>
      <c r="L494" s="20"/>
      <c r="M494" s="20"/>
      <c r="N494" s="20"/>
      <c r="O494" s="20"/>
    </row>
    <row r="495" spans="1:15" x14ac:dyDescent="0.3">
      <c r="A495" s="19" t="str">
        <f t="shared" si="4"/>
        <v/>
      </c>
      <c r="B495" s="20"/>
      <c r="C495" s="20"/>
      <c r="D495" s="21" t="str">
        <f>IF($C495="","",IFERROR(VLOOKUP($C495,Map_Register!$A$2:$C$5,3,FALSE()),""))</f>
        <v/>
      </c>
      <c r="E495" s="20"/>
      <c r="F495" s="20"/>
      <c r="G495" s="20"/>
      <c r="H495" s="20"/>
      <c r="I495" s="20"/>
      <c r="J495" s="20"/>
      <c r="K495" s="24"/>
      <c r="L495" s="20"/>
      <c r="M495" s="20"/>
      <c r="N495" s="20"/>
      <c r="O495" s="20"/>
    </row>
    <row r="496" spans="1:15" x14ac:dyDescent="0.3">
      <c r="A496" s="19" t="str">
        <f t="shared" si="4"/>
        <v/>
      </c>
      <c r="B496" s="20"/>
      <c r="C496" s="20"/>
      <c r="D496" s="21" t="str">
        <f>IF($C496="","",IFERROR(VLOOKUP($C496,Map_Register!$A$2:$C$5,3,FALSE()),""))</f>
        <v/>
      </c>
      <c r="E496" s="20"/>
      <c r="F496" s="20"/>
      <c r="G496" s="20"/>
      <c r="H496" s="20"/>
      <c r="I496" s="20"/>
      <c r="J496" s="20"/>
      <c r="K496" s="24"/>
      <c r="L496" s="20"/>
      <c r="M496" s="20"/>
      <c r="N496" s="20"/>
      <c r="O496" s="20"/>
    </row>
    <row r="497" spans="1:15" x14ac:dyDescent="0.3">
      <c r="A497" s="19" t="str">
        <f t="shared" si="4"/>
        <v/>
      </c>
      <c r="B497" s="20"/>
      <c r="C497" s="20"/>
      <c r="D497" s="21" t="str">
        <f>IF($C497="","",IFERROR(VLOOKUP($C497,Map_Register!$A$2:$C$5,3,FALSE()),""))</f>
        <v/>
      </c>
      <c r="E497" s="20"/>
      <c r="F497" s="20"/>
      <c r="G497" s="20"/>
      <c r="H497" s="20"/>
      <c r="I497" s="20"/>
      <c r="J497" s="20"/>
      <c r="K497" s="24"/>
      <c r="L497" s="20"/>
      <c r="M497" s="20"/>
      <c r="N497" s="20"/>
      <c r="O497" s="20"/>
    </row>
    <row r="498" spans="1:15" x14ac:dyDescent="0.3">
      <c r="A498" s="19" t="str">
        <f t="shared" si="4"/>
        <v/>
      </c>
      <c r="B498" s="20"/>
      <c r="C498" s="20"/>
      <c r="D498" s="21" t="str">
        <f>IF($C498="","",IFERROR(VLOOKUP($C498,Map_Register!$A$2:$C$5,3,FALSE()),""))</f>
        <v/>
      </c>
      <c r="E498" s="20"/>
      <c r="F498" s="20"/>
      <c r="G498" s="20"/>
      <c r="H498" s="20"/>
      <c r="I498" s="20"/>
      <c r="J498" s="20"/>
      <c r="K498" s="24"/>
      <c r="L498" s="20"/>
      <c r="M498" s="20"/>
      <c r="N498" s="20"/>
      <c r="O498" s="20"/>
    </row>
    <row r="499" spans="1:15" x14ac:dyDescent="0.3">
      <c r="A499" s="19" t="str">
        <f t="shared" si="4"/>
        <v/>
      </c>
      <c r="B499" s="20"/>
      <c r="C499" s="20"/>
      <c r="D499" s="21" t="str">
        <f>IF($C499="","",IFERROR(VLOOKUP($C499,Map_Register!$A$2:$C$5,3,FALSE()),""))</f>
        <v/>
      </c>
      <c r="E499" s="20"/>
      <c r="F499" s="20"/>
      <c r="G499" s="20"/>
      <c r="H499" s="20"/>
      <c r="I499" s="20"/>
      <c r="J499" s="20"/>
      <c r="K499" s="24"/>
      <c r="L499" s="20"/>
      <c r="M499" s="20"/>
      <c r="N499" s="20"/>
      <c r="O499" s="20"/>
    </row>
    <row r="500" spans="1:15" x14ac:dyDescent="0.3">
      <c r="A500" s="19" t="str">
        <f t="shared" si="4"/>
        <v/>
      </c>
      <c r="B500" s="20"/>
      <c r="C500" s="20"/>
      <c r="D500" s="21" t="str">
        <f>IF($C500="","",IFERROR(VLOOKUP($C500,Map_Register!$A$2:$C$5,3,FALSE()),""))</f>
        <v/>
      </c>
      <c r="E500" s="20"/>
      <c r="F500" s="20"/>
      <c r="G500" s="20"/>
      <c r="H500" s="20"/>
      <c r="I500" s="20"/>
      <c r="J500" s="20"/>
      <c r="K500" s="24"/>
      <c r="L500" s="20"/>
      <c r="M500" s="20"/>
      <c r="N500" s="20"/>
      <c r="O500" s="20"/>
    </row>
    <row r="501" spans="1:15" x14ac:dyDescent="0.3">
      <c r="A501" s="19" t="str">
        <f t="shared" si="4"/>
        <v/>
      </c>
      <c r="B501" s="20"/>
      <c r="C501" s="20"/>
      <c r="D501" s="21" t="str">
        <f>IF($C501="","",IFERROR(VLOOKUP($C501,Map_Register!$A$2:$C$5,3,FALSE()),""))</f>
        <v/>
      </c>
      <c r="E501" s="20"/>
      <c r="F501" s="20"/>
      <c r="G501" s="20"/>
      <c r="H501" s="20"/>
      <c r="I501" s="20"/>
      <c r="J501" s="20"/>
      <c r="K501" s="24"/>
      <c r="L501" s="20"/>
      <c r="M501" s="20"/>
      <c r="N501" s="20"/>
      <c r="O501" s="20"/>
    </row>
  </sheetData>
  <conditionalFormatting sqref="H2:H501">
    <cfRule type="expression" dxfId="7" priority="2">
      <formula>$H2="Absent"</formula>
    </cfRule>
    <cfRule type="expression" dxfId="6" priority="3">
      <formula>$H2="Present (Emphasized)"</formula>
    </cfRule>
    <cfRule type="expression" dxfId="5" priority="4">
      <formula>$H2="Present (De-emphasized)"</formula>
    </cfRule>
    <cfRule type="expression" dxfId="4" priority="5">
      <formula>$H2="Present (Differentiated)"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R1581"/>
  <sheetViews>
    <sheetView tabSelected="1" topLeftCell="G1" zoomScale="70" zoomScaleNormal="70" workbookViewId="0">
      <pane ySplit="1" topLeftCell="A1312" activePane="bottomLeft" state="frozen"/>
      <selection activeCell="G1" sqref="G1"/>
      <selection pane="bottomLeft" activeCell="M3" sqref="M3:M1578"/>
    </sheetView>
  </sheetViews>
  <sheetFormatPr defaultColWidth="22.44140625" defaultRowHeight="14.4" x14ac:dyDescent="0.3"/>
  <cols>
    <col min="1" max="1" width="10.109375" customWidth="1"/>
    <col min="2" max="2" width="9.88671875" customWidth="1"/>
    <col min="3" max="3" width="9.5546875" customWidth="1"/>
    <col min="4" max="4" width="20.5546875" customWidth="1"/>
    <col min="5" max="6" width="9" customWidth="1"/>
    <col min="7" max="7" width="24.77734375" customWidth="1"/>
    <col min="8" max="8" width="16.5546875" customWidth="1"/>
    <col min="9" max="9" width="83.21875" customWidth="1"/>
    <col min="10" max="10" width="18.44140625" customWidth="1"/>
    <col min="11" max="11" width="43.5546875" customWidth="1"/>
    <col min="12" max="12" width="19.88671875" customWidth="1"/>
    <col min="13" max="13" width="18.44140625" customWidth="1"/>
    <col min="14" max="14" width="83.33203125" customWidth="1"/>
    <col min="15" max="15" width="16.88671875" customWidth="1"/>
    <col min="16" max="16" width="14.109375" customWidth="1"/>
    <col min="17" max="17" width="38.44140625" customWidth="1"/>
    <col min="18" max="18" width="20" customWidth="1"/>
  </cols>
  <sheetData>
    <row r="1" spans="1:18" ht="26.25" customHeight="1" x14ac:dyDescent="0.3">
      <c r="A1" s="15" t="s">
        <v>45</v>
      </c>
      <c r="B1" s="15" t="s">
        <v>48</v>
      </c>
      <c r="C1" s="15" t="s">
        <v>51</v>
      </c>
      <c r="D1" s="15" t="s">
        <v>106</v>
      </c>
      <c r="E1" s="15" t="s">
        <v>4</v>
      </c>
      <c r="F1" s="15" t="s">
        <v>107</v>
      </c>
      <c r="G1" s="15" t="s">
        <v>56</v>
      </c>
      <c r="H1" s="15" t="s">
        <v>108</v>
      </c>
      <c r="I1" s="15" t="s">
        <v>1089</v>
      </c>
      <c r="J1" s="15" t="s">
        <v>1090</v>
      </c>
      <c r="K1" s="15" t="s">
        <v>59</v>
      </c>
      <c r="L1" s="15" t="s">
        <v>62</v>
      </c>
      <c r="M1" s="15" t="s">
        <v>68</v>
      </c>
      <c r="N1" s="15" t="s">
        <v>70</v>
      </c>
      <c r="O1" s="15" t="s">
        <v>65</v>
      </c>
      <c r="P1" s="15" t="s">
        <v>73</v>
      </c>
      <c r="Q1" s="15" t="s">
        <v>110</v>
      </c>
      <c r="R1" s="15" t="s">
        <v>79</v>
      </c>
    </row>
    <row r="2" spans="1:18" hidden="1" x14ac:dyDescent="0.3">
      <c r="A2" s="19">
        <f t="shared" ref="A2:A65" si="0">IF($B2="","",ROW()-1)</f>
        <v>1</v>
      </c>
      <c r="B2" s="20" t="s">
        <v>87</v>
      </c>
      <c r="C2" s="20" t="s">
        <v>102</v>
      </c>
      <c r="D2" s="21" t="str">
        <f>IF($C2="","",IFERROR(VLOOKUP($C2,Map_Register!$A$2:$C$5,3,FALSE()),""))</f>
        <v>Toponym Labels</v>
      </c>
      <c r="E2" s="20" t="s">
        <v>15</v>
      </c>
      <c r="F2" s="22">
        <v>700931</v>
      </c>
      <c r="G2" s="19" t="s">
        <v>1091</v>
      </c>
      <c r="H2" s="19" t="s">
        <v>1092</v>
      </c>
      <c r="I2" s="19" t="s">
        <v>1093</v>
      </c>
      <c r="J2" s="19" t="s">
        <v>1094</v>
      </c>
      <c r="K2" s="19" t="s">
        <v>6</v>
      </c>
      <c r="L2" s="19" t="s">
        <v>1095</v>
      </c>
      <c r="M2" s="19" t="s">
        <v>1095</v>
      </c>
      <c r="N2" s="19" t="s">
        <v>1096</v>
      </c>
      <c r="R2" t="s">
        <v>1097</v>
      </c>
    </row>
    <row r="3" spans="1:18" hidden="1" x14ac:dyDescent="0.3">
      <c r="A3" s="19">
        <f t="shared" si="0"/>
        <v>2</v>
      </c>
      <c r="B3" s="20" t="s">
        <v>87</v>
      </c>
      <c r="C3" s="20" t="s">
        <v>102</v>
      </c>
      <c r="D3" s="21" t="str">
        <f>IF($C3="","",IFERROR(VLOOKUP($C3,Map_Register!$A$2:$C$5,3,FALSE()),""))</f>
        <v>Toponym Labels</v>
      </c>
      <c r="E3" s="20" t="s">
        <v>15</v>
      </c>
      <c r="F3" s="22">
        <v>700932</v>
      </c>
      <c r="G3" s="19" t="s">
        <v>1091</v>
      </c>
      <c r="H3" s="19" t="s">
        <v>1098</v>
      </c>
      <c r="I3" s="19" t="s">
        <v>1099</v>
      </c>
      <c r="J3" s="19" t="s">
        <v>1094</v>
      </c>
      <c r="K3" t="s">
        <v>1100</v>
      </c>
      <c r="L3" s="19" t="s">
        <v>114</v>
      </c>
      <c r="M3" s="19" t="s">
        <v>114</v>
      </c>
      <c r="N3" s="19" t="s">
        <v>1101</v>
      </c>
      <c r="O3" s="19" t="s">
        <v>116</v>
      </c>
      <c r="R3" t="s">
        <v>1097</v>
      </c>
    </row>
    <row r="4" spans="1:18" hidden="1" x14ac:dyDescent="0.3">
      <c r="A4" s="19">
        <f t="shared" si="0"/>
        <v>3</v>
      </c>
      <c r="B4" s="20" t="s">
        <v>87</v>
      </c>
      <c r="C4" s="20" t="s">
        <v>102</v>
      </c>
      <c r="D4" s="21" t="str">
        <f>IF($C4="","",IFERROR(VLOOKUP($C4,Map_Register!$A$2:$C$5,3,FALSE()),""))</f>
        <v>Toponym Labels</v>
      </c>
      <c r="E4" s="20" t="s">
        <v>15</v>
      </c>
      <c r="F4" s="22">
        <v>700934</v>
      </c>
      <c r="G4" s="19" t="s">
        <v>1091</v>
      </c>
      <c r="H4" s="19" t="s">
        <v>1102</v>
      </c>
      <c r="I4" s="19" t="s">
        <v>1103</v>
      </c>
      <c r="J4" s="19" t="s">
        <v>1104</v>
      </c>
      <c r="K4" s="19" t="s">
        <v>6</v>
      </c>
      <c r="L4" s="19" t="s">
        <v>1095</v>
      </c>
      <c r="M4" s="19" t="s">
        <v>1095</v>
      </c>
      <c r="N4" s="19" t="s">
        <v>1105</v>
      </c>
      <c r="R4" t="s">
        <v>1097</v>
      </c>
    </row>
    <row r="5" spans="1:18" hidden="1" x14ac:dyDescent="0.3">
      <c r="A5" s="19">
        <f t="shared" si="0"/>
        <v>4</v>
      </c>
      <c r="B5" s="20" t="s">
        <v>87</v>
      </c>
      <c r="C5" s="20" t="s">
        <v>102</v>
      </c>
      <c r="D5" s="21" t="str">
        <f>IF($C5="","",IFERROR(VLOOKUP($C5,Map_Register!$A$2:$C$5,3,FALSE()),""))</f>
        <v>Toponym Labels</v>
      </c>
      <c r="E5" s="20" t="s">
        <v>15</v>
      </c>
      <c r="F5" s="22">
        <v>700951</v>
      </c>
      <c r="G5" s="19" t="s">
        <v>1091</v>
      </c>
      <c r="H5" s="19" t="s">
        <v>1106</v>
      </c>
      <c r="I5" s="19" t="s">
        <v>1107</v>
      </c>
      <c r="J5" s="19" t="s">
        <v>1104</v>
      </c>
      <c r="K5" s="19" t="s">
        <v>6</v>
      </c>
      <c r="L5" s="19" t="s">
        <v>1095</v>
      </c>
      <c r="M5" s="19" t="s">
        <v>1095</v>
      </c>
      <c r="N5" s="19" t="s">
        <v>1105</v>
      </c>
      <c r="R5" t="s">
        <v>1097</v>
      </c>
    </row>
    <row r="6" spans="1:18" hidden="1" x14ac:dyDescent="0.3">
      <c r="A6" s="19">
        <f t="shared" si="0"/>
        <v>5</v>
      </c>
      <c r="B6" s="20" t="s">
        <v>87</v>
      </c>
      <c r="C6" s="20" t="s">
        <v>102</v>
      </c>
      <c r="D6" s="21" t="str">
        <f>IF($C6="","",IFERROR(VLOOKUP($C6,Map_Register!$A$2:$C$5,3,FALSE()),""))</f>
        <v>Toponym Labels</v>
      </c>
      <c r="E6" s="20" t="s">
        <v>15</v>
      </c>
      <c r="F6" s="22">
        <v>700952</v>
      </c>
      <c r="G6" s="19" t="s">
        <v>1108</v>
      </c>
      <c r="H6" s="19" t="s">
        <v>1109</v>
      </c>
      <c r="I6" s="19" t="s">
        <v>1109</v>
      </c>
      <c r="J6" s="19" t="s">
        <v>1110</v>
      </c>
      <c r="K6" s="19" t="s">
        <v>6</v>
      </c>
      <c r="L6" s="19" t="s">
        <v>1095</v>
      </c>
      <c r="M6" s="19" t="s">
        <v>1095</v>
      </c>
      <c r="N6" s="19" t="s">
        <v>1111</v>
      </c>
      <c r="R6" t="s">
        <v>1097</v>
      </c>
    </row>
    <row r="7" spans="1:18" hidden="1" x14ac:dyDescent="0.3">
      <c r="A7" s="19">
        <f t="shared" si="0"/>
        <v>6</v>
      </c>
      <c r="B7" s="20" t="s">
        <v>87</v>
      </c>
      <c r="C7" s="20" t="s">
        <v>102</v>
      </c>
      <c r="D7" s="21" t="str">
        <f>IF($C7="","",IFERROR(VLOOKUP($C7,Map_Register!$A$2:$C$5,3,FALSE()),""))</f>
        <v>Toponym Labels</v>
      </c>
      <c r="E7" s="20" t="s">
        <v>15</v>
      </c>
      <c r="F7" s="22">
        <v>700953</v>
      </c>
      <c r="G7" s="19" t="s">
        <v>1108</v>
      </c>
      <c r="H7" s="19" t="s">
        <v>1112</v>
      </c>
      <c r="I7" s="19" t="s">
        <v>1113</v>
      </c>
      <c r="J7" s="19" t="s">
        <v>1114</v>
      </c>
      <c r="K7" s="19" t="s">
        <v>6</v>
      </c>
      <c r="L7" s="19" t="s">
        <v>1095</v>
      </c>
      <c r="M7" s="19" t="s">
        <v>1095</v>
      </c>
      <c r="N7" s="19" t="s">
        <v>1115</v>
      </c>
      <c r="R7" t="s">
        <v>1097</v>
      </c>
    </row>
    <row r="8" spans="1:18" hidden="1" x14ac:dyDescent="0.3">
      <c r="A8" s="19">
        <f t="shared" si="0"/>
        <v>7</v>
      </c>
      <c r="B8" s="20" t="s">
        <v>87</v>
      </c>
      <c r="C8" s="20" t="s">
        <v>102</v>
      </c>
      <c r="D8" s="21" t="str">
        <f>IF($C8="","",IFERROR(VLOOKUP($C8,Map_Register!$A$2:$C$5,3,FALSE()),""))</f>
        <v>Toponym Labels</v>
      </c>
      <c r="E8" s="20" t="s">
        <v>15</v>
      </c>
      <c r="F8" s="22">
        <v>700954</v>
      </c>
      <c r="G8" s="19" t="s">
        <v>1108</v>
      </c>
      <c r="H8" s="19" t="s">
        <v>1116</v>
      </c>
      <c r="I8" s="19" t="s">
        <v>1116</v>
      </c>
      <c r="J8" s="19" t="s">
        <v>1117</v>
      </c>
      <c r="K8" s="19" t="s">
        <v>6</v>
      </c>
      <c r="L8" s="19" t="s">
        <v>1095</v>
      </c>
      <c r="M8" s="19" t="s">
        <v>1095</v>
      </c>
      <c r="N8" s="19" t="s">
        <v>1111</v>
      </c>
      <c r="R8" t="s">
        <v>1097</v>
      </c>
    </row>
    <row r="9" spans="1:18" hidden="1" x14ac:dyDescent="0.3">
      <c r="A9" s="19">
        <f t="shared" si="0"/>
        <v>8</v>
      </c>
      <c r="B9" s="20" t="s">
        <v>87</v>
      </c>
      <c r="C9" s="20" t="s">
        <v>102</v>
      </c>
      <c r="D9" s="21" t="str">
        <f>IF($C9="","",IFERROR(VLOOKUP($C9,Map_Register!$A$2:$C$5,3,FALSE()),""))</f>
        <v>Toponym Labels</v>
      </c>
      <c r="E9" s="20" t="s">
        <v>15</v>
      </c>
      <c r="F9" s="22">
        <v>700955</v>
      </c>
      <c r="G9" s="19" t="s">
        <v>1118</v>
      </c>
      <c r="H9" s="19" t="s">
        <v>1119</v>
      </c>
      <c r="I9" s="19" t="s">
        <v>1120</v>
      </c>
      <c r="J9" s="19" t="s">
        <v>1094</v>
      </c>
      <c r="K9" t="s">
        <v>1100</v>
      </c>
      <c r="L9" s="19" t="s">
        <v>114</v>
      </c>
      <c r="M9" s="19" t="s">
        <v>1121</v>
      </c>
      <c r="N9" s="19" t="s">
        <v>1122</v>
      </c>
      <c r="O9" s="19" t="s">
        <v>116</v>
      </c>
      <c r="R9" t="s">
        <v>1097</v>
      </c>
    </row>
    <row r="10" spans="1:18" hidden="1" x14ac:dyDescent="0.3">
      <c r="A10" s="19">
        <f t="shared" si="0"/>
        <v>9</v>
      </c>
      <c r="B10" s="20" t="s">
        <v>87</v>
      </c>
      <c r="C10" s="20" t="s">
        <v>102</v>
      </c>
      <c r="D10" s="21" t="str">
        <f>IF($C10="","",IFERROR(VLOOKUP($C10,Map_Register!$A$2:$C$5,3,FALSE()),""))</f>
        <v>Toponym Labels</v>
      </c>
      <c r="E10" s="20" t="s">
        <v>15</v>
      </c>
      <c r="F10" s="22">
        <v>700956</v>
      </c>
      <c r="G10" s="19" t="s">
        <v>1108</v>
      </c>
      <c r="H10" s="19" t="s">
        <v>1123</v>
      </c>
      <c r="I10" s="19" t="s">
        <v>1124</v>
      </c>
      <c r="J10" s="19" t="s">
        <v>1104</v>
      </c>
      <c r="K10" s="19" t="s">
        <v>6</v>
      </c>
      <c r="L10" s="19" t="s">
        <v>1095</v>
      </c>
      <c r="M10" s="19" t="s">
        <v>1095</v>
      </c>
      <c r="N10" s="19" t="s">
        <v>1105</v>
      </c>
      <c r="R10" t="s">
        <v>1097</v>
      </c>
    </row>
    <row r="11" spans="1:18" hidden="1" x14ac:dyDescent="0.3">
      <c r="A11" s="19">
        <f t="shared" si="0"/>
        <v>10</v>
      </c>
      <c r="B11" s="20" t="s">
        <v>87</v>
      </c>
      <c r="C11" s="20" t="s">
        <v>102</v>
      </c>
      <c r="D11" s="21" t="str">
        <f>IF($C11="","",IFERROR(VLOOKUP($C11,Map_Register!$A$2:$C$5,3,FALSE()),""))</f>
        <v>Toponym Labels</v>
      </c>
      <c r="E11" s="20" t="s">
        <v>15</v>
      </c>
      <c r="F11" s="22">
        <v>700957</v>
      </c>
      <c r="G11" s="19" t="s">
        <v>1125</v>
      </c>
      <c r="H11" s="19" t="s">
        <v>1126</v>
      </c>
      <c r="I11" s="19" t="s">
        <v>1127</v>
      </c>
      <c r="J11" s="19" t="s">
        <v>1094</v>
      </c>
      <c r="K11" s="19" t="s">
        <v>6</v>
      </c>
      <c r="L11" s="19" t="s">
        <v>1095</v>
      </c>
      <c r="M11" s="19" t="s">
        <v>1095</v>
      </c>
      <c r="N11" s="19" t="s">
        <v>1105</v>
      </c>
      <c r="R11" t="s">
        <v>1097</v>
      </c>
    </row>
    <row r="12" spans="1:18" hidden="1" x14ac:dyDescent="0.3">
      <c r="A12" s="19">
        <f t="shared" si="0"/>
        <v>11</v>
      </c>
      <c r="B12" s="20" t="s">
        <v>87</v>
      </c>
      <c r="C12" s="20" t="s">
        <v>102</v>
      </c>
      <c r="D12" s="21" t="str">
        <f>IF($C12="","",IFERROR(VLOOKUP($C12,Map_Register!$A$2:$C$5,3,FALSE()),""))</f>
        <v>Toponym Labels</v>
      </c>
      <c r="E12" s="20" t="s">
        <v>15</v>
      </c>
      <c r="F12" s="22">
        <v>700958</v>
      </c>
      <c r="G12" s="19" t="s">
        <v>1091</v>
      </c>
      <c r="H12" s="19" t="s">
        <v>1128</v>
      </c>
      <c r="I12" s="19" t="s">
        <v>1129</v>
      </c>
      <c r="J12" s="19" t="s">
        <v>1094</v>
      </c>
      <c r="K12" s="19" t="s">
        <v>6</v>
      </c>
      <c r="L12" s="19" t="s">
        <v>1095</v>
      </c>
      <c r="M12" s="19" t="s">
        <v>1095</v>
      </c>
      <c r="N12" s="19" t="s">
        <v>1105</v>
      </c>
      <c r="R12" t="s">
        <v>1097</v>
      </c>
    </row>
    <row r="13" spans="1:18" hidden="1" x14ac:dyDescent="0.3">
      <c r="A13" s="19">
        <f t="shared" si="0"/>
        <v>12</v>
      </c>
      <c r="B13" s="20" t="s">
        <v>87</v>
      </c>
      <c r="C13" s="20" t="s">
        <v>102</v>
      </c>
      <c r="D13" s="21" t="str">
        <f>IF($C13="","",IFERROR(VLOOKUP($C13,Map_Register!$A$2:$C$5,3,FALSE()),""))</f>
        <v>Toponym Labels</v>
      </c>
      <c r="E13" s="20" t="s">
        <v>15</v>
      </c>
      <c r="F13" s="22">
        <v>700959</v>
      </c>
      <c r="G13" s="19" t="s">
        <v>1091</v>
      </c>
      <c r="H13" s="19" t="s">
        <v>1130</v>
      </c>
      <c r="I13" s="19" t="s">
        <v>1131</v>
      </c>
      <c r="J13" s="19" t="s">
        <v>1104</v>
      </c>
      <c r="K13" t="s">
        <v>1100</v>
      </c>
      <c r="L13" t="s">
        <v>114</v>
      </c>
      <c r="M13" t="s">
        <v>114</v>
      </c>
      <c r="N13" s="19" t="s">
        <v>530</v>
      </c>
      <c r="O13" s="19" t="s">
        <v>116</v>
      </c>
      <c r="R13" t="s">
        <v>1097</v>
      </c>
    </row>
    <row r="14" spans="1:18" hidden="1" x14ac:dyDescent="0.3">
      <c r="A14" s="19">
        <f t="shared" si="0"/>
        <v>13</v>
      </c>
      <c r="B14" s="20" t="s">
        <v>87</v>
      </c>
      <c r="C14" s="20" t="s">
        <v>102</v>
      </c>
      <c r="D14" s="21" t="str">
        <f>IF($C14="","",IFERROR(VLOOKUP($C14,Map_Register!$A$2:$C$5,3,FALSE()),""))</f>
        <v>Toponym Labels</v>
      </c>
      <c r="E14" s="20" t="s">
        <v>15</v>
      </c>
      <c r="F14" s="22">
        <v>700960</v>
      </c>
      <c r="G14" s="19" t="s">
        <v>1108</v>
      </c>
      <c r="H14" s="19" t="s">
        <v>1132</v>
      </c>
      <c r="I14" s="19" t="s">
        <v>1133</v>
      </c>
      <c r="J14" s="19" t="s">
        <v>1104</v>
      </c>
      <c r="K14" s="19" t="s">
        <v>6</v>
      </c>
      <c r="L14" s="19" t="s">
        <v>1095</v>
      </c>
      <c r="M14" s="19" t="s">
        <v>1095</v>
      </c>
      <c r="N14" s="19" t="s">
        <v>1105</v>
      </c>
      <c r="R14" t="s">
        <v>1097</v>
      </c>
    </row>
    <row r="15" spans="1:18" hidden="1" x14ac:dyDescent="0.3">
      <c r="A15" s="19">
        <f t="shared" si="0"/>
        <v>14</v>
      </c>
      <c r="B15" s="20" t="s">
        <v>87</v>
      </c>
      <c r="C15" s="20" t="s">
        <v>102</v>
      </c>
      <c r="D15" s="21" t="str">
        <f>IF($C15="","",IFERROR(VLOOKUP($C15,Map_Register!$A$2:$C$5,3,FALSE()),""))</f>
        <v>Toponym Labels</v>
      </c>
      <c r="E15" s="20" t="s">
        <v>15</v>
      </c>
      <c r="F15" s="22">
        <v>700961</v>
      </c>
      <c r="G15" s="19" t="s">
        <v>1125</v>
      </c>
      <c r="H15" s="19" t="s">
        <v>1134</v>
      </c>
      <c r="I15" s="19" t="s">
        <v>1135</v>
      </c>
      <c r="J15" s="19" t="s">
        <v>1094</v>
      </c>
      <c r="K15" s="19" t="s">
        <v>6</v>
      </c>
      <c r="L15" s="19" t="s">
        <v>1095</v>
      </c>
      <c r="M15" s="19" t="s">
        <v>1095</v>
      </c>
      <c r="N15" s="19" t="s">
        <v>1105</v>
      </c>
      <c r="R15" t="s">
        <v>1097</v>
      </c>
    </row>
    <row r="16" spans="1:18" hidden="1" x14ac:dyDescent="0.3">
      <c r="A16" s="19">
        <f t="shared" si="0"/>
        <v>15</v>
      </c>
      <c r="B16" s="20" t="s">
        <v>87</v>
      </c>
      <c r="C16" s="20" t="s">
        <v>102</v>
      </c>
      <c r="D16" s="21" t="str">
        <f>IF($C16="","",IFERROR(VLOOKUP($C16,Map_Register!$A$2:$C$5,3,FALSE()),""))</f>
        <v>Toponym Labels</v>
      </c>
      <c r="E16" s="20" t="s">
        <v>15</v>
      </c>
      <c r="F16" s="22">
        <v>700962</v>
      </c>
      <c r="G16" s="19" t="s">
        <v>1136</v>
      </c>
      <c r="H16" s="19" t="s">
        <v>1137</v>
      </c>
      <c r="I16" s="19" t="s">
        <v>1138</v>
      </c>
      <c r="J16" s="19" t="s">
        <v>1094</v>
      </c>
      <c r="K16" s="19" t="s">
        <v>6</v>
      </c>
      <c r="L16" s="19" t="s">
        <v>1095</v>
      </c>
      <c r="M16" s="19" t="s">
        <v>1095</v>
      </c>
      <c r="N16" s="19" t="s">
        <v>1105</v>
      </c>
      <c r="R16" t="s">
        <v>1097</v>
      </c>
    </row>
    <row r="17" spans="1:18" hidden="1" x14ac:dyDescent="0.3">
      <c r="A17" s="19">
        <f t="shared" si="0"/>
        <v>16</v>
      </c>
      <c r="B17" s="20" t="s">
        <v>87</v>
      </c>
      <c r="C17" s="20" t="s">
        <v>102</v>
      </c>
      <c r="D17" s="21" t="str">
        <f>IF($C17="","",IFERROR(VLOOKUP($C17,Map_Register!$A$2:$C$5,3,FALSE()),""))</f>
        <v>Toponym Labels</v>
      </c>
      <c r="E17" s="20" t="s">
        <v>15</v>
      </c>
      <c r="F17" s="22">
        <v>700963</v>
      </c>
      <c r="G17" s="19" t="s">
        <v>1091</v>
      </c>
      <c r="H17" s="19" t="s">
        <v>1139</v>
      </c>
      <c r="I17" s="19" t="s">
        <v>1140</v>
      </c>
      <c r="J17" s="19" t="s">
        <v>1104</v>
      </c>
      <c r="K17" s="19" t="s">
        <v>6</v>
      </c>
      <c r="L17" s="19" t="s">
        <v>1095</v>
      </c>
      <c r="M17" s="19" t="s">
        <v>1095</v>
      </c>
      <c r="N17" s="19" t="s">
        <v>1105</v>
      </c>
      <c r="R17" t="s">
        <v>1097</v>
      </c>
    </row>
    <row r="18" spans="1:18" hidden="1" x14ac:dyDescent="0.3">
      <c r="A18" s="19">
        <f t="shared" si="0"/>
        <v>17</v>
      </c>
      <c r="B18" s="20" t="s">
        <v>87</v>
      </c>
      <c r="C18" s="20" t="s">
        <v>102</v>
      </c>
      <c r="D18" s="21" t="str">
        <f>IF($C18="","",IFERROR(VLOOKUP($C18,Map_Register!$A$2:$C$5,3,FALSE()),""))</f>
        <v>Toponym Labels</v>
      </c>
      <c r="E18" s="20" t="s">
        <v>15</v>
      </c>
      <c r="F18" s="22">
        <v>700964</v>
      </c>
      <c r="G18" s="19" t="s">
        <v>1091</v>
      </c>
      <c r="H18" s="19" t="s">
        <v>1141</v>
      </c>
      <c r="I18" s="19" t="s">
        <v>1142</v>
      </c>
      <c r="J18" s="19" t="s">
        <v>1104</v>
      </c>
      <c r="K18" t="s">
        <v>1100</v>
      </c>
      <c r="L18" t="s">
        <v>114</v>
      </c>
      <c r="M18" t="s">
        <v>114</v>
      </c>
      <c r="N18" s="19" t="s">
        <v>530</v>
      </c>
      <c r="O18" s="19" t="s">
        <v>116</v>
      </c>
      <c r="R18" t="s">
        <v>1097</v>
      </c>
    </row>
    <row r="19" spans="1:18" hidden="1" x14ac:dyDescent="0.3">
      <c r="A19" s="19">
        <f t="shared" si="0"/>
        <v>18</v>
      </c>
      <c r="B19" s="20" t="s">
        <v>87</v>
      </c>
      <c r="C19" s="20" t="s">
        <v>102</v>
      </c>
      <c r="D19" s="21" t="str">
        <f>IF($C19="","",IFERROR(VLOOKUP($C19,Map_Register!$A$2:$C$5,3,FALSE()),""))</f>
        <v>Toponym Labels</v>
      </c>
      <c r="E19" s="20" t="s">
        <v>15</v>
      </c>
      <c r="F19" s="22">
        <v>700965</v>
      </c>
      <c r="G19" s="19" t="s">
        <v>1108</v>
      </c>
      <c r="H19" s="19" t="s">
        <v>1143</v>
      </c>
      <c r="I19" s="19" t="s">
        <v>1144</v>
      </c>
      <c r="J19" s="19" t="s">
        <v>1094</v>
      </c>
      <c r="K19" s="19" t="s">
        <v>6</v>
      </c>
      <c r="L19" s="19" t="s">
        <v>1095</v>
      </c>
      <c r="M19" s="19" t="s">
        <v>1095</v>
      </c>
      <c r="N19" s="19" t="s">
        <v>1105</v>
      </c>
      <c r="R19" t="s">
        <v>1097</v>
      </c>
    </row>
    <row r="20" spans="1:18" hidden="1" x14ac:dyDescent="0.3">
      <c r="A20" s="19">
        <f t="shared" si="0"/>
        <v>19</v>
      </c>
      <c r="B20" s="20" t="s">
        <v>87</v>
      </c>
      <c r="C20" s="20" t="s">
        <v>102</v>
      </c>
      <c r="D20" s="21" t="str">
        <f>IF($C20="","",IFERROR(VLOOKUP($C20,Map_Register!$A$2:$C$5,3,FALSE()),""))</f>
        <v>Toponym Labels</v>
      </c>
      <c r="E20" s="20" t="s">
        <v>15</v>
      </c>
      <c r="F20" s="22">
        <v>700966</v>
      </c>
      <c r="G20" s="19" t="s">
        <v>1145</v>
      </c>
      <c r="H20" s="19" t="s">
        <v>1146</v>
      </c>
      <c r="I20" s="19" t="s">
        <v>1147</v>
      </c>
      <c r="J20" s="19" t="s">
        <v>1094</v>
      </c>
      <c r="K20" s="19" t="s">
        <v>6</v>
      </c>
      <c r="L20" s="19" t="s">
        <v>1095</v>
      </c>
      <c r="M20" s="19" t="s">
        <v>1095</v>
      </c>
      <c r="N20" s="19" t="s">
        <v>1105</v>
      </c>
      <c r="R20" t="s">
        <v>1097</v>
      </c>
    </row>
    <row r="21" spans="1:18" hidden="1" x14ac:dyDescent="0.3">
      <c r="A21" s="19">
        <f t="shared" si="0"/>
        <v>20</v>
      </c>
      <c r="B21" s="20" t="s">
        <v>87</v>
      </c>
      <c r="C21" s="20" t="s">
        <v>102</v>
      </c>
      <c r="D21" s="21" t="str">
        <f>IF($C21="","",IFERROR(VLOOKUP($C21,Map_Register!$A$2:$C$5,3,FALSE()),""))</f>
        <v>Toponym Labels</v>
      </c>
      <c r="E21" s="20" t="s">
        <v>15</v>
      </c>
      <c r="F21" s="22">
        <v>700967</v>
      </c>
      <c r="G21" s="19" t="s">
        <v>1091</v>
      </c>
      <c r="H21" s="19" t="s">
        <v>1148</v>
      </c>
      <c r="I21" s="19" t="s">
        <v>1149</v>
      </c>
      <c r="J21" s="19" t="s">
        <v>1094</v>
      </c>
      <c r="K21" t="s">
        <v>1100</v>
      </c>
      <c r="L21" t="s">
        <v>114</v>
      </c>
      <c r="M21" t="s">
        <v>114</v>
      </c>
      <c r="N21" s="19" t="s">
        <v>530</v>
      </c>
      <c r="O21" s="19" t="s">
        <v>116</v>
      </c>
      <c r="R21" t="s">
        <v>1097</v>
      </c>
    </row>
    <row r="22" spans="1:18" hidden="1" x14ac:dyDescent="0.3">
      <c r="A22" s="19">
        <f t="shared" si="0"/>
        <v>21</v>
      </c>
      <c r="B22" s="20" t="s">
        <v>87</v>
      </c>
      <c r="C22" s="20" t="s">
        <v>102</v>
      </c>
      <c r="D22" s="21" t="str">
        <f>IF($C22="","",IFERROR(VLOOKUP($C22,Map_Register!$A$2:$C$5,3,FALSE()),""))</f>
        <v>Toponym Labels</v>
      </c>
      <c r="E22" s="20" t="s">
        <v>15</v>
      </c>
      <c r="F22" s="22">
        <v>700968</v>
      </c>
      <c r="G22" s="19" t="s">
        <v>1145</v>
      </c>
      <c r="H22" s="19" t="s">
        <v>1150</v>
      </c>
      <c r="I22" s="19" t="s">
        <v>1150</v>
      </c>
      <c r="J22" s="19" t="s">
        <v>1110</v>
      </c>
      <c r="K22" s="19" t="s">
        <v>6</v>
      </c>
      <c r="L22" s="19" t="s">
        <v>1095</v>
      </c>
      <c r="M22" s="19" t="s">
        <v>1095</v>
      </c>
      <c r="N22" s="19" t="s">
        <v>1151</v>
      </c>
      <c r="R22" t="s">
        <v>1097</v>
      </c>
    </row>
    <row r="23" spans="1:18" hidden="1" x14ac:dyDescent="0.3">
      <c r="A23" s="19">
        <f t="shared" si="0"/>
        <v>22</v>
      </c>
      <c r="B23" s="20" t="s">
        <v>87</v>
      </c>
      <c r="C23" s="20" t="s">
        <v>102</v>
      </c>
      <c r="D23" s="21" t="str">
        <f>IF($C23="","",IFERROR(VLOOKUP($C23,Map_Register!$A$2:$C$5,3,FALSE()),""))</f>
        <v>Toponym Labels</v>
      </c>
      <c r="E23" s="20" t="s">
        <v>15</v>
      </c>
      <c r="F23" s="22">
        <v>700969</v>
      </c>
      <c r="G23" s="19" t="s">
        <v>1136</v>
      </c>
      <c r="H23" s="19" t="s">
        <v>1152</v>
      </c>
      <c r="I23" s="19" t="s">
        <v>1153</v>
      </c>
      <c r="J23" s="19" t="s">
        <v>1104</v>
      </c>
      <c r="K23" t="s">
        <v>1100</v>
      </c>
      <c r="L23" t="s">
        <v>114</v>
      </c>
      <c r="M23" t="s">
        <v>114</v>
      </c>
      <c r="N23" s="19" t="s">
        <v>530</v>
      </c>
      <c r="O23" s="19" t="s">
        <v>116</v>
      </c>
      <c r="R23" t="s">
        <v>1097</v>
      </c>
    </row>
    <row r="24" spans="1:18" hidden="1" x14ac:dyDescent="0.3">
      <c r="A24" s="19">
        <f t="shared" si="0"/>
        <v>23</v>
      </c>
      <c r="B24" s="20" t="s">
        <v>87</v>
      </c>
      <c r="C24" s="20" t="s">
        <v>102</v>
      </c>
      <c r="D24" s="21" t="str">
        <f>IF($C24="","",IFERROR(VLOOKUP($C24,Map_Register!$A$2:$C$5,3,FALSE()),""))</f>
        <v>Toponym Labels</v>
      </c>
      <c r="E24" s="20" t="s">
        <v>15</v>
      </c>
      <c r="F24" s="22">
        <v>700970</v>
      </c>
      <c r="G24" s="19" t="s">
        <v>1125</v>
      </c>
      <c r="H24" s="19" t="s">
        <v>1154</v>
      </c>
      <c r="I24" s="19" t="s">
        <v>1154</v>
      </c>
      <c r="J24" s="19" t="s">
        <v>1117</v>
      </c>
      <c r="K24" s="19" t="s">
        <v>6</v>
      </c>
      <c r="L24" s="19" t="s">
        <v>1095</v>
      </c>
      <c r="M24" s="19" t="s">
        <v>1095</v>
      </c>
      <c r="N24" s="19" t="s">
        <v>1155</v>
      </c>
      <c r="R24" t="s">
        <v>1097</v>
      </c>
    </row>
    <row r="25" spans="1:18" x14ac:dyDescent="0.3">
      <c r="A25" s="19">
        <f t="shared" si="0"/>
        <v>24</v>
      </c>
      <c r="B25" s="20" t="s">
        <v>87</v>
      </c>
      <c r="C25" s="20" t="s">
        <v>102</v>
      </c>
      <c r="D25" s="21" t="str">
        <f>IF($C25="","",IFERROR(VLOOKUP($C25,Map_Register!$A$2:$C$5,3,FALSE()),""))</f>
        <v>Toponym Labels</v>
      </c>
      <c r="E25" s="20" t="s">
        <v>15</v>
      </c>
      <c r="F25" s="22">
        <v>700971</v>
      </c>
      <c r="G25" s="19" t="s">
        <v>1125</v>
      </c>
      <c r="H25" s="19" t="s">
        <v>1156</v>
      </c>
      <c r="I25" s="19" t="s">
        <v>1157</v>
      </c>
      <c r="J25" s="19" t="s">
        <v>1094</v>
      </c>
      <c r="K25" t="s">
        <v>1100</v>
      </c>
      <c r="L25" t="s">
        <v>114</v>
      </c>
      <c r="M25" t="s">
        <v>116</v>
      </c>
      <c r="N25" s="19" t="s">
        <v>1158</v>
      </c>
      <c r="O25" s="19" t="s">
        <v>116</v>
      </c>
      <c r="R25" t="s">
        <v>1097</v>
      </c>
    </row>
    <row r="26" spans="1:18" hidden="1" x14ac:dyDescent="0.3">
      <c r="A26" s="19">
        <f t="shared" si="0"/>
        <v>25</v>
      </c>
      <c r="B26" s="20" t="s">
        <v>87</v>
      </c>
      <c r="C26" s="20" t="s">
        <v>102</v>
      </c>
      <c r="D26" s="21" t="str">
        <f>IF($C26="","",IFERROR(VLOOKUP($C26,Map_Register!$A$2:$C$5,3,FALSE()),""))</f>
        <v>Toponym Labels</v>
      </c>
      <c r="E26" s="20" t="s">
        <v>15</v>
      </c>
      <c r="F26" s="22">
        <v>700972</v>
      </c>
      <c r="G26" s="19" t="s">
        <v>1091</v>
      </c>
      <c r="H26" s="19" t="s">
        <v>1159</v>
      </c>
      <c r="I26" s="19" t="s">
        <v>1160</v>
      </c>
      <c r="J26" s="19" t="s">
        <v>1094</v>
      </c>
      <c r="K26" s="19" t="s">
        <v>6</v>
      </c>
      <c r="L26" s="19" t="s">
        <v>1095</v>
      </c>
      <c r="M26" s="19" t="s">
        <v>1095</v>
      </c>
      <c r="N26" s="19" t="s">
        <v>1105</v>
      </c>
      <c r="R26" t="s">
        <v>1097</v>
      </c>
    </row>
    <row r="27" spans="1:18" hidden="1" x14ac:dyDescent="0.3">
      <c r="A27" s="19">
        <f t="shared" si="0"/>
        <v>26</v>
      </c>
      <c r="B27" s="20" t="s">
        <v>87</v>
      </c>
      <c r="C27" s="20" t="s">
        <v>102</v>
      </c>
      <c r="D27" s="21" t="str">
        <f>IF($C27="","",IFERROR(VLOOKUP($C27,Map_Register!$A$2:$C$5,3,FALSE()),""))</f>
        <v>Toponym Labels</v>
      </c>
      <c r="E27" s="20" t="s">
        <v>15</v>
      </c>
      <c r="F27" s="22">
        <v>700973</v>
      </c>
      <c r="G27" s="19" t="s">
        <v>1091</v>
      </c>
      <c r="H27" s="19" t="s">
        <v>1161</v>
      </c>
      <c r="I27" s="19" t="s">
        <v>1162</v>
      </c>
      <c r="J27" s="19" t="s">
        <v>1094</v>
      </c>
      <c r="K27" t="s">
        <v>1100</v>
      </c>
      <c r="L27" t="s">
        <v>114</v>
      </c>
      <c r="M27" t="s">
        <v>114</v>
      </c>
      <c r="N27" s="19" t="s">
        <v>530</v>
      </c>
      <c r="O27" s="19" t="s">
        <v>116</v>
      </c>
      <c r="R27" t="s">
        <v>1097</v>
      </c>
    </row>
    <row r="28" spans="1:18" hidden="1" x14ac:dyDescent="0.3">
      <c r="A28" s="19">
        <f t="shared" si="0"/>
        <v>27</v>
      </c>
      <c r="B28" s="20" t="s">
        <v>87</v>
      </c>
      <c r="C28" s="20" t="s">
        <v>102</v>
      </c>
      <c r="D28" s="21" t="str">
        <f>IF($C28="","",IFERROR(VLOOKUP($C28,Map_Register!$A$2:$C$5,3,FALSE()),""))</f>
        <v>Toponym Labels</v>
      </c>
      <c r="E28" s="20" t="s">
        <v>15</v>
      </c>
      <c r="F28" s="22">
        <v>700974</v>
      </c>
      <c r="G28" s="19" t="s">
        <v>1163</v>
      </c>
      <c r="H28" s="19" t="s">
        <v>1164</v>
      </c>
      <c r="I28" s="19" t="s">
        <v>1165</v>
      </c>
      <c r="J28" s="19" t="s">
        <v>1104</v>
      </c>
      <c r="K28" t="s">
        <v>1100</v>
      </c>
      <c r="L28" t="s">
        <v>114</v>
      </c>
      <c r="M28" t="s">
        <v>114</v>
      </c>
      <c r="N28" s="19" t="s">
        <v>1166</v>
      </c>
      <c r="O28" s="19" t="s">
        <v>116</v>
      </c>
      <c r="R28" t="s">
        <v>1097</v>
      </c>
    </row>
    <row r="29" spans="1:18" x14ac:dyDescent="0.3">
      <c r="A29" s="19">
        <f t="shared" si="0"/>
        <v>28</v>
      </c>
      <c r="B29" s="20" t="s">
        <v>87</v>
      </c>
      <c r="C29" s="20" t="s">
        <v>102</v>
      </c>
      <c r="D29" s="21" t="str">
        <f>IF($C29="","",IFERROR(VLOOKUP($C29,Map_Register!$A$2:$C$5,3,FALSE()),""))</f>
        <v>Toponym Labels</v>
      </c>
      <c r="E29" s="20" t="s">
        <v>15</v>
      </c>
      <c r="F29" s="22">
        <v>700975</v>
      </c>
      <c r="G29" s="19" t="s">
        <v>1125</v>
      </c>
      <c r="H29" s="19" t="s">
        <v>1167</v>
      </c>
      <c r="I29" s="19" t="s">
        <v>1168</v>
      </c>
      <c r="J29" s="19" t="s">
        <v>1104</v>
      </c>
      <c r="K29" t="s">
        <v>1100</v>
      </c>
      <c r="L29" t="s">
        <v>114</v>
      </c>
      <c r="M29" t="s">
        <v>116</v>
      </c>
      <c r="N29" s="19" t="s">
        <v>1158</v>
      </c>
      <c r="O29" s="19" t="s">
        <v>116</v>
      </c>
      <c r="R29" t="s">
        <v>1097</v>
      </c>
    </row>
    <row r="30" spans="1:18" hidden="1" x14ac:dyDescent="0.3">
      <c r="A30" s="19">
        <f t="shared" si="0"/>
        <v>29</v>
      </c>
      <c r="B30" s="20" t="s">
        <v>87</v>
      </c>
      <c r="C30" s="20" t="s">
        <v>102</v>
      </c>
      <c r="D30" s="21" t="str">
        <f>IF($C30="","",IFERROR(VLOOKUP($C30,Map_Register!$A$2:$C$5,3,FALSE()),""))</f>
        <v>Toponym Labels</v>
      </c>
      <c r="E30" s="20" t="s">
        <v>15</v>
      </c>
      <c r="F30" s="22">
        <v>700976</v>
      </c>
      <c r="G30" s="19" t="s">
        <v>1118</v>
      </c>
      <c r="H30" s="19" t="s">
        <v>1169</v>
      </c>
      <c r="I30" s="19" t="s">
        <v>1169</v>
      </c>
      <c r="J30" s="19" t="s">
        <v>1117</v>
      </c>
      <c r="K30" t="s">
        <v>1100</v>
      </c>
      <c r="L30" s="19" t="s">
        <v>114</v>
      </c>
      <c r="M30" s="19" t="s">
        <v>1121</v>
      </c>
      <c r="N30" s="19" t="s">
        <v>1122</v>
      </c>
      <c r="O30" s="19" t="s">
        <v>116</v>
      </c>
      <c r="R30" t="s">
        <v>1097</v>
      </c>
    </row>
    <row r="31" spans="1:18" hidden="1" x14ac:dyDescent="0.3">
      <c r="A31" s="19">
        <f t="shared" si="0"/>
        <v>30</v>
      </c>
      <c r="B31" s="20" t="s">
        <v>87</v>
      </c>
      <c r="C31" s="20" t="s">
        <v>102</v>
      </c>
      <c r="D31" s="21" t="str">
        <f>IF($C31="","",IFERROR(VLOOKUP($C31,Map_Register!$A$2:$C$5,3,FALSE()),""))</f>
        <v>Toponym Labels</v>
      </c>
      <c r="E31" s="20" t="s">
        <v>15</v>
      </c>
      <c r="F31" s="22">
        <v>700977</v>
      </c>
      <c r="G31" s="19" t="s">
        <v>1091</v>
      </c>
      <c r="H31" s="19" t="s">
        <v>1170</v>
      </c>
      <c r="I31" s="19" t="s">
        <v>1171</v>
      </c>
      <c r="J31" s="19" t="s">
        <v>1104</v>
      </c>
      <c r="K31" t="s">
        <v>1100</v>
      </c>
      <c r="L31" t="s">
        <v>114</v>
      </c>
      <c r="M31" t="s">
        <v>114</v>
      </c>
      <c r="N31" s="19" t="s">
        <v>530</v>
      </c>
      <c r="O31" s="19" t="s">
        <v>116</v>
      </c>
      <c r="R31" t="s">
        <v>1097</v>
      </c>
    </row>
    <row r="32" spans="1:18" hidden="1" x14ac:dyDescent="0.3">
      <c r="A32" s="19">
        <f t="shared" si="0"/>
        <v>31</v>
      </c>
      <c r="B32" s="20" t="s">
        <v>87</v>
      </c>
      <c r="C32" s="20" t="s">
        <v>102</v>
      </c>
      <c r="D32" s="21" t="str">
        <f>IF($C32="","",IFERROR(VLOOKUP($C32,Map_Register!$A$2:$C$5,3,FALSE()),""))</f>
        <v>Toponym Labels</v>
      </c>
      <c r="E32" s="20" t="s">
        <v>15</v>
      </c>
      <c r="F32" s="22">
        <v>700978</v>
      </c>
      <c r="G32" s="19" t="s">
        <v>1125</v>
      </c>
      <c r="H32" s="19" t="s">
        <v>1172</v>
      </c>
      <c r="I32" s="19" t="s">
        <v>1173</v>
      </c>
      <c r="J32" s="19" t="s">
        <v>1104</v>
      </c>
      <c r="K32" s="19" t="s">
        <v>6</v>
      </c>
      <c r="L32" s="19" t="s">
        <v>1095</v>
      </c>
      <c r="M32" s="19" t="s">
        <v>1095</v>
      </c>
      <c r="N32" s="19" t="s">
        <v>1105</v>
      </c>
      <c r="R32" t="s">
        <v>1097</v>
      </c>
    </row>
    <row r="33" spans="1:18" hidden="1" x14ac:dyDescent="0.3">
      <c r="A33" s="19">
        <f t="shared" si="0"/>
        <v>32</v>
      </c>
      <c r="B33" s="20" t="s">
        <v>87</v>
      </c>
      <c r="C33" s="20" t="s">
        <v>102</v>
      </c>
      <c r="D33" s="21" t="str">
        <f>IF($C33="","",IFERROR(VLOOKUP($C33,Map_Register!$A$2:$C$5,3,FALSE()),""))</f>
        <v>Toponym Labels</v>
      </c>
      <c r="E33" s="20" t="s">
        <v>15</v>
      </c>
      <c r="F33" s="22">
        <v>700979</v>
      </c>
      <c r="G33" s="19" t="s">
        <v>1091</v>
      </c>
      <c r="H33" s="19" t="s">
        <v>1174</v>
      </c>
      <c r="I33" s="19" t="s">
        <v>1175</v>
      </c>
      <c r="J33" s="19" t="s">
        <v>1104</v>
      </c>
      <c r="K33" s="19" t="s">
        <v>6</v>
      </c>
      <c r="L33" s="19" t="s">
        <v>1095</v>
      </c>
      <c r="M33" s="19" t="s">
        <v>1095</v>
      </c>
      <c r="N33" s="19" t="s">
        <v>1105</v>
      </c>
      <c r="R33" t="s">
        <v>1097</v>
      </c>
    </row>
    <row r="34" spans="1:18" hidden="1" x14ac:dyDescent="0.3">
      <c r="A34" s="19">
        <f t="shared" si="0"/>
        <v>33</v>
      </c>
      <c r="B34" s="20" t="s">
        <v>87</v>
      </c>
      <c r="C34" s="20" t="s">
        <v>102</v>
      </c>
      <c r="D34" s="21" t="str">
        <f>IF($C34="","",IFERROR(VLOOKUP($C34,Map_Register!$A$2:$C$5,3,FALSE()),""))</f>
        <v>Toponym Labels</v>
      </c>
      <c r="E34" s="20" t="s">
        <v>15</v>
      </c>
      <c r="F34" s="22">
        <v>700980</v>
      </c>
      <c r="G34" s="19" t="s">
        <v>1108</v>
      </c>
      <c r="H34" s="19" t="s">
        <v>1176</v>
      </c>
      <c r="I34" s="19" t="s">
        <v>1176</v>
      </c>
      <c r="J34" s="19" t="s">
        <v>1117</v>
      </c>
      <c r="K34" s="19" t="s">
        <v>6</v>
      </c>
      <c r="L34" s="19" t="s">
        <v>1095</v>
      </c>
      <c r="M34" s="19" t="s">
        <v>1095</v>
      </c>
      <c r="N34" s="19" t="s">
        <v>1111</v>
      </c>
      <c r="R34" t="s">
        <v>1097</v>
      </c>
    </row>
    <row r="35" spans="1:18" hidden="1" x14ac:dyDescent="0.3">
      <c r="A35" s="19">
        <f t="shared" si="0"/>
        <v>34</v>
      </c>
      <c r="B35" s="20" t="s">
        <v>87</v>
      </c>
      <c r="C35" s="20" t="s">
        <v>102</v>
      </c>
      <c r="D35" s="21" t="str">
        <f>IF($C35="","",IFERROR(VLOOKUP($C35,Map_Register!$A$2:$C$5,3,FALSE()),""))</f>
        <v>Toponym Labels</v>
      </c>
      <c r="E35" s="20" t="s">
        <v>15</v>
      </c>
      <c r="F35" s="22">
        <v>700981</v>
      </c>
      <c r="G35" s="19" t="s">
        <v>1118</v>
      </c>
      <c r="H35" s="19" t="s">
        <v>1177</v>
      </c>
      <c r="I35" s="19" t="s">
        <v>1177</v>
      </c>
      <c r="J35" s="19" t="s">
        <v>1110</v>
      </c>
      <c r="K35" t="s">
        <v>1100</v>
      </c>
      <c r="L35" s="19" t="s">
        <v>114</v>
      </c>
      <c r="M35" s="19" t="s">
        <v>114</v>
      </c>
      <c r="N35" s="19" t="s">
        <v>1178</v>
      </c>
      <c r="O35" s="19" t="s">
        <v>116</v>
      </c>
      <c r="R35" t="s">
        <v>1097</v>
      </c>
    </row>
    <row r="36" spans="1:18" hidden="1" x14ac:dyDescent="0.3">
      <c r="A36" s="19">
        <f t="shared" si="0"/>
        <v>35</v>
      </c>
      <c r="B36" s="20" t="s">
        <v>87</v>
      </c>
      <c r="C36" s="20" t="s">
        <v>102</v>
      </c>
      <c r="D36" s="21" t="str">
        <f>IF($C36="","",IFERROR(VLOOKUP($C36,Map_Register!$A$2:$C$5,3,FALSE()),""))</f>
        <v>Toponym Labels</v>
      </c>
      <c r="E36" s="20" t="s">
        <v>15</v>
      </c>
      <c r="F36" s="22">
        <v>700991</v>
      </c>
      <c r="G36" s="19" t="s">
        <v>1179</v>
      </c>
      <c r="H36" s="19" t="s">
        <v>1180</v>
      </c>
      <c r="I36" s="19" t="s">
        <v>1181</v>
      </c>
      <c r="J36" s="19" t="s">
        <v>1094</v>
      </c>
      <c r="K36" s="19" t="s">
        <v>6</v>
      </c>
      <c r="L36" s="19" t="s">
        <v>1095</v>
      </c>
      <c r="M36" s="19" t="s">
        <v>1095</v>
      </c>
      <c r="N36" s="19" t="s">
        <v>1105</v>
      </c>
      <c r="R36" t="s">
        <v>1097</v>
      </c>
    </row>
    <row r="37" spans="1:18" hidden="1" x14ac:dyDescent="0.3">
      <c r="A37" s="19">
        <f t="shared" si="0"/>
        <v>36</v>
      </c>
      <c r="B37" s="20" t="s">
        <v>87</v>
      </c>
      <c r="C37" s="20" t="s">
        <v>102</v>
      </c>
      <c r="D37" s="21" t="str">
        <f>IF($C37="","",IFERROR(VLOOKUP($C37,Map_Register!$A$2:$C$5,3,FALSE()),""))</f>
        <v>Toponym Labels</v>
      </c>
      <c r="E37" s="20" t="s">
        <v>15</v>
      </c>
      <c r="F37" s="22">
        <v>700992</v>
      </c>
      <c r="G37" s="19" t="s">
        <v>1179</v>
      </c>
      <c r="H37" s="19" t="s">
        <v>1182</v>
      </c>
      <c r="I37" s="19" t="s">
        <v>1183</v>
      </c>
      <c r="J37" s="19" t="s">
        <v>1094</v>
      </c>
      <c r="K37" t="s">
        <v>1100</v>
      </c>
      <c r="L37" t="s">
        <v>114</v>
      </c>
      <c r="M37" t="s">
        <v>114</v>
      </c>
      <c r="N37" s="19" t="s">
        <v>1184</v>
      </c>
      <c r="O37" s="19" t="s">
        <v>116</v>
      </c>
      <c r="R37" t="s">
        <v>1097</v>
      </c>
    </row>
    <row r="38" spans="1:18" hidden="1" x14ac:dyDescent="0.3">
      <c r="A38" s="19">
        <f t="shared" si="0"/>
        <v>37</v>
      </c>
      <c r="B38" s="20" t="s">
        <v>87</v>
      </c>
      <c r="C38" s="20" t="s">
        <v>102</v>
      </c>
      <c r="D38" s="21" t="str">
        <f>IF($C38="","",IFERROR(VLOOKUP($C38,Map_Register!$A$2:$C$5,3,FALSE()),""))</f>
        <v>Toponym Labels</v>
      </c>
      <c r="E38" s="20" t="s">
        <v>15</v>
      </c>
      <c r="F38" s="22">
        <v>700993</v>
      </c>
      <c r="G38" s="19" t="s">
        <v>1179</v>
      </c>
      <c r="H38" s="19" t="s">
        <v>1185</v>
      </c>
      <c r="I38" s="19" t="s">
        <v>1186</v>
      </c>
      <c r="J38" s="19" t="s">
        <v>1104</v>
      </c>
      <c r="K38" s="19" t="s">
        <v>6</v>
      </c>
      <c r="L38" s="19" t="s">
        <v>1095</v>
      </c>
      <c r="M38" s="19" t="s">
        <v>1095</v>
      </c>
      <c r="N38" s="19" t="s">
        <v>1105</v>
      </c>
      <c r="R38" t="s">
        <v>1097</v>
      </c>
    </row>
    <row r="39" spans="1:18" hidden="1" x14ac:dyDescent="0.3">
      <c r="A39" s="19">
        <f t="shared" si="0"/>
        <v>38</v>
      </c>
      <c r="B39" s="20" t="s">
        <v>87</v>
      </c>
      <c r="C39" s="20" t="s">
        <v>102</v>
      </c>
      <c r="D39" s="21" t="str">
        <f>IF($C39="","",IFERROR(VLOOKUP($C39,Map_Register!$A$2:$C$5,3,FALSE()),""))</f>
        <v>Toponym Labels</v>
      </c>
      <c r="E39" s="20" t="s">
        <v>15</v>
      </c>
      <c r="F39" s="22">
        <v>700994</v>
      </c>
      <c r="G39" s="19" t="s">
        <v>1187</v>
      </c>
      <c r="H39" s="19" t="s">
        <v>1188</v>
      </c>
      <c r="I39" s="19" t="s">
        <v>1189</v>
      </c>
      <c r="J39" s="19" t="s">
        <v>1104</v>
      </c>
      <c r="K39" t="s">
        <v>1100</v>
      </c>
      <c r="L39" t="s">
        <v>114</v>
      </c>
      <c r="M39" t="s">
        <v>114</v>
      </c>
      <c r="N39" s="19" t="s">
        <v>1190</v>
      </c>
      <c r="O39" s="19" t="s">
        <v>116</v>
      </c>
      <c r="R39" t="s">
        <v>1097</v>
      </c>
    </row>
    <row r="40" spans="1:18" hidden="1" x14ac:dyDescent="0.3">
      <c r="A40" s="19">
        <f t="shared" si="0"/>
        <v>39</v>
      </c>
      <c r="B40" s="20" t="s">
        <v>87</v>
      </c>
      <c r="C40" s="20" t="s">
        <v>102</v>
      </c>
      <c r="D40" s="21" t="str">
        <f>IF($C40="","",IFERROR(VLOOKUP($C40,Map_Register!$A$2:$C$5,3,FALSE()),""))</f>
        <v>Toponym Labels</v>
      </c>
      <c r="E40" s="20" t="s">
        <v>15</v>
      </c>
      <c r="F40" s="22">
        <v>700995</v>
      </c>
      <c r="G40" s="19" t="s">
        <v>1179</v>
      </c>
      <c r="H40" s="19" t="s">
        <v>1191</v>
      </c>
      <c r="I40" s="19" t="s">
        <v>1192</v>
      </c>
      <c r="J40" s="19" t="s">
        <v>1094</v>
      </c>
      <c r="K40" t="s">
        <v>1100</v>
      </c>
      <c r="L40" t="s">
        <v>114</v>
      </c>
      <c r="M40" t="s">
        <v>114</v>
      </c>
      <c r="N40" s="19" t="s">
        <v>1184</v>
      </c>
      <c r="O40" s="19" t="s">
        <v>116</v>
      </c>
      <c r="R40" t="s">
        <v>1097</v>
      </c>
    </row>
    <row r="41" spans="1:18" hidden="1" x14ac:dyDescent="0.3">
      <c r="A41" s="19">
        <f t="shared" si="0"/>
        <v>40</v>
      </c>
      <c r="B41" s="20" t="s">
        <v>87</v>
      </c>
      <c r="C41" s="20" t="s">
        <v>102</v>
      </c>
      <c r="D41" s="21" t="str">
        <f>IF($C41="","",IFERROR(VLOOKUP($C41,Map_Register!$A$2:$C$5,3,FALSE()),""))</f>
        <v>Toponym Labels</v>
      </c>
      <c r="E41" s="20" t="s">
        <v>15</v>
      </c>
      <c r="F41" s="22">
        <v>700996</v>
      </c>
      <c r="G41" s="19" t="s">
        <v>1179</v>
      </c>
      <c r="H41" s="19" t="s">
        <v>1193</v>
      </c>
      <c r="I41" s="19" t="s">
        <v>1194</v>
      </c>
      <c r="J41" s="19" t="s">
        <v>1094</v>
      </c>
      <c r="K41" t="s">
        <v>1100</v>
      </c>
      <c r="L41" t="s">
        <v>114</v>
      </c>
      <c r="M41" t="s">
        <v>114</v>
      </c>
      <c r="N41" s="19" t="s">
        <v>1184</v>
      </c>
      <c r="O41" s="19" t="s">
        <v>116</v>
      </c>
      <c r="R41" t="s">
        <v>1097</v>
      </c>
    </row>
    <row r="42" spans="1:18" hidden="1" x14ac:dyDescent="0.3">
      <c r="A42" s="19">
        <f t="shared" si="0"/>
        <v>41</v>
      </c>
      <c r="B42" s="20" t="s">
        <v>87</v>
      </c>
      <c r="C42" s="20" t="s">
        <v>102</v>
      </c>
      <c r="D42" s="21" t="str">
        <f>IF($C42="","",IFERROR(VLOOKUP($C42,Map_Register!$A$2:$C$5,3,FALSE()),""))</f>
        <v>Toponym Labels</v>
      </c>
      <c r="E42" s="20" t="s">
        <v>15</v>
      </c>
      <c r="F42" s="22">
        <v>700997</v>
      </c>
      <c r="G42" s="19" t="s">
        <v>1179</v>
      </c>
      <c r="H42" s="19" t="s">
        <v>1195</v>
      </c>
      <c r="I42" s="19" t="s">
        <v>1196</v>
      </c>
      <c r="J42" s="19" t="s">
        <v>1094</v>
      </c>
      <c r="K42" t="s">
        <v>1100</v>
      </c>
      <c r="L42" t="s">
        <v>114</v>
      </c>
      <c r="M42" t="s">
        <v>114</v>
      </c>
      <c r="N42" s="19" t="s">
        <v>1184</v>
      </c>
      <c r="O42" s="19" t="s">
        <v>116</v>
      </c>
      <c r="R42" t="s">
        <v>1097</v>
      </c>
    </row>
    <row r="43" spans="1:18" hidden="1" x14ac:dyDescent="0.3">
      <c r="A43" s="19">
        <f t="shared" si="0"/>
        <v>42</v>
      </c>
      <c r="B43" s="20" t="s">
        <v>87</v>
      </c>
      <c r="C43" s="20" t="s">
        <v>102</v>
      </c>
      <c r="D43" s="21" t="str">
        <f>IF($C43="","",IFERROR(VLOOKUP($C43,Map_Register!$A$2:$C$5,3,FALSE()),""))</f>
        <v>Toponym Labels</v>
      </c>
      <c r="E43" s="20" t="s">
        <v>15</v>
      </c>
      <c r="F43" s="22">
        <v>700998</v>
      </c>
      <c r="G43" s="19" t="s">
        <v>1179</v>
      </c>
      <c r="H43" s="19" t="s">
        <v>1197</v>
      </c>
      <c r="I43" s="19" t="s">
        <v>1198</v>
      </c>
      <c r="J43" s="19" t="s">
        <v>1104</v>
      </c>
      <c r="K43" t="s">
        <v>1100</v>
      </c>
      <c r="L43" t="s">
        <v>114</v>
      </c>
      <c r="M43" t="s">
        <v>114</v>
      </c>
      <c r="N43" s="19" t="s">
        <v>1184</v>
      </c>
      <c r="O43" s="19" t="s">
        <v>116</v>
      </c>
      <c r="R43" t="s">
        <v>1097</v>
      </c>
    </row>
    <row r="44" spans="1:18" hidden="1" x14ac:dyDescent="0.3">
      <c r="A44" s="19">
        <f t="shared" si="0"/>
        <v>43</v>
      </c>
      <c r="B44" s="20" t="s">
        <v>87</v>
      </c>
      <c r="C44" s="20" t="s">
        <v>102</v>
      </c>
      <c r="D44" s="21" t="str">
        <f>IF($C44="","",IFERROR(VLOOKUP($C44,Map_Register!$A$2:$C$5,3,FALSE()),""))</f>
        <v>Toponym Labels</v>
      </c>
      <c r="E44" s="20" t="s">
        <v>15</v>
      </c>
      <c r="F44" s="22">
        <v>700999</v>
      </c>
      <c r="G44" s="19" t="s">
        <v>1179</v>
      </c>
      <c r="H44" s="19" t="s">
        <v>1199</v>
      </c>
      <c r="I44" s="19" t="s">
        <v>1200</v>
      </c>
      <c r="J44" s="19" t="s">
        <v>1104</v>
      </c>
      <c r="K44" s="19" t="s">
        <v>6</v>
      </c>
      <c r="L44" s="19" t="s">
        <v>1095</v>
      </c>
      <c r="M44" s="19" t="s">
        <v>1095</v>
      </c>
      <c r="N44" s="19" t="s">
        <v>1105</v>
      </c>
      <c r="R44" t="s">
        <v>1097</v>
      </c>
    </row>
    <row r="45" spans="1:18" hidden="1" x14ac:dyDescent="0.3">
      <c r="A45" s="19">
        <f t="shared" si="0"/>
        <v>44</v>
      </c>
      <c r="B45" s="20" t="s">
        <v>87</v>
      </c>
      <c r="C45" s="20" t="s">
        <v>102</v>
      </c>
      <c r="D45" s="21" t="str">
        <f>IF($C45="","",IFERROR(VLOOKUP($C45,Map_Register!$A$2:$C$5,3,FALSE()),""))</f>
        <v>Toponym Labels</v>
      </c>
      <c r="E45" s="20" t="s">
        <v>15</v>
      </c>
      <c r="F45" s="22">
        <v>701002</v>
      </c>
      <c r="G45" s="19" t="s">
        <v>1201</v>
      </c>
      <c r="H45" s="19" t="s">
        <v>937</v>
      </c>
      <c r="I45" s="19" t="s">
        <v>937</v>
      </c>
      <c r="J45" s="19" t="s">
        <v>1110</v>
      </c>
      <c r="K45" t="s">
        <v>1100</v>
      </c>
      <c r="L45" t="s">
        <v>114</v>
      </c>
      <c r="M45" t="s">
        <v>114</v>
      </c>
      <c r="N45" s="19" t="s">
        <v>1202</v>
      </c>
      <c r="O45" s="19" t="s">
        <v>116</v>
      </c>
      <c r="R45" t="s">
        <v>1097</v>
      </c>
    </row>
    <row r="46" spans="1:18" x14ac:dyDescent="0.3">
      <c r="A46" s="19">
        <f t="shared" si="0"/>
        <v>45</v>
      </c>
      <c r="B46" s="20" t="s">
        <v>87</v>
      </c>
      <c r="C46" s="20" t="s">
        <v>102</v>
      </c>
      <c r="D46" s="21" t="str">
        <f>IF($C46="","",IFERROR(VLOOKUP($C46,Map_Register!$A$2:$C$5,3,FALSE()),""))</f>
        <v>Toponym Labels</v>
      </c>
      <c r="E46" s="20" t="s">
        <v>15</v>
      </c>
      <c r="F46" s="22">
        <v>701003</v>
      </c>
      <c r="G46" s="19" t="s">
        <v>1203</v>
      </c>
      <c r="H46" s="19" t="s">
        <v>1204</v>
      </c>
      <c r="I46" s="19" t="s">
        <v>1204</v>
      </c>
      <c r="J46" s="19" t="s">
        <v>1117</v>
      </c>
      <c r="K46" t="s">
        <v>1100</v>
      </c>
      <c r="L46" t="s">
        <v>114</v>
      </c>
      <c r="M46" t="s">
        <v>116</v>
      </c>
      <c r="N46" s="19" t="s">
        <v>1158</v>
      </c>
      <c r="O46" s="19" t="s">
        <v>116</v>
      </c>
      <c r="R46" t="s">
        <v>1097</v>
      </c>
    </row>
    <row r="47" spans="1:18" hidden="1" x14ac:dyDescent="0.3">
      <c r="A47" s="19">
        <f t="shared" si="0"/>
        <v>46</v>
      </c>
      <c r="B47" s="20" t="s">
        <v>87</v>
      </c>
      <c r="C47" s="20" t="s">
        <v>102</v>
      </c>
      <c r="D47" s="21" t="str">
        <f>IF($C47="","",IFERROR(VLOOKUP($C47,Map_Register!$A$2:$C$5,3,FALSE()),""))</f>
        <v>Toponym Labels</v>
      </c>
      <c r="E47" s="20" t="s">
        <v>15</v>
      </c>
      <c r="F47" s="22">
        <v>701004</v>
      </c>
      <c r="G47" s="19" t="s">
        <v>1205</v>
      </c>
      <c r="H47" s="19" t="s">
        <v>1206</v>
      </c>
      <c r="I47" s="19" t="s">
        <v>1206</v>
      </c>
      <c r="J47" s="19" t="s">
        <v>1110</v>
      </c>
      <c r="K47" s="19" t="s">
        <v>6</v>
      </c>
      <c r="L47" s="19" t="s">
        <v>1095</v>
      </c>
      <c r="M47" s="19" t="s">
        <v>1095</v>
      </c>
      <c r="N47" s="19" t="s">
        <v>1207</v>
      </c>
      <c r="R47" t="s">
        <v>1097</v>
      </c>
    </row>
    <row r="48" spans="1:18" hidden="1" x14ac:dyDescent="0.3">
      <c r="A48" s="19">
        <f t="shared" si="0"/>
        <v>47</v>
      </c>
      <c r="B48" s="20" t="s">
        <v>87</v>
      </c>
      <c r="C48" s="20" t="s">
        <v>102</v>
      </c>
      <c r="D48" s="21" t="str">
        <f>IF($C48="","",IFERROR(VLOOKUP($C48,Map_Register!$A$2:$C$5,3,FALSE()),""))</f>
        <v>Toponym Labels</v>
      </c>
      <c r="E48" s="20" t="s">
        <v>15</v>
      </c>
      <c r="F48" s="22">
        <v>701005</v>
      </c>
      <c r="G48" s="19" t="s">
        <v>1091</v>
      </c>
      <c r="H48" s="19" t="s">
        <v>907</v>
      </c>
      <c r="I48" s="19" t="s">
        <v>1208</v>
      </c>
      <c r="J48" s="19" t="s">
        <v>1104</v>
      </c>
      <c r="K48" s="19" t="s">
        <v>6</v>
      </c>
      <c r="L48" s="19" t="s">
        <v>1095</v>
      </c>
      <c r="M48" s="19" t="s">
        <v>1095</v>
      </c>
      <c r="N48" s="19" t="s">
        <v>1105</v>
      </c>
      <c r="R48" t="s">
        <v>1097</v>
      </c>
    </row>
    <row r="49" spans="1:18" hidden="1" x14ac:dyDescent="0.3">
      <c r="A49" s="19">
        <f t="shared" si="0"/>
        <v>48</v>
      </c>
      <c r="B49" s="20" t="s">
        <v>87</v>
      </c>
      <c r="C49" s="20" t="s">
        <v>102</v>
      </c>
      <c r="D49" s="21" t="str">
        <f>IF($C49="","",IFERROR(VLOOKUP($C49,Map_Register!$A$2:$C$5,3,FALSE()),""))</f>
        <v>Toponym Labels</v>
      </c>
      <c r="E49" s="20" t="s">
        <v>15</v>
      </c>
      <c r="F49" s="22">
        <v>701006</v>
      </c>
      <c r="G49" s="19" t="s">
        <v>1091</v>
      </c>
      <c r="H49" s="19" t="s">
        <v>1209</v>
      </c>
      <c r="I49" s="19" t="s">
        <v>1210</v>
      </c>
      <c r="J49" s="19" t="s">
        <v>1094</v>
      </c>
      <c r="K49" t="s">
        <v>1100</v>
      </c>
      <c r="L49" s="19" t="s">
        <v>114</v>
      </c>
      <c r="M49" s="19" t="s">
        <v>1121</v>
      </c>
      <c r="N49" s="19" t="s">
        <v>1211</v>
      </c>
      <c r="O49" s="19" t="s">
        <v>116</v>
      </c>
      <c r="R49" t="s">
        <v>1097</v>
      </c>
    </row>
    <row r="50" spans="1:18" hidden="1" x14ac:dyDescent="0.3">
      <c r="A50" s="19">
        <f t="shared" si="0"/>
        <v>49</v>
      </c>
      <c r="B50" s="20" t="s">
        <v>87</v>
      </c>
      <c r="C50" s="20" t="s">
        <v>102</v>
      </c>
      <c r="D50" s="21" t="str">
        <f>IF($C50="","",IFERROR(VLOOKUP($C50,Map_Register!$A$2:$C$5,3,FALSE()),""))</f>
        <v>Toponym Labels</v>
      </c>
      <c r="E50" s="20" t="s">
        <v>15</v>
      </c>
      <c r="F50" s="22">
        <v>701008</v>
      </c>
      <c r="G50" s="19" t="s">
        <v>1091</v>
      </c>
      <c r="H50" s="19" t="s">
        <v>1212</v>
      </c>
      <c r="I50" s="19" t="s">
        <v>1213</v>
      </c>
      <c r="J50" s="19" t="s">
        <v>1104</v>
      </c>
      <c r="K50" t="s">
        <v>1100</v>
      </c>
      <c r="L50" s="19" t="s">
        <v>114</v>
      </c>
      <c r="M50" s="19" t="s">
        <v>1121</v>
      </c>
      <c r="N50" s="19" t="s">
        <v>1211</v>
      </c>
      <c r="O50" s="19" t="s">
        <v>116</v>
      </c>
      <c r="R50" t="s">
        <v>1097</v>
      </c>
    </row>
    <row r="51" spans="1:18" hidden="1" x14ac:dyDescent="0.3">
      <c r="A51" s="19">
        <f t="shared" si="0"/>
        <v>50</v>
      </c>
      <c r="B51" s="20" t="s">
        <v>87</v>
      </c>
      <c r="C51" s="20" t="s">
        <v>102</v>
      </c>
      <c r="D51" s="21" t="str">
        <f>IF($C51="","",IFERROR(VLOOKUP($C51,Map_Register!$A$2:$C$5,3,FALSE()),""))</f>
        <v>Toponym Labels</v>
      </c>
      <c r="E51" s="20" t="s">
        <v>15</v>
      </c>
      <c r="F51" s="22">
        <v>701009</v>
      </c>
      <c r="G51" s="19" t="s">
        <v>1091</v>
      </c>
      <c r="H51" s="19" t="s">
        <v>1214</v>
      </c>
      <c r="I51" s="19" t="s">
        <v>1215</v>
      </c>
      <c r="J51" s="19" t="s">
        <v>1094</v>
      </c>
      <c r="K51" s="19" t="s">
        <v>6</v>
      </c>
      <c r="L51" s="19" t="s">
        <v>1095</v>
      </c>
      <c r="M51" s="19" t="s">
        <v>1095</v>
      </c>
      <c r="N51" s="19" t="s">
        <v>1105</v>
      </c>
      <c r="R51" t="s">
        <v>1097</v>
      </c>
    </row>
    <row r="52" spans="1:18" hidden="1" x14ac:dyDescent="0.3">
      <c r="A52" s="19">
        <f t="shared" si="0"/>
        <v>51</v>
      </c>
      <c r="B52" s="20" t="s">
        <v>87</v>
      </c>
      <c r="C52" s="20" t="s">
        <v>102</v>
      </c>
      <c r="D52" s="21" t="str">
        <f>IF($C52="","",IFERROR(VLOOKUP($C52,Map_Register!$A$2:$C$5,3,FALSE()),""))</f>
        <v>Toponym Labels</v>
      </c>
      <c r="E52" s="20" t="s">
        <v>15</v>
      </c>
      <c r="F52" s="22">
        <v>701010</v>
      </c>
      <c r="G52" s="19" t="s">
        <v>1108</v>
      </c>
      <c r="H52" s="19" t="s">
        <v>1216</v>
      </c>
      <c r="I52" s="19" t="s">
        <v>1217</v>
      </c>
      <c r="J52" s="19" t="s">
        <v>1104</v>
      </c>
      <c r="K52" s="19" t="s">
        <v>6</v>
      </c>
      <c r="L52" s="19" t="s">
        <v>1095</v>
      </c>
      <c r="M52" s="19" t="s">
        <v>1095</v>
      </c>
      <c r="N52" s="19" t="s">
        <v>1218</v>
      </c>
      <c r="R52" t="s">
        <v>1097</v>
      </c>
    </row>
    <row r="53" spans="1:18" hidden="1" x14ac:dyDescent="0.3">
      <c r="A53" s="19">
        <f t="shared" si="0"/>
        <v>52</v>
      </c>
      <c r="B53" s="20" t="s">
        <v>87</v>
      </c>
      <c r="C53" s="20" t="s">
        <v>102</v>
      </c>
      <c r="D53" s="21" t="str">
        <f>IF($C53="","",IFERROR(VLOOKUP($C53,Map_Register!$A$2:$C$5,3,FALSE()),""))</f>
        <v>Toponym Labels</v>
      </c>
      <c r="E53" s="20" t="s">
        <v>15</v>
      </c>
      <c r="F53" s="22">
        <v>701011</v>
      </c>
      <c r="G53" s="19" t="s">
        <v>1091</v>
      </c>
      <c r="H53" s="19" t="s">
        <v>1219</v>
      </c>
      <c r="I53" s="19" t="s">
        <v>1220</v>
      </c>
      <c r="J53" s="19" t="s">
        <v>1104</v>
      </c>
      <c r="K53" t="s">
        <v>1100</v>
      </c>
      <c r="L53" s="19" t="s">
        <v>114</v>
      </c>
      <c r="M53" s="19" t="s">
        <v>1121</v>
      </c>
      <c r="N53" s="19" t="s">
        <v>1211</v>
      </c>
      <c r="O53" s="19" t="s">
        <v>116</v>
      </c>
      <c r="R53" t="s">
        <v>1097</v>
      </c>
    </row>
    <row r="54" spans="1:18" hidden="1" x14ac:dyDescent="0.3">
      <c r="A54" s="19">
        <f t="shared" si="0"/>
        <v>53</v>
      </c>
      <c r="B54" s="20" t="s">
        <v>87</v>
      </c>
      <c r="C54" s="20" t="s">
        <v>102</v>
      </c>
      <c r="D54" s="21" t="str">
        <f>IF($C54="","",IFERROR(VLOOKUP($C54,Map_Register!$A$2:$C$5,3,FALSE()),""))</f>
        <v>Toponym Labels</v>
      </c>
      <c r="E54" s="20" t="s">
        <v>15</v>
      </c>
      <c r="F54" s="22">
        <v>701012</v>
      </c>
      <c r="G54" s="19" t="s">
        <v>1091</v>
      </c>
      <c r="H54" s="19" t="s">
        <v>1221</v>
      </c>
      <c r="I54" s="19" t="s">
        <v>1222</v>
      </c>
      <c r="J54" s="19" t="s">
        <v>1094</v>
      </c>
      <c r="K54" s="19" t="s">
        <v>6</v>
      </c>
      <c r="L54" s="19" t="s">
        <v>1095</v>
      </c>
      <c r="M54" s="19" t="s">
        <v>1095</v>
      </c>
      <c r="N54" s="19" t="s">
        <v>1105</v>
      </c>
      <c r="R54" t="s">
        <v>1097</v>
      </c>
    </row>
    <row r="55" spans="1:18" x14ac:dyDescent="0.3">
      <c r="A55" s="19">
        <f t="shared" si="0"/>
        <v>54</v>
      </c>
      <c r="B55" s="20" t="s">
        <v>87</v>
      </c>
      <c r="C55" s="20" t="s">
        <v>102</v>
      </c>
      <c r="D55" s="21" t="str">
        <f>IF($C55="","",IFERROR(VLOOKUP($C55,Map_Register!$A$2:$C$5,3,FALSE()),""))</f>
        <v>Toponym Labels</v>
      </c>
      <c r="E55" s="20" t="s">
        <v>15</v>
      </c>
      <c r="F55" s="22">
        <v>701016</v>
      </c>
      <c r="G55" s="19" t="s">
        <v>1223</v>
      </c>
      <c r="H55" s="19" t="s">
        <v>1224</v>
      </c>
      <c r="I55" s="19" t="s">
        <v>1225</v>
      </c>
      <c r="J55" s="19" t="s">
        <v>1104</v>
      </c>
      <c r="K55" t="s">
        <v>1100</v>
      </c>
      <c r="L55" t="s">
        <v>114</v>
      </c>
      <c r="M55" t="s">
        <v>116</v>
      </c>
      <c r="N55" s="19" t="s">
        <v>1226</v>
      </c>
      <c r="O55" s="19" t="s">
        <v>116</v>
      </c>
      <c r="R55" t="s">
        <v>1097</v>
      </c>
    </row>
    <row r="56" spans="1:18" hidden="1" x14ac:dyDescent="0.3">
      <c r="A56" s="19">
        <f t="shared" si="0"/>
        <v>55</v>
      </c>
      <c r="B56" s="20" t="s">
        <v>87</v>
      </c>
      <c r="C56" s="20" t="s">
        <v>102</v>
      </c>
      <c r="D56" s="21" t="str">
        <f>IF($C56="","",IFERROR(VLOOKUP($C56,Map_Register!$A$2:$C$5,3,FALSE()),""))</f>
        <v>Toponym Labels</v>
      </c>
      <c r="E56" s="20" t="s">
        <v>15</v>
      </c>
      <c r="F56" s="22">
        <v>701018</v>
      </c>
      <c r="G56" s="19" t="s">
        <v>1091</v>
      </c>
      <c r="H56" s="19" t="s">
        <v>1227</v>
      </c>
      <c r="I56" s="19" t="s">
        <v>1228</v>
      </c>
      <c r="J56" s="19" t="s">
        <v>1094</v>
      </c>
      <c r="K56" t="s">
        <v>1100</v>
      </c>
      <c r="L56" t="s">
        <v>114</v>
      </c>
      <c r="M56" t="s">
        <v>114</v>
      </c>
      <c r="N56" s="19" t="s">
        <v>530</v>
      </c>
      <c r="O56" s="19" t="s">
        <v>116</v>
      </c>
      <c r="R56" t="s">
        <v>1097</v>
      </c>
    </row>
    <row r="57" spans="1:18" x14ac:dyDescent="0.3">
      <c r="A57" s="19">
        <f t="shared" si="0"/>
        <v>56</v>
      </c>
      <c r="B57" s="20" t="s">
        <v>87</v>
      </c>
      <c r="C57" s="20" t="s">
        <v>102</v>
      </c>
      <c r="D57" s="21" t="str">
        <f>IF($C57="","",IFERROR(VLOOKUP($C57,Map_Register!$A$2:$C$5,3,FALSE()),""))</f>
        <v>Toponym Labels</v>
      </c>
      <c r="E57" s="20" t="s">
        <v>15</v>
      </c>
      <c r="F57" s="22">
        <v>701019</v>
      </c>
      <c r="G57" s="19" t="s">
        <v>1108</v>
      </c>
      <c r="H57" s="19" t="s">
        <v>1229</v>
      </c>
      <c r="I57" s="19" t="s">
        <v>1230</v>
      </c>
      <c r="J57" s="19" t="s">
        <v>1104</v>
      </c>
      <c r="K57" t="s">
        <v>1100</v>
      </c>
      <c r="L57" s="19" t="s">
        <v>114</v>
      </c>
      <c r="M57" s="19" t="s">
        <v>116</v>
      </c>
      <c r="N57" s="19" t="s">
        <v>1231</v>
      </c>
      <c r="O57" s="19" t="s">
        <v>116</v>
      </c>
      <c r="R57" t="s">
        <v>1097</v>
      </c>
    </row>
    <row r="58" spans="1:18" hidden="1" x14ac:dyDescent="0.3">
      <c r="A58" s="19">
        <f t="shared" si="0"/>
        <v>57</v>
      </c>
      <c r="B58" s="20" t="s">
        <v>87</v>
      </c>
      <c r="C58" s="20" t="s">
        <v>102</v>
      </c>
      <c r="D58" s="21" t="str">
        <f>IF($C58="","",IFERROR(VLOOKUP($C58,Map_Register!$A$2:$C$5,3,FALSE()),""))</f>
        <v>Toponym Labels</v>
      </c>
      <c r="E58" s="20" t="s">
        <v>15</v>
      </c>
      <c r="F58" s="22">
        <v>701020</v>
      </c>
      <c r="G58" s="19" t="s">
        <v>1091</v>
      </c>
      <c r="H58" s="19" t="s">
        <v>1232</v>
      </c>
      <c r="I58" s="19" t="s">
        <v>1233</v>
      </c>
      <c r="J58" s="19" t="s">
        <v>1094</v>
      </c>
      <c r="K58" t="s">
        <v>1100</v>
      </c>
      <c r="L58" t="s">
        <v>114</v>
      </c>
      <c r="M58" t="s">
        <v>114</v>
      </c>
      <c r="N58" s="19" t="s">
        <v>530</v>
      </c>
      <c r="O58" s="19" t="s">
        <v>116</v>
      </c>
      <c r="R58" t="s">
        <v>1097</v>
      </c>
    </row>
    <row r="59" spans="1:18" hidden="1" x14ac:dyDescent="0.3">
      <c r="A59" s="19">
        <f t="shared" si="0"/>
        <v>58</v>
      </c>
      <c r="B59" s="20" t="s">
        <v>87</v>
      </c>
      <c r="C59" s="20" t="s">
        <v>102</v>
      </c>
      <c r="D59" s="21" t="str">
        <f>IF($C59="","",IFERROR(VLOOKUP($C59,Map_Register!$A$2:$C$5,3,FALSE()),""))</f>
        <v>Toponym Labels</v>
      </c>
      <c r="E59" s="20" t="s">
        <v>15</v>
      </c>
      <c r="F59" s="22">
        <v>701021</v>
      </c>
      <c r="G59" s="19" t="s">
        <v>1136</v>
      </c>
      <c r="H59" s="19" t="s">
        <v>1234</v>
      </c>
      <c r="I59" s="19" t="s">
        <v>1235</v>
      </c>
      <c r="J59" s="19" t="s">
        <v>1094</v>
      </c>
      <c r="K59" t="s">
        <v>1100</v>
      </c>
      <c r="L59" t="s">
        <v>114</v>
      </c>
      <c r="M59" t="s">
        <v>114</v>
      </c>
      <c r="N59" s="19" t="s">
        <v>530</v>
      </c>
      <c r="O59" s="19" t="s">
        <v>116</v>
      </c>
      <c r="R59" t="s">
        <v>1097</v>
      </c>
    </row>
    <row r="60" spans="1:18" hidden="1" x14ac:dyDescent="0.3">
      <c r="A60" s="19">
        <f t="shared" si="0"/>
        <v>59</v>
      </c>
      <c r="B60" s="20" t="s">
        <v>87</v>
      </c>
      <c r="C60" s="20" t="s">
        <v>102</v>
      </c>
      <c r="D60" s="21" t="str">
        <f>IF($C60="","",IFERROR(VLOOKUP($C60,Map_Register!$A$2:$C$5,3,FALSE()),""))</f>
        <v>Toponym Labels</v>
      </c>
      <c r="E60" s="20" t="s">
        <v>15</v>
      </c>
      <c r="F60" s="22">
        <v>701026</v>
      </c>
      <c r="G60" s="19" t="s">
        <v>1091</v>
      </c>
      <c r="H60" s="19" t="s">
        <v>1236</v>
      </c>
      <c r="I60" s="19" t="s">
        <v>1237</v>
      </c>
      <c r="J60" s="19" t="s">
        <v>1094</v>
      </c>
      <c r="K60" s="19" t="s">
        <v>6</v>
      </c>
      <c r="L60" s="19" t="s">
        <v>1095</v>
      </c>
      <c r="M60" s="19" t="s">
        <v>1095</v>
      </c>
      <c r="N60" s="19" t="s">
        <v>1105</v>
      </c>
      <c r="R60" t="s">
        <v>1097</v>
      </c>
    </row>
    <row r="61" spans="1:18" hidden="1" x14ac:dyDescent="0.3">
      <c r="A61" s="19">
        <f t="shared" si="0"/>
        <v>60</v>
      </c>
      <c r="B61" s="20" t="s">
        <v>87</v>
      </c>
      <c r="C61" s="20" t="s">
        <v>102</v>
      </c>
      <c r="D61" s="21" t="str">
        <f>IF($C61="","",IFERROR(VLOOKUP($C61,Map_Register!$A$2:$C$5,3,FALSE()),""))</f>
        <v>Toponym Labels</v>
      </c>
      <c r="E61" s="20" t="s">
        <v>15</v>
      </c>
      <c r="F61" s="22">
        <v>701027</v>
      </c>
      <c r="G61" s="19" t="s">
        <v>1136</v>
      </c>
      <c r="H61" s="19" t="s">
        <v>1238</v>
      </c>
      <c r="I61" s="19" t="s">
        <v>1239</v>
      </c>
      <c r="J61" s="19" t="s">
        <v>1094</v>
      </c>
      <c r="K61" t="s">
        <v>1100</v>
      </c>
      <c r="L61" t="s">
        <v>114</v>
      </c>
      <c r="M61" t="s">
        <v>114</v>
      </c>
      <c r="N61" s="19" t="s">
        <v>530</v>
      </c>
      <c r="O61" s="19" t="s">
        <v>116</v>
      </c>
      <c r="R61" t="s">
        <v>1097</v>
      </c>
    </row>
    <row r="62" spans="1:18" x14ac:dyDescent="0.3">
      <c r="A62" s="19">
        <f t="shared" si="0"/>
        <v>61</v>
      </c>
      <c r="B62" s="20" t="s">
        <v>87</v>
      </c>
      <c r="C62" s="20" t="s">
        <v>102</v>
      </c>
      <c r="D62" s="21" t="str">
        <f>IF($C62="","",IFERROR(VLOOKUP($C62,Map_Register!$A$2:$C$5,3,FALSE()),""))</f>
        <v>Toponym Labels</v>
      </c>
      <c r="E62" s="20" t="s">
        <v>15</v>
      </c>
      <c r="F62" s="22">
        <v>701028</v>
      </c>
      <c r="G62" s="19" t="s">
        <v>1125</v>
      </c>
      <c r="H62" s="19" t="s">
        <v>1240</v>
      </c>
      <c r="I62" s="19" t="s">
        <v>1241</v>
      </c>
      <c r="J62" s="19" t="s">
        <v>1094</v>
      </c>
      <c r="K62" t="s">
        <v>1100</v>
      </c>
      <c r="L62" t="s">
        <v>114</v>
      </c>
      <c r="M62" t="s">
        <v>116</v>
      </c>
      <c r="N62" s="19" t="s">
        <v>1242</v>
      </c>
      <c r="O62" s="19" t="s">
        <v>116</v>
      </c>
      <c r="R62" t="s">
        <v>1097</v>
      </c>
    </row>
    <row r="63" spans="1:18" hidden="1" x14ac:dyDescent="0.3">
      <c r="A63" s="19">
        <f t="shared" si="0"/>
        <v>62</v>
      </c>
      <c r="B63" s="20" t="s">
        <v>87</v>
      </c>
      <c r="C63" s="20" t="s">
        <v>102</v>
      </c>
      <c r="D63" s="21" t="str">
        <f>IF($C63="","",IFERROR(VLOOKUP($C63,Map_Register!$A$2:$C$5,3,FALSE()),""))</f>
        <v>Toponym Labels</v>
      </c>
      <c r="E63" s="20" t="s">
        <v>15</v>
      </c>
      <c r="F63" s="22">
        <v>701029</v>
      </c>
      <c r="G63" s="19" t="s">
        <v>1136</v>
      </c>
      <c r="H63" s="19" t="s">
        <v>1243</v>
      </c>
      <c r="I63" s="19" t="s">
        <v>1244</v>
      </c>
      <c r="J63" s="19" t="s">
        <v>1094</v>
      </c>
      <c r="K63" t="s">
        <v>1100</v>
      </c>
      <c r="L63" t="s">
        <v>114</v>
      </c>
      <c r="M63" t="s">
        <v>114</v>
      </c>
      <c r="N63" s="19" t="s">
        <v>530</v>
      </c>
      <c r="O63" s="19" t="s">
        <v>116</v>
      </c>
      <c r="R63" t="s">
        <v>1097</v>
      </c>
    </row>
    <row r="64" spans="1:18" hidden="1" x14ac:dyDescent="0.3">
      <c r="A64" s="19">
        <f t="shared" si="0"/>
        <v>63</v>
      </c>
      <c r="B64" s="20" t="s">
        <v>87</v>
      </c>
      <c r="C64" s="20" t="s">
        <v>102</v>
      </c>
      <c r="D64" s="21" t="str">
        <f>IF($C64="","",IFERROR(VLOOKUP($C64,Map_Register!$A$2:$C$5,3,FALSE()),""))</f>
        <v>Toponym Labels</v>
      </c>
      <c r="E64" s="20" t="s">
        <v>15</v>
      </c>
      <c r="F64" s="22">
        <v>701030</v>
      </c>
      <c r="G64" s="19" t="s">
        <v>1136</v>
      </c>
      <c r="H64" s="19" t="s">
        <v>1245</v>
      </c>
      <c r="I64" s="19" t="s">
        <v>1246</v>
      </c>
      <c r="J64" s="19" t="s">
        <v>1094</v>
      </c>
      <c r="K64" t="s">
        <v>1100</v>
      </c>
      <c r="L64" t="s">
        <v>114</v>
      </c>
      <c r="M64" t="s">
        <v>114</v>
      </c>
      <c r="N64" s="19" t="s">
        <v>530</v>
      </c>
      <c r="O64" s="19" t="s">
        <v>116</v>
      </c>
      <c r="R64" t="s">
        <v>1097</v>
      </c>
    </row>
    <row r="65" spans="1:18" hidden="1" x14ac:dyDescent="0.3">
      <c r="A65" s="19">
        <f t="shared" si="0"/>
        <v>64</v>
      </c>
      <c r="B65" s="20" t="s">
        <v>87</v>
      </c>
      <c r="C65" s="20" t="s">
        <v>102</v>
      </c>
      <c r="D65" s="21" t="str">
        <f>IF($C65="","",IFERROR(VLOOKUP($C65,Map_Register!$A$2:$C$5,3,FALSE()),""))</f>
        <v>Toponym Labels</v>
      </c>
      <c r="E65" s="20" t="s">
        <v>15</v>
      </c>
      <c r="F65" s="22">
        <v>701031</v>
      </c>
      <c r="G65" s="19" t="s">
        <v>1136</v>
      </c>
      <c r="H65" s="19" t="s">
        <v>1247</v>
      </c>
      <c r="I65" s="19" t="s">
        <v>1248</v>
      </c>
      <c r="J65" s="19" t="s">
        <v>1094</v>
      </c>
      <c r="K65" t="s">
        <v>1100</v>
      </c>
      <c r="L65" t="s">
        <v>114</v>
      </c>
      <c r="M65" t="s">
        <v>114</v>
      </c>
      <c r="N65" s="19" t="s">
        <v>530</v>
      </c>
      <c r="O65" s="19" t="s">
        <v>116</v>
      </c>
      <c r="R65" t="s">
        <v>1097</v>
      </c>
    </row>
    <row r="66" spans="1:18" hidden="1" x14ac:dyDescent="0.3">
      <c r="A66" s="19">
        <f t="shared" ref="A66:A129" si="1">IF($B66="","",ROW()-1)</f>
        <v>65</v>
      </c>
      <c r="B66" s="20" t="s">
        <v>87</v>
      </c>
      <c r="C66" s="20" t="s">
        <v>102</v>
      </c>
      <c r="D66" s="21" t="str">
        <f>IF($C66="","",IFERROR(VLOOKUP($C66,Map_Register!$A$2:$C$5,3,FALSE()),""))</f>
        <v>Toponym Labels</v>
      </c>
      <c r="E66" s="20" t="s">
        <v>15</v>
      </c>
      <c r="F66" s="22">
        <v>701034</v>
      </c>
      <c r="G66" s="19" t="s">
        <v>1091</v>
      </c>
      <c r="H66" s="19" t="s">
        <v>1249</v>
      </c>
      <c r="I66" s="19" t="s">
        <v>1250</v>
      </c>
      <c r="J66" s="19" t="s">
        <v>1104</v>
      </c>
      <c r="K66" t="s">
        <v>1100</v>
      </c>
      <c r="L66" s="19" t="s">
        <v>114</v>
      </c>
      <c r="M66" s="19" t="s">
        <v>114</v>
      </c>
      <c r="N66" s="19" t="s">
        <v>1211</v>
      </c>
      <c r="O66" s="19" t="s">
        <v>116</v>
      </c>
      <c r="R66" t="s">
        <v>1097</v>
      </c>
    </row>
    <row r="67" spans="1:18" hidden="1" x14ac:dyDescent="0.3">
      <c r="A67" s="19">
        <f t="shared" si="1"/>
        <v>66</v>
      </c>
      <c r="B67" s="20" t="s">
        <v>87</v>
      </c>
      <c r="C67" s="20" t="s">
        <v>102</v>
      </c>
      <c r="D67" s="21" t="str">
        <f>IF($C67="","",IFERROR(VLOOKUP($C67,Map_Register!$A$2:$C$5,3,FALSE()),""))</f>
        <v>Toponym Labels</v>
      </c>
      <c r="E67" s="20" t="s">
        <v>15</v>
      </c>
      <c r="F67" s="22">
        <v>701035</v>
      </c>
      <c r="G67" s="19" t="s">
        <v>1091</v>
      </c>
      <c r="H67" s="19" t="s">
        <v>1251</v>
      </c>
      <c r="I67" s="19" t="s">
        <v>1252</v>
      </c>
      <c r="J67" s="19" t="s">
        <v>1104</v>
      </c>
      <c r="K67" t="s">
        <v>1100</v>
      </c>
      <c r="L67" s="19" t="s">
        <v>114</v>
      </c>
      <c r="M67" s="19" t="s">
        <v>114</v>
      </c>
      <c r="N67" s="19" t="s">
        <v>1211</v>
      </c>
      <c r="O67" s="19" t="s">
        <v>116</v>
      </c>
      <c r="R67" t="s">
        <v>1097</v>
      </c>
    </row>
    <row r="68" spans="1:18" hidden="1" x14ac:dyDescent="0.3">
      <c r="A68" s="19">
        <f t="shared" si="1"/>
        <v>67</v>
      </c>
      <c r="B68" s="20" t="s">
        <v>87</v>
      </c>
      <c r="C68" s="20" t="s">
        <v>102</v>
      </c>
      <c r="D68" s="21" t="str">
        <f>IF($C68="","",IFERROR(VLOOKUP($C68,Map_Register!$A$2:$C$5,3,FALSE()),""))</f>
        <v>Toponym Labels</v>
      </c>
      <c r="E68" s="20" t="s">
        <v>15</v>
      </c>
      <c r="F68" s="22">
        <v>701038</v>
      </c>
      <c r="G68" s="19" t="s">
        <v>1091</v>
      </c>
      <c r="H68" s="19" t="s">
        <v>1253</v>
      </c>
      <c r="I68" s="19" t="s">
        <v>1254</v>
      </c>
      <c r="J68" s="19" t="s">
        <v>1094</v>
      </c>
      <c r="K68" t="s">
        <v>1100</v>
      </c>
      <c r="L68" t="s">
        <v>114</v>
      </c>
      <c r="M68" t="s">
        <v>114</v>
      </c>
      <c r="N68" s="19" t="s">
        <v>530</v>
      </c>
      <c r="O68" s="19" t="s">
        <v>116</v>
      </c>
      <c r="R68" t="s">
        <v>1097</v>
      </c>
    </row>
    <row r="69" spans="1:18" hidden="1" x14ac:dyDescent="0.3">
      <c r="A69" s="19">
        <f t="shared" si="1"/>
        <v>68</v>
      </c>
      <c r="B69" s="20" t="s">
        <v>87</v>
      </c>
      <c r="C69" s="20" t="s">
        <v>102</v>
      </c>
      <c r="D69" s="21" t="str">
        <f>IF($C69="","",IFERROR(VLOOKUP($C69,Map_Register!$A$2:$C$5,3,FALSE()),""))</f>
        <v>Toponym Labels</v>
      </c>
      <c r="E69" s="20" t="s">
        <v>15</v>
      </c>
      <c r="F69" s="22">
        <v>701039</v>
      </c>
      <c r="G69" s="19" t="s">
        <v>1091</v>
      </c>
      <c r="H69" s="19" t="s">
        <v>1255</v>
      </c>
      <c r="I69" s="19" t="s">
        <v>1256</v>
      </c>
      <c r="J69" s="19" t="s">
        <v>1094</v>
      </c>
      <c r="K69" s="19" t="s">
        <v>6</v>
      </c>
      <c r="L69" s="19" t="s">
        <v>1095</v>
      </c>
      <c r="M69" s="19" t="s">
        <v>1095</v>
      </c>
      <c r="N69" s="19" t="s">
        <v>1105</v>
      </c>
      <c r="R69" t="s">
        <v>1097</v>
      </c>
    </row>
    <row r="70" spans="1:18" hidden="1" x14ac:dyDescent="0.3">
      <c r="A70" s="19">
        <f t="shared" si="1"/>
        <v>69</v>
      </c>
      <c r="B70" s="20" t="s">
        <v>87</v>
      </c>
      <c r="C70" s="20" t="s">
        <v>102</v>
      </c>
      <c r="D70" s="21" t="str">
        <f>IF($C70="","",IFERROR(VLOOKUP($C70,Map_Register!$A$2:$C$5,3,FALSE()),""))</f>
        <v>Toponym Labels</v>
      </c>
      <c r="E70" s="20" t="s">
        <v>15</v>
      </c>
      <c r="F70" s="22">
        <v>701040</v>
      </c>
      <c r="G70" s="19" t="s">
        <v>1118</v>
      </c>
      <c r="H70" s="19" t="s">
        <v>1257</v>
      </c>
      <c r="I70" s="19" t="s">
        <v>1258</v>
      </c>
      <c r="J70" s="19" t="s">
        <v>1094</v>
      </c>
      <c r="K70" t="s">
        <v>1100</v>
      </c>
      <c r="L70" s="19" t="s">
        <v>114</v>
      </c>
      <c r="M70" s="19" t="s">
        <v>114</v>
      </c>
      <c r="N70" s="19" t="s">
        <v>1259</v>
      </c>
      <c r="O70" s="19" t="s">
        <v>116</v>
      </c>
      <c r="R70" t="s">
        <v>1097</v>
      </c>
    </row>
    <row r="71" spans="1:18" hidden="1" x14ac:dyDescent="0.3">
      <c r="A71" s="19">
        <f t="shared" si="1"/>
        <v>70</v>
      </c>
      <c r="B71" s="20" t="s">
        <v>87</v>
      </c>
      <c r="C71" s="20" t="s">
        <v>102</v>
      </c>
      <c r="D71" s="21" t="str">
        <f>IF($C71="","",IFERROR(VLOOKUP($C71,Map_Register!$A$2:$C$5,3,FALSE()),""))</f>
        <v>Toponym Labels</v>
      </c>
      <c r="E71" s="20" t="s">
        <v>15</v>
      </c>
      <c r="F71" s="22">
        <v>701041</v>
      </c>
      <c r="G71" s="19" t="s">
        <v>1091</v>
      </c>
      <c r="H71" s="19" t="s">
        <v>1260</v>
      </c>
      <c r="I71" s="19" t="s">
        <v>1261</v>
      </c>
      <c r="J71" s="19" t="s">
        <v>1104</v>
      </c>
      <c r="K71" t="s">
        <v>1100</v>
      </c>
      <c r="L71" t="s">
        <v>114</v>
      </c>
      <c r="M71" t="s">
        <v>114</v>
      </c>
      <c r="N71" s="19" t="s">
        <v>530</v>
      </c>
      <c r="O71" s="19" t="s">
        <v>116</v>
      </c>
      <c r="R71" t="s">
        <v>1097</v>
      </c>
    </row>
    <row r="72" spans="1:18" hidden="1" x14ac:dyDescent="0.3">
      <c r="A72" s="19">
        <f t="shared" si="1"/>
        <v>71</v>
      </c>
      <c r="B72" s="20" t="s">
        <v>87</v>
      </c>
      <c r="C72" s="20" t="s">
        <v>102</v>
      </c>
      <c r="D72" s="21" t="str">
        <f>IF($C72="","",IFERROR(VLOOKUP($C72,Map_Register!$A$2:$C$5,3,FALSE()),""))</f>
        <v>Toponym Labels</v>
      </c>
      <c r="E72" s="20" t="s">
        <v>15</v>
      </c>
      <c r="F72" s="22">
        <v>701042</v>
      </c>
      <c r="G72" s="19" t="s">
        <v>1108</v>
      </c>
      <c r="H72" s="19" t="s">
        <v>1262</v>
      </c>
      <c r="I72" s="19" t="s">
        <v>1263</v>
      </c>
      <c r="J72" s="19" t="s">
        <v>1264</v>
      </c>
      <c r="K72" s="19" t="s">
        <v>6</v>
      </c>
      <c r="L72" s="19" t="s">
        <v>1095</v>
      </c>
      <c r="M72" s="19" t="s">
        <v>1095</v>
      </c>
      <c r="N72" s="19" t="s">
        <v>1265</v>
      </c>
      <c r="R72" t="s">
        <v>1097</v>
      </c>
    </row>
    <row r="73" spans="1:18" x14ac:dyDescent="0.3">
      <c r="A73" s="19">
        <f t="shared" si="1"/>
        <v>72</v>
      </c>
      <c r="B73" s="20" t="s">
        <v>87</v>
      </c>
      <c r="C73" s="20" t="s">
        <v>102</v>
      </c>
      <c r="D73" s="21" t="str">
        <f>IF($C73="","",IFERROR(VLOOKUP($C73,Map_Register!$A$2:$C$5,3,FALSE()),""))</f>
        <v>Toponym Labels</v>
      </c>
      <c r="E73" s="20" t="s">
        <v>15</v>
      </c>
      <c r="F73" s="22">
        <v>701043</v>
      </c>
      <c r="G73" s="19" t="s">
        <v>1125</v>
      </c>
      <c r="H73" s="19" t="s">
        <v>1266</v>
      </c>
      <c r="I73" s="19" t="s">
        <v>1267</v>
      </c>
      <c r="J73" s="19" t="s">
        <v>1104</v>
      </c>
      <c r="K73" t="s">
        <v>1100</v>
      </c>
      <c r="L73" t="s">
        <v>114</v>
      </c>
      <c r="M73" t="s">
        <v>116</v>
      </c>
      <c r="N73" s="19" t="s">
        <v>1268</v>
      </c>
      <c r="O73" s="19" t="s">
        <v>116</v>
      </c>
      <c r="R73" t="s">
        <v>1097</v>
      </c>
    </row>
    <row r="74" spans="1:18" x14ac:dyDescent="0.3">
      <c r="A74" s="19">
        <f t="shared" si="1"/>
        <v>73</v>
      </c>
      <c r="B74" s="20" t="s">
        <v>87</v>
      </c>
      <c r="C74" s="20" t="s">
        <v>102</v>
      </c>
      <c r="D74" s="21" t="str">
        <f>IF($C74="","",IFERROR(VLOOKUP($C74,Map_Register!$A$2:$C$5,3,FALSE()),""))</f>
        <v>Toponym Labels</v>
      </c>
      <c r="E74" s="20" t="s">
        <v>15</v>
      </c>
      <c r="F74" s="22">
        <v>701045</v>
      </c>
      <c r="G74" s="19" t="s">
        <v>1125</v>
      </c>
      <c r="H74" s="19" t="s">
        <v>1269</v>
      </c>
      <c r="I74" s="19" t="s">
        <v>1270</v>
      </c>
      <c r="J74" s="19" t="s">
        <v>1094</v>
      </c>
      <c r="K74" t="s">
        <v>1100</v>
      </c>
      <c r="L74" t="s">
        <v>114</v>
      </c>
      <c r="M74" t="s">
        <v>116</v>
      </c>
      <c r="N74" s="19" t="s">
        <v>1268</v>
      </c>
      <c r="O74" s="19" t="s">
        <v>116</v>
      </c>
      <c r="R74" t="s">
        <v>1097</v>
      </c>
    </row>
    <row r="75" spans="1:18" hidden="1" x14ac:dyDescent="0.3">
      <c r="A75" s="19">
        <f t="shared" si="1"/>
        <v>74</v>
      </c>
      <c r="B75" s="20" t="s">
        <v>87</v>
      </c>
      <c r="C75" s="20" t="s">
        <v>102</v>
      </c>
      <c r="D75" s="21" t="str">
        <f>IF($C75="","",IFERROR(VLOOKUP($C75,Map_Register!$A$2:$C$5,3,FALSE()),""))</f>
        <v>Toponym Labels</v>
      </c>
      <c r="E75" s="20" t="s">
        <v>15</v>
      </c>
      <c r="F75" s="22">
        <v>701047</v>
      </c>
      <c r="G75" s="19" t="s">
        <v>1091</v>
      </c>
      <c r="H75" s="19" t="s">
        <v>1271</v>
      </c>
      <c r="I75" s="19" t="s">
        <v>1272</v>
      </c>
      <c r="J75" s="19" t="s">
        <v>1104</v>
      </c>
      <c r="K75" s="19" t="s">
        <v>6</v>
      </c>
      <c r="L75" s="19" t="s">
        <v>1095</v>
      </c>
      <c r="M75" s="19" t="s">
        <v>1095</v>
      </c>
      <c r="N75" s="19" t="s">
        <v>1110</v>
      </c>
      <c r="R75" t="s">
        <v>1097</v>
      </c>
    </row>
    <row r="76" spans="1:18" hidden="1" x14ac:dyDescent="0.3">
      <c r="A76" s="19">
        <f t="shared" si="1"/>
        <v>75</v>
      </c>
      <c r="B76" s="20" t="s">
        <v>87</v>
      </c>
      <c r="C76" s="20" t="s">
        <v>102</v>
      </c>
      <c r="D76" s="21" t="str">
        <f>IF($C76="","",IFERROR(VLOOKUP($C76,Map_Register!$A$2:$C$5,3,FALSE()),""))</f>
        <v>Toponym Labels</v>
      </c>
      <c r="E76" s="20" t="s">
        <v>15</v>
      </c>
      <c r="F76" s="22">
        <v>701048</v>
      </c>
      <c r="G76" s="19" t="s">
        <v>1091</v>
      </c>
      <c r="H76" s="19" t="s">
        <v>1273</v>
      </c>
      <c r="I76" s="19" t="s">
        <v>1274</v>
      </c>
      <c r="J76" s="19" t="s">
        <v>1104</v>
      </c>
      <c r="K76" t="s">
        <v>1100</v>
      </c>
      <c r="L76" t="s">
        <v>114</v>
      </c>
      <c r="M76" t="s">
        <v>114</v>
      </c>
      <c r="N76" s="19" t="s">
        <v>530</v>
      </c>
      <c r="O76" s="19" t="s">
        <v>116</v>
      </c>
      <c r="R76" t="s">
        <v>1097</v>
      </c>
    </row>
    <row r="77" spans="1:18" hidden="1" x14ac:dyDescent="0.3">
      <c r="A77" s="19">
        <f t="shared" si="1"/>
        <v>76</v>
      </c>
      <c r="B77" s="20" t="s">
        <v>87</v>
      </c>
      <c r="C77" s="20" t="s">
        <v>102</v>
      </c>
      <c r="D77" s="21" t="str">
        <f>IF($C77="","",IFERROR(VLOOKUP($C77,Map_Register!$A$2:$C$5,3,FALSE()),""))</f>
        <v>Toponym Labels</v>
      </c>
      <c r="E77" s="20" t="s">
        <v>15</v>
      </c>
      <c r="F77" s="22">
        <v>701050</v>
      </c>
      <c r="G77" s="19" t="s">
        <v>1091</v>
      </c>
      <c r="H77" s="19" t="s">
        <v>1275</v>
      </c>
      <c r="I77" s="19" t="s">
        <v>1276</v>
      </c>
      <c r="J77" s="19" t="s">
        <v>1094</v>
      </c>
      <c r="K77" t="s">
        <v>1100</v>
      </c>
      <c r="L77" t="s">
        <v>114</v>
      </c>
      <c r="M77" t="s">
        <v>114</v>
      </c>
      <c r="N77" s="19" t="s">
        <v>530</v>
      </c>
      <c r="O77" s="19" t="s">
        <v>116</v>
      </c>
      <c r="R77" t="s">
        <v>1097</v>
      </c>
    </row>
    <row r="78" spans="1:18" hidden="1" x14ac:dyDescent="0.3">
      <c r="A78" s="19">
        <f t="shared" si="1"/>
        <v>77</v>
      </c>
      <c r="B78" s="20" t="s">
        <v>87</v>
      </c>
      <c r="C78" s="20" t="s">
        <v>102</v>
      </c>
      <c r="D78" s="21" t="str">
        <f>IF($C78="","",IFERROR(VLOOKUP($C78,Map_Register!$A$2:$C$5,3,FALSE()),""))</f>
        <v>Toponym Labels</v>
      </c>
      <c r="E78" s="20" t="s">
        <v>15</v>
      </c>
      <c r="F78" s="22">
        <v>701051</v>
      </c>
      <c r="G78" s="19" t="s">
        <v>1091</v>
      </c>
      <c r="H78" s="19" t="s">
        <v>1277</v>
      </c>
      <c r="I78" s="19" t="s">
        <v>1278</v>
      </c>
      <c r="J78" s="19" t="s">
        <v>1094</v>
      </c>
      <c r="K78" s="19" t="s">
        <v>6</v>
      </c>
      <c r="N78" s="19" t="s">
        <v>6</v>
      </c>
      <c r="R78" t="s">
        <v>1097</v>
      </c>
    </row>
    <row r="79" spans="1:18" hidden="1" x14ac:dyDescent="0.3">
      <c r="A79" s="19">
        <f t="shared" si="1"/>
        <v>78</v>
      </c>
      <c r="B79" s="20" t="s">
        <v>87</v>
      </c>
      <c r="C79" s="20" t="s">
        <v>102</v>
      </c>
      <c r="D79" s="21" t="str">
        <f>IF($C79="","",IFERROR(VLOOKUP($C79,Map_Register!$A$2:$C$5,3,FALSE()),""))</f>
        <v>Toponym Labels</v>
      </c>
      <c r="E79" s="20" t="s">
        <v>15</v>
      </c>
      <c r="F79" s="22">
        <v>701054</v>
      </c>
      <c r="G79" s="19" t="s">
        <v>1108</v>
      </c>
      <c r="H79" s="19" t="s">
        <v>1279</v>
      </c>
      <c r="I79" s="19" t="s">
        <v>1280</v>
      </c>
      <c r="J79" s="19" t="s">
        <v>1104</v>
      </c>
      <c r="K79" s="19" t="s">
        <v>6</v>
      </c>
      <c r="L79" s="19" t="s">
        <v>1095</v>
      </c>
      <c r="M79" s="19" t="s">
        <v>1095</v>
      </c>
      <c r="N79" s="19" t="s">
        <v>1105</v>
      </c>
      <c r="R79" t="s">
        <v>1097</v>
      </c>
    </row>
    <row r="80" spans="1:18" hidden="1" x14ac:dyDescent="0.3">
      <c r="A80" s="19">
        <f t="shared" si="1"/>
        <v>79</v>
      </c>
      <c r="B80" s="20" t="s">
        <v>87</v>
      </c>
      <c r="C80" s="20" t="s">
        <v>102</v>
      </c>
      <c r="D80" s="21" t="str">
        <f>IF($C80="","",IFERROR(VLOOKUP($C80,Map_Register!$A$2:$C$5,3,FALSE()),""))</f>
        <v>Toponym Labels</v>
      </c>
      <c r="E80" s="20" t="s">
        <v>15</v>
      </c>
      <c r="F80" s="22">
        <v>701055</v>
      </c>
      <c r="G80" s="19" t="s">
        <v>1091</v>
      </c>
      <c r="H80" s="19" t="s">
        <v>1281</v>
      </c>
      <c r="I80" s="19" t="s">
        <v>1282</v>
      </c>
      <c r="J80" s="19" t="s">
        <v>1094</v>
      </c>
      <c r="K80" t="s">
        <v>1100</v>
      </c>
      <c r="L80" t="s">
        <v>114</v>
      </c>
      <c r="M80" t="s">
        <v>114</v>
      </c>
      <c r="N80" s="19" t="s">
        <v>530</v>
      </c>
      <c r="O80" s="19" t="s">
        <v>116</v>
      </c>
      <c r="R80" t="s">
        <v>1097</v>
      </c>
    </row>
    <row r="81" spans="1:18" hidden="1" x14ac:dyDescent="0.3">
      <c r="A81" s="19">
        <f t="shared" si="1"/>
        <v>80</v>
      </c>
      <c r="B81" s="20" t="s">
        <v>87</v>
      </c>
      <c r="C81" s="20" t="s">
        <v>102</v>
      </c>
      <c r="D81" s="21" t="str">
        <f>IF($C81="","",IFERROR(VLOOKUP($C81,Map_Register!$A$2:$C$5,3,FALSE()),""))</f>
        <v>Toponym Labels</v>
      </c>
      <c r="E81" s="20" t="s">
        <v>15</v>
      </c>
      <c r="F81" s="22">
        <v>701124</v>
      </c>
      <c r="G81" s="19" t="s">
        <v>1118</v>
      </c>
      <c r="H81" s="19" t="s">
        <v>1283</v>
      </c>
      <c r="I81" s="19" t="s">
        <v>1284</v>
      </c>
      <c r="J81" s="19" t="s">
        <v>1094</v>
      </c>
      <c r="K81" t="s">
        <v>1100</v>
      </c>
      <c r="L81" s="19" t="s">
        <v>114</v>
      </c>
      <c r="M81" s="19" t="s">
        <v>114</v>
      </c>
      <c r="N81" s="19" t="s">
        <v>1285</v>
      </c>
      <c r="O81" s="19" t="s">
        <v>116</v>
      </c>
      <c r="R81" t="s">
        <v>1097</v>
      </c>
    </row>
    <row r="82" spans="1:18" hidden="1" x14ac:dyDescent="0.3">
      <c r="A82" s="19">
        <f t="shared" si="1"/>
        <v>81</v>
      </c>
      <c r="B82" s="20" t="s">
        <v>87</v>
      </c>
      <c r="C82" s="20" t="s">
        <v>102</v>
      </c>
      <c r="D82" s="21" t="str">
        <f>IF($C82="","",IFERROR(VLOOKUP($C82,Map_Register!$A$2:$C$5,3,FALSE()),""))</f>
        <v>Toponym Labels</v>
      </c>
      <c r="E82" s="20" t="s">
        <v>15</v>
      </c>
      <c r="F82" s="22">
        <v>701125</v>
      </c>
      <c r="G82" s="19" t="s">
        <v>1187</v>
      </c>
      <c r="H82" s="19" t="s">
        <v>1286</v>
      </c>
      <c r="I82" s="19" t="s">
        <v>1287</v>
      </c>
      <c r="J82" s="19" t="s">
        <v>1094</v>
      </c>
      <c r="K82" t="s">
        <v>1100</v>
      </c>
      <c r="L82" t="s">
        <v>114</v>
      </c>
      <c r="M82" t="s">
        <v>114</v>
      </c>
      <c r="N82" s="19" t="s">
        <v>1288</v>
      </c>
      <c r="O82" s="19" t="s">
        <v>116</v>
      </c>
      <c r="R82" t="s">
        <v>1097</v>
      </c>
    </row>
    <row r="83" spans="1:18" hidden="1" x14ac:dyDescent="0.3">
      <c r="A83" s="19">
        <f t="shared" si="1"/>
        <v>82</v>
      </c>
      <c r="B83" s="20" t="s">
        <v>87</v>
      </c>
      <c r="C83" s="20" t="s">
        <v>102</v>
      </c>
      <c r="D83" s="21" t="str">
        <f>IF($C83="","",IFERROR(VLOOKUP($C83,Map_Register!$A$2:$C$5,3,FALSE()),""))</f>
        <v>Toponym Labels</v>
      </c>
      <c r="E83" s="20" t="s">
        <v>15</v>
      </c>
      <c r="F83" s="22">
        <v>701129</v>
      </c>
      <c r="G83" s="19" t="s">
        <v>1205</v>
      </c>
      <c r="H83" s="19" t="s">
        <v>1289</v>
      </c>
      <c r="I83" s="19" t="s">
        <v>1289</v>
      </c>
      <c r="J83" s="19" t="s">
        <v>1110</v>
      </c>
      <c r="K83" t="s">
        <v>1100</v>
      </c>
      <c r="L83" t="s">
        <v>114</v>
      </c>
      <c r="M83" t="s">
        <v>114</v>
      </c>
      <c r="N83" s="19" t="s">
        <v>1290</v>
      </c>
      <c r="O83" s="19" t="s">
        <v>116</v>
      </c>
      <c r="R83" t="s">
        <v>1097</v>
      </c>
    </row>
    <row r="84" spans="1:18" hidden="1" x14ac:dyDescent="0.3">
      <c r="A84" s="19">
        <f t="shared" si="1"/>
        <v>83</v>
      </c>
      <c r="B84" s="20" t="s">
        <v>87</v>
      </c>
      <c r="C84" s="20" t="s">
        <v>102</v>
      </c>
      <c r="D84" s="21" t="str">
        <f>IF($C84="","",IFERROR(VLOOKUP($C84,Map_Register!$A$2:$C$5,3,FALSE()),""))</f>
        <v>Toponym Labels</v>
      </c>
      <c r="E84" s="20" t="s">
        <v>15</v>
      </c>
      <c r="F84" s="22">
        <v>701130</v>
      </c>
      <c r="G84" s="19" t="s">
        <v>1205</v>
      </c>
      <c r="H84" s="19" t="s">
        <v>1291</v>
      </c>
      <c r="I84" s="19" t="s">
        <v>1291</v>
      </c>
      <c r="J84" s="19" t="s">
        <v>1110</v>
      </c>
      <c r="K84" s="19" t="s">
        <v>6</v>
      </c>
      <c r="L84" s="19" t="s">
        <v>1095</v>
      </c>
      <c r="M84" s="19" t="s">
        <v>1095</v>
      </c>
      <c r="N84" s="19" t="s">
        <v>1292</v>
      </c>
      <c r="R84" t="s">
        <v>1097</v>
      </c>
    </row>
    <row r="85" spans="1:18" hidden="1" x14ac:dyDescent="0.3">
      <c r="A85" s="19">
        <f t="shared" si="1"/>
        <v>84</v>
      </c>
      <c r="B85" s="20" t="s">
        <v>87</v>
      </c>
      <c r="C85" s="20" t="s">
        <v>102</v>
      </c>
      <c r="D85" s="21" t="str">
        <f>IF($C85="","",IFERROR(VLOOKUP($C85,Map_Register!$A$2:$C$5,3,FALSE()),""))</f>
        <v>Toponym Labels</v>
      </c>
      <c r="E85" s="20" t="s">
        <v>15</v>
      </c>
      <c r="F85" s="22">
        <v>701131</v>
      </c>
      <c r="G85" s="19" t="s">
        <v>1205</v>
      </c>
      <c r="H85" s="19" t="s">
        <v>1293</v>
      </c>
      <c r="I85" s="19" t="s">
        <v>1293</v>
      </c>
      <c r="J85" s="19" t="s">
        <v>1110</v>
      </c>
      <c r="K85" s="19" t="s">
        <v>6</v>
      </c>
      <c r="L85" s="19" t="s">
        <v>1095</v>
      </c>
      <c r="M85" s="19" t="s">
        <v>1095</v>
      </c>
      <c r="N85" s="19" t="s">
        <v>1294</v>
      </c>
      <c r="R85" t="s">
        <v>1097</v>
      </c>
    </row>
    <row r="86" spans="1:18" hidden="1" x14ac:dyDescent="0.3">
      <c r="A86" s="19">
        <f t="shared" si="1"/>
        <v>85</v>
      </c>
      <c r="B86" s="20" t="s">
        <v>87</v>
      </c>
      <c r="C86" s="20" t="s">
        <v>102</v>
      </c>
      <c r="D86" s="21" t="str">
        <f>IF($C86="","",IFERROR(VLOOKUP($C86,Map_Register!$A$2:$C$5,3,FALSE()),""))</f>
        <v>Toponym Labels</v>
      </c>
      <c r="E86" s="20" t="s">
        <v>15</v>
      </c>
      <c r="F86" s="22">
        <v>701132</v>
      </c>
      <c r="G86" s="19" t="s">
        <v>1205</v>
      </c>
      <c r="H86" s="19" t="s">
        <v>1295</v>
      </c>
      <c r="I86" s="19" t="s">
        <v>1295</v>
      </c>
      <c r="J86" s="19" t="s">
        <v>1110</v>
      </c>
      <c r="K86" t="s">
        <v>1100</v>
      </c>
      <c r="L86" t="s">
        <v>114</v>
      </c>
      <c r="M86" t="s">
        <v>114</v>
      </c>
      <c r="N86" s="19" t="s">
        <v>1290</v>
      </c>
      <c r="O86" s="19" t="s">
        <v>116</v>
      </c>
      <c r="R86" t="s">
        <v>1097</v>
      </c>
    </row>
    <row r="87" spans="1:18" hidden="1" x14ac:dyDescent="0.3">
      <c r="A87" s="19">
        <f t="shared" si="1"/>
        <v>86</v>
      </c>
      <c r="B87" s="20" t="s">
        <v>87</v>
      </c>
      <c r="C87" s="20" t="s">
        <v>102</v>
      </c>
      <c r="D87" s="21" t="str">
        <f>IF($C87="","",IFERROR(VLOOKUP($C87,Map_Register!$A$2:$C$5,3,FALSE()),""))</f>
        <v>Toponym Labels</v>
      </c>
      <c r="E87" s="20" t="s">
        <v>15</v>
      </c>
      <c r="F87" s="22">
        <v>701133</v>
      </c>
      <c r="G87" s="19" t="s">
        <v>1205</v>
      </c>
      <c r="H87" s="19" t="s">
        <v>1296</v>
      </c>
      <c r="I87" s="19" t="s">
        <v>1296</v>
      </c>
      <c r="J87" s="19" t="s">
        <v>1110</v>
      </c>
      <c r="K87" s="19" t="s">
        <v>6</v>
      </c>
      <c r="L87" s="19" t="s">
        <v>1095</v>
      </c>
      <c r="M87" s="19" t="s">
        <v>1095</v>
      </c>
      <c r="N87" s="19" t="s">
        <v>1294</v>
      </c>
      <c r="R87" t="s">
        <v>1097</v>
      </c>
    </row>
    <row r="88" spans="1:18" x14ac:dyDescent="0.3">
      <c r="A88" s="19">
        <f t="shared" si="1"/>
        <v>87</v>
      </c>
      <c r="B88" s="20" t="s">
        <v>87</v>
      </c>
      <c r="C88" s="20" t="s">
        <v>102</v>
      </c>
      <c r="D88" s="21" t="str">
        <f>IF($C88="","",IFERROR(VLOOKUP($C88,Map_Register!$A$2:$C$5,3,FALSE()),""))</f>
        <v>Toponym Labels</v>
      </c>
      <c r="E88" s="20" t="s">
        <v>15</v>
      </c>
      <c r="F88" s="22">
        <v>721044</v>
      </c>
      <c r="G88" s="19" t="s">
        <v>1223</v>
      </c>
      <c r="H88" s="19" t="s">
        <v>1297</v>
      </c>
      <c r="I88" s="19" t="s">
        <v>1297</v>
      </c>
      <c r="J88" s="19" t="s">
        <v>1110</v>
      </c>
      <c r="K88" t="s">
        <v>1100</v>
      </c>
      <c r="L88" t="s">
        <v>114</v>
      </c>
      <c r="M88" t="s">
        <v>116</v>
      </c>
      <c r="N88" s="19" t="s">
        <v>1298</v>
      </c>
      <c r="O88" s="19" t="s">
        <v>116</v>
      </c>
      <c r="R88" t="s">
        <v>1097</v>
      </c>
    </row>
    <row r="89" spans="1:18" hidden="1" x14ac:dyDescent="0.3">
      <c r="A89" s="19">
        <f t="shared" si="1"/>
        <v>88</v>
      </c>
      <c r="B89" s="20" t="s">
        <v>87</v>
      </c>
      <c r="C89" s="20" t="s">
        <v>102</v>
      </c>
      <c r="D89" s="21" t="str">
        <f>IF($C89="","",IFERROR(VLOOKUP($C89,Map_Register!$A$2:$C$5,3,FALSE()),""))</f>
        <v>Toponym Labels</v>
      </c>
      <c r="E89" s="20" t="s">
        <v>15</v>
      </c>
      <c r="F89" s="22">
        <v>721045</v>
      </c>
      <c r="G89" s="19" t="s">
        <v>1091</v>
      </c>
      <c r="H89" s="19" t="s">
        <v>1299</v>
      </c>
      <c r="I89" s="19" t="s">
        <v>1299</v>
      </c>
      <c r="J89" s="19" t="s">
        <v>1110</v>
      </c>
      <c r="K89" s="19" t="s">
        <v>6</v>
      </c>
      <c r="L89" s="19" t="s">
        <v>1095</v>
      </c>
      <c r="M89" s="19" t="s">
        <v>1095</v>
      </c>
      <c r="N89" s="19" t="s">
        <v>1300</v>
      </c>
      <c r="R89" t="s">
        <v>1097</v>
      </c>
    </row>
    <row r="90" spans="1:18" hidden="1" x14ac:dyDescent="0.3">
      <c r="A90" s="19">
        <f t="shared" si="1"/>
        <v>89</v>
      </c>
      <c r="B90" s="20" t="s">
        <v>87</v>
      </c>
      <c r="C90" s="20" t="s">
        <v>102</v>
      </c>
      <c r="D90" s="21" t="str">
        <f>IF($C90="","",IFERROR(VLOOKUP($C90,Map_Register!$A$2:$C$5,3,FALSE()),""))</f>
        <v>Toponym Labels</v>
      </c>
      <c r="E90" s="20" t="s">
        <v>15</v>
      </c>
      <c r="F90" s="22">
        <v>721046</v>
      </c>
      <c r="G90" s="19" t="s">
        <v>1108</v>
      </c>
      <c r="H90" s="19" t="s">
        <v>1301</v>
      </c>
      <c r="I90" s="19" t="s">
        <v>1301</v>
      </c>
      <c r="J90" s="19" t="s">
        <v>1110</v>
      </c>
      <c r="K90" s="19" t="s">
        <v>6</v>
      </c>
      <c r="L90" s="19" t="s">
        <v>1095</v>
      </c>
      <c r="M90" s="19" t="s">
        <v>1095</v>
      </c>
      <c r="N90" s="19" t="s">
        <v>1111</v>
      </c>
      <c r="R90" t="s">
        <v>1097</v>
      </c>
    </row>
    <row r="91" spans="1:18" hidden="1" x14ac:dyDescent="0.3">
      <c r="A91" s="19">
        <f t="shared" si="1"/>
        <v>90</v>
      </c>
      <c r="B91" s="20" t="s">
        <v>87</v>
      </c>
      <c r="C91" s="20" t="s">
        <v>102</v>
      </c>
      <c r="D91" s="21" t="str">
        <f>IF($C91="","",IFERROR(VLOOKUP($C91,Map_Register!$A$2:$C$5,3,FALSE()),""))</f>
        <v>Toponym Labels</v>
      </c>
      <c r="E91" s="20" t="s">
        <v>15</v>
      </c>
      <c r="F91" s="22">
        <v>721047</v>
      </c>
      <c r="G91" s="19" t="s">
        <v>1091</v>
      </c>
      <c r="H91" s="19" t="s">
        <v>1302</v>
      </c>
      <c r="I91" s="19" t="s">
        <v>1302</v>
      </c>
      <c r="J91" s="19" t="s">
        <v>1110</v>
      </c>
      <c r="K91" t="s">
        <v>1100</v>
      </c>
      <c r="L91" t="s">
        <v>114</v>
      </c>
      <c r="M91" t="s">
        <v>114</v>
      </c>
      <c r="N91" s="19" t="s">
        <v>530</v>
      </c>
      <c r="O91" s="19" t="s">
        <v>116</v>
      </c>
      <c r="R91" t="s">
        <v>1097</v>
      </c>
    </row>
    <row r="92" spans="1:18" x14ac:dyDescent="0.3">
      <c r="A92" s="19">
        <f t="shared" si="1"/>
        <v>91</v>
      </c>
      <c r="B92" s="20" t="s">
        <v>87</v>
      </c>
      <c r="C92" s="20" t="s">
        <v>102</v>
      </c>
      <c r="D92" s="21" t="str">
        <f>IF($C92="","",IFERROR(VLOOKUP($C92,Map_Register!$A$2:$C$5,3,FALSE()),""))</f>
        <v>Toponym Labels</v>
      </c>
      <c r="E92" s="20" t="s">
        <v>15</v>
      </c>
      <c r="F92" s="22">
        <v>721048</v>
      </c>
      <c r="G92" s="19" t="s">
        <v>1145</v>
      </c>
      <c r="H92" s="19" t="s">
        <v>1303</v>
      </c>
      <c r="I92" s="19" t="s">
        <v>1303</v>
      </c>
      <c r="J92" s="19" t="s">
        <v>1110</v>
      </c>
      <c r="K92" t="s">
        <v>1100</v>
      </c>
      <c r="L92" t="s">
        <v>114</v>
      </c>
      <c r="M92" t="s">
        <v>116</v>
      </c>
      <c r="N92" s="19" t="s">
        <v>1268</v>
      </c>
      <c r="O92" s="19" t="s">
        <v>116</v>
      </c>
      <c r="R92" t="s">
        <v>1097</v>
      </c>
    </row>
    <row r="93" spans="1:18" hidden="1" x14ac:dyDescent="0.3">
      <c r="A93" s="19">
        <f t="shared" si="1"/>
        <v>92</v>
      </c>
      <c r="B93" s="20" t="s">
        <v>87</v>
      </c>
      <c r="C93" s="20" t="s">
        <v>102</v>
      </c>
      <c r="D93" s="21" t="str">
        <f>IF($C93="","",IFERROR(VLOOKUP($C93,Map_Register!$A$2:$C$5,3,FALSE()),""))</f>
        <v>Toponym Labels</v>
      </c>
      <c r="E93" s="20" t="s">
        <v>15</v>
      </c>
      <c r="F93" s="22">
        <v>721049</v>
      </c>
      <c r="G93" s="19" t="s">
        <v>1108</v>
      </c>
      <c r="H93" s="19" t="s">
        <v>1304</v>
      </c>
      <c r="I93" s="19" t="s">
        <v>1304</v>
      </c>
      <c r="J93" s="19" t="s">
        <v>1110</v>
      </c>
      <c r="K93" s="19" t="s">
        <v>6</v>
      </c>
      <c r="L93" s="19" t="s">
        <v>1095</v>
      </c>
      <c r="M93" s="19" t="s">
        <v>1095</v>
      </c>
      <c r="N93" s="19" t="s">
        <v>1111</v>
      </c>
      <c r="R93" t="s">
        <v>1097</v>
      </c>
    </row>
    <row r="94" spans="1:18" hidden="1" x14ac:dyDescent="0.3">
      <c r="A94" s="19">
        <f t="shared" si="1"/>
        <v>93</v>
      </c>
      <c r="B94" s="20" t="s">
        <v>87</v>
      </c>
      <c r="C94" s="20" t="s">
        <v>102</v>
      </c>
      <c r="D94" s="21" t="str">
        <f>IF($C94="","",IFERROR(VLOOKUP($C94,Map_Register!$A$2:$C$5,3,FALSE()),""))</f>
        <v>Toponym Labels</v>
      </c>
      <c r="E94" s="20" t="s">
        <v>15</v>
      </c>
      <c r="F94" s="22">
        <v>721050</v>
      </c>
      <c r="G94" s="19" t="s">
        <v>1091</v>
      </c>
      <c r="H94" s="19" t="s">
        <v>1305</v>
      </c>
      <c r="I94" s="19" t="s">
        <v>1306</v>
      </c>
      <c r="J94" s="19" t="s">
        <v>1094</v>
      </c>
      <c r="K94" s="19" t="s">
        <v>6</v>
      </c>
      <c r="L94" s="19" t="s">
        <v>1095</v>
      </c>
      <c r="M94" s="19" t="s">
        <v>1095</v>
      </c>
      <c r="N94" s="19" t="s">
        <v>1307</v>
      </c>
      <c r="R94" t="s">
        <v>1097</v>
      </c>
    </row>
    <row r="95" spans="1:18" hidden="1" x14ac:dyDescent="0.3">
      <c r="A95" s="19">
        <f t="shared" si="1"/>
        <v>94</v>
      </c>
      <c r="B95" s="20" t="s">
        <v>87</v>
      </c>
      <c r="C95" s="20" t="s">
        <v>102</v>
      </c>
      <c r="D95" s="21" t="str">
        <f>IF($C95="","",IFERROR(VLOOKUP($C95,Map_Register!$A$2:$C$5,3,FALSE()),""))</f>
        <v>Toponym Labels</v>
      </c>
      <c r="E95" s="20" t="s">
        <v>15</v>
      </c>
      <c r="F95" s="22">
        <v>721051</v>
      </c>
      <c r="G95" s="19" t="s">
        <v>1091</v>
      </c>
      <c r="H95" s="19" t="s">
        <v>1308</v>
      </c>
      <c r="I95" s="19" t="s">
        <v>1308</v>
      </c>
      <c r="J95" s="19" t="s">
        <v>1110</v>
      </c>
      <c r="K95" t="s">
        <v>1100</v>
      </c>
      <c r="L95" t="s">
        <v>114</v>
      </c>
      <c r="M95" t="s">
        <v>114</v>
      </c>
      <c r="N95" s="19" t="s">
        <v>530</v>
      </c>
      <c r="O95" s="19" t="s">
        <v>116</v>
      </c>
      <c r="R95" t="s">
        <v>1097</v>
      </c>
    </row>
    <row r="96" spans="1:18" x14ac:dyDescent="0.3">
      <c r="A96" s="19">
        <f t="shared" si="1"/>
        <v>95</v>
      </c>
      <c r="B96" s="20" t="s">
        <v>87</v>
      </c>
      <c r="C96" s="20" t="s">
        <v>102</v>
      </c>
      <c r="D96" s="21" t="str">
        <f>IF($C96="","",IFERROR(VLOOKUP($C96,Map_Register!$A$2:$C$5,3,FALSE()),""))</f>
        <v>Toponym Labels</v>
      </c>
      <c r="E96" s="20" t="s">
        <v>15</v>
      </c>
      <c r="F96" s="22">
        <v>721052</v>
      </c>
      <c r="G96" s="19" t="s">
        <v>1309</v>
      </c>
      <c r="H96" s="19" t="s">
        <v>1310</v>
      </c>
      <c r="I96" s="19" t="s">
        <v>1310</v>
      </c>
      <c r="J96" s="19" t="s">
        <v>1110</v>
      </c>
      <c r="K96" t="s">
        <v>1100</v>
      </c>
      <c r="L96" t="s">
        <v>114</v>
      </c>
      <c r="M96" t="s">
        <v>116</v>
      </c>
      <c r="N96" s="19" t="s">
        <v>1268</v>
      </c>
      <c r="O96" s="19" t="s">
        <v>116</v>
      </c>
      <c r="R96" t="s">
        <v>1097</v>
      </c>
    </row>
    <row r="97" spans="1:18" hidden="1" x14ac:dyDescent="0.3">
      <c r="A97" s="19">
        <f t="shared" si="1"/>
        <v>96</v>
      </c>
      <c r="B97" s="20" t="s">
        <v>87</v>
      </c>
      <c r="C97" s="20" t="s">
        <v>102</v>
      </c>
      <c r="D97" s="21" t="str">
        <f>IF($C97="","",IFERROR(VLOOKUP($C97,Map_Register!$A$2:$C$5,3,FALSE()),""))</f>
        <v>Toponym Labels</v>
      </c>
      <c r="E97" s="20" t="s">
        <v>15</v>
      </c>
      <c r="F97" s="22">
        <v>721053</v>
      </c>
      <c r="G97" s="19" t="s">
        <v>1091</v>
      </c>
      <c r="H97" s="19" t="s">
        <v>1311</v>
      </c>
      <c r="I97" s="19" t="s">
        <v>1312</v>
      </c>
      <c r="J97" s="19" t="s">
        <v>1094</v>
      </c>
      <c r="K97" s="19" t="s">
        <v>6</v>
      </c>
      <c r="L97" s="19" t="s">
        <v>1095</v>
      </c>
      <c r="M97" s="19" t="s">
        <v>1095</v>
      </c>
      <c r="N97" s="19" t="s">
        <v>1105</v>
      </c>
      <c r="R97" t="s">
        <v>1097</v>
      </c>
    </row>
    <row r="98" spans="1:18" hidden="1" x14ac:dyDescent="0.3">
      <c r="A98" s="19">
        <f t="shared" si="1"/>
        <v>97</v>
      </c>
      <c r="B98" s="20" t="s">
        <v>87</v>
      </c>
      <c r="C98" s="20" t="s">
        <v>102</v>
      </c>
      <c r="D98" s="21" t="str">
        <f>IF($C98="","",IFERROR(VLOOKUP($C98,Map_Register!$A$2:$C$5,3,FALSE()),""))</f>
        <v>Toponym Labels</v>
      </c>
      <c r="E98" s="20" t="s">
        <v>15</v>
      </c>
      <c r="F98" s="22">
        <v>721054</v>
      </c>
      <c r="G98" s="19" t="s">
        <v>1091</v>
      </c>
      <c r="H98" s="19" t="s">
        <v>1313</v>
      </c>
      <c r="I98" s="19" t="s">
        <v>1313</v>
      </c>
      <c r="J98" s="19" t="s">
        <v>1110</v>
      </c>
      <c r="K98" t="s">
        <v>1100</v>
      </c>
      <c r="L98" t="s">
        <v>114</v>
      </c>
      <c r="M98" t="s">
        <v>114</v>
      </c>
      <c r="N98" s="19" t="s">
        <v>530</v>
      </c>
      <c r="O98" s="19" t="s">
        <v>116</v>
      </c>
      <c r="R98" t="s">
        <v>1097</v>
      </c>
    </row>
    <row r="99" spans="1:18" hidden="1" x14ac:dyDescent="0.3">
      <c r="A99" s="19">
        <f t="shared" si="1"/>
        <v>98</v>
      </c>
      <c r="B99" s="20" t="s">
        <v>87</v>
      </c>
      <c r="C99" s="20" t="s">
        <v>102</v>
      </c>
      <c r="D99" s="21" t="str">
        <f>IF($C99="","",IFERROR(VLOOKUP($C99,Map_Register!$A$2:$C$5,3,FALSE()),""))</f>
        <v>Toponym Labels</v>
      </c>
      <c r="E99" s="20" t="s">
        <v>15</v>
      </c>
      <c r="F99" s="22">
        <v>721055</v>
      </c>
      <c r="G99" s="19" t="s">
        <v>1118</v>
      </c>
      <c r="H99" s="19" t="s">
        <v>1314</v>
      </c>
      <c r="I99" s="19" t="s">
        <v>1314</v>
      </c>
      <c r="J99" s="19" t="s">
        <v>1110</v>
      </c>
      <c r="K99" s="19" t="s">
        <v>6</v>
      </c>
      <c r="L99" s="19" t="s">
        <v>1095</v>
      </c>
      <c r="M99" s="19" t="s">
        <v>1095</v>
      </c>
      <c r="N99" s="19" t="s">
        <v>1315</v>
      </c>
      <c r="R99" t="s">
        <v>1097</v>
      </c>
    </row>
    <row r="100" spans="1:18" hidden="1" x14ac:dyDescent="0.3">
      <c r="A100" s="19">
        <f t="shared" si="1"/>
        <v>99</v>
      </c>
      <c r="B100" s="20" t="s">
        <v>87</v>
      </c>
      <c r="C100" s="20" t="s">
        <v>102</v>
      </c>
      <c r="D100" s="21" t="str">
        <f>IF($C100="","",IFERROR(VLOOKUP($C100,Map_Register!$A$2:$C$5,3,FALSE()),""))</f>
        <v>Toponym Labels</v>
      </c>
      <c r="E100" s="20" t="s">
        <v>15</v>
      </c>
      <c r="F100" s="22">
        <v>721056</v>
      </c>
      <c r="G100" s="19" t="s">
        <v>1145</v>
      </c>
      <c r="H100" s="19" t="s">
        <v>1316</v>
      </c>
      <c r="I100" s="19" t="s">
        <v>1316</v>
      </c>
      <c r="J100" s="19" t="s">
        <v>1110</v>
      </c>
      <c r="K100" t="s">
        <v>1100</v>
      </c>
      <c r="L100" t="s">
        <v>114</v>
      </c>
      <c r="M100" t="s">
        <v>114</v>
      </c>
      <c r="N100" s="19" t="s">
        <v>1317</v>
      </c>
      <c r="O100" s="19" t="s">
        <v>116</v>
      </c>
      <c r="R100" t="s">
        <v>1097</v>
      </c>
    </row>
    <row r="101" spans="1:18" hidden="1" x14ac:dyDescent="0.3">
      <c r="A101" s="19">
        <f t="shared" si="1"/>
        <v>100</v>
      </c>
      <c r="B101" s="20" t="s">
        <v>87</v>
      </c>
      <c r="C101" s="20" t="s">
        <v>102</v>
      </c>
      <c r="D101" s="21" t="str">
        <f>IF($C101="","",IFERROR(VLOOKUP($C101,Map_Register!$A$2:$C$5,3,FALSE()),""))</f>
        <v>Toponym Labels</v>
      </c>
      <c r="E101" s="20" t="s">
        <v>15</v>
      </c>
      <c r="F101" s="22">
        <v>721057</v>
      </c>
      <c r="G101" s="19" t="s">
        <v>1091</v>
      </c>
      <c r="H101" s="19" t="s">
        <v>1318</v>
      </c>
      <c r="I101" s="19" t="s">
        <v>1318</v>
      </c>
      <c r="J101" s="19" t="s">
        <v>1110</v>
      </c>
      <c r="K101" t="s">
        <v>1100</v>
      </c>
      <c r="L101" t="s">
        <v>114</v>
      </c>
      <c r="M101" t="s">
        <v>114</v>
      </c>
      <c r="N101" s="19" t="s">
        <v>530</v>
      </c>
      <c r="O101" s="19" t="s">
        <v>116</v>
      </c>
      <c r="R101" t="s">
        <v>1097</v>
      </c>
    </row>
    <row r="102" spans="1:18" hidden="1" x14ac:dyDescent="0.3">
      <c r="A102" s="19">
        <f t="shared" si="1"/>
        <v>101</v>
      </c>
      <c r="B102" s="20" t="s">
        <v>87</v>
      </c>
      <c r="C102" s="20" t="s">
        <v>102</v>
      </c>
      <c r="D102" s="21" t="str">
        <f>IF($C102="","",IFERROR(VLOOKUP($C102,Map_Register!$A$2:$C$5,3,FALSE()),""))</f>
        <v>Toponym Labels</v>
      </c>
      <c r="E102" s="20" t="s">
        <v>15</v>
      </c>
      <c r="F102" s="22">
        <v>721058</v>
      </c>
      <c r="G102" s="19" t="s">
        <v>1108</v>
      </c>
      <c r="H102" s="19" t="s">
        <v>1319</v>
      </c>
      <c r="I102" s="19" t="s">
        <v>1320</v>
      </c>
      <c r="J102" s="19" t="s">
        <v>1104</v>
      </c>
      <c r="K102" s="19" t="s">
        <v>6</v>
      </c>
      <c r="L102" s="19" t="s">
        <v>1095</v>
      </c>
      <c r="M102" s="19" t="s">
        <v>1095</v>
      </c>
      <c r="N102" s="19" t="s">
        <v>1105</v>
      </c>
      <c r="R102" t="s">
        <v>1097</v>
      </c>
    </row>
    <row r="103" spans="1:18" x14ac:dyDescent="0.3">
      <c r="A103" s="19">
        <f t="shared" si="1"/>
        <v>102</v>
      </c>
      <c r="B103" s="20" t="s">
        <v>87</v>
      </c>
      <c r="C103" s="20" t="s">
        <v>102</v>
      </c>
      <c r="D103" s="21" t="str">
        <f>IF($C103="","",IFERROR(VLOOKUP($C103,Map_Register!$A$2:$C$5,3,FALSE()),""))</f>
        <v>Toponym Labels</v>
      </c>
      <c r="E103" s="20" t="s">
        <v>15</v>
      </c>
      <c r="F103" s="22">
        <v>721059</v>
      </c>
      <c r="G103" s="19" t="s">
        <v>1309</v>
      </c>
      <c r="H103" s="19" t="s">
        <v>1321</v>
      </c>
      <c r="I103" s="19" t="s">
        <v>1321</v>
      </c>
      <c r="J103" s="19" t="s">
        <v>1110</v>
      </c>
      <c r="K103" t="s">
        <v>1100</v>
      </c>
      <c r="L103" t="s">
        <v>114</v>
      </c>
      <c r="M103" t="s">
        <v>116</v>
      </c>
      <c r="N103" s="19" t="s">
        <v>1268</v>
      </c>
      <c r="O103" s="19" t="s">
        <v>116</v>
      </c>
      <c r="R103" t="s">
        <v>1097</v>
      </c>
    </row>
    <row r="104" spans="1:18" hidden="1" x14ac:dyDescent="0.3">
      <c r="A104" s="19">
        <f t="shared" si="1"/>
        <v>103</v>
      </c>
      <c r="B104" s="20" t="s">
        <v>87</v>
      </c>
      <c r="C104" s="20" t="s">
        <v>102</v>
      </c>
      <c r="D104" s="21" t="str">
        <f>IF($C104="","",IFERROR(VLOOKUP($C104,Map_Register!$A$2:$C$5,3,FALSE()),""))</f>
        <v>Toponym Labels</v>
      </c>
      <c r="E104" s="20" t="s">
        <v>15</v>
      </c>
      <c r="F104" s="22">
        <v>721060</v>
      </c>
      <c r="G104" s="19" t="s">
        <v>1108</v>
      </c>
      <c r="H104" s="19" t="s">
        <v>1322</v>
      </c>
      <c r="I104" s="19" t="s">
        <v>1322</v>
      </c>
      <c r="J104" s="19" t="s">
        <v>1110</v>
      </c>
      <c r="K104" s="19" t="s">
        <v>6</v>
      </c>
      <c r="L104" s="19" t="s">
        <v>1095</v>
      </c>
      <c r="M104" s="19" t="s">
        <v>1095</v>
      </c>
      <c r="N104" s="19" t="s">
        <v>1111</v>
      </c>
      <c r="R104" t="s">
        <v>1097</v>
      </c>
    </row>
    <row r="105" spans="1:18" hidden="1" x14ac:dyDescent="0.3">
      <c r="A105" s="19">
        <f t="shared" si="1"/>
        <v>104</v>
      </c>
      <c r="B105" s="20" t="s">
        <v>87</v>
      </c>
      <c r="C105" s="20" t="s">
        <v>102</v>
      </c>
      <c r="D105" s="21" t="str">
        <f>IF($C105="","",IFERROR(VLOOKUP($C105,Map_Register!$A$2:$C$5,3,FALSE()),""))</f>
        <v>Toponym Labels</v>
      </c>
      <c r="E105" s="20" t="s">
        <v>15</v>
      </c>
      <c r="F105" s="22">
        <v>721061</v>
      </c>
      <c r="G105" s="19" t="s">
        <v>1091</v>
      </c>
      <c r="H105" s="19" t="s">
        <v>1323</v>
      </c>
      <c r="I105" s="19" t="s">
        <v>1323</v>
      </c>
      <c r="J105" s="19" t="s">
        <v>1110</v>
      </c>
      <c r="K105" t="s">
        <v>1100</v>
      </c>
      <c r="L105" t="s">
        <v>114</v>
      </c>
      <c r="M105" t="s">
        <v>114</v>
      </c>
      <c r="N105" s="19" t="s">
        <v>530</v>
      </c>
      <c r="O105" s="19" t="s">
        <v>116</v>
      </c>
      <c r="R105" t="s">
        <v>1097</v>
      </c>
    </row>
    <row r="106" spans="1:18" hidden="1" x14ac:dyDescent="0.3">
      <c r="A106" s="19">
        <f t="shared" si="1"/>
        <v>105</v>
      </c>
      <c r="B106" s="20" t="s">
        <v>87</v>
      </c>
      <c r="C106" s="20" t="s">
        <v>102</v>
      </c>
      <c r="D106" s="21" t="str">
        <f>IF($C106="","",IFERROR(VLOOKUP($C106,Map_Register!$A$2:$C$5,3,FALSE()),""))</f>
        <v>Toponym Labels</v>
      </c>
      <c r="E106" s="20" t="s">
        <v>15</v>
      </c>
      <c r="F106" s="22">
        <v>721062</v>
      </c>
      <c r="G106" s="19" t="s">
        <v>1091</v>
      </c>
      <c r="H106" s="19" t="s">
        <v>1324</v>
      </c>
      <c r="I106" s="19" t="s">
        <v>1324</v>
      </c>
      <c r="J106" s="19" t="s">
        <v>1110</v>
      </c>
      <c r="K106" s="19" t="s">
        <v>6</v>
      </c>
      <c r="L106" s="19" t="s">
        <v>1095</v>
      </c>
      <c r="M106" s="19" t="s">
        <v>1095</v>
      </c>
      <c r="N106" s="19" t="s">
        <v>1300</v>
      </c>
      <c r="R106" t="s">
        <v>1097</v>
      </c>
    </row>
    <row r="107" spans="1:18" hidden="1" x14ac:dyDescent="0.3">
      <c r="A107" s="19">
        <f t="shared" si="1"/>
        <v>106</v>
      </c>
      <c r="B107" s="20" t="s">
        <v>87</v>
      </c>
      <c r="C107" s="20" t="s">
        <v>102</v>
      </c>
      <c r="D107" s="21" t="str">
        <f>IF($C107="","",IFERROR(VLOOKUP($C107,Map_Register!$A$2:$C$5,3,FALSE()),""))</f>
        <v>Toponym Labels</v>
      </c>
      <c r="E107" s="20" t="s">
        <v>15</v>
      </c>
      <c r="F107" s="22">
        <v>721063</v>
      </c>
      <c r="G107" s="19" t="s">
        <v>1108</v>
      </c>
      <c r="H107" s="19" t="s">
        <v>1325</v>
      </c>
      <c r="I107" s="19" t="s">
        <v>1326</v>
      </c>
      <c r="J107" s="19" t="s">
        <v>1104</v>
      </c>
      <c r="K107" s="19" t="s">
        <v>6</v>
      </c>
      <c r="L107" s="19" t="s">
        <v>1095</v>
      </c>
      <c r="M107" s="19" t="s">
        <v>1095</v>
      </c>
      <c r="N107" s="19" t="s">
        <v>1105</v>
      </c>
      <c r="R107" t="s">
        <v>1097</v>
      </c>
    </row>
    <row r="108" spans="1:18" hidden="1" x14ac:dyDescent="0.3">
      <c r="A108" s="19">
        <f t="shared" si="1"/>
        <v>107</v>
      </c>
      <c r="B108" s="20" t="s">
        <v>87</v>
      </c>
      <c r="C108" s="20" t="s">
        <v>102</v>
      </c>
      <c r="D108" s="21" t="str">
        <f>IF($C108="","",IFERROR(VLOOKUP($C108,Map_Register!$A$2:$C$5,3,FALSE()),""))</f>
        <v>Toponym Labels</v>
      </c>
      <c r="E108" s="20" t="s">
        <v>15</v>
      </c>
      <c r="F108" s="22">
        <v>721064</v>
      </c>
      <c r="G108" s="19" t="s">
        <v>1108</v>
      </c>
      <c r="H108" s="19" t="s">
        <v>1327</v>
      </c>
      <c r="I108" s="19" t="s">
        <v>1327</v>
      </c>
      <c r="J108" s="19" t="s">
        <v>1110</v>
      </c>
      <c r="K108" s="19" t="s">
        <v>6</v>
      </c>
      <c r="L108" s="19" t="s">
        <v>1095</v>
      </c>
      <c r="M108" s="19" t="s">
        <v>1095</v>
      </c>
      <c r="N108" s="19" t="s">
        <v>1111</v>
      </c>
      <c r="R108" t="s">
        <v>1097</v>
      </c>
    </row>
    <row r="109" spans="1:18" hidden="1" x14ac:dyDescent="0.3">
      <c r="A109" s="19">
        <f t="shared" si="1"/>
        <v>108</v>
      </c>
      <c r="B109" s="20" t="s">
        <v>87</v>
      </c>
      <c r="C109" s="20" t="s">
        <v>102</v>
      </c>
      <c r="D109" s="21" t="str">
        <f>IF($C109="","",IFERROR(VLOOKUP($C109,Map_Register!$A$2:$C$5,3,FALSE()),""))</f>
        <v>Toponym Labels</v>
      </c>
      <c r="E109" s="20" t="s">
        <v>15</v>
      </c>
      <c r="F109" s="22">
        <v>721065</v>
      </c>
      <c r="G109" s="19" t="s">
        <v>1091</v>
      </c>
      <c r="H109" s="19" t="s">
        <v>1328</v>
      </c>
      <c r="I109" s="19" t="s">
        <v>1328</v>
      </c>
      <c r="J109" s="19" t="s">
        <v>1110</v>
      </c>
      <c r="K109" t="s">
        <v>1100</v>
      </c>
      <c r="L109" t="s">
        <v>114</v>
      </c>
      <c r="M109" t="s">
        <v>114</v>
      </c>
      <c r="N109" s="19" t="s">
        <v>530</v>
      </c>
      <c r="O109" s="19" t="s">
        <v>116</v>
      </c>
      <c r="R109" t="s">
        <v>1097</v>
      </c>
    </row>
    <row r="110" spans="1:18" hidden="1" x14ac:dyDescent="0.3">
      <c r="A110" s="19">
        <f t="shared" si="1"/>
        <v>109</v>
      </c>
      <c r="B110" s="20" t="s">
        <v>87</v>
      </c>
      <c r="C110" s="20" t="s">
        <v>102</v>
      </c>
      <c r="D110" s="21" t="str">
        <f>IF($C110="","",IFERROR(VLOOKUP($C110,Map_Register!$A$2:$C$5,3,FALSE()),""))</f>
        <v>Toponym Labels</v>
      </c>
      <c r="E110" s="20" t="s">
        <v>15</v>
      </c>
      <c r="F110" s="22">
        <v>721066</v>
      </c>
      <c r="G110" s="19" t="s">
        <v>1091</v>
      </c>
      <c r="H110" s="19" t="s">
        <v>1329</v>
      </c>
      <c r="I110" s="19" t="s">
        <v>1329</v>
      </c>
      <c r="J110" s="19" t="s">
        <v>1110</v>
      </c>
      <c r="K110" t="s">
        <v>1100</v>
      </c>
      <c r="L110" t="s">
        <v>114</v>
      </c>
      <c r="M110" t="s">
        <v>114</v>
      </c>
      <c r="N110" s="19" t="s">
        <v>530</v>
      </c>
      <c r="O110" s="19" t="s">
        <v>116</v>
      </c>
      <c r="R110" t="s">
        <v>1097</v>
      </c>
    </row>
    <row r="111" spans="1:18" hidden="1" x14ac:dyDescent="0.3">
      <c r="A111" s="19">
        <f t="shared" si="1"/>
        <v>110</v>
      </c>
      <c r="B111" s="20" t="s">
        <v>87</v>
      </c>
      <c r="C111" s="20" t="s">
        <v>102</v>
      </c>
      <c r="D111" s="21" t="str">
        <f>IF($C111="","",IFERROR(VLOOKUP($C111,Map_Register!$A$2:$C$5,3,FALSE()),""))</f>
        <v>Toponym Labels</v>
      </c>
      <c r="E111" s="20" t="s">
        <v>15</v>
      </c>
      <c r="F111" s="22">
        <v>721067</v>
      </c>
      <c r="G111" s="19" t="s">
        <v>1118</v>
      </c>
      <c r="H111" s="19" t="s">
        <v>1330</v>
      </c>
      <c r="I111" s="19" t="s">
        <v>1331</v>
      </c>
      <c r="J111" s="19" t="s">
        <v>1104</v>
      </c>
      <c r="K111" s="19" t="s">
        <v>6</v>
      </c>
      <c r="L111" s="19" t="s">
        <v>1095</v>
      </c>
      <c r="M111" s="19" t="s">
        <v>1095</v>
      </c>
      <c r="N111" s="19" t="s">
        <v>1105</v>
      </c>
      <c r="R111" t="s">
        <v>1097</v>
      </c>
    </row>
    <row r="112" spans="1:18" hidden="1" x14ac:dyDescent="0.3">
      <c r="A112" s="19">
        <f t="shared" si="1"/>
        <v>111</v>
      </c>
      <c r="B112" s="20" t="s">
        <v>87</v>
      </c>
      <c r="C112" s="20" t="s">
        <v>102</v>
      </c>
      <c r="D112" s="21" t="str">
        <f>IF($C112="","",IFERROR(VLOOKUP($C112,Map_Register!$A$2:$C$5,3,FALSE()),""))</f>
        <v>Toponym Labels</v>
      </c>
      <c r="E112" s="20" t="s">
        <v>15</v>
      </c>
      <c r="F112" s="22">
        <v>721068</v>
      </c>
      <c r="G112" s="19" t="s">
        <v>1091</v>
      </c>
      <c r="H112" s="19" t="s">
        <v>1332</v>
      </c>
      <c r="I112" s="19" t="s">
        <v>1332</v>
      </c>
      <c r="J112" s="19" t="s">
        <v>1110</v>
      </c>
      <c r="K112" t="s">
        <v>1100</v>
      </c>
      <c r="L112" t="s">
        <v>114</v>
      </c>
      <c r="M112" t="s">
        <v>114</v>
      </c>
      <c r="N112" s="19" t="s">
        <v>530</v>
      </c>
      <c r="O112" s="19" t="s">
        <v>116</v>
      </c>
      <c r="R112" t="s">
        <v>1097</v>
      </c>
    </row>
    <row r="113" spans="1:18" hidden="1" x14ac:dyDescent="0.3">
      <c r="A113" s="19">
        <f t="shared" si="1"/>
        <v>112</v>
      </c>
      <c r="B113" s="20" t="s">
        <v>87</v>
      </c>
      <c r="C113" s="20" t="s">
        <v>102</v>
      </c>
      <c r="D113" s="21" t="str">
        <f>IF($C113="","",IFERROR(VLOOKUP($C113,Map_Register!$A$2:$C$5,3,FALSE()),""))</f>
        <v>Toponym Labels</v>
      </c>
      <c r="E113" s="20" t="s">
        <v>15</v>
      </c>
      <c r="F113" s="22">
        <v>721069</v>
      </c>
      <c r="G113" s="19" t="s">
        <v>1118</v>
      </c>
      <c r="H113" s="19" t="s">
        <v>1333</v>
      </c>
      <c r="I113" s="19" t="s">
        <v>1333</v>
      </c>
      <c r="J113" s="19" t="s">
        <v>1110</v>
      </c>
      <c r="K113" t="s">
        <v>1100</v>
      </c>
      <c r="L113" s="19" t="s">
        <v>114</v>
      </c>
      <c r="M113" s="19" t="s">
        <v>114</v>
      </c>
      <c r="N113" s="19" t="s">
        <v>1211</v>
      </c>
      <c r="O113" s="19" t="s">
        <v>116</v>
      </c>
      <c r="R113" t="s">
        <v>1097</v>
      </c>
    </row>
    <row r="114" spans="1:18" hidden="1" x14ac:dyDescent="0.3">
      <c r="A114" s="19">
        <f t="shared" si="1"/>
        <v>113</v>
      </c>
      <c r="B114" s="20" t="s">
        <v>87</v>
      </c>
      <c r="C114" s="20" t="s">
        <v>102</v>
      </c>
      <c r="D114" s="21" t="str">
        <f>IF($C114="","",IFERROR(VLOOKUP($C114,Map_Register!$A$2:$C$5,3,FALSE()),""))</f>
        <v>Toponym Labels</v>
      </c>
      <c r="E114" s="20" t="s">
        <v>15</v>
      </c>
      <c r="F114" s="22">
        <v>721070</v>
      </c>
      <c r="G114" s="19" t="s">
        <v>1118</v>
      </c>
      <c r="H114" s="19" t="s">
        <v>1334</v>
      </c>
      <c r="I114" s="19" t="s">
        <v>1334</v>
      </c>
      <c r="J114" s="19" t="s">
        <v>1110</v>
      </c>
      <c r="K114" t="s">
        <v>1100</v>
      </c>
      <c r="L114" s="19" t="s">
        <v>114</v>
      </c>
      <c r="M114" s="19" t="s">
        <v>114</v>
      </c>
      <c r="N114" s="19" t="s">
        <v>1211</v>
      </c>
      <c r="O114" s="19" t="s">
        <v>116</v>
      </c>
      <c r="R114" t="s">
        <v>1097</v>
      </c>
    </row>
    <row r="115" spans="1:18" hidden="1" x14ac:dyDescent="0.3">
      <c r="A115" s="19">
        <f t="shared" si="1"/>
        <v>114</v>
      </c>
      <c r="B115" s="20" t="s">
        <v>87</v>
      </c>
      <c r="C115" s="20" t="s">
        <v>102</v>
      </c>
      <c r="D115" s="21" t="str">
        <f>IF($C115="","",IFERROR(VLOOKUP($C115,Map_Register!$A$2:$C$5,3,FALSE()),""))</f>
        <v>Toponym Labels</v>
      </c>
      <c r="E115" s="20" t="s">
        <v>15</v>
      </c>
      <c r="F115" s="22">
        <v>721071</v>
      </c>
      <c r="G115" s="19" t="s">
        <v>1118</v>
      </c>
      <c r="H115" s="19" t="s">
        <v>1335</v>
      </c>
      <c r="I115" s="19" t="s">
        <v>1335</v>
      </c>
      <c r="J115" s="19" t="s">
        <v>1110</v>
      </c>
      <c r="K115" s="19" t="s">
        <v>6</v>
      </c>
      <c r="L115" s="19" t="s">
        <v>1095</v>
      </c>
      <c r="M115" s="19" t="s">
        <v>1095</v>
      </c>
      <c r="N115" s="19" t="s">
        <v>1315</v>
      </c>
      <c r="R115" t="s">
        <v>1097</v>
      </c>
    </row>
    <row r="116" spans="1:18" hidden="1" x14ac:dyDescent="0.3">
      <c r="A116" s="19">
        <f t="shared" si="1"/>
        <v>115</v>
      </c>
      <c r="B116" s="20" t="s">
        <v>87</v>
      </c>
      <c r="C116" s="20" t="s">
        <v>102</v>
      </c>
      <c r="D116" s="21" t="str">
        <f>IF($C116="","",IFERROR(VLOOKUP($C116,Map_Register!$A$2:$C$5,3,FALSE()),""))</f>
        <v>Toponym Labels</v>
      </c>
      <c r="E116" s="20" t="s">
        <v>15</v>
      </c>
      <c r="F116" s="22">
        <v>721072</v>
      </c>
      <c r="G116" s="19" t="s">
        <v>1091</v>
      </c>
      <c r="H116" s="19" t="s">
        <v>1336</v>
      </c>
      <c r="I116" s="19" t="s">
        <v>1336</v>
      </c>
      <c r="J116" s="19" t="s">
        <v>1110</v>
      </c>
      <c r="K116" t="s">
        <v>1100</v>
      </c>
      <c r="L116" t="s">
        <v>114</v>
      </c>
      <c r="M116" t="s">
        <v>114</v>
      </c>
      <c r="N116" s="19" t="s">
        <v>530</v>
      </c>
      <c r="O116" s="19" t="s">
        <v>116</v>
      </c>
      <c r="R116" t="s">
        <v>1097</v>
      </c>
    </row>
    <row r="117" spans="1:18" hidden="1" x14ac:dyDescent="0.3">
      <c r="A117" s="19">
        <f t="shared" si="1"/>
        <v>116</v>
      </c>
      <c r="B117" s="20" t="s">
        <v>87</v>
      </c>
      <c r="C117" s="20" t="s">
        <v>102</v>
      </c>
      <c r="D117" s="21" t="str">
        <f>IF($C117="","",IFERROR(VLOOKUP($C117,Map_Register!$A$2:$C$5,3,FALSE()),""))</f>
        <v>Toponym Labels</v>
      </c>
      <c r="E117" s="20" t="s">
        <v>15</v>
      </c>
      <c r="F117" s="22">
        <v>721073</v>
      </c>
      <c r="G117" s="19" t="s">
        <v>1108</v>
      </c>
      <c r="H117" s="19" t="s">
        <v>1337</v>
      </c>
      <c r="I117" s="19" t="s">
        <v>1338</v>
      </c>
      <c r="J117" s="19" t="s">
        <v>1104</v>
      </c>
      <c r="K117" s="19" t="s">
        <v>6</v>
      </c>
      <c r="L117" s="19" t="s">
        <v>1095</v>
      </c>
      <c r="M117" s="19" t="s">
        <v>1095</v>
      </c>
      <c r="N117" s="19" t="s">
        <v>1105</v>
      </c>
      <c r="R117" t="s">
        <v>1097</v>
      </c>
    </row>
    <row r="118" spans="1:18" hidden="1" x14ac:dyDescent="0.3">
      <c r="A118" s="19">
        <f t="shared" si="1"/>
        <v>117</v>
      </c>
      <c r="B118" s="20" t="s">
        <v>87</v>
      </c>
      <c r="C118" s="20" t="s">
        <v>102</v>
      </c>
      <c r="D118" s="21" t="str">
        <f>IF($C118="","",IFERROR(VLOOKUP($C118,Map_Register!$A$2:$C$5,3,FALSE()),""))</f>
        <v>Toponym Labels</v>
      </c>
      <c r="E118" s="20" t="s">
        <v>15</v>
      </c>
      <c r="F118" s="22">
        <v>721074</v>
      </c>
      <c r="G118" s="19" t="s">
        <v>1118</v>
      </c>
      <c r="H118" s="19" t="s">
        <v>1339</v>
      </c>
      <c r="I118" s="19" t="s">
        <v>1339</v>
      </c>
      <c r="J118" s="19" t="s">
        <v>1110</v>
      </c>
      <c r="K118" t="s">
        <v>1100</v>
      </c>
      <c r="L118" t="s">
        <v>114</v>
      </c>
      <c r="M118" t="s">
        <v>114</v>
      </c>
      <c r="N118" s="19" t="s">
        <v>1340</v>
      </c>
      <c r="O118" s="19" t="s">
        <v>116</v>
      </c>
      <c r="R118" t="s">
        <v>1097</v>
      </c>
    </row>
    <row r="119" spans="1:18" hidden="1" x14ac:dyDescent="0.3">
      <c r="A119" s="19">
        <f t="shared" si="1"/>
        <v>118</v>
      </c>
      <c r="B119" s="20" t="s">
        <v>87</v>
      </c>
      <c r="C119" s="20" t="s">
        <v>102</v>
      </c>
      <c r="D119" s="21" t="str">
        <f>IF($C119="","",IFERROR(VLOOKUP($C119,Map_Register!$A$2:$C$5,3,FALSE()),""))</f>
        <v>Toponym Labels</v>
      </c>
      <c r="E119" s="20" t="s">
        <v>15</v>
      </c>
      <c r="F119" s="22">
        <v>721075</v>
      </c>
      <c r="G119" s="19" t="s">
        <v>1341</v>
      </c>
      <c r="H119" s="19" t="s">
        <v>1342</v>
      </c>
      <c r="I119" s="19" t="s">
        <v>1343</v>
      </c>
      <c r="J119" s="19" t="s">
        <v>1094</v>
      </c>
      <c r="K119" t="s">
        <v>1100</v>
      </c>
      <c r="L119" t="s">
        <v>114</v>
      </c>
      <c r="M119" t="s">
        <v>114</v>
      </c>
      <c r="N119" s="19" t="s">
        <v>1268</v>
      </c>
      <c r="O119" s="19" t="s">
        <v>116</v>
      </c>
      <c r="R119" t="s">
        <v>1097</v>
      </c>
    </row>
    <row r="120" spans="1:18" hidden="1" x14ac:dyDescent="0.3">
      <c r="A120" s="19">
        <f t="shared" si="1"/>
        <v>119</v>
      </c>
      <c r="B120" s="20" t="s">
        <v>87</v>
      </c>
      <c r="C120" s="20" t="s">
        <v>102</v>
      </c>
      <c r="D120" s="21" t="str">
        <f>IF($C120="","",IFERROR(VLOOKUP($C120,Map_Register!$A$2:$C$5,3,FALSE()),""))</f>
        <v>Toponym Labels</v>
      </c>
      <c r="E120" s="20" t="s">
        <v>15</v>
      </c>
      <c r="F120" s="22">
        <v>721076</v>
      </c>
      <c r="G120" s="19" t="s">
        <v>1136</v>
      </c>
      <c r="H120" s="19" t="s">
        <v>1344</v>
      </c>
      <c r="I120" s="19" t="s">
        <v>1345</v>
      </c>
      <c r="J120" s="19" t="s">
        <v>1104</v>
      </c>
      <c r="K120" t="s">
        <v>1100</v>
      </c>
      <c r="L120" t="s">
        <v>114</v>
      </c>
      <c r="M120" t="s">
        <v>114</v>
      </c>
      <c r="N120" s="19" t="s">
        <v>530</v>
      </c>
      <c r="O120" s="19" t="s">
        <v>116</v>
      </c>
      <c r="R120" t="s">
        <v>1097</v>
      </c>
    </row>
    <row r="121" spans="1:18" hidden="1" x14ac:dyDescent="0.3">
      <c r="A121" s="19">
        <f t="shared" si="1"/>
        <v>120</v>
      </c>
      <c r="B121" s="20" t="s">
        <v>87</v>
      </c>
      <c r="C121" s="20" t="s">
        <v>102</v>
      </c>
      <c r="D121" s="21" t="str">
        <f>IF($C121="","",IFERROR(VLOOKUP($C121,Map_Register!$A$2:$C$5,3,FALSE()),""))</f>
        <v>Toponym Labels</v>
      </c>
      <c r="E121" s="20" t="s">
        <v>15</v>
      </c>
      <c r="F121" s="22">
        <v>721077</v>
      </c>
      <c r="G121" s="19" t="s">
        <v>1346</v>
      </c>
      <c r="H121" s="19" t="s">
        <v>871</v>
      </c>
      <c r="I121" s="19" t="s">
        <v>871</v>
      </c>
      <c r="J121" s="19" t="s">
        <v>1110</v>
      </c>
      <c r="K121" t="s">
        <v>1100</v>
      </c>
      <c r="L121" t="s">
        <v>114</v>
      </c>
      <c r="M121" t="s">
        <v>114</v>
      </c>
      <c r="N121" s="19" t="s">
        <v>1347</v>
      </c>
      <c r="O121" s="19" t="s">
        <v>116</v>
      </c>
      <c r="R121" t="s">
        <v>1097</v>
      </c>
    </row>
    <row r="122" spans="1:18" hidden="1" x14ac:dyDescent="0.3">
      <c r="A122" s="19">
        <f t="shared" si="1"/>
        <v>121</v>
      </c>
      <c r="B122" s="20" t="s">
        <v>87</v>
      </c>
      <c r="C122" s="20" t="s">
        <v>102</v>
      </c>
      <c r="D122" s="21" t="str">
        <f>IF($C122="","",IFERROR(VLOOKUP($C122,Map_Register!$A$2:$C$5,3,FALSE()),""))</f>
        <v>Toponym Labels</v>
      </c>
      <c r="E122" s="20" t="s">
        <v>15</v>
      </c>
      <c r="F122" s="22">
        <v>721078</v>
      </c>
      <c r="G122" s="19" t="s">
        <v>1125</v>
      </c>
      <c r="H122" s="19" t="s">
        <v>1348</v>
      </c>
      <c r="I122" s="19" t="s">
        <v>1349</v>
      </c>
      <c r="J122" s="19" t="s">
        <v>1094</v>
      </c>
      <c r="K122" t="s">
        <v>1100</v>
      </c>
      <c r="L122" t="s">
        <v>114</v>
      </c>
      <c r="M122" t="s">
        <v>114</v>
      </c>
      <c r="N122" s="19" t="s">
        <v>1350</v>
      </c>
      <c r="O122" s="19" t="s">
        <v>116</v>
      </c>
      <c r="R122" t="s">
        <v>1097</v>
      </c>
    </row>
    <row r="123" spans="1:18" hidden="1" x14ac:dyDescent="0.3">
      <c r="A123" s="19">
        <f t="shared" si="1"/>
        <v>122</v>
      </c>
      <c r="B123" s="20" t="s">
        <v>87</v>
      </c>
      <c r="C123" s="20" t="s">
        <v>102</v>
      </c>
      <c r="D123" s="21" t="str">
        <f>IF($C123="","",IFERROR(VLOOKUP($C123,Map_Register!$A$2:$C$5,3,FALSE()),""))</f>
        <v>Toponym Labels</v>
      </c>
      <c r="E123" s="20" t="s">
        <v>15</v>
      </c>
      <c r="F123" s="22">
        <v>721079</v>
      </c>
      <c r="G123" s="19" t="s">
        <v>1125</v>
      </c>
      <c r="H123" s="19" t="s">
        <v>1351</v>
      </c>
      <c r="I123" s="19" t="s">
        <v>1351</v>
      </c>
      <c r="J123" s="19" t="s">
        <v>1110</v>
      </c>
      <c r="K123" t="s">
        <v>1100</v>
      </c>
      <c r="L123" t="s">
        <v>114</v>
      </c>
      <c r="M123" t="s">
        <v>114</v>
      </c>
      <c r="N123" s="19" t="s">
        <v>1352</v>
      </c>
      <c r="O123" s="19" t="s">
        <v>116</v>
      </c>
      <c r="R123" t="s">
        <v>1097</v>
      </c>
    </row>
    <row r="124" spans="1:18" hidden="1" x14ac:dyDescent="0.3">
      <c r="A124" s="19">
        <f t="shared" si="1"/>
        <v>123</v>
      </c>
      <c r="B124" s="20" t="s">
        <v>87</v>
      </c>
      <c r="C124" s="20" t="s">
        <v>102</v>
      </c>
      <c r="D124" s="21" t="str">
        <f>IF($C124="","",IFERROR(VLOOKUP($C124,Map_Register!$A$2:$C$5,3,FALSE()),""))</f>
        <v>Toponym Labels</v>
      </c>
      <c r="E124" s="20" t="s">
        <v>15</v>
      </c>
      <c r="F124" s="22">
        <v>721080</v>
      </c>
      <c r="G124" s="19" t="s">
        <v>1118</v>
      </c>
      <c r="H124" s="19" t="s">
        <v>1353</v>
      </c>
      <c r="I124" s="19" t="s">
        <v>1353</v>
      </c>
      <c r="J124" s="19" t="s">
        <v>1110</v>
      </c>
      <c r="K124" t="s">
        <v>1100</v>
      </c>
      <c r="L124" s="19" t="s">
        <v>114</v>
      </c>
      <c r="M124" s="19" t="s">
        <v>114</v>
      </c>
      <c r="N124" s="19" t="s">
        <v>1178</v>
      </c>
      <c r="O124" s="19" t="s">
        <v>116</v>
      </c>
      <c r="R124" t="s">
        <v>1097</v>
      </c>
    </row>
    <row r="125" spans="1:18" hidden="1" x14ac:dyDescent="0.3">
      <c r="A125" s="19">
        <f t="shared" si="1"/>
        <v>124</v>
      </c>
      <c r="B125" s="20" t="s">
        <v>87</v>
      </c>
      <c r="C125" s="20" t="s">
        <v>102</v>
      </c>
      <c r="D125" s="21" t="str">
        <f>IF($C125="","",IFERROR(VLOOKUP($C125,Map_Register!$A$2:$C$5,3,FALSE()),""))</f>
        <v>Toponym Labels</v>
      </c>
      <c r="E125" s="20" t="s">
        <v>15</v>
      </c>
      <c r="F125" s="22">
        <v>721081</v>
      </c>
      <c r="G125" s="19" t="s">
        <v>1118</v>
      </c>
      <c r="H125" s="19" t="s">
        <v>1354</v>
      </c>
      <c r="I125" s="19" t="s">
        <v>1354</v>
      </c>
      <c r="J125" s="19" t="s">
        <v>1110</v>
      </c>
      <c r="K125" s="19" t="s">
        <v>6</v>
      </c>
      <c r="L125" s="19" t="s">
        <v>1095</v>
      </c>
      <c r="M125" s="19" t="s">
        <v>1095</v>
      </c>
      <c r="N125" s="19" t="s">
        <v>1315</v>
      </c>
      <c r="R125" t="s">
        <v>1097</v>
      </c>
    </row>
    <row r="126" spans="1:18" hidden="1" x14ac:dyDescent="0.3">
      <c r="A126" s="19">
        <f t="shared" si="1"/>
        <v>125</v>
      </c>
      <c r="B126" s="20" t="s">
        <v>87</v>
      </c>
      <c r="C126" s="20" t="s">
        <v>102</v>
      </c>
      <c r="D126" s="21" t="str">
        <f>IF($C126="","",IFERROR(VLOOKUP($C126,Map_Register!$A$2:$C$5,3,FALSE()),""))</f>
        <v>Toponym Labels</v>
      </c>
      <c r="E126" s="20" t="s">
        <v>15</v>
      </c>
      <c r="F126" s="22">
        <v>721082</v>
      </c>
      <c r="G126" s="19" t="s">
        <v>1136</v>
      </c>
      <c r="H126" s="19" t="s">
        <v>1355</v>
      </c>
      <c r="I126" s="19" t="s">
        <v>1355</v>
      </c>
      <c r="J126" s="19" t="s">
        <v>1110</v>
      </c>
      <c r="K126" t="s">
        <v>1100</v>
      </c>
      <c r="L126" t="s">
        <v>114</v>
      </c>
      <c r="M126" t="s">
        <v>114</v>
      </c>
      <c r="N126" s="19" t="s">
        <v>530</v>
      </c>
      <c r="O126" s="19" t="s">
        <v>116</v>
      </c>
      <c r="R126" t="s">
        <v>1097</v>
      </c>
    </row>
    <row r="127" spans="1:18" hidden="1" x14ac:dyDescent="0.3">
      <c r="A127" s="19">
        <f t="shared" si="1"/>
        <v>126</v>
      </c>
      <c r="B127" s="20" t="s">
        <v>87</v>
      </c>
      <c r="C127" s="20" t="s">
        <v>102</v>
      </c>
      <c r="D127" s="21" t="str">
        <f>IF($C127="","",IFERROR(VLOOKUP($C127,Map_Register!$A$2:$C$5,3,FALSE()),""))</f>
        <v>Toponym Labels</v>
      </c>
      <c r="E127" s="20" t="s">
        <v>15</v>
      </c>
      <c r="F127" s="22">
        <v>721083</v>
      </c>
      <c r="G127" s="19" t="s">
        <v>1136</v>
      </c>
      <c r="H127" s="19" t="s">
        <v>1356</v>
      </c>
      <c r="I127" s="19" t="s">
        <v>1356</v>
      </c>
      <c r="J127" s="19" t="s">
        <v>1110</v>
      </c>
      <c r="K127" t="s">
        <v>1100</v>
      </c>
      <c r="L127" t="s">
        <v>114</v>
      </c>
      <c r="M127" t="s">
        <v>114</v>
      </c>
      <c r="N127" s="19" t="s">
        <v>530</v>
      </c>
      <c r="O127" s="19" t="s">
        <v>116</v>
      </c>
      <c r="R127" t="s">
        <v>1097</v>
      </c>
    </row>
    <row r="128" spans="1:18" hidden="1" x14ac:dyDescent="0.3">
      <c r="A128" s="19">
        <f t="shared" si="1"/>
        <v>127</v>
      </c>
      <c r="B128" s="20" t="s">
        <v>87</v>
      </c>
      <c r="C128" s="20" t="s">
        <v>102</v>
      </c>
      <c r="D128" s="21" t="str">
        <f>IF($C128="","",IFERROR(VLOOKUP($C128,Map_Register!$A$2:$C$5,3,FALSE()),""))</f>
        <v>Toponym Labels</v>
      </c>
      <c r="E128" s="20" t="s">
        <v>15</v>
      </c>
      <c r="F128" s="22">
        <v>721084</v>
      </c>
      <c r="G128" s="19" t="s">
        <v>1118</v>
      </c>
      <c r="H128" s="19" t="s">
        <v>1357</v>
      </c>
      <c r="I128" s="19" t="s">
        <v>1358</v>
      </c>
      <c r="J128" s="19" t="s">
        <v>1094</v>
      </c>
      <c r="K128" t="s">
        <v>1100</v>
      </c>
      <c r="L128" s="19" t="s">
        <v>114</v>
      </c>
      <c r="M128" s="19" t="s">
        <v>114</v>
      </c>
      <c r="N128" s="19" t="s">
        <v>1178</v>
      </c>
      <c r="O128" s="19" t="s">
        <v>116</v>
      </c>
      <c r="R128" t="s">
        <v>1097</v>
      </c>
    </row>
    <row r="129" spans="1:18" hidden="1" x14ac:dyDescent="0.3">
      <c r="A129" s="19">
        <f t="shared" si="1"/>
        <v>128</v>
      </c>
      <c r="B129" s="20" t="s">
        <v>87</v>
      </c>
      <c r="C129" s="20" t="s">
        <v>102</v>
      </c>
      <c r="D129" s="21" t="str">
        <f>IF($C129="","",IFERROR(VLOOKUP($C129,Map_Register!$A$2:$C$5,3,FALSE()),""))</f>
        <v>Toponym Labels</v>
      </c>
      <c r="E129" s="20" t="s">
        <v>15</v>
      </c>
      <c r="F129" s="22">
        <v>721085</v>
      </c>
      <c r="G129" s="19" t="s">
        <v>1125</v>
      </c>
      <c r="H129" s="19" t="s">
        <v>1359</v>
      </c>
      <c r="I129" s="19" t="s">
        <v>1360</v>
      </c>
      <c r="J129" s="19" t="s">
        <v>1094</v>
      </c>
      <c r="K129" s="19" t="s">
        <v>6</v>
      </c>
      <c r="L129" s="19" t="s">
        <v>1095</v>
      </c>
      <c r="M129" s="19" t="s">
        <v>1095</v>
      </c>
      <c r="N129" s="19" t="s">
        <v>1105</v>
      </c>
      <c r="R129" t="s">
        <v>1097</v>
      </c>
    </row>
    <row r="130" spans="1:18" hidden="1" x14ac:dyDescent="0.3">
      <c r="A130" s="19">
        <f t="shared" ref="A130:A193" si="2">IF($B130="","",ROW()-1)</f>
        <v>129</v>
      </c>
      <c r="B130" s="20" t="s">
        <v>87</v>
      </c>
      <c r="C130" s="20" t="s">
        <v>102</v>
      </c>
      <c r="D130" s="21" t="str">
        <f>IF($C130="","",IFERROR(VLOOKUP($C130,Map_Register!$A$2:$C$5,3,FALSE()),""))</f>
        <v>Toponym Labels</v>
      </c>
      <c r="E130" s="20" t="s">
        <v>15</v>
      </c>
      <c r="F130" s="22">
        <v>721086</v>
      </c>
      <c r="G130" s="19" t="s">
        <v>1125</v>
      </c>
      <c r="H130" s="19" t="s">
        <v>870</v>
      </c>
      <c r="I130" s="19" t="s">
        <v>1361</v>
      </c>
      <c r="J130" s="19" t="s">
        <v>1094</v>
      </c>
      <c r="K130" s="19" t="s">
        <v>6</v>
      </c>
      <c r="L130" s="19" t="s">
        <v>1095</v>
      </c>
      <c r="M130" s="19" t="s">
        <v>1095</v>
      </c>
      <c r="N130" s="19" t="s">
        <v>1105</v>
      </c>
      <c r="R130" t="s">
        <v>1097</v>
      </c>
    </row>
    <row r="131" spans="1:18" hidden="1" x14ac:dyDescent="0.3">
      <c r="A131" s="19">
        <f t="shared" si="2"/>
        <v>130</v>
      </c>
      <c r="B131" s="20" t="s">
        <v>87</v>
      </c>
      <c r="C131" s="20" t="s">
        <v>102</v>
      </c>
      <c r="D131" s="21" t="str">
        <f>IF($C131="","",IFERROR(VLOOKUP($C131,Map_Register!$A$2:$C$5,3,FALSE()),""))</f>
        <v>Toponym Labels</v>
      </c>
      <c r="E131" s="20" t="s">
        <v>15</v>
      </c>
      <c r="F131" s="22">
        <v>721087</v>
      </c>
      <c r="G131" s="19" t="s">
        <v>1108</v>
      </c>
      <c r="H131" s="19" t="s">
        <v>1362</v>
      </c>
      <c r="I131" s="19" t="s">
        <v>1363</v>
      </c>
      <c r="J131" s="19" t="s">
        <v>1094</v>
      </c>
      <c r="K131" s="19" t="s">
        <v>6</v>
      </c>
      <c r="L131" s="19" t="s">
        <v>1095</v>
      </c>
      <c r="M131" s="19" t="s">
        <v>1095</v>
      </c>
      <c r="N131" s="19" t="s">
        <v>1105</v>
      </c>
      <c r="R131" t="s">
        <v>1097</v>
      </c>
    </row>
    <row r="132" spans="1:18" hidden="1" x14ac:dyDescent="0.3">
      <c r="A132" s="19">
        <f t="shared" si="2"/>
        <v>131</v>
      </c>
      <c r="B132" s="20" t="s">
        <v>87</v>
      </c>
      <c r="C132" s="20" t="s">
        <v>102</v>
      </c>
      <c r="D132" s="21" t="str">
        <f>IF($C132="","",IFERROR(VLOOKUP($C132,Map_Register!$A$2:$C$5,3,FALSE()),""))</f>
        <v>Toponym Labels</v>
      </c>
      <c r="E132" s="20" t="s">
        <v>15</v>
      </c>
      <c r="F132" s="22">
        <v>721088</v>
      </c>
      <c r="G132" s="19" t="s">
        <v>1091</v>
      </c>
      <c r="H132" s="19" t="s">
        <v>1364</v>
      </c>
      <c r="I132" s="19" t="s">
        <v>1365</v>
      </c>
      <c r="J132" s="19" t="s">
        <v>1094</v>
      </c>
      <c r="K132" s="19" t="s">
        <v>6</v>
      </c>
      <c r="L132" s="19" t="s">
        <v>1095</v>
      </c>
      <c r="M132" s="19" t="s">
        <v>1095</v>
      </c>
      <c r="N132" s="19" t="s">
        <v>1105</v>
      </c>
      <c r="R132" t="s">
        <v>1097</v>
      </c>
    </row>
    <row r="133" spans="1:18" hidden="1" x14ac:dyDescent="0.3">
      <c r="A133" s="19">
        <f t="shared" si="2"/>
        <v>132</v>
      </c>
      <c r="B133" s="20" t="s">
        <v>87</v>
      </c>
      <c r="C133" s="20" t="s">
        <v>102</v>
      </c>
      <c r="D133" s="21" t="str">
        <f>IF($C133="","",IFERROR(VLOOKUP($C133,Map_Register!$A$2:$C$5,3,FALSE()),""))</f>
        <v>Toponym Labels</v>
      </c>
      <c r="E133" s="20" t="s">
        <v>15</v>
      </c>
      <c r="F133" s="22">
        <v>721089</v>
      </c>
      <c r="G133" s="19" t="s">
        <v>1108</v>
      </c>
      <c r="H133" s="19" t="s">
        <v>1366</v>
      </c>
      <c r="I133" s="19" t="s">
        <v>1367</v>
      </c>
      <c r="J133" s="19" t="s">
        <v>1104</v>
      </c>
      <c r="K133" s="19" t="s">
        <v>6</v>
      </c>
      <c r="L133" s="19" t="s">
        <v>1095</v>
      </c>
      <c r="M133" s="19" t="s">
        <v>1095</v>
      </c>
      <c r="N133" s="19" t="s">
        <v>1105</v>
      </c>
      <c r="R133" t="s">
        <v>1097</v>
      </c>
    </row>
    <row r="134" spans="1:18" hidden="1" x14ac:dyDescent="0.3">
      <c r="A134" s="19">
        <f t="shared" si="2"/>
        <v>133</v>
      </c>
      <c r="B134" s="20" t="s">
        <v>87</v>
      </c>
      <c r="C134" s="20" t="s">
        <v>102</v>
      </c>
      <c r="D134" s="21" t="str">
        <f>IF($C134="","",IFERROR(VLOOKUP($C134,Map_Register!$A$2:$C$5,3,FALSE()),""))</f>
        <v>Toponym Labels</v>
      </c>
      <c r="E134" s="20" t="s">
        <v>15</v>
      </c>
      <c r="F134" s="22">
        <v>721090</v>
      </c>
      <c r="G134" s="19" t="s">
        <v>1125</v>
      </c>
      <c r="H134" s="19" t="s">
        <v>1368</v>
      </c>
      <c r="I134" s="19" t="s">
        <v>1368</v>
      </c>
      <c r="J134" s="19" t="s">
        <v>1110</v>
      </c>
      <c r="K134" t="s">
        <v>1100</v>
      </c>
      <c r="L134" t="s">
        <v>114</v>
      </c>
      <c r="M134" t="s">
        <v>114</v>
      </c>
      <c r="N134" s="19" t="s">
        <v>1369</v>
      </c>
      <c r="O134" s="19" t="s">
        <v>116</v>
      </c>
      <c r="R134" t="s">
        <v>1097</v>
      </c>
    </row>
    <row r="135" spans="1:18" hidden="1" x14ac:dyDescent="0.3">
      <c r="A135" s="19">
        <f t="shared" si="2"/>
        <v>134</v>
      </c>
      <c r="B135" s="20" t="s">
        <v>87</v>
      </c>
      <c r="C135" s="20" t="s">
        <v>102</v>
      </c>
      <c r="D135" s="21" t="str">
        <f>IF($C135="","",IFERROR(VLOOKUP($C135,Map_Register!$A$2:$C$5,3,FALSE()),""))</f>
        <v>Toponym Labels</v>
      </c>
      <c r="E135" s="20" t="s">
        <v>15</v>
      </c>
      <c r="F135" s="22">
        <v>721091</v>
      </c>
      <c r="G135" s="19" t="s">
        <v>1125</v>
      </c>
      <c r="H135" s="19" t="s">
        <v>1370</v>
      </c>
      <c r="I135" s="19" t="s">
        <v>1370</v>
      </c>
      <c r="J135" s="19" t="s">
        <v>1110</v>
      </c>
      <c r="K135" s="19" t="s">
        <v>6</v>
      </c>
      <c r="L135" s="19" t="s">
        <v>1095</v>
      </c>
      <c r="M135" s="19" t="s">
        <v>1095</v>
      </c>
      <c r="N135" s="19" t="s">
        <v>1155</v>
      </c>
      <c r="R135" t="s">
        <v>1097</v>
      </c>
    </row>
    <row r="136" spans="1:18" hidden="1" x14ac:dyDescent="0.3">
      <c r="A136" s="19">
        <f t="shared" si="2"/>
        <v>135</v>
      </c>
      <c r="B136" s="20" t="s">
        <v>87</v>
      </c>
      <c r="C136" s="20" t="s">
        <v>102</v>
      </c>
      <c r="D136" s="21" t="str">
        <f>IF($C136="","",IFERROR(VLOOKUP($C136,Map_Register!$A$2:$C$5,3,FALSE()),""))</f>
        <v>Toponym Labels</v>
      </c>
      <c r="E136" s="20" t="s">
        <v>15</v>
      </c>
      <c r="F136" s="22">
        <v>721092</v>
      </c>
      <c r="G136" s="19" t="s">
        <v>1163</v>
      </c>
      <c r="H136" s="19" t="s">
        <v>1371</v>
      </c>
      <c r="I136" s="19" t="s">
        <v>1371</v>
      </c>
      <c r="J136" s="19" t="s">
        <v>1110</v>
      </c>
      <c r="K136" t="s">
        <v>1100</v>
      </c>
      <c r="L136" t="s">
        <v>114</v>
      </c>
      <c r="M136" t="s">
        <v>114</v>
      </c>
      <c r="N136" s="19" t="s">
        <v>530</v>
      </c>
      <c r="O136" s="19" t="s">
        <v>116</v>
      </c>
      <c r="R136" t="s">
        <v>1097</v>
      </c>
    </row>
    <row r="137" spans="1:18" hidden="1" x14ac:dyDescent="0.3">
      <c r="A137" s="19">
        <f t="shared" si="2"/>
        <v>136</v>
      </c>
      <c r="B137" s="20" t="s">
        <v>87</v>
      </c>
      <c r="C137" s="20" t="s">
        <v>102</v>
      </c>
      <c r="D137" s="21" t="str">
        <f>IF($C137="","",IFERROR(VLOOKUP($C137,Map_Register!$A$2:$C$5,3,FALSE()),""))</f>
        <v>Toponym Labels</v>
      </c>
      <c r="E137" s="20" t="s">
        <v>15</v>
      </c>
      <c r="F137" s="22">
        <v>721093</v>
      </c>
      <c r="G137" s="19" t="s">
        <v>1125</v>
      </c>
      <c r="H137" s="19" t="s">
        <v>1372</v>
      </c>
      <c r="I137" s="19" t="s">
        <v>1372</v>
      </c>
      <c r="J137" s="19" t="s">
        <v>1117</v>
      </c>
      <c r="K137" t="s">
        <v>1100</v>
      </c>
      <c r="L137" t="s">
        <v>114</v>
      </c>
      <c r="M137" t="s">
        <v>114</v>
      </c>
      <c r="N137" s="19" t="s">
        <v>1373</v>
      </c>
      <c r="O137" s="19" t="s">
        <v>116</v>
      </c>
      <c r="R137" t="s">
        <v>1097</v>
      </c>
    </row>
    <row r="138" spans="1:18" hidden="1" x14ac:dyDescent="0.3">
      <c r="A138" s="19">
        <f t="shared" si="2"/>
        <v>137</v>
      </c>
      <c r="B138" s="20" t="s">
        <v>87</v>
      </c>
      <c r="C138" s="20" t="s">
        <v>102</v>
      </c>
      <c r="D138" s="21" t="str">
        <f>IF($C138="","",IFERROR(VLOOKUP($C138,Map_Register!$A$2:$C$5,3,FALSE()),""))</f>
        <v>Toponym Labels</v>
      </c>
      <c r="E138" s="20" t="s">
        <v>15</v>
      </c>
      <c r="F138" s="22">
        <v>721094</v>
      </c>
      <c r="G138" s="19" t="s">
        <v>1309</v>
      </c>
      <c r="H138" s="19" t="s">
        <v>1374</v>
      </c>
      <c r="I138" s="19" t="s">
        <v>1374</v>
      </c>
      <c r="J138" s="19" t="s">
        <v>1110</v>
      </c>
      <c r="K138" t="s">
        <v>1100</v>
      </c>
      <c r="L138" t="s">
        <v>114</v>
      </c>
      <c r="M138" t="s">
        <v>114</v>
      </c>
      <c r="N138" s="19" t="s">
        <v>1375</v>
      </c>
      <c r="O138" s="19" t="s">
        <v>116</v>
      </c>
      <c r="R138" t="s">
        <v>1097</v>
      </c>
    </row>
    <row r="139" spans="1:18" hidden="1" x14ac:dyDescent="0.3">
      <c r="A139" s="19">
        <f t="shared" si="2"/>
        <v>138</v>
      </c>
      <c r="B139" s="20" t="s">
        <v>87</v>
      </c>
      <c r="C139" s="20" t="s">
        <v>102</v>
      </c>
      <c r="D139" s="21" t="str">
        <f>IF($C139="","",IFERROR(VLOOKUP($C139,Map_Register!$A$2:$C$5,3,FALSE()),""))</f>
        <v>Toponym Labels</v>
      </c>
      <c r="E139" s="20" t="s">
        <v>15</v>
      </c>
      <c r="F139" s="22">
        <v>721095</v>
      </c>
      <c r="G139" s="19" t="s">
        <v>1108</v>
      </c>
      <c r="H139" s="19" t="s">
        <v>1376</v>
      </c>
      <c r="I139" s="19" t="s">
        <v>1377</v>
      </c>
      <c r="J139" s="19" t="s">
        <v>1104</v>
      </c>
      <c r="K139" s="19" t="s">
        <v>6</v>
      </c>
      <c r="L139" s="19" t="s">
        <v>1095</v>
      </c>
      <c r="M139" s="19" t="s">
        <v>1095</v>
      </c>
      <c r="N139" s="19" t="s">
        <v>1105</v>
      </c>
      <c r="R139" t="s">
        <v>1097</v>
      </c>
    </row>
    <row r="140" spans="1:18" hidden="1" x14ac:dyDescent="0.3">
      <c r="A140" s="19">
        <f t="shared" si="2"/>
        <v>139</v>
      </c>
      <c r="B140" s="20" t="s">
        <v>87</v>
      </c>
      <c r="C140" s="20" t="s">
        <v>102</v>
      </c>
      <c r="D140" s="21" t="str">
        <f>IF($C140="","",IFERROR(VLOOKUP($C140,Map_Register!$A$2:$C$5,3,FALSE()),""))</f>
        <v>Toponym Labels</v>
      </c>
      <c r="E140" s="20" t="s">
        <v>15</v>
      </c>
      <c r="F140" s="22">
        <v>721096</v>
      </c>
      <c r="G140" s="19" t="s">
        <v>1145</v>
      </c>
      <c r="H140" s="19" t="s">
        <v>1378</v>
      </c>
      <c r="I140" s="19" t="s">
        <v>1379</v>
      </c>
      <c r="J140" s="19" t="s">
        <v>1094</v>
      </c>
      <c r="K140" s="19" t="s">
        <v>6</v>
      </c>
      <c r="L140" s="19" t="s">
        <v>1095</v>
      </c>
      <c r="M140" s="19" t="s">
        <v>1095</v>
      </c>
      <c r="N140" s="19" t="s">
        <v>1380</v>
      </c>
      <c r="R140" t="s">
        <v>1097</v>
      </c>
    </row>
    <row r="141" spans="1:18" hidden="1" x14ac:dyDescent="0.3">
      <c r="A141" s="19">
        <f t="shared" si="2"/>
        <v>140</v>
      </c>
      <c r="B141" s="20" t="s">
        <v>87</v>
      </c>
      <c r="C141" s="20" t="s">
        <v>102</v>
      </c>
      <c r="D141" s="21" t="str">
        <f>IF($C141="","",IFERROR(VLOOKUP($C141,Map_Register!$A$2:$C$5,3,FALSE()),""))</f>
        <v>Toponym Labels</v>
      </c>
      <c r="E141" s="20" t="s">
        <v>15</v>
      </c>
      <c r="F141" s="22">
        <v>721097</v>
      </c>
      <c r="G141" s="19" t="s">
        <v>1381</v>
      </c>
      <c r="H141" s="19" t="s">
        <v>1382</v>
      </c>
      <c r="I141" s="19" t="s">
        <v>1383</v>
      </c>
      <c r="J141" s="19" t="s">
        <v>1104</v>
      </c>
      <c r="K141" s="19" t="s">
        <v>6</v>
      </c>
      <c r="L141" s="19" t="s">
        <v>1095</v>
      </c>
      <c r="M141" s="19" t="s">
        <v>1095</v>
      </c>
      <c r="N141" s="19" t="s">
        <v>1105</v>
      </c>
      <c r="R141" t="s">
        <v>1097</v>
      </c>
    </row>
    <row r="142" spans="1:18" hidden="1" x14ac:dyDescent="0.3">
      <c r="A142" s="19">
        <f t="shared" si="2"/>
        <v>141</v>
      </c>
      <c r="B142" s="20" t="s">
        <v>87</v>
      </c>
      <c r="C142" s="20" t="s">
        <v>102</v>
      </c>
      <c r="D142" s="21" t="str">
        <f>IF($C142="","",IFERROR(VLOOKUP($C142,Map_Register!$A$2:$C$5,3,FALSE()),""))</f>
        <v>Toponym Labels</v>
      </c>
      <c r="E142" s="20" t="s">
        <v>15</v>
      </c>
      <c r="F142" s="22">
        <v>721098</v>
      </c>
      <c r="G142" s="19" t="s">
        <v>1108</v>
      </c>
      <c r="H142" s="19" t="s">
        <v>1384</v>
      </c>
      <c r="I142" s="19" t="s">
        <v>1384</v>
      </c>
      <c r="J142" s="19" t="s">
        <v>1110</v>
      </c>
      <c r="K142" s="19" t="s">
        <v>6</v>
      </c>
      <c r="L142" s="19" t="s">
        <v>1095</v>
      </c>
      <c r="M142" s="19" t="s">
        <v>1095</v>
      </c>
      <c r="N142" s="19" t="s">
        <v>1111</v>
      </c>
      <c r="R142" t="s">
        <v>1097</v>
      </c>
    </row>
    <row r="143" spans="1:18" hidden="1" x14ac:dyDescent="0.3">
      <c r="A143" s="19">
        <f t="shared" si="2"/>
        <v>142</v>
      </c>
      <c r="B143" s="20" t="s">
        <v>87</v>
      </c>
      <c r="C143" s="20" t="s">
        <v>102</v>
      </c>
      <c r="D143" s="21" t="str">
        <f>IF($C143="","",IFERROR(VLOOKUP($C143,Map_Register!$A$2:$C$5,3,FALSE()),""))</f>
        <v>Toponym Labels</v>
      </c>
      <c r="E143" s="20" t="s">
        <v>15</v>
      </c>
      <c r="F143" s="22">
        <v>721099</v>
      </c>
      <c r="G143" s="19" t="s">
        <v>1118</v>
      </c>
      <c r="H143" s="19" t="s">
        <v>1385</v>
      </c>
      <c r="I143" s="19" t="s">
        <v>1385</v>
      </c>
      <c r="J143" s="19" t="s">
        <v>1110</v>
      </c>
      <c r="K143" t="s">
        <v>1100</v>
      </c>
      <c r="L143" s="19" t="s">
        <v>114</v>
      </c>
      <c r="M143" s="19" t="s">
        <v>114</v>
      </c>
      <c r="N143" s="19" t="s">
        <v>1178</v>
      </c>
      <c r="O143" s="19" t="s">
        <v>116</v>
      </c>
      <c r="R143" t="s">
        <v>1097</v>
      </c>
    </row>
    <row r="144" spans="1:18" hidden="1" x14ac:dyDescent="0.3">
      <c r="A144" s="19">
        <f t="shared" si="2"/>
        <v>143</v>
      </c>
      <c r="B144" s="20" t="s">
        <v>87</v>
      </c>
      <c r="C144" s="20" t="s">
        <v>102</v>
      </c>
      <c r="D144" s="21" t="str">
        <f>IF($C144="","",IFERROR(VLOOKUP($C144,Map_Register!$A$2:$C$5,3,FALSE()),""))</f>
        <v>Toponym Labels</v>
      </c>
      <c r="E144" s="20" t="s">
        <v>15</v>
      </c>
      <c r="F144" s="22">
        <v>721100</v>
      </c>
      <c r="G144" s="19" t="s">
        <v>1118</v>
      </c>
      <c r="H144" s="19" t="s">
        <v>1386</v>
      </c>
      <c r="I144" s="19" t="s">
        <v>1386</v>
      </c>
      <c r="J144" s="19" t="s">
        <v>1110</v>
      </c>
      <c r="K144" t="s">
        <v>1100</v>
      </c>
      <c r="L144" s="19" t="s">
        <v>114</v>
      </c>
      <c r="M144" s="19" t="s">
        <v>114</v>
      </c>
      <c r="N144" s="19" t="s">
        <v>1178</v>
      </c>
      <c r="O144" s="19" t="s">
        <v>116</v>
      </c>
      <c r="R144" t="s">
        <v>1097</v>
      </c>
    </row>
    <row r="145" spans="1:18" hidden="1" x14ac:dyDescent="0.3">
      <c r="A145" s="19">
        <f t="shared" si="2"/>
        <v>144</v>
      </c>
      <c r="B145" s="20" t="s">
        <v>87</v>
      </c>
      <c r="C145" s="20" t="s">
        <v>102</v>
      </c>
      <c r="D145" s="21" t="str">
        <f>IF($C145="","",IFERROR(VLOOKUP($C145,Map_Register!$A$2:$C$5,3,FALSE()),""))</f>
        <v>Toponym Labels</v>
      </c>
      <c r="E145" s="20" t="s">
        <v>15</v>
      </c>
      <c r="F145" s="22">
        <v>721101</v>
      </c>
      <c r="G145" s="19" t="s">
        <v>1108</v>
      </c>
      <c r="H145" s="19" t="s">
        <v>1387</v>
      </c>
      <c r="I145" s="19" t="s">
        <v>1387</v>
      </c>
      <c r="J145" s="19" t="s">
        <v>1117</v>
      </c>
      <c r="K145" s="19" t="s">
        <v>6</v>
      </c>
      <c r="L145" s="19" t="s">
        <v>1095</v>
      </c>
      <c r="M145" s="19" t="s">
        <v>1095</v>
      </c>
      <c r="N145" s="19" t="s">
        <v>1111</v>
      </c>
      <c r="R145" t="s">
        <v>1097</v>
      </c>
    </row>
    <row r="146" spans="1:18" hidden="1" x14ac:dyDescent="0.3">
      <c r="A146" s="19">
        <f t="shared" si="2"/>
        <v>145</v>
      </c>
      <c r="B146" s="20" t="s">
        <v>87</v>
      </c>
      <c r="C146" s="20" t="s">
        <v>102</v>
      </c>
      <c r="D146" s="21" t="str">
        <f>IF($C146="","",IFERROR(VLOOKUP($C146,Map_Register!$A$2:$C$5,3,FALSE()),""))</f>
        <v>Toponym Labels</v>
      </c>
      <c r="E146" s="20" t="s">
        <v>15</v>
      </c>
      <c r="F146" s="22">
        <v>721102</v>
      </c>
      <c r="G146" s="19" t="s">
        <v>1223</v>
      </c>
      <c r="H146" s="19" t="s">
        <v>1388</v>
      </c>
      <c r="I146" s="19" t="s">
        <v>1388</v>
      </c>
      <c r="J146" s="19" t="s">
        <v>1110</v>
      </c>
      <c r="K146" s="19" t="s">
        <v>6</v>
      </c>
      <c r="L146" s="19" t="s">
        <v>1095</v>
      </c>
      <c r="M146" s="19" t="s">
        <v>1095</v>
      </c>
      <c r="N146" s="19" t="s">
        <v>1389</v>
      </c>
      <c r="R146" t="s">
        <v>1097</v>
      </c>
    </row>
    <row r="147" spans="1:18" x14ac:dyDescent="0.3">
      <c r="A147" s="19">
        <f t="shared" si="2"/>
        <v>146</v>
      </c>
      <c r="B147" s="20" t="s">
        <v>87</v>
      </c>
      <c r="C147" s="20" t="s">
        <v>102</v>
      </c>
      <c r="D147" s="21" t="str">
        <f>IF($C147="","",IFERROR(VLOOKUP($C147,Map_Register!$A$2:$C$5,3,FALSE()),""))</f>
        <v>Toponym Labels</v>
      </c>
      <c r="E147" s="20" t="s">
        <v>15</v>
      </c>
      <c r="F147" s="22">
        <v>721103</v>
      </c>
      <c r="G147" s="19" t="s">
        <v>1125</v>
      </c>
      <c r="H147" s="19" t="s">
        <v>1390</v>
      </c>
      <c r="I147" s="19" t="s">
        <v>1390</v>
      </c>
      <c r="J147" s="19" t="s">
        <v>1110</v>
      </c>
      <c r="K147" t="s">
        <v>1100</v>
      </c>
      <c r="L147" t="s">
        <v>114</v>
      </c>
      <c r="M147" t="s">
        <v>116</v>
      </c>
      <c r="N147" s="19" t="s">
        <v>1268</v>
      </c>
      <c r="O147" s="19" t="s">
        <v>116</v>
      </c>
      <c r="R147" t="s">
        <v>1097</v>
      </c>
    </row>
    <row r="148" spans="1:18" hidden="1" x14ac:dyDescent="0.3">
      <c r="A148" s="19">
        <f t="shared" si="2"/>
        <v>147</v>
      </c>
      <c r="B148" s="20" t="s">
        <v>87</v>
      </c>
      <c r="C148" s="20" t="s">
        <v>102</v>
      </c>
      <c r="D148" s="21" t="str">
        <f>IF($C148="","",IFERROR(VLOOKUP($C148,Map_Register!$A$2:$C$5,3,FALSE()),""))</f>
        <v>Toponym Labels</v>
      </c>
      <c r="E148" s="20" t="s">
        <v>15</v>
      </c>
      <c r="F148" s="22">
        <v>721104</v>
      </c>
      <c r="G148" s="19" t="s">
        <v>1179</v>
      </c>
      <c r="H148" s="19" t="s">
        <v>1391</v>
      </c>
      <c r="I148" s="19" t="s">
        <v>1392</v>
      </c>
      <c r="J148" s="19" t="s">
        <v>1094</v>
      </c>
      <c r="K148" s="19" t="s">
        <v>6</v>
      </c>
      <c r="L148" s="19" t="s">
        <v>1095</v>
      </c>
      <c r="M148" s="19" t="s">
        <v>1095</v>
      </c>
      <c r="N148" s="19" t="s">
        <v>1105</v>
      </c>
      <c r="R148" t="s">
        <v>1097</v>
      </c>
    </row>
    <row r="149" spans="1:18" hidden="1" x14ac:dyDescent="0.3">
      <c r="A149" s="19">
        <f t="shared" si="2"/>
        <v>148</v>
      </c>
      <c r="B149" s="20" t="s">
        <v>87</v>
      </c>
      <c r="C149" s="20" t="s">
        <v>102</v>
      </c>
      <c r="D149" s="21" t="str">
        <f>IF($C149="","",IFERROR(VLOOKUP($C149,Map_Register!$A$2:$C$5,3,FALSE()),""))</f>
        <v>Toponym Labels</v>
      </c>
      <c r="E149" s="20" t="s">
        <v>15</v>
      </c>
      <c r="F149" s="22">
        <v>721105</v>
      </c>
      <c r="G149" s="19" t="s">
        <v>1118</v>
      </c>
      <c r="H149" s="19" t="s">
        <v>1393</v>
      </c>
      <c r="I149" s="19" t="s">
        <v>1393</v>
      </c>
      <c r="J149" s="19" t="s">
        <v>1117</v>
      </c>
      <c r="K149" t="s">
        <v>1100</v>
      </c>
      <c r="L149" s="19" t="s">
        <v>114</v>
      </c>
      <c r="M149" s="19" t="s">
        <v>114</v>
      </c>
      <c r="N149" s="19" t="s">
        <v>1178</v>
      </c>
      <c r="O149" s="19" t="s">
        <v>116</v>
      </c>
      <c r="R149" t="s">
        <v>1097</v>
      </c>
    </row>
    <row r="150" spans="1:18" hidden="1" x14ac:dyDescent="0.3">
      <c r="A150" s="19">
        <f t="shared" si="2"/>
        <v>149</v>
      </c>
      <c r="B150" s="20" t="s">
        <v>87</v>
      </c>
      <c r="C150" s="20" t="s">
        <v>102</v>
      </c>
      <c r="D150" s="21" t="str">
        <f>IF($C150="","",IFERROR(VLOOKUP($C150,Map_Register!$A$2:$C$5,3,FALSE()),""))</f>
        <v>Toponym Labels</v>
      </c>
      <c r="E150" s="20" t="s">
        <v>15</v>
      </c>
      <c r="F150" s="22">
        <v>721106</v>
      </c>
      <c r="G150" s="19" t="s">
        <v>1108</v>
      </c>
      <c r="H150" s="19" t="s">
        <v>1394</v>
      </c>
      <c r="I150" s="19" t="s">
        <v>1394</v>
      </c>
      <c r="J150" s="19" t="s">
        <v>1110</v>
      </c>
      <c r="K150" t="s">
        <v>1100</v>
      </c>
      <c r="L150" s="19" t="s">
        <v>114</v>
      </c>
      <c r="M150" s="19" t="s">
        <v>114</v>
      </c>
      <c r="N150" s="19" t="s">
        <v>1395</v>
      </c>
      <c r="O150" s="19" t="s">
        <v>116</v>
      </c>
      <c r="R150" t="s">
        <v>1097</v>
      </c>
    </row>
    <row r="151" spans="1:18" hidden="1" x14ac:dyDescent="0.3">
      <c r="A151" s="19">
        <f t="shared" si="2"/>
        <v>150</v>
      </c>
      <c r="B151" s="20" t="s">
        <v>87</v>
      </c>
      <c r="C151" s="20" t="s">
        <v>102</v>
      </c>
      <c r="D151" s="21" t="str">
        <f>IF($C151="","",IFERROR(VLOOKUP($C151,Map_Register!$A$2:$C$5,3,FALSE()),""))</f>
        <v>Toponym Labels</v>
      </c>
      <c r="E151" s="20" t="s">
        <v>15</v>
      </c>
      <c r="F151" s="22">
        <v>721107</v>
      </c>
      <c r="G151" s="19" t="s">
        <v>1118</v>
      </c>
      <c r="H151" s="19" t="s">
        <v>1396</v>
      </c>
      <c r="I151" s="19" t="s">
        <v>1396</v>
      </c>
      <c r="J151" s="19" t="s">
        <v>1110</v>
      </c>
      <c r="K151" t="s">
        <v>1100</v>
      </c>
      <c r="L151" t="s">
        <v>114</v>
      </c>
      <c r="M151" s="19" t="s">
        <v>114</v>
      </c>
      <c r="N151" s="19" t="s">
        <v>1178</v>
      </c>
      <c r="O151" s="19" t="s">
        <v>116</v>
      </c>
      <c r="R151" t="s">
        <v>1097</v>
      </c>
    </row>
    <row r="152" spans="1:18" hidden="1" x14ac:dyDescent="0.3">
      <c r="A152" s="19">
        <f t="shared" si="2"/>
        <v>151</v>
      </c>
      <c r="B152" s="20" t="s">
        <v>87</v>
      </c>
      <c r="C152" s="20" t="s">
        <v>102</v>
      </c>
      <c r="D152" s="21" t="str">
        <f>IF($C152="","",IFERROR(VLOOKUP($C152,Map_Register!$A$2:$C$5,3,FALSE()),""))</f>
        <v>Toponym Labels</v>
      </c>
      <c r="E152" s="20" t="s">
        <v>15</v>
      </c>
      <c r="F152" s="22">
        <v>721108</v>
      </c>
      <c r="G152" s="19" t="s">
        <v>1118</v>
      </c>
      <c r="H152" s="19" t="s">
        <v>1397</v>
      </c>
      <c r="I152" s="19" t="s">
        <v>1397</v>
      </c>
      <c r="J152" s="19" t="s">
        <v>1110</v>
      </c>
      <c r="K152" t="s">
        <v>1100</v>
      </c>
      <c r="L152" s="19" t="s">
        <v>114</v>
      </c>
      <c r="M152" s="19" t="s">
        <v>114</v>
      </c>
      <c r="N152" s="19" t="s">
        <v>1178</v>
      </c>
      <c r="O152" s="19" t="s">
        <v>116</v>
      </c>
      <c r="R152" t="s">
        <v>1097</v>
      </c>
    </row>
    <row r="153" spans="1:18" x14ac:dyDescent="0.3">
      <c r="A153" s="19">
        <f t="shared" si="2"/>
        <v>152</v>
      </c>
      <c r="B153" s="20" t="s">
        <v>87</v>
      </c>
      <c r="C153" s="20" t="s">
        <v>102</v>
      </c>
      <c r="D153" s="21" t="str">
        <f>IF($C153="","",IFERROR(VLOOKUP($C153,Map_Register!$A$2:$C$5,3,FALSE()),""))</f>
        <v>Toponym Labels</v>
      </c>
      <c r="E153" s="20" t="s">
        <v>15</v>
      </c>
      <c r="F153" s="22">
        <v>721109</v>
      </c>
      <c r="G153" s="19" t="s">
        <v>1125</v>
      </c>
      <c r="H153" s="19" t="s">
        <v>1398</v>
      </c>
      <c r="I153" s="19" t="s">
        <v>1398</v>
      </c>
      <c r="J153" s="19" t="s">
        <v>1110</v>
      </c>
      <c r="K153" t="s">
        <v>1100</v>
      </c>
      <c r="L153" t="s">
        <v>114</v>
      </c>
      <c r="M153" t="s">
        <v>116</v>
      </c>
      <c r="N153" s="19" t="s">
        <v>1268</v>
      </c>
      <c r="O153" s="19" t="s">
        <v>116</v>
      </c>
      <c r="R153" t="s">
        <v>1097</v>
      </c>
    </row>
    <row r="154" spans="1:18" hidden="1" x14ac:dyDescent="0.3">
      <c r="A154" s="19">
        <f t="shared" si="2"/>
        <v>153</v>
      </c>
      <c r="B154" s="20" t="s">
        <v>87</v>
      </c>
      <c r="C154" s="20" t="s">
        <v>102</v>
      </c>
      <c r="D154" s="21" t="str">
        <f>IF($C154="","",IFERROR(VLOOKUP($C154,Map_Register!$A$2:$C$5,3,FALSE()),""))</f>
        <v>Toponym Labels</v>
      </c>
      <c r="E154" s="20" t="s">
        <v>15</v>
      </c>
      <c r="F154" s="22">
        <v>721110</v>
      </c>
      <c r="G154" s="19" t="s">
        <v>1136</v>
      </c>
      <c r="H154" s="19" t="s">
        <v>1399</v>
      </c>
      <c r="I154" s="19" t="s">
        <v>1399</v>
      </c>
      <c r="J154" s="19" t="s">
        <v>1117</v>
      </c>
      <c r="K154" t="s">
        <v>1100</v>
      </c>
      <c r="L154" t="s">
        <v>114</v>
      </c>
      <c r="M154" t="s">
        <v>114</v>
      </c>
      <c r="N154" s="19" t="s">
        <v>530</v>
      </c>
      <c r="O154" s="19" t="s">
        <v>116</v>
      </c>
      <c r="R154" t="s">
        <v>1097</v>
      </c>
    </row>
    <row r="155" spans="1:18" hidden="1" x14ac:dyDescent="0.3">
      <c r="A155" s="19">
        <f t="shared" si="2"/>
        <v>154</v>
      </c>
      <c r="B155" s="20" t="s">
        <v>87</v>
      </c>
      <c r="C155" s="20" t="s">
        <v>102</v>
      </c>
      <c r="D155" s="21" t="str">
        <f>IF($C155="","",IFERROR(VLOOKUP($C155,Map_Register!$A$2:$C$5,3,FALSE()),""))</f>
        <v>Toponym Labels</v>
      </c>
      <c r="E155" s="20" t="s">
        <v>15</v>
      </c>
      <c r="F155" s="22">
        <v>721111</v>
      </c>
      <c r="G155" s="19" t="s">
        <v>1136</v>
      </c>
      <c r="H155" s="19" t="s">
        <v>1400</v>
      </c>
      <c r="I155" s="19" t="s">
        <v>1400</v>
      </c>
      <c r="J155" s="19" t="s">
        <v>1110</v>
      </c>
      <c r="K155" t="s">
        <v>1100</v>
      </c>
      <c r="L155" t="s">
        <v>114</v>
      </c>
      <c r="M155" t="s">
        <v>114</v>
      </c>
      <c r="N155" s="19" t="s">
        <v>530</v>
      </c>
      <c r="O155" s="19" t="s">
        <v>116</v>
      </c>
      <c r="R155" t="s">
        <v>1097</v>
      </c>
    </row>
    <row r="156" spans="1:18" hidden="1" x14ac:dyDescent="0.3">
      <c r="A156" s="19">
        <f t="shared" si="2"/>
        <v>155</v>
      </c>
      <c r="B156" s="20" t="s">
        <v>87</v>
      </c>
      <c r="C156" s="20" t="s">
        <v>102</v>
      </c>
      <c r="D156" s="21" t="str">
        <f>IF($C156="","",IFERROR(VLOOKUP($C156,Map_Register!$A$2:$C$5,3,FALSE()),""))</f>
        <v>Toponym Labels</v>
      </c>
      <c r="E156" s="20" t="s">
        <v>15</v>
      </c>
      <c r="F156" s="22">
        <v>721112</v>
      </c>
      <c r="G156" s="19" t="s">
        <v>1136</v>
      </c>
      <c r="H156" s="19" t="s">
        <v>1401</v>
      </c>
      <c r="I156" s="19" t="s">
        <v>1402</v>
      </c>
      <c r="J156" s="19" t="s">
        <v>1104</v>
      </c>
      <c r="K156" t="s">
        <v>1100</v>
      </c>
      <c r="L156" t="s">
        <v>114</v>
      </c>
      <c r="M156" t="s">
        <v>114</v>
      </c>
      <c r="N156" s="19" t="s">
        <v>530</v>
      </c>
      <c r="O156" s="19" t="s">
        <v>116</v>
      </c>
      <c r="R156" t="s">
        <v>1097</v>
      </c>
    </row>
    <row r="157" spans="1:18" hidden="1" x14ac:dyDescent="0.3">
      <c r="A157" s="19">
        <f t="shared" si="2"/>
        <v>156</v>
      </c>
      <c r="B157" s="20" t="s">
        <v>87</v>
      </c>
      <c r="C157" s="20" t="s">
        <v>102</v>
      </c>
      <c r="D157" s="21" t="str">
        <f>IF($C157="","",IFERROR(VLOOKUP($C157,Map_Register!$A$2:$C$5,3,FALSE()),""))</f>
        <v>Toponym Labels</v>
      </c>
      <c r="E157" s="20" t="s">
        <v>15</v>
      </c>
      <c r="F157" s="22">
        <v>721113</v>
      </c>
      <c r="G157" s="19" t="s">
        <v>1136</v>
      </c>
      <c r="H157" s="19" t="s">
        <v>1403</v>
      </c>
      <c r="I157" s="19" t="s">
        <v>1404</v>
      </c>
      <c r="J157" s="19" t="s">
        <v>1094</v>
      </c>
      <c r="K157" t="s">
        <v>1100</v>
      </c>
      <c r="L157" t="s">
        <v>114</v>
      </c>
      <c r="M157" t="s">
        <v>114</v>
      </c>
      <c r="N157" s="19" t="s">
        <v>530</v>
      </c>
      <c r="O157" s="19" t="s">
        <v>116</v>
      </c>
      <c r="R157" t="s">
        <v>1097</v>
      </c>
    </row>
    <row r="158" spans="1:18" hidden="1" x14ac:dyDescent="0.3">
      <c r="A158" s="19">
        <f t="shared" si="2"/>
        <v>157</v>
      </c>
      <c r="B158" s="20" t="s">
        <v>87</v>
      </c>
      <c r="C158" s="20" t="s">
        <v>102</v>
      </c>
      <c r="D158" s="21" t="str">
        <f>IF($C158="","",IFERROR(VLOOKUP($C158,Map_Register!$A$2:$C$5,3,FALSE()),""))</f>
        <v>Toponym Labels</v>
      </c>
      <c r="E158" s="20" t="s">
        <v>15</v>
      </c>
      <c r="F158" s="22">
        <v>721114</v>
      </c>
      <c r="G158" s="19" t="s">
        <v>1136</v>
      </c>
      <c r="H158" s="19" t="s">
        <v>1405</v>
      </c>
      <c r="I158" s="19" t="s">
        <v>1405</v>
      </c>
      <c r="J158" s="19" t="s">
        <v>1110</v>
      </c>
      <c r="K158" s="19" t="s">
        <v>6</v>
      </c>
      <c r="L158" s="19" t="s">
        <v>1095</v>
      </c>
      <c r="M158" s="19" t="s">
        <v>1095</v>
      </c>
      <c r="N158" s="19" t="s">
        <v>1406</v>
      </c>
      <c r="R158" t="s">
        <v>1097</v>
      </c>
    </row>
    <row r="159" spans="1:18" hidden="1" x14ac:dyDescent="0.3">
      <c r="A159" s="19">
        <f t="shared" si="2"/>
        <v>158</v>
      </c>
      <c r="B159" s="20" t="s">
        <v>87</v>
      </c>
      <c r="C159" s="20" t="s">
        <v>102</v>
      </c>
      <c r="D159" s="21" t="str">
        <f>IF($C159="","",IFERROR(VLOOKUP($C159,Map_Register!$A$2:$C$5,3,FALSE()),""))</f>
        <v>Toponym Labels</v>
      </c>
      <c r="E159" s="20" t="s">
        <v>15</v>
      </c>
      <c r="F159" s="22">
        <v>721115</v>
      </c>
      <c r="G159" s="19" t="s">
        <v>1136</v>
      </c>
      <c r="H159" s="19" t="s">
        <v>1407</v>
      </c>
      <c r="I159" s="19" t="s">
        <v>1407</v>
      </c>
      <c r="J159" s="19" t="s">
        <v>1110</v>
      </c>
      <c r="K159" s="19" t="s">
        <v>6</v>
      </c>
      <c r="L159" s="19" t="s">
        <v>1095</v>
      </c>
      <c r="M159" s="19" t="s">
        <v>1095</v>
      </c>
      <c r="N159" s="19" t="s">
        <v>1406</v>
      </c>
      <c r="R159" t="s">
        <v>1097</v>
      </c>
    </row>
    <row r="160" spans="1:18" hidden="1" x14ac:dyDescent="0.3">
      <c r="A160" s="19">
        <f t="shared" si="2"/>
        <v>159</v>
      </c>
      <c r="B160" s="20" t="s">
        <v>87</v>
      </c>
      <c r="C160" s="20" t="s">
        <v>102</v>
      </c>
      <c r="D160" s="21" t="str">
        <f>IF($C160="","",IFERROR(VLOOKUP($C160,Map_Register!$A$2:$C$5,3,FALSE()),""))</f>
        <v>Toponym Labels</v>
      </c>
      <c r="E160" s="20" t="s">
        <v>15</v>
      </c>
      <c r="F160" s="22">
        <v>721116</v>
      </c>
      <c r="G160" s="19" t="s">
        <v>1108</v>
      </c>
      <c r="H160" s="19" t="s">
        <v>1408</v>
      </c>
      <c r="I160" s="19" t="s">
        <v>1408</v>
      </c>
      <c r="J160" s="19" t="s">
        <v>1110</v>
      </c>
      <c r="K160" s="19" t="s">
        <v>6</v>
      </c>
      <c r="L160" s="19" t="s">
        <v>1095</v>
      </c>
      <c r="M160" s="19" t="s">
        <v>1095</v>
      </c>
      <c r="N160" s="19" t="s">
        <v>1111</v>
      </c>
      <c r="R160" t="s">
        <v>1097</v>
      </c>
    </row>
    <row r="161" spans="1:18" hidden="1" x14ac:dyDescent="0.3">
      <c r="A161" s="19">
        <f t="shared" si="2"/>
        <v>160</v>
      </c>
      <c r="B161" s="20" t="s">
        <v>87</v>
      </c>
      <c r="C161" s="20" t="s">
        <v>102</v>
      </c>
      <c r="D161" s="21" t="str">
        <f>IF($C161="","",IFERROR(VLOOKUP($C161,Map_Register!$A$2:$C$5,3,FALSE()),""))</f>
        <v>Toponym Labels</v>
      </c>
      <c r="E161" s="20" t="s">
        <v>15</v>
      </c>
      <c r="F161" s="22">
        <v>721117</v>
      </c>
      <c r="G161" s="19" t="s">
        <v>1125</v>
      </c>
      <c r="H161" s="19" t="s">
        <v>1409</v>
      </c>
      <c r="I161" s="19" t="s">
        <v>1409</v>
      </c>
      <c r="J161" s="19" t="s">
        <v>1110</v>
      </c>
      <c r="K161" s="19" t="s">
        <v>6</v>
      </c>
      <c r="L161" s="19" t="s">
        <v>1095</v>
      </c>
      <c r="M161" s="19" t="s">
        <v>1095</v>
      </c>
      <c r="N161" s="19" t="s">
        <v>1155</v>
      </c>
      <c r="R161" t="s">
        <v>1097</v>
      </c>
    </row>
    <row r="162" spans="1:18" hidden="1" x14ac:dyDescent="0.3">
      <c r="A162" s="19">
        <f t="shared" si="2"/>
        <v>161</v>
      </c>
      <c r="B162" s="20" t="s">
        <v>87</v>
      </c>
      <c r="C162" s="20" t="s">
        <v>102</v>
      </c>
      <c r="D162" s="21" t="str">
        <f>IF($C162="","",IFERROR(VLOOKUP($C162,Map_Register!$A$2:$C$5,3,FALSE()),""))</f>
        <v>Toponym Labels</v>
      </c>
      <c r="E162" s="20" t="s">
        <v>15</v>
      </c>
      <c r="F162" s="22">
        <v>721118</v>
      </c>
      <c r="G162" s="19" t="s">
        <v>1091</v>
      </c>
      <c r="H162" s="19" t="s">
        <v>1410</v>
      </c>
      <c r="I162" s="19" t="s">
        <v>1410</v>
      </c>
      <c r="J162" s="19" t="s">
        <v>1110</v>
      </c>
      <c r="K162" t="s">
        <v>1100</v>
      </c>
      <c r="L162" s="19" t="s">
        <v>114</v>
      </c>
      <c r="M162" s="19" t="s">
        <v>114</v>
      </c>
      <c r="N162" s="19" t="s">
        <v>530</v>
      </c>
      <c r="O162" s="19" t="s">
        <v>116</v>
      </c>
      <c r="R162" t="s">
        <v>1097</v>
      </c>
    </row>
    <row r="163" spans="1:18" hidden="1" x14ac:dyDescent="0.3">
      <c r="A163" s="19">
        <f t="shared" si="2"/>
        <v>162</v>
      </c>
      <c r="B163" s="20" t="s">
        <v>87</v>
      </c>
      <c r="C163" s="20" t="s">
        <v>102</v>
      </c>
      <c r="D163" s="21" t="str">
        <f>IF($C163="","",IFERROR(VLOOKUP($C163,Map_Register!$A$2:$C$5,3,FALSE()),""))</f>
        <v>Toponym Labels</v>
      </c>
      <c r="E163" s="20" t="s">
        <v>15</v>
      </c>
      <c r="F163" s="22">
        <v>721119</v>
      </c>
      <c r="G163" s="19" t="s">
        <v>1309</v>
      </c>
      <c r="H163" s="19" t="s">
        <v>1411</v>
      </c>
      <c r="I163" s="19" t="s">
        <v>1411</v>
      </c>
      <c r="J163" s="19" t="s">
        <v>1110</v>
      </c>
      <c r="K163" t="s">
        <v>1100</v>
      </c>
      <c r="L163" t="s">
        <v>114</v>
      </c>
      <c r="M163" t="s">
        <v>114</v>
      </c>
      <c r="N163" s="19" t="s">
        <v>1412</v>
      </c>
      <c r="O163" s="19" t="s">
        <v>116</v>
      </c>
      <c r="R163" t="s">
        <v>1097</v>
      </c>
    </row>
    <row r="164" spans="1:18" x14ac:dyDescent="0.3">
      <c r="A164" s="19">
        <f t="shared" si="2"/>
        <v>163</v>
      </c>
      <c r="B164" s="20" t="s">
        <v>87</v>
      </c>
      <c r="C164" s="20" t="s">
        <v>102</v>
      </c>
      <c r="D164" s="21" t="str">
        <f>IF($C164="","",IFERROR(VLOOKUP($C164,Map_Register!$A$2:$C$5,3,FALSE()),""))</f>
        <v>Toponym Labels</v>
      </c>
      <c r="E164" s="20" t="s">
        <v>15</v>
      </c>
      <c r="F164" s="22">
        <v>721120</v>
      </c>
      <c r="G164" s="19" t="s">
        <v>1108</v>
      </c>
      <c r="H164" s="19" t="s">
        <v>1413</v>
      </c>
      <c r="I164" s="19" t="s">
        <v>1414</v>
      </c>
      <c r="J164" s="19" t="s">
        <v>1104</v>
      </c>
      <c r="K164" t="s">
        <v>1100</v>
      </c>
      <c r="L164" t="s">
        <v>114</v>
      </c>
      <c r="M164" t="s">
        <v>116</v>
      </c>
      <c r="N164" s="19" t="s">
        <v>1415</v>
      </c>
      <c r="O164" s="19" t="s">
        <v>116</v>
      </c>
      <c r="R164" t="s">
        <v>1097</v>
      </c>
    </row>
    <row r="165" spans="1:18" hidden="1" x14ac:dyDescent="0.3">
      <c r="A165" s="19">
        <f t="shared" si="2"/>
        <v>164</v>
      </c>
      <c r="B165" s="20" t="s">
        <v>87</v>
      </c>
      <c r="C165" s="20" t="s">
        <v>102</v>
      </c>
      <c r="D165" s="21" t="str">
        <f>IF($C165="","",IFERROR(VLOOKUP($C165,Map_Register!$A$2:$C$5,3,FALSE()),""))</f>
        <v>Toponym Labels</v>
      </c>
      <c r="E165" s="20" t="s">
        <v>15</v>
      </c>
      <c r="F165" s="22">
        <v>721121</v>
      </c>
      <c r="G165" s="19" t="s">
        <v>1136</v>
      </c>
      <c r="H165" s="19" t="s">
        <v>1416</v>
      </c>
      <c r="I165" s="19" t="s">
        <v>1416</v>
      </c>
      <c r="J165" s="19" t="s">
        <v>1110</v>
      </c>
      <c r="K165" t="s">
        <v>1100</v>
      </c>
      <c r="L165" t="s">
        <v>114</v>
      </c>
      <c r="M165" t="s">
        <v>114</v>
      </c>
      <c r="N165" s="19" t="s">
        <v>530</v>
      </c>
      <c r="O165" s="19" t="s">
        <v>116</v>
      </c>
      <c r="R165" t="s">
        <v>1097</v>
      </c>
    </row>
    <row r="166" spans="1:18" hidden="1" x14ac:dyDescent="0.3">
      <c r="A166" s="19">
        <f t="shared" si="2"/>
        <v>165</v>
      </c>
      <c r="B166" s="20" t="s">
        <v>87</v>
      </c>
      <c r="C166" s="20" t="s">
        <v>102</v>
      </c>
      <c r="D166" s="21" t="str">
        <f>IF($C166="","",IFERROR(VLOOKUP($C166,Map_Register!$A$2:$C$5,3,FALSE()),""))</f>
        <v>Toponym Labels</v>
      </c>
      <c r="E166" s="20" t="s">
        <v>15</v>
      </c>
      <c r="F166" s="22">
        <v>721122</v>
      </c>
      <c r="G166" s="19" t="s">
        <v>1136</v>
      </c>
      <c r="H166" s="19" t="s">
        <v>1417</v>
      </c>
      <c r="I166" s="19" t="s">
        <v>1418</v>
      </c>
      <c r="J166" s="19" t="s">
        <v>1104</v>
      </c>
      <c r="K166" t="s">
        <v>1100</v>
      </c>
      <c r="L166" t="s">
        <v>114</v>
      </c>
      <c r="M166" t="s">
        <v>114</v>
      </c>
      <c r="N166" s="19" t="s">
        <v>530</v>
      </c>
      <c r="O166" s="19" t="s">
        <v>116</v>
      </c>
      <c r="R166" t="s">
        <v>1097</v>
      </c>
    </row>
    <row r="167" spans="1:18" hidden="1" x14ac:dyDescent="0.3">
      <c r="A167" s="19">
        <f t="shared" si="2"/>
        <v>166</v>
      </c>
      <c r="B167" s="20" t="s">
        <v>87</v>
      </c>
      <c r="C167" s="20" t="s">
        <v>102</v>
      </c>
      <c r="D167" s="21" t="str">
        <f>IF($C167="","",IFERROR(VLOOKUP($C167,Map_Register!$A$2:$C$5,3,FALSE()),""))</f>
        <v>Toponym Labels</v>
      </c>
      <c r="E167" s="20" t="s">
        <v>15</v>
      </c>
      <c r="F167" s="22">
        <v>721123</v>
      </c>
      <c r="G167" s="19" t="s">
        <v>1419</v>
      </c>
      <c r="H167" s="19" t="s">
        <v>1420</v>
      </c>
      <c r="I167" s="19" t="s">
        <v>1420</v>
      </c>
      <c r="J167" s="19" t="s">
        <v>1110</v>
      </c>
      <c r="K167" t="s">
        <v>1100</v>
      </c>
      <c r="L167" s="19" t="s">
        <v>114</v>
      </c>
      <c r="M167" s="19" t="s">
        <v>114</v>
      </c>
      <c r="N167" s="19" t="s">
        <v>1421</v>
      </c>
      <c r="O167" s="19" t="s">
        <v>116</v>
      </c>
      <c r="R167" t="s">
        <v>1097</v>
      </c>
    </row>
    <row r="168" spans="1:18" hidden="1" x14ac:dyDescent="0.3">
      <c r="A168" s="19">
        <f t="shared" si="2"/>
        <v>167</v>
      </c>
      <c r="B168" s="20" t="s">
        <v>87</v>
      </c>
      <c r="C168" s="20" t="s">
        <v>102</v>
      </c>
      <c r="D168" s="21" t="str">
        <f>IF($C168="","",IFERROR(VLOOKUP($C168,Map_Register!$A$2:$C$5,3,FALSE()),""))</f>
        <v>Toponym Labels</v>
      </c>
      <c r="E168" s="20" t="s">
        <v>15</v>
      </c>
      <c r="F168" s="22">
        <v>721124</v>
      </c>
      <c r="G168" s="19" t="s">
        <v>1136</v>
      </c>
      <c r="H168" s="19" t="s">
        <v>954</v>
      </c>
      <c r="I168" s="19" t="s">
        <v>1422</v>
      </c>
      <c r="J168" s="19" t="s">
        <v>1094</v>
      </c>
      <c r="K168" s="19" t="s">
        <v>6</v>
      </c>
      <c r="L168" s="19" t="s">
        <v>1095</v>
      </c>
      <c r="M168" s="19" t="s">
        <v>1095</v>
      </c>
      <c r="N168" s="19" t="s">
        <v>1105</v>
      </c>
      <c r="R168" t="s">
        <v>1097</v>
      </c>
    </row>
    <row r="169" spans="1:18" hidden="1" x14ac:dyDescent="0.3">
      <c r="A169" s="19">
        <f t="shared" si="2"/>
        <v>168</v>
      </c>
      <c r="B169" s="20" t="s">
        <v>87</v>
      </c>
      <c r="C169" s="20" t="s">
        <v>102</v>
      </c>
      <c r="D169" s="21" t="str">
        <f>IF($C169="","",IFERROR(VLOOKUP($C169,Map_Register!$A$2:$C$5,3,FALSE()),""))</f>
        <v>Toponym Labels</v>
      </c>
      <c r="E169" s="20" t="s">
        <v>15</v>
      </c>
      <c r="F169" s="22">
        <v>721125</v>
      </c>
      <c r="G169" s="19" t="s">
        <v>1136</v>
      </c>
      <c r="H169" s="19" t="s">
        <v>1423</v>
      </c>
      <c r="I169" s="19" t="s">
        <v>1423</v>
      </c>
      <c r="J169" s="19" t="s">
        <v>1110</v>
      </c>
      <c r="K169" s="19" t="s">
        <v>6</v>
      </c>
      <c r="L169" s="19" t="s">
        <v>1095</v>
      </c>
      <c r="M169" s="19" t="s">
        <v>1095</v>
      </c>
      <c r="N169" s="19" t="s">
        <v>1406</v>
      </c>
      <c r="R169" t="s">
        <v>1097</v>
      </c>
    </row>
    <row r="170" spans="1:18" hidden="1" x14ac:dyDescent="0.3">
      <c r="A170" s="19">
        <f t="shared" si="2"/>
        <v>169</v>
      </c>
      <c r="B170" s="20" t="s">
        <v>87</v>
      </c>
      <c r="C170" s="20" t="s">
        <v>102</v>
      </c>
      <c r="D170" s="21" t="str">
        <f>IF($C170="","",IFERROR(VLOOKUP($C170,Map_Register!$A$2:$C$5,3,FALSE()),""))</f>
        <v>Toponym Labels</v>
      </c>
      <c r="E170" s="20" t="s">
        <v>15</v>
      </c>
      <c r="F170" s="22">
        <v>721126</v>
      </c>
      <c r="G170" s="19" t="s">
        <v>1136</v>
      </c>
      <c r="H170" s="19" t="s">
        <v>1424</v>
      </c>
      <c r="I170" s="19" t="s">
        <v>1425</v>
      </c>
      <c r="J170" s="19" t="s">
        <v>1094</v>
      </c>
      <c r="K170" t="s">
        <v>1100</v>
      </c>
      <c r="L170" t="s">
        <v>114</v>
      </c>
      <c r="M170" t="s">
        <v>114</v>
      </c>
      <c r="N170" s="19" t="s">
        <v>530</v>
      </c>
      <c r="O170" s="19" t="s">
        <v>116</v>
      </c>
      <c r="R170" t="s">
        <v>1097</v>
      </c>
    </row>
    <row r="171" spans="1:18" hidden="1" x14ac:dyDescent="0.3">
      <c r="A171" s="19">
        <f t="shared" si="2"/>
        <v>170</v>
      </c>
      <c r="B171" s="20" t="s">
        <v>87</v>
      </c>
      <c r="C171" s="20" t="s">
        <v>102</v>
      </c>
      <c r="D171" s="21" t="str">
        <f>IF($C171="","",IFERROR(VLOOKUP($C171,Map_Register!$A$2:$C$5,3,FALSE()),""))</f>
        <v>Toponym Labels</v>
      </c>
      <c r="E171" s="20" t="s">
        <v>15</v>
      </c>
      <c r="F171" s="22">
        <v>721127</v>
      </c>
      <c r="G171" s="19" t="s">
        <v>1136</v>
      </c>
      <c r="H171" s="19" t="s">
        <v>1426</v>
      </c>
      <c r="I171" s="19" t="s">
        <v>1427</v>
      </c>
      <c r="J171" s="19" t="s">
        <v>1428</v>
      </c>
      <c r="K171" t="s">
        <v>1100</v>
      </c>
      <c r="L171" t="s">
        <v>114</v>
      </c>
      <c r="M171" t="s">
        <v>114</v>
      </c>
      <c r="N171" s="19" t="s">
        <v>530</v>
      </c>
      <c r="O171" s="19" t="s">
        <v>116</v>
      </c>
      <c r="R171" t="s">
        <v>1097</v>
      </c>
    </row>
    <row r="172" spans="1:18" hidden="1" x14ac:dyDescent="0.3">
      <c r="A172" s="19">
        <f t="shared" si="2"/>
        <v>171</v>
      </c>
      <c r="B172" s="20" t="s">
        <v>87</v>
      </c>
      <c r="C172" s="20" t="s">
        <v>102</v>
      </c>
      <c r="D172" s="21" t="str">
        <f>IF($C172="","",IFERROR(VLOOKUP($C172,Map_Register!$A$2:$C$5,3,FALSE()),""))</f>
        <v>Toponym Labels</v>
      </c>
      <c r="E172" s="20" t="s">
        <v>15</v>
      </c>
      <c r="F172" s="22">
        <v>721128</v>
      </c>
      <c r="G172" s="19" t="s">
        <v>1136</v>
      </c>
      <c r="H172" s="19" t="s">
        <v>1429</v>
      </c>
      <c r="I172" s="19" t="s">
        <v>1429</v>
      </c>
      <c r="J172" s="19" t="s">
        <v>1110</v>
      </c>
      <c r="K172" t="s">
        <v>1100</v>
      </c>
      <c r="L172" t="s">
        <v>114</v>
      </c>
      <c r="M172" t="s">
        <v>114</v>
      </c>
      <c r="N172" s="19" t="s">
        <v>530</v>
      </c>
      <c r="O172" s="19" t="s">
        <v>116</v>
      </c>
      <c r="R172" t="s">
        <v>1097</v>
      </c>
    </row>
    <row r="173" spans="1:18" hidden="1" x14ac:dyDescent="0.3">
      <c r="A173" s="19">
        <f t="shared" si="2"/>
        <v>172</v>
      </c>
      <c r="B173" s="20" t="s">
        <v>87</v>
      </c>
      <c r="C173" s="20" t="s">
        <v>102</v>
      </c>
      <c r="D173" s="21" t="str">
        <f>IF($C173="","",IFERROR(VLOOKUP($C173,Map_Register!$A$2:$C$5,3,FALSE()),""))</f>
        <v>Toponym Labels</v>
      </c>
      <c r="E173" s="20" t="s">
        <v>15</v>
      </c>
      <c r="F173" s="22">
        <v>721129</v>
      </c>
      <c r="G173" s="19" t="s">
        <v>1163</v>
      </c>
      <c r="H173" s="19" t="s">
        <v>1430</v>
      </c>
      <c r="I173" s="19" t="s">
        <v>1431</v>
      </c>
      <c r="J173" s="19" t="s">
        <v>1104</v>
      </c>
      <c r="K173" s="19" t="s">
        <v>6</v>
      </c>
      <c r="L173" s="19" t="s">
        <v>1095</v>
      </c>
      <c r="M173" s="19" t="s">
        <v>1095</v>
      </c>
      <c r="N173" s="19" t="s">
        <v>1432</v>
      </c>
      <c r="R173" t="s">
        <v>1097</v>
      </c>
    </row>
    <row r="174" spans="1:18" hidden="1" x14ac:dyDescent="0.3">
      <c r="A174" s="19">
        <f t="shared" si="2"/>
        <v>173</v>
      </c>
      <c r="B174" s="20" t="s">
        <v>87</v>
      </c>
      <c r="C174" s="20" t="s">
        <v>102</v>
      </c>
      <c r="D174" s="21" t="str">
        <f>IF($C174="","",IFERROR(VLOOKUP($C174,Map_Register!$A$2:$C$5,3,FALSE()),""))</f>
        <v>Toponym Labels</v>
      </c>
      <c r="E174" s="20" t="s">
        <v>15</v>
      </c>
      <c r="F174" s="22">
        <v>721130</v>
      </c>
      <c r="G174" s="19" t="s">
        <v>1136</v>
      </c>
      <c r="H174" s="19" t="s">
        <v>1433</v>
      </c>
      <c r="I174" s="19" t="s">
        <v>1433</v>
      </c>
      <c r="J174" s="19" t="s">
        <v>1110</v>
      </c>
      <c r="K174" t="s">
        <v>1100</v>
      </c>
      <c r="L174" t="s">
        <v>114</v>
      </c>
      <c r="M174" t="s">
        <v>114</v>
      </c>
      <c r="N174" s="19" t="s">
        <v>530</v>
      </c>
      <c r="O174" s="19" t="s">
        <v>116</v>
      </c>
      <c r="R174" t="s">
        <v>1097</v>
      </c>
    </row>
    <row r="175" spans="1:18" hidden="1" x14ac:dyDescent="0.3">
      <c r="A175" s="19">
        <f t="shared" si="2"/>
        <v>174</v>
      </c>
      <c r="B175" s="20" t="s">
        <v>87</v>
      </c>
      <c r="C175" s="20" t="s">
        <v>102</v>
      </c>
      <c r="D175" s="21" t="str">
        <f>IF($C175="","",IFERROR(VLOOKUP($C175,Map_Register!$A$2:$C$5,3,FALSE()),""))</f>
        <v>Toponym Labels</v>
      </c>
      <c r="E175" s="20" t="s">
        <v>15</v>
      </c>
      <c r="F175" s="22">
        <v>721131</v>
      </c>
      <c r="G175" s="19" t="s">
        <v>1136</v>
      </c>
      <c r="H175" s="19" t="s">
        <v>1434</v>
      </c>
      <c r="I175" s="19" t="s">
        <v>1435</v>
      </c>
      <c r="J175" s="19" t="s">
        <v>1094</v>
      </c>
      <c r="K175" t="s">
        <v>1100</v>
      </c>
      <c r="L175" t="s">
        <v>114</v>
      </c>
      <c r="M175" t="s">
        <v>114</v>
      </c>
      <c r="N175" s="19" t="s">
        <v>530</v>
      </c>
      <c r="O175" s="19" t="s">
        <v>116</v>
      </c>
      <c r="R175" t="s">
        <v>1097</v>
      </c>
    </row>
    <row r="176" spans="1:18" hidden="1" x14ac:dyDescent="0.3">
      <c r="A176" s="19">
        <f t="shared" si="2"/>
        <v>175</v>
      </c>
      <c r="B176" s="20" t="s">
        <v>87</v>
      </c>
      <c r="C176" s="20" t="s">
        <v>102</v>
      </c>
      <c r="D176" s="21" t="str">
        <f>IF($C176="","",IFERROR(VLOOKUP($C176,Map_Register!$A$2:$C$5,3,FALSE()),""))</f>
        <v>Toponym Labels</v>
      </c>
      <c r="E176" s="20" t="s">
        <v>15</v>
      </c>
      <c r="F176" s="22">
        <v>721132</v>
      </c>
      <c r="G176" s="19" t="s">
        <v>1136</v>
      </c>
      <c r="H176" s="19" t="s">
        <v>1436</v>
      </c>
      <c r="I176" s="19" t="s">
        <v>1436</v>
      </c>
      <c r="J176" s="19" t="s">
        <v>1110</v>
      </c>
      <c r="K176" t="s">
        <v>1100</v>
      </c>
      <c r="L176" t="s">
        <v>114</v>
      </c>
      <c r="M176" t="s">
        <v>114</v>
      </c>
      <c r="N176" s="19" t="s">
        <v>1437</v>
      </c>
      <c r="O176" s="19" t="s">
        <v>116</v>
      </c>
      <c r="R176" t="s">
        <v>1097</v>
      </c>
    </row>
    <row r="177" spans="1:18" hidden="1" x14ac:dyDescent="0.3">
      <c r="A177" s="19">
        <f t="shared" si="2"/>
        <v>176</v>
      </c>
      <c r="B177" s="20" t="s">
        <v>87</v>
      </c>
      <c r="C177" s="20" t="s">
        <v>102</v>
      </c>
      <c r="D177" s="21" t="str">
        <f>IF($C177="","",IFERROR(VLOOKUP($C177,Map_Register!$A$2:$C$5,3,FALSE()),""))</f>
        <v>Toponym Labels</v>
      </c>
      <c r="E177" s="20" t="s">
        <v>15</v>
      </c>
      <c r="F177" s="22">
        <v>721133</v>
      </c>
      <c r="G177" s="19" t="s">
        <v>1136</v>
      </c>
      <c r="H177" s="19" t="s">
        <v>1438</v>
      </c>
      <c r="I177" s="19" t="s">
        <v>1438</v>
      </c>
      <c r="J177" s="19" t="s">
        <v>1110</v>
      </c>
      <c r="K177" t="s">
        <v>1100</v>
      </c>
      <c r="L177" t="s">
        <v>114</v>
      </c>
      <c r="M177" t="s">
        <v>114</v>
      </c>
      <c r="N177" s="19" t="s">
        <v>530</v>
      </c>
      <c r="O177" s="19" t="s">
        <v>116</v>
      </c>
      <c r="R177" t="s">
        <v>1097</v>
      </c>
    </row>
    <row r="178" spans="1:18" hidden="1" x14ac:dyDescent="0.3">
      <c r="A178" s="19">
        <f t="shared" si="2"/>
        <v>177</v>
      </c>
      <c r="B178" s="20" t="s">
        <v>87</v>
      </c>
      <c r="C178" s="20" t="s">
        <v>102</v>
      </c>
      <c r="D178" s="21" t="str">
        <f>IF($C178="","",IFERROR(VLOOKUP($C178,Map_Register!$A$2:$C$5,3,FALSE()),""))</f>
        <v>Toponym Labels</v>
      </c>
      <c r="E178" s="20" t="s">
        <v>15</v>
      </c>
      <c r="F178" s="22">
        <v>721134</v>
      </c>
      <c r="G178" s="19" t="s">
        <v>1419</v>
      </c>
      <c r="H178" s="19" t="s">
        <v>1439</v>
      </c>
      <c r="I178" s="19" t="s">
        <v>1440</v>
      </c>
      <c r="J178" s="19" t="s">
        <v>1094</v>
      </c>
      <c r="K178" t="s">
        <v>1100</v>
      </c>
      <c r="L178" t="s">
        <v>114</v>
      </c>
      <c r="M178" t="s">
        <v>114</v>
      </c>
      <c r="N178" s="19" t="s">
        <v>1421</v>
      </c>
      <c r="O178" s="19" t="s">
        <v>116</v>
      </c>
      <c r="R178" t="s">
        <v>1097</v>
      </c>
    </row>
    <row r="179" spans="1:18" hidden="1" x14ac:dyDescent="0.3">
      <c r="A179" s="19">
        <f t="shared" si="2"/>
        <v>178</v>
      </c>
      <c r="B179" s="20" t="s">
        <v>87</v>
      </c>
      <c r="C179" s="20" t="s">
        <v>102</v>
      </c>
      <c r="D179" s="21" t="str">
        <f>IF($C179="","",IFERROR(VLOOKUP($C179,Map_Register!$A$2:$C$5,3,FALSE()),""))</f>
        <v>Toponym Labels</v>
      </c>
      <c r="E179" s="20" t="s">
        <v>15</v>
      </c>
      <c r="F179" s="22">
        <v>721135</v>
      </c>
      <c r="G179" s="19" t="s">
        <v>1309</v>
      </c>
      <c r="H179" s="19" t="s">
        <v>1441</v>
      </c>
      <c r="I179" s="19" t="s">
        <v>1442</v>
      </c>
      <c r="J179" s="19" t="s">
        <v>1104</v>
      </c>
      <c r="K179" t="s">
        <v>1100</v>
      </c>
      <c r="L179" t="s">
        <v>114</v>
      </c>
      <c r="M179" t="s">
        <v>114</v>
      </c>
      <c r="N179" s="19" t="s">
        <v>1268</v>
      </c>
      <c r="O179" s="19" t="s">
        <v>116</v>
      </c>
      <c r="R179" t="s">
        <v>1097</v>
      </c>
    </row>
    <row r="180" spans="1:18" x14ac:dyDescent="0.3">
      <c r="A180" s="19">
        <f t="shared" si="2"/>
        <v>179</v>
      </c>
      <c r="B180" s="20" t="s">
        <v>87</v>
      </c>
      <c r="C180" s="20" t="s">
        <v>102</v>
      </c>
      <c r="D180" s="21" t="str">
        <f>IF($C180="","",IFERROR(VLOOKUP($C180,Map_Register!$A$2:$C$5,3,FALSE()),""))</f>
        <v>Toponym Labels</v>
      </c>
      <c r="E180" s="20" t="s">
        <v>15</v>
      </c>
      <c r="F180" s="22">
        <v>721136</v>
      </c>
      <c r="G180" s="19" t="s">
        <v>1108</v>
      </c>
      <c r="H180" s="19" t="s">
        <v>1443</v>
      </c>
      <c r="I180" s="19" t="s">
        <v>1443</v>
      </c>
      <c r="J180" s="19" t="s">
        <v>1110</v>
      </c>
      <c r="K180" t="s">
        <v>1100</v>
      </c>
      <c r="L180" t="s">
        <v>114</v>
      </c>
      <c r="M180" t="s">
        <v>116</v>
      </c>
      <c r="N180" s="19" t="s">
        <v>1415</v>
      </c>
      <c r="O180" s="19" t="s">
        <v>116</v>
      </c>
      <c r="R180" t="s">
        <v>1097</v>
      </c>
    </row>
    <row r="181" spans="1:18" hidden="1" x14ac:dyDescent="0.3">
      <c r="A181" s="19">
        <f t="shared" si="2"/>
        <v>180</v>
      </c>
      <c r="B181" s="20" t="s">
        <v>87</v>
      </c>
      <c r="C181" s="20" t="s">
        <v>102</v>
      </c>
      <c r="D181" s="21" t="str">
        <f>IF($C181="","",IFERROR(VLOOKUP($C181,Map_Register!$A$2:$C$5,3,FALSE()),""))</f>
        <v>Toponym Labels</v>
      </c>
      <c r="E181" s="20" t="s">
        <v>15</v>
      </c>
      <c r="F181" s="22">
        <v>721137</v>
      </c>
      <c r="G181" s="19" t="s">
        <v>1108</v>
      </c>
      <c r="H181" s="19" t="s">
        <v>1444</v>
      </c>
      <c r="I181" s="19" t="s">
        <v>1445</v>
      </c>
      <c r="J181" s="19" t="s">
        <v>1094</v>
      </c>
      <c r="K181" s="19" t="s">
        <v>6</v>
      </c>
      <c r="L181" s="19" t="s">
        <v>1095</v>
      </c>
      <c r="M181" s="19" t="s">
        <v>1095</v>
      </c>
      <c r="N181" s="19" t="s">
        <v>1105</v>
      </c>
      <c r="R181" t="s">
        <v>1097</v>
      </c>
    </row>
    <row r="182" spans="1:18" hidden="1" x14ac:dyDescent="0.3">
      <c r="A182" s="19">
        <f t="shared" si="2"/>
        <v>181</v>
      </c>
      <c r="B182" s="20" t="s">
        <v>87</v>
      </c>
      <c r="C182" s="20" t="s">
        <v>102</v>
      </c>
      <c r="D182" s="21" t="str">
        <f>IF($C182="","",IFERROR(VLOOKUP($C182,Map_Register!$A$2:$C$5,3,FALSE()),""))</f>
        <v>Toponym Labels</v>
      </c>
      <c r="E182" s="20" t="s">
        <v>15</v>
      </c>
      <c r="F182" s="22">
        <v>721138</v>
      </c>
      <c r="G182" s="19" t="s">
        <v>1091</v>
      </c>
      <c r="H182" s="19" t="s">
        <v>1446</v>
      </c>
      <c r="I182" s="19" t="s">
        <v>1447</v>
      </c>
      <c r="J182" s="19" t="s">
        <v>1094</v>
      </c>
      <c r="K182" t="s">
        <v>1100</v>
      </c>
      <c r="L182" t="s">
        <v>114</v>
      </c>
      <c r="M182" t="s">
        <v>114</v>
      </c>
      <c r="N182" s="19" t="s">
        <v>530</v>
      </c>
      <c r="O182" s="19" t="s">
        <v>116</v>
      </c>
      <c r="R182" t="s">
        <v>1097</v>
      </c>
    </row>
    <row r="183" spans="1:18" hidden="1" x14ac:dyDescent="0.3">
      <c r="A183" s="19">
        <f t="shared" si="2"/>
        <v>182</v>
      </c>
      <c r="B183" s="20" t="s">
        <v>87</v>
      </c>
      <c r="C183" s="20" t="s">
        <v>102</v>
      </c>
      <c r="D183" s="21" t="str">
        <f>IF($C183="","",IFERROR(VLOOKUP($C183,Map_Register!$A$2:$C$5,3,FALSE()),""))</f>
        <v>Toponym Labels</v>
      </c>
      <c r="E183" s="20" t="s">
        <v>15</v>
      </c>
      <c r="F183" s="22">
        <v>721139</v>
      </c>
      <c r="G183" s="19" t="s">
        <v>1108</v>
      </c>
      <c r="H183" s="19" t="s">
        <v>1448</v>
      </c>
      <c r="I183" s="19" t="s">
        <v>1449</v>
      </c>
      <c r="J183" s="19" t="s">
        <v>1094</v>
      </c>
      <c r="K183" s="19" t="s">
        <v>6</v>
      </c>
      <c r="L183" s="19" t="s">
        <v>1095</v>
      </c>
      <c r="M183" s="19" t="s">
        <v>1095</v>
      </c>
      <c r="N183" s="19" t="s">
        <v>1105</v>
      </c>
      <c r="R183" t="s">
        <v>1097</v>
      </c>
    </row>
    <row r="184" spans="1:18" hidden="1" x14ac:dyDescent="0.3">
      <c r="A184" s="19">
        <f t="shared" si="2"/>
        <v>183</v>
      </c>
      <c r="B184" s="20" t="s">
        <v>87</v>
      </c>
      <c r="C184" s="20" t="s">
        <v>102</v>
      </c>
      <c r="D184" s="21" t="str">
        <f>IF($C184="","",IFERROR(VLOOKUP($C184,Map_Register!$A$2:$C$5,3,FALSE()),""))</f>
        <v>Toponym Labels</v>
      </c>
      <c r="E184" s="20" t="s">
        <v>15</v>
      </c>
      <c r="F184" s="22">
        <v>721140</v>
      </c>
      <c r="G184" s="19" t="s">
        <v>1341</v>
      </c>
      <c r="H184" s="19" t="s">
        <v>1450</v>
      </c>
      <c r="I184" s="19" t="s">
        <v>1450</v>
      </c>
      <c r="J184" s="19" t="s">
        <v>1110</v>
      </c>
      <c r="K184" t="s">
        <v>1100</v>
      </c>
      <c r="L184" t="s">
        <v>114</v>
      </c>
      <c r="M184" t="s">
        <v>114</v>
      </c>
      <c r="N184" s="19" t="s">
        <v>1421</v>
      </c>
      <c r="O184" s="19" t="s">
        <v>116</v>
      </c>
      <c r="R184" t="s">
        <v>1097</v>
      </c>
    </row>
    <row r="185" spans="1:18" x14ac:dyDescent="0.3">
      <c r="A185" s="19">
        <f t="shared" si="2"/>
        <v>184</v>
      </c>
      <c r="B185" s="20" t="s">
        <v>87</v>
      </c>
      <c r="C185" s="20" t="s">
        <v>102</v>
      </c>
      <c r="D185" s="21" t="str">
        <f>IF($C185="","",IFERROR(VLOOKUP($C185,Map_Register!$A$2:$C$5,3,FALSE()),""))</f>
        <v>Toponym Labels</v>
      </c>
      <c r="E185" s="20" t="s">
        <v>15</v>
      </c>
      <c r="F185" s="22">
        <v>721141</v>
      </c>
      <c r="G185" s="19" t="s">
        <v>1125</v>
      </c>
      <c r="H185" s="19" t="s">
        <v>1451</v>
      </c>
      <c r="I185" s="19" t="s">
        <v>1452</v>
      </c>
      <c r="J185" s="19" t="s">
        <v>1094</v>
      </c>
      <c r="K185" t="s">
        <v>1100</v>
      </c>
      <c r="L185" t="s">
        <v>114</v>
      </c>
      <c r="M185" t="s">
        <v>116</v>
      </c>
      <c r="N185" s="19" t="s">
        <v>1268</v>
      </c>
      <c r="O185" s="19" t="s">
        <v>116</v>
      </c>
      <c r="R185" t="s">
        <v>1097</v>
      </c>
    </row>
    <row r="186" spans="1:18" hidden="1" x14ac:dyDescent="0.3">
      <c r="A186" s="19">
        <f t="shared" si="2"/>
        <v>185</v>
      </c>
      <c r="B186" s="20" t="s">
        <v>87</v>
      </c>
      <c r="C186" s="20" t="s">
        <v>102</v>
      </c>
      <c r="D186" s="21" t="str">
        <f>IF($C186="","",IFERROR(VLOOKUP($C186,Map_Register!$A$2:$C$5,3,FALSE()),""))</f>
        <v>Toponym Labels</v>
      </c>
      <c r="E186" s="20" t="s">
        <v>15</v>
      </c>
      <c r="F186" s="22">
        <v>721142</v>
      </c>
      <c r="G186" s="19" t="s">
        <v>1136</v>
      </c>
      <c r="H186" s="19" t="s">
        <v>1453</v>
      </c>
      <c r="I186" s="19" t="s">
        <v>1453</v>
      </c>
      <c r="J186" s="19" t="s">
        <v>1110</v>
      </c>
      <c r="K186" t="s">
        <v>1100</v>
      </c>
      <c r="L186" t="s">
        <v>114</v>
      </c>
      <c r="M186" t="s">
        <v>114</v>
      </c>
      <c r="N186" s="19" t="s">
        <v>530</v>
      </c>
      <c r="O186" s="19" t="s">
        <v>116</v>
      </c>
      <c r="R186" t="s">
        <v>1097</v>
      </c>
    </row>
    <row r="187" spans="1:18" hidden="1" x14ac:dyDescent="0.3">
      <c r="A187" s="19">
        <f t="shared" si="2"/>
        <v>186</v>
      </c>
      <c r="B187" s="20" t="s">
        <v>87</v>
      </c>
      <c r="C187" s="20" t="s">
        <v>102</v>
      </c>
      <c r="D187" s="21" t="str">
        <f>IF($C187="","",IFERROR(VLOOKUP($C187,Map_Register!$A$2:$C$5,3,FALSE()),""))</f>
        <v>Toponym Labels</v>
      </c>
      <c r="E187" s="20" t="s">
        <v>15</v>
      </c>
      <c r="F187" s="22">
        <v>721143</v>
      </c>
      <c r="G187" s="19" t="s">
        <v>1136</v>
      </c>
      <c r="H187" s="19" t="s">
        <v>1454</v>
      </c>
      <c r="I187" s="19" t="s">
        <v>1454</v>
      </c>
      <c r="J187" s="19" t="s">
        <v>1110</v>
      </c>
      <c r="K187" t="s">
        <v>1100</v>
      </c>
      <c r="L187" t="s">
        <v>114</v>
      </c>
      <c r="M187" t="s">
        <v>114</v>
      </c>
      <c r="N187" s="19" t="s">
        <v>530</v>
      </c>
      <c r="O187" s="19" t="s">
        <v>116</v>
      </c>
      <c r="R187" t="s">
        <v>1097</v>
      </c>
    </row>
    <row r="188" spans="1:18" hidden="1" x14ac:dyDescent="0.3">
      <c r="A188" s="19">
        <f t="shared" si="2"/>
        <v>187</v>
      </c>
      <c r="B188" s="20" t="s">
        <v>87</v>
      </c>
      <c r="C188" s="20" t="s">
        <v>102</v>
      </c>
      <c r="D188" s="21" t="str">
        <f>IF($C188="","",IFERROR(VLOOKUP($C188,Map_Register!$A$2:$C$5,3,FALSE()),""))</f>
        <v>Toponym Labels</v>
      </c>
      <c r="E188" s="20" t="s">
        <v>15</v>
      </c>
      <c r="F188" s="22">
        <v>721144</v>
      </c>
      <c r="G188" s="19" t="s">
        <v>1341</v>
      </c>
      <c r="H188" s="19" t="s">
        <v>1455</v>
      </c>
      <c r="I188" s="19" t="s">
        <v>1455</v>
      </c>
      <c r="J188" s="19" t="s">
        <v>1110</v>
      </c>
      <c r="K188" t="s">
        <v>1100</v>
      </c>
      <c r="L188" t="s">
        <v>114</v>
      </c>
      <c r="M188" t="s">
        <v>114</v>
      </c>
      <c r="N188" s="19" t="s">
        <v>1421</v>
      </c>
      <c r="O188" s="19" t="s">
        <v>116</v>
      </c>
      <c r="R188" t="s">
        <v>1097</v>
      </c>
    </row>
    <row r="189" spans="1:18" hidden="1" x14ac:dyDescent="0.3">
      <c r="A189" s="19">
        <f t="shared" si="2"/>
        <v>188</v>
      </c>
      <c r="B189" s="20" t="s">
        <v>87</v>
      </c>
      <c r="C189" s="20" t="s">
        <v>102</v>
      </c>
      <c r="D189" s="21" t="str">
        <f>IF($C189="","",IFERROR(VLOOKUP($C189,Map_Register!$A$2:$C$5,3,FALSE()),""))</f>
        <v>Toponym Labels</v>
      </c>
      <c r="E189" s="20" t="s">
        <v>15</v>
      </c>
      <c r="F189" s="22">
        <v>721145</v>
      </c>
      <c r="G189" s="19" t="s">
        <v>1136</v>
      </c>
      <c r="H189" s="19" t="s">
        <v>1456</v>
      </c>
      <c r="I189" s="19" t="s">
        <v>1457</v>
      </c>
      <c r="J189" s="19" t="s">
        <v>1458</v>
      </c>
      <c r="K189" t="s">
        <v>1100</v>
      </c>
      <c r="L189" t="s">
        <v>114</v>
      </c>
      <c r="M189" t="s">
        <v>114</v>
      </c>
      <c r="N189" s="19" t="s">
        <v>530</v>
      </c>
      <c r="O189" s="19" t="s">
        <v>116</v>
      </c>
      <c r="R189" t="s">
        <v>1097</v>
      </c>
    </row>
    <row r="190" spans="1:18" hidden="1" x14ac:dyDescent="0.3">
      <c r="A190" s="19">
        <f t="shared" si="2"/>
        <v>189</v>
      </c>
      <c r="B190" s="20" t="s">
        <v>87</v>
      </c>
      <c r="C190" s="20" t="s">
        <v>102</v>
      </c>
      <c r="D190" s="21" t="str">
        <f>IF($C190="","",IFERROR(VLOOKUP($C190,Map_Register!$A$2:$C$5,3,FALSE()),""))</f>
        <v>Toponym Labels</v>
      </c>
      <c r="E190" s="20" t="s">
        <v>15</v>
      </c>
      <c r="F190" s="22">
        <v>721146</v>
      </c>
      <c r="G190" s="19" t="s">
        <v>1136</v>
      </c>
      <c r="H190" s="19" t="s">
        <v>1459</v>
      </c>
      <c r="I190" s="19" t="s">
        <v>1460</v>
      </c>
      <c r="J190" s="19" t="s">
        <v>1094</v>
      </c>
      <c r="K190" s="19" t="s">
        <v>6</v>
      </c>
      <c r="L190" s="19" t="s">
        <v>1095</v>
      </c>
      <c r="M190" s="19" t="s">
        <v>1095</v>
      </c>
      <c r="N190" s="19" t="s">
        <v>1105</v>
      </c>
      <c r="R190" t="s">
        <v>1097</v>
      </c>
    </row>
    <row r="191" spans="1:18" hidden="1" x14ac:dyDescent="0.3">
      <c r="A191" s="19">
        <f t="shared" si="2"/>
        <v>190</v>
      </c>
      <c r="B191" s="20" t="s">
        <v>87</v>
      </c>
      <c r="C191" s="20" t="s">
        <v>102</v>
      </c>
      <c r="D191" s="21" t="str">
        <f>IF($C191="","",IFERROR(VLOOKUP($C191,Map_Register!$A$2:$C$5,3,FALSE()),""))</f>
        <v>Toponym Labels</v>
      </c>
      <c r="E191" s="20" t="s">
        <v>15</v>
      </c>
      <c r="F191" s="22">
        <v>721147</v>
      </c>
      <c r="G191" s="19" t="s">
        <v>1419</v>
      </c>
      <c r="H191" s="19" t="s">
        <v>1461</v>
      </c>
      <c r="I191" s="19" t="s">
        <v>1461</v>
      </c>
      <c r="J191" s="19" t="s">
        <v>1110</v>
      </c>
      <c r="K191" t="s">
        <v>1100</v>
      </c>
      <c r="L191" t="s">
        <v>114</v>
      </c>
      <c r="M191" t="s">
        <v>114</v>
      </c>
      <c r="N191" s="19" t="s">
        <v>1462</v>
      </c>
      <c r="O191" s="19" t="s">
        <v>116</v>
      </c>
      <c r="R191" t="s">
        <v>1097</v>
      </c>
    </row>
    <row r="192" spans="1:18" hidden="1" x14ac:dyDescent="0.3">
      <c r="A192" s="19">
        <f t="shared" si="2"/>
        <v>191</v>
      </c>
      <c r="B192" s="20" t="s">
        <v>87</v>
      </c>
      <c r="C192" s="20" t="s">
        <v>102</v>
      </c>
      <c r="D192" s="21" t="str">
        <f>IF($C192="","",IFERROR(VLOOKUP($C192,Map_Register!$A$2:$C$5,3,FALSE()),""))</f>
        <v>Toponym Labels</v>
      </c>
      <c r="E192" s="20" t="s">
        <v>15</v>
      </c>
      <c r="F192" s="22">
        <v>721148</v>
      </c>
      <c r="G192" s="19" t="s">
        <v>1136</v>
      </c>
      <c r="H192" s="19" t="s">
        <v>1463</v>
      </c>
      <c r="I192" s="19" t="s">
        <v>1464</v>
      </c>
      <c r="J192" s="19" t="s">
        <v>1104</v>
      </c>
      <c r="K192" t="s">
        <v>1100</v>
      </c>
      <c r="L192" t="s">
        <v>114</v>
      </c>
      <c r="M192" t="s">
        <v>114</v>
      </c>
      <c r="N192" s="19" t="s">
        <v>530</v>
      </c>
      <c r="O192" s="19" t="s">
        <v>116</v>
      </c>
      <c r="R192" t="s">
        <v>1097</v>
      </c>
    </row>
    <row r="193" spans="1:18" x14ac:dyDescent="0.3">
      <c r="A193" s="19">
        <f t="shared" si="2"/>
        <v>192</v>
      </c>
      <c r="B193" s="20" t="s">
        <v>87</v>
      </c>
      <c r="C193" s="20" t="s">
        <v>102</v>
      </c>
      <c r="D193" s="21" t="str">
        <f>IF($C193="","",IFERROR(VLOOKUP($C193,Map_Register!$A$2:$C$5,3,FALSE()),""))</f>
        <v>Toponym Labels</v>
      </c>
      <c r="E193" s="20" t="s">
        <v>15</v>
      </c>
      <c r="F193" s="22">
        <v>721149</v>
      </c>
      <c r="G193" s="19" t="s">
        <v>1125</v>
      </c>
      <c r="H193" s="19" t="s">
        <v>1465</v>
      </c>
      <c r="I193" s="19" t="s">
        <v>1465</v>
      </c>
      <c r="J193" s="19" t="s">
        <v>1110</v>
      </c>
      <c r="K193" t="s">
        <v>1100</v>
      </c>
      <c r="L193" t="s">
        <v>114</v>
      </c>
      <c r="M193" t="s">
        <v>116</v>
      </c>
      <c r="N193" s="19" t="s">
        <v>1268</v>
      </c>
      <c r="O193" s="19" t="s">
        <v>116</v>
      </c>
      <c r="R193" t="s">
        <v>1097</v>
      </c>
    </row>
    <row r="194" spans="1:18" hidden="1" x14ac:dyDescent="0.3">
      <c r="A194" s="19">
        <f t="shared" ref="A194:A257" si="3">IF($B194="","",ROW()-1)</f>
        <v>193</v>
      </c>
      <c r="B194" s="20" t="s">
        <v>87</v>
      </c>
      <c r="C194" s="20" t="s">
        <v>102</v>
      </c>
      <c r="D194" s="21" t="str">
        <f>IF($C194="","",IFERROR(VLOOKUP($C194,Map_Register!$A$2:$C$5,3,FALSE()),""))</f>
        <v>Toponym Labels</v>
      </c>
      <c r="E194" s="20" t="s">
        <v>15</v>
      </c>
      <c r="F194" s="22">
        <v>721150</v>
      </c>
      <c r="G194" s="19" t="s">
        <v>1136</v>
      </c>
      <c r="H194" s="19" t="s">
        <v>1466</v>
      </c>
      <c r="I194" s="19" t="s">
        <v>1466</v>
      </c>
      <c r="J194" s="19" t="s">
        <v>1110</v>
      </c>
      <c r="K194" t="s">
        <v>1100</v>
      </c>
      <c r="L194" t="s">
        <v>114</v>
      </c>
      <c r="M194" t="s">
        <v>114</v>
      </c>
      <c r="N194" s="19" t="s">
        <v>530</v>
      </c>
      <c r="O194" s="19" t="s">
        <v>116</v>
      </c>
      <c r="R194" t="s">
        <v>1097</v>
      </c>
    </row>
    <row r="195" spans="1:18" hidden="1" x14ac:dyDescent="0.3">
      <c r="A195" s="19">
        <f t="shared" si="3"/>
        <v>194</v>
      </c>
      <c r="B195" s="20" t="s">
        <v>87</v>
      </c>
      <c r="C195" s="20" t="s">
        <v>102</v>
      </c>
      <c r="D195" s="21" t="str">
        <f>IF($C195="","",IFERROR(VLOOKUP($C195,Map_Register!$A$2:$C$5,3,FALSE()),""))</f>
        <v>Toponym Labels</v>
      </c>
      <c r="E195" s="20" t="s">
        <v>15</v>
      </c>
      <c r="F195" s="22">
        <v>721151</v>
      </c>
      <c r="G195" s="19" t="s">
        <v>1136</v>
      </c>
      <c r="H195" s="19" t="s">
        <v>1467</v>
      </c>
      <c r="I195" s="19" t="s">
        <v>1468</v>
      </c>
      <c r="J195" s="19" t="s">
        <v>1094</v>
      </c>
      <c r="K195" t="s">
        <v>1100</v>
      </c>
      <c r="L195" t="s">
        <v>114</v>
      </c>
      <c r="M195" t="s">
        <v>114</v>
      </c>
      <c r="N195" s="19" t="s">
        <v>530</v>
      </c>
      <c r="O195" s="19" t="s">
        <v>116</v>
      </c>
      <c r="R195" t="s">
        <v>1097</v>
      </c>
    </row>
    <row r="196" spans="1:18" hidden="1" x14ac:dyDescent="0.3">
      <c r="A196" s="19">
        <f t="shared" si="3"/>
        <v>195</v>
      </c>
      <c r="B196" s="20" t="s">
        <v>87</v>
      </c>
      <c r="C196" s="20" t="s">
        <v>102</v>
      </c>
      <c r="D196" s="21" t="str">
        <f>IF($C196="","",IFERROR(VLOOKUP($C196,Map_Register!$A$2:$C$5,3,FALSE()),""))</f>
        <v>Toponym Labels</v>
      </c>
      <c r="E196" s="20" t="s">
        <v>15</v>
      </c>
      <c r="F196" s="22">
        <v>721152</v>
      </c>
      <c r="G196" s="19" t="s">
        <v>1163</v>
      </c>
      <c r="H196" s="19" t="s">
        <v>1469</v>
      </c>
      <c r="I196" s="19" t="s">
        <v>1470</v>
      </c>
      <c r="J196" s="19" t="s">
        <v>1104</v>
      </c>
      <c r="K196" s="19" t="s">
        <v>6</v>
      </c>
      <c r="L196" s="19" t="s">
        <v>1095</v>
      </c>
      <c r="M196" s="19" t="s">
        <v>1095</v>
      </c>
      <c r="N196" s="19" t="s">
        <v>1105</v>
      </c>
      <c r="R196" t="s">
        <v>1097</v>
      </c>
    </row>
    <row r="197" spans="1:18" hidden="1" x14ac:dyDescent="0.3">
      <c r="A197" s="19">
        <f t="shared" si="3"/>
        <v>196</v>
      </c>
      <c r="B197" s="20" t="s">
        <v>87</v>
      </c>
      <c r="C197" s="20" t="s">
        <v>102</v>
      </c>
      <c r="D197" s="21" t="str">
        <f>IF($C197="","",IFERROR(VLOOKUP($C197,Map_Register!$A$2:$C$5,3,FALSE()),""))</f>
        <v>Toponym Labels</v>
      </c>
      <c r="E197" s="20" t="s">
        <v>15</v>
      </c>
      <c r="F197" s="22">
        <v>721153</v>
      </c>
      <c r="G197" s="19" t="s">
        <v>1136</v>
      </c>
      <c r="H197" s="19" t="s">
        <v>1471</v>
      </c>
      <c r="I197" s="19" t="s">
        <v>1471</v>
      </c>
      <c r="J197" s="19" t="s">
        <v>1110</v>
      </c>
      <c r="K197" t="s">
        <v>1100</v>
      </c>
      <c r="L197" t="s">
        <v>114</v>
      </c>
      <c r="M197" t="s">
        <v>114</v>
      </c>
      <c r="N197" s="19" t="s">
        <v>530</v>
      </c>
      <c r="O197" s="19" t="s">
        <v>116</v>
      </c>
      <c r="R197" t="s">
        <v>1097</v>
      </c>
    </row>
    <row r="198" spans="1:18" hidden="1" x14ac:dyDescent="0.3">
      <c r="A198" s="19">
        <f t="shared" si="3"/>
        <v>197</v>
      </c>
      <c r="B198" s="20" t="s">
        <v>87</v>
      </c>
      <c r="C198" s="20" t="s">
        <v>102</v>
      </c>
      <c r="D198" s="21" t="str">
        <f>IF($C198="","",IFERROR(VLOOKUP($C198,Map_Register!$A$2:$C$5,3,FALSE()),""))</f>
        <v>Toponym Labels</v>
      </c>
      <c r="E198" s="20" t="s">
        <v>15</v>
      </c>
      <c r="F198" s="22">
        <v>721154</v>
      </c>
      <c r="G198" s="19" t="s">
        <v>1136</v>
      </c>
      <c r="H198" s="19" t="s">
        <v>1472</v>
      </c>
      <c r="I198" s="19" t="s">
        <v>1473</v>
      </c>
      <c r="J198" s="19" t="s">
        <v>1094</v>
      </c>
      <c r="K198" s="19" t="s">
        <v>6</v>
      </c>
      <c r="L198" s="19" t="s">
        <v>1095</v>
      </c>
      <c r="M198" s="19" t="s">
        <v>1095</v>
      </c>
      <c r="N198" s="19" t="s">
        <v>1105</v>
      </c>
      <c r="R198" t="s">
        <v>1097</v>
      </c>
    </row>
    <row r="199" spans="1:18" hidden="1" x14ac:dyDescent="0.3">
      <c r="A199" s="19">
        <f t="shared" si="3"/>
        <v>198</v>
      </c>
      <c r="B199" s="20" t="s">
        <v>87</v>
      </c>
      <c r="C199" s="20" t="s">
        <v>102</v>
      </c>
      <c r="D199" s="21" t="str">
        <f>IF($C199="","",IFERROR(VLOOKUP($C199,Map_Register!$A$2:$C$5,3,FALSE()),""))</f>
        <v>Toponym Labels</v>
      </c>
      <c r="E199" s="20" t="s">
        <v>15</v>
      </c>
      <c r="F199" s="22">
        <v>721155</v>
      </c>
      <c r="G199" s="19" t="s">
        <v>1136</v>
      </c>
      <c r="H199" s="19" t="s">
        <v>1474</v>
      </c>
      <c r="I199" s="19" t="s">
        <v>1475</v>
      </c>
      <c r="J199" s="19" t="s">
        <v>1104</v>
      </c>
      <c r="K199" s="19" t="s">
        <v>6</v>
      </c>
      <c r="L199" s="19" t="s">
        <v>1095</v>
      </c>
      <c r="M199" s="19" t="s">
        <v>1095</v>
      </c>
      <c r="N199" s="19" t="s">
        <v>1110</v>
      </c>
      <c r="R199" t="s">
        <v>1097</v>
      </c>
    </row>
    <row r="200" spans="1:18" x14ac:dyDescent="0.3">
      <c r="A200" s="19">
        <f t="shared" si="3"/>
        <v>199</v>
      </c>
      <c r="B200" s="20" t="s">
        <v>87</v>
      </c>
      <c r="C200" s="20" t="s">
        <v>102</v>
      </c>
      <c r="D200" s="21" t="str">
        <f>IF($C200="","",IFERROR(VLOOKUP($C200,Map_Register!$A$2:$C$5,3,FALSE()),""))</f>
        <v>Toponym Labels</v>
      </c>
      <c r="E200" s="20" t="s">
        <v>15</v>
      </c>
      <c r="F200" s="22">
        <v>721156</v>
      </c>
      <c r="G200" s="19" t="s">
        <v>1125</v>
      </c>
      <c r="H200" s="19" t="s">
        <v>1476</v>
      </c>
      <c r="I200" s="19" t="s">
        <v>1477</v>
      </c>
      <c r="J200" s="19" t="s">
        <v>1094</v>
      </c>
      <c r="K200" t="s">
        <v>1100</v>
      </c>
      <c r="L200" t="s">
        <v>114</v>
      </c>
      <c r="M200" t="s">
        <v>116</v>
      </c>
      <c r="N200" s="19" t="s">
        <v>1268</v>
      </c>
      <c r="O200" s="19" t="s">
        <v>116</v>
      </c>
      <c r="R200" t="s">
        <v>1097</v>
      </c>
    </row>
    <row r="201" spans="1:18" hidden="1" x14ac:dyDescent="0.3">
      <c r="A201" s="19">
        <f t="shared" si="3"/>
        <v>200</v>
      </c>
      <c r="B201" s="20" t="s">
        <v>87</v>
      </c>
      <c r="C201" s="20" t="s">
        <v>102</v>
      </c>
      <c r="D201" s="21" t="str">
        <f>IF($C201="","",IFERROR(VLOOKUP($C201,Map_Register!$A$2:$C$5,3,FALSE()),""))</f>
        <v>Toponym Labels</v>
      </c>
      <c r="E201" s="20" t="s">
        <v>15</v>
      </c>
      <c r="F201" s="22">
        <v>721157</v>
      </c>
      <c r="G201" s="19" t="s">
        <v>1125</v>
      </c>
      <c r="H201" s="19" t="s">
        <v>1478</v>
      </c>
      <c r="I201" s="19" t="s">
        <v>1479</v>
      </c>
      <c r="J201" s="19" t="s">
        <v>1094</v>
      </c>
      <c r="K201" s="19" t="s">
        <v>6</v>
      </c>
      <c r="L201" s="19" t="s">
        <v>1095</v>
      </c>
      <c r="M201" s="19" t="s">
        <v>1095</v>
      </c>
      <c r="N201" s="19" t="s">
        <v>1105</v>
      </c>
      <c r="R201" t="s">
        <v>1097</v>
      </c>
    </row>
    <row r="202" spans="1:18" hidden="1" x14ac:dyDescent="0.3">
      <c r="A202" s="19">
        <f t="shared" si="3"/>
        <v>201</v>
      </c>
      <c r="B202" s="20" t="s">
        <v>87</v>
      </c>
      <c r="C202" s="20" t="s">
        <v>102</v>
      </c>
      <c r="D202" s="21" t="str">
        <f>IF($C202="","",IFERROR(VLOOKUP($C202,Map_Register!$A$2:$C$5,3,FALSE()),""))</f>
        <v>Toponym Labels</v>
      </c>
      <c r="E202" s="20" t="s">
        <v>15</v>
      </c>
      <c r="F202" s="22">
        <v>721158</v>
      </c>
      <c r="G202" s="19" t="s">
        <v>1136</v>
      </c>
      <c r="H202" s="19" t="s">
        <v>1480</v>
      </c>
      <c r="I202" s="19" t="s">
        <v>1480</v>
      </c>
      <c r="J202" s="19" t="s">
        <v>1110</v>
      </c>
      <c r="K202" t="s">
        <v>1100</v>
      </c>
      <c r="L202" t="s">
        <v>114</v>
      </c>
      <c r="M202" t="s">
        <v>114</v>
      </c>
      <c r="N202" s="19" t="s">
        <v>530</v>
      </c>
      <c r="O202" s="19" t="s">
        <v>116</v>
      </c>
      <c r="R202" t="s">
        <v>1097</v>
      </c>
    </row>
    <row r="203" spans="1:18" hidden="1" x14ac:dyDescent="0.3">
      <c r="A203" s="19">
        <f t="shared" si="3"/>
        <v>202</v>
      </c>
      <c r="B203" s="20" t="s">
        <v>87</v>
      </c>
      <c r="C203" s="20" t="s">
        <v>102</v>
      </c>
      <c r="D203" s="21" t="str">
        <f>IF($C203="","",IFERROR(VLOOKUP($C203,Map_Register!$A$2:$C$5,3,FALSE()),""))</f>
        <v>Toponym Labels</v>
      </c>
      <c r="E203" s="20" t="s">
        <v>15</v>
      </c>
      <c r="F203" s="22">
        <v>721159</v>
      </c>
      <c r="G203" s="19" t="s">
        <v>1125</v>
      </c>
      <c r="H203" s="19" t="s">
        <v>1481</v>
      </c>
      <c r="I203" s="19" t="s">
        <v>1482</v>
      </c>
      <c r="J203" s="19" t="s">
        <v>1104</v>
      </c>
      <c r="K203" s="19" t="s">
        <v>6</v>
      </c>
      <c r="L203" s="19" t="s">
        <v>1095</v>
      </c>
      <c r="M203" s="19" t="s">
        <v>1095</v>
      </c>
      <c r="N203" s="19" t="s">
        <v>1105</v>
      </c>
      <c r="R203" t="s">
        <v>1097</v>
      </c>
    </row>
    <row r="204" spans="1:18" hidden="1" x14ac:dyDescent="0.3">
      <c r="A204" s="19">
        <f t="shared" si="3"/>
        <v>203</v>
      </c>
      <c r="B204" s="20" t="s">
        <v>87</v>
      </c>
      <c r="C204" s="20" t="s">
        <v>102</v>
      </c>
      <c r="D204" s="21" t="str">
        <f>IF($C204="","",IFERROR(VLOOKUP($C204,Map_Register!$A$2:$C$5,3,FALSE()),""))</f>
        <v>Toponym Labels</v>
      </c>
      <c r="E204" s="20" t="s">
        <v>15</v>
      </c>
      <c r="F204" s="22">
        <v>721160</v>
      </c>
      <c r="G204" s="19" t="s">
        <v>1125</v>
      </c>
      <c r="H204" s="19" t="s">
        <v>1483</v>
      </c>
      <c r="I204" s="19" t="s">
        <v>1483</v>
      </c>
      <c r="J204" s="19" t="s">
        <v>1110</v>
      </c>
      <c r="K204" t="s">
        <v>1100</v>
      </c>
      <c r="L204" t="s">
        <v>114</v>
      </c>
      <c r="M204" t="s">
        <v>114</v>
      </c>
      <c r="N204" s="19" t="s">
        <v>530</v>
      </c>
      <c r="O204" s="19" t="s">
        <v>116</v>
      </c>
      <c r="R204" t="s">
        <v>1097</v>
      </c>
    </row>
    <row r="205" spans="1:18" hidden="1" x14ac:dyDescent="0.3">
      <c r="A205" s="19">
        <f t="shared" si="3"/>
        <v>204</v>
      </c>
      <c r="B205" s="20" t="s">
        <v>87</v>
      </c>
      <c r="C205" s="20" t="s">
        <v>102</v>
      </c>
      <c r="D205" s="21" t="str">
        <f>IF($C205="","",IFERROR(VLOOKUP($C205,Map_Register!$A$2:$C$5,3,FALSE()),""))</f>
        <v>Toponym Labels</v>
      </c>
      <c r="E205" s="20" t="s">
        <v>15</v>
      </c>
      <c r="F205" s="22">
        <v>721161</v>
      </c>
      <c r="G205" s="19" t="s">
        <v>1125</v>
      </c>
      <c r="H205" s="19" t="s">
        <v>1484</v>
      </c>
      <c r="I205" s="19" t="s">
        <v>1484</v>
      </c>
      <c r="J205" s="19" t="s">
        <v>1110</v>
      </c>
      <c r="K205" s="19" t="s">
        <v>6</v>
      </c>
      <c r="L205" s="19" t="s">
        <v>1095</v>
      </c>
      <c r="M205" s="19" t="s">
        <v>1095</v>
      </c>
      <c r="N205" s="19" t="s">
        <v>1155</v>
      </c>
      <c r="R205" t="s">
        <v>1097</v>
      </c>
    </row>
    <row r="206" spans="1:18" hidden="1" x14ac:dyDescent="0.3">
      <c r="A206" s="19">
        <f t="shared" si="3"/>
        <v>205</v>
      </c>
      <c r="B206" s="20" t="s">
        <v>87</v>
      </c>
      <c r="C206" s="20" t="s">
        <v>102</v>
      </c>
      <c r="D206" s="21" t="str">
        <f>IF($C206="","",IFERROR(VLOOKUP($C206,Map_Register!$A$2:$C$5,3,FALSE()),""))</f>
        <v>Toponym Labels</v>
      </c>
      <c r="E206" s="20" t="s">
        <v>15</v>
      </c>
      <c r="F206" s="22">
        <v>721162</v>
      </c>
      <c r="G206" s="19" t="s">
        <v>1125</v>
      </c>
      <c r="H206" s="19" t="s">
        <v>1485</v>
      </c>
      <c r="I206" s="19" t="s">
        <v>1485</v>
      </c>
      <c r="J206" s="19" t="s">
        <v>1110</v>
      </c>
      <c r="K206" t="s">
        <v>1100</v>
      </c>
      <c r="L206" t="s">
        <v>114</v>
      </c>
      <c r="M206" t="s">
        <v>114</v>
      </c>
      <c r="N206" s="19" t="s">
        <v>530</v>
      </c>
      <c r="O206" s="19" t="s">
        <v>116</v>
      </c>
      <c r="R206" t="s">
        <v>1097</v>
      </c>
    </row>
    <row r="207" spans="1:18" x14ac:dyDescent="0.3">
      <c r="A207" s="19">
        <f t="shared" si="3"/>
        <v>206</v>
      </c>
      <c r="B207" s="20" t="s">
        <v>87</v>
      </c>
      <c r="C207" s="20" t="s">
        <v>102</v>
      </c>
      <c r="D207" s="21" t="str">
        <f>IF($C207="","",IFERROR(VLOOKUP($C207,Map_Register!$A$2:$C$5,3,FALSE()),""))</f>
        <v>Toponym Labels</v>
      </c>
      <c r="E207" s="20" t="s">
        <v>15</v>
      </c>
      <c r="F207" s="22">
        <v>721163</v>
      </c>
      <c r="G207" s="19" t="s">
        <v>1125</v>
      </c>
      <c r="H207" s="19" t="s">
        <v>1486</v>
      </c>
      <c r="I207" s="19" t="s">
        <v>1487</v>
      </c>
      <c r="J207" s="19" t="s">
        <v>1094</v>
      </c>
      <c r="K207" t="s">
        <v>1100</v>
      </c>
      <c r="L207" t="s">
        <v>114</v>
      </c>
      <c r="M207" t="s">
        <v>116</v>
      </c>
      <c r="N207" s="19" t="s">
        <v>1268</v>
      </c>
      <c r="O207" s="19" t="s">
        <v>116</v>
      </c>
      <c r="R207" t="s">
        <v>1097</v>
      </c>
    </row>
    <row r="208" spans="1:18" x14ac:dyDescent="0.3">
      <c r="A208" s="19">
        <f t="shared" si="3"/>
        <v>207</v>
      </c>
      <c r="B208" s="20" t="s">
        <v>87</v>
      </c>
      <c r="C208" s="20" t="s">
        <v>102</v>
      </c>
      <c r="D208" s="21" t="str">
        <f>IF($C208="","",IFERROR(VLOOKUP($C208,Map_Register!$A$2:$C$5,3,FALSE()),""))</f>
        <v>Toponym Labels</v>
      </c>
      <c r="E208" s="20" t="s">
        <v>15</v>
      </c>
      <c r="F208" s="22">
        <v>721164</v>
      </c>
      <c r="G208" s="19" t="s">
        <v>1125</v>
      </c>
      <c r="H208" s="19" t="s">
        <v>1488</v>
      </c>
      <c r="I208" s="19" t="s">
        <v>1489</v>
      </c>
      <c r="J208" s="19" t="s">
        <v>1104</v>
      </c>
      <c r="K208" t="s">
        <v>1100</v>
      </c>
      <c r="L208" t="s">
        <v>114</v>
      </c>
      <c r="M208" t="s">
        <v>116</v>
      </c>
      <c r="N208" s="19" t="s">
        <v>1268</v>
      </c>
      <c r="O208" s="19" t="s">
        <v>116</v>
      </c>
      <c r="R208" t="s">
        <v>1097</v>
      </c>
    </row>
    <row r="209" spans="1:18" hidden="1" x14ac:dyDescent="0.3">
      <c r="A209" s="19">
        <f t="shared" si="3"/>
        <v>208</v>
      </c>
      <c r="B209" s="20" t="s">
        <v>87</v>
      </c>
      <c r="C209" s="20" t="s">
        <v>102</v>
      </c>
      <c r="D209" s="21" t="str">
        <f>IF($C209="","",IFERROR(VLOOKUP($C209,Map_Register!$A$2:$C$5,3,FALSE()),""))</f>
        <v>Toponym Labels</v>
      </c>
      <c r="E209" s="20" t="s">
        <v>15</v>
      </c>
      <c r="F209" s="22">
        <v>721165</v>
      </c>
      <c r="G209" s="19" t="s">
        <v>1136</v>
      </c>
      <c r="H209" s="19" t="s">
        <v>1490</v>
      </c>
      <c r="I209" s="19" t="s">
        <v>1490</v>
      </c>
      <c r="J209" s="19" t="s">
        <v>1110</v>
      </c>
      <c r="K209" t="s">
        <v>1100</v>
      </c>
      <c r="L209" t="s">
        <v>114</v>
      </c>
      <c r="M209" t="s">
        <v>114</v>
      </c>
      <c r="N209" s="19" t="s">
        <v>530</v>
      </c>
      <c r="O209" s="19" t="s">
        <v>116</v>
      </c>
      <c r="R209" t="s">
        <v>1097</v>
      </c>
    </row>
    <row r="210" spans="1:18" x14ac:dyDescent="0.3">
      <c r="A210" s="19">
        <f t="shared" si="3"/>
        <v>209</v>
      </c>
      <c r="B210" s="20" t="s">
        <v>87</v>
      </c>
      <c r="C210" s="20" t="s">
        <v>102</v>
      </c>
      <c r="D210" s="21" t="str">
        <f>IF($C210="","",IFERROR(VLOOKUP($C210,Map_Register!$A$2:$C$5,3,FALSE()),""))</f>
        <v>Toponym Labels</v>
      </c>
      <c r="E210" s="20" t="s">
        <v>15</v>
      </c>
      <c r="F210" s="22">
        <v>721166</v>
      </c>
      <c r="G210" s="19" t="s">
        <v>1341</v>
      </c>
      <c r="H210" s="19" t="s">
        <v>1491</v>
      </c>
      <c r="I210" s="19" t="s">
        <v>1491</v>
      </c>
      <c r="J210" s="19" t="s">
        <v>1110</v>
      </c>
      <c r="K210" t="s">
        <v>1100</v>
      </c>
      <c r="L210" t="s">
        <v>114</v>
      </c>
      <c r="M210" t="s">
        <v>116</v>
      </c>
      <c r="N210" s="19" t="s">
        <v>1492</v>
      </c>
      <c r="O210" s="19" t="s">
        <v>116</v>
      </c>
      <c r="R210" t="s">
        <v>1097</v>
      </c>
    </row>
    <row r="211" spans="1:18" hidden="1" x14ac:dyDescent="0.3">
      <c r="A211" s="19">
        <f t="shared" si="3"/>
        <v>210</v>
      </c>
      <c r="B211" s="20" t="s">
        <v>87</v>
      </c>
      <c r="C211" s="20" t="s">
        <v>102</v>
      </c>
      <c r="D211" s="21" t="str">
        <f>IF($C211="","",IFERROR(VLOOKUP($C211,Map_Register!$A$2:$C$5,3,FALSE()),""))</f>
        <v>Toponym Labels</v>
      </c>
      <c r="E211" s="20" t="s">
        <v>15</v>
      </c>
      <c r="F211" s="22">
        <v>721167</v>
      </c>
      <c r="G211" s="19" t="s">
        <v>1136</v>
      </c>
      <c r="H211" s="19" t="s">
        <v>1493</v>
      </c>
      <c r="I211" s="19" t="s">
        <v>1493</v>
      </c>
      <c r="J211" s="19" t="s">
        <v>1110</v>
      </c>
      <c r="K211" t="s">
        <v>1100</v>
      </c>
      <c r="L211" t="s">
        <v>114</v>
      </c>
      <c r="M211" t="s">
        <v>114</v>
      </c>
      <c r="N211" s="19" t="s">
        <v>530</v>
      </c>
      <c r="O211" s="19" t="s">
        <v>116</v>
      </c>
      <c r="R211" t="s">
        <v>1097</v>
      </c>
    </row>
    <row r="212" spans="1:18" hidden="1" x14ac:dyDescent="0.3">
      <c r="A212" s="19">
        <f t="shared" si="3"/>
        <v>211</v>
      </c>
      <c r="B212" s="20" t="s">
        <v>87</v>
      </c>
      <c r="C212" s="20" t="s">
        <v>102</v>
      </c>
      <c r="D212" s="21" t="str">
        <f>IF($C212="","",IFERROR(VLOOKUP($C212,Map_Register!$A$2:$C$5,3,FALSE()),""))</f>
        <v>Toponym Labels</v>
      </c>
      <c r="E212" s="20" t="s">
        <v>15</v>
      </c>
      <c r="F212" s="22">
        <v>721168</v>
      </c>
      <c r="G212" s="19" t="s">
        <v>1118</v>
      </c>
      <c r="H212" s="19" t="s">
        <v>1494</v>
      </c>
      <c r="I212" s="19" t="s">
        <v>1494</v>
      </c>
      <c r="J212" s="19" t="s">
        <v>1110</v>
      </c>
      <c r="K212" t="s">
        <v>1100</v>
      </c>
      <c r="L212" s="19" t="s">
        <v>114</v>
      </c>
      <c r="M212" s="19" t="s">
        <v>114</v>
      </c>
      <c r="N212" s="19" t="s">
        <v>1178</v>
      </c>
      <c r="O212" s="19" t="s">
        <v>116</v>
      </c>
      <c r="R212" t="s">
        <v>1097</v>
      </c>
    </row>
    <row r="213" spans="1:18" hidden="1" x14ac:dyDescent="0.3">
      <c r="A213" s="19">
        <f t="shared" si="3"/>
        <v>212</v>
      </c>
      <c r="B213" s="20" t="s">
        <v>87</v>
      </c>
      <c r="C213" s="20" t="s">
        <v>102</v>
      </c>
      <c r="D213" s="21" t="str">
        <f>IF($C213="","",IFERROR(VLOOKUP($C213,Map_Register!$A$2:$C$5,3,FALSE()),""))</f>
        <v>Toponym Labels</v>
      </c>
      <c r="E213" s="20" t="s">
        <v>15</v>
      </c>
      <c r="F213" s="22">
        <v>721169</v>
      </c>
      <c r="G213" s="19" t="s">
        <v>1495</v>
      </c>
      <c r="H213" s="19" t="s">
        <v>1496</v>
      </c>
      <c r="I213" s="19" t="s">
        <v>1496</v>
      </c>
      <c r="J213" s="19" t="s">
        <v>1110</v>
      </c>
      <c r="K213" t="s">
        <v>1100</v>
      </c>
      <c r="L213" t="s">
        <v>114</v>
      </c>
      <c r="M213" t="s">
        <v>114</v>
      </c>
      <c r="N213" s="19" t="s">
        <v>1497</v>
      </c>
      <c r="O213" s="19" t="s">
        <v>116</v>
      </c>
      <c r="R213" t="s">
        <v>1097</v>
      </c>
    </row>
    <row r="214" spans="1:18" hidden="1" x14ac:dyDescent="0.3">
      <c r="A214" s="19">
        <f t="shared" si="3"/>
        <v>213</v>
      </c>
      <c r="B214" s="20" t="s">
        <v>87</v>
      </c>
      <c r="C214" s="20" t="s">
        <v>102</v>
      </c>
      <c r="D214" s="21" t="str">
        <f>IF($C214="","",IFERROR(VLOOKUP($C214,Map_Register!$A$2:$C$5,3,FALSE()),""))</f>
        <v>Toponym Labels</v>
      </c>
      <c r="E214" s="20" t="s">
        <v>15</v>
      </c>
      <c r="F214" s="22">
        <v>721170</v>
      </c>
      <c r="G214" s="19" t="s">
        <v>1179</v>
      </c>
      <c r="H214" s="19" t="s">
        <v>1498</v>
      </c>
      <c r="I214" s="19" t="s">
        <v>1498</v>
      </c>
      <c r="J214" s="19" t="s">
        <v>1110</v>
      </c>
      <c r="K214" t="s">
        <v>1100</v>
      </c>
      <c r="L214" t="s">
        <v>114</v>
      </c>
      <c r="M214" t="s">
        <v>114</v>
      </c>
      <c r="N214" s="19" t="s">
        <v>1184</v>
      </c>
      <c r="O214" s="19" t="s">
        <v>116</v>
      </c>
      <c r="R214" t="s">
        <v>1097</v>
      </c>
    </row>
    <row r="215" spans="1:18" hidden="1" x14ac:dyDescent="0.3">
      <c r="A215" s="19">
        <f t="shared" si="3"/>
        <v>214</v>
      </c>
      <c r="B215" s="20" t="s">
        <v>87</v>
      </c>
      <c r="C215" s="20" t="s">
        <v>102</v>
      </c>
      <c r="D215" s="21" t="str">
        <f>IF($C215="","",IFERROR(VLOOKUP($C215,Map_Register!$A$2:$C$5,3,FALSE()),""))</f>
        <v>Toponym Labels</v>
      </c>
      <c r="E215" s="20" t="s">
        <v>15</v>
      </c>
      <c r="F215" s="22">
        <v>721171</v>
      </c>
      <c r="G215" s="19" t="s">
        <v>1179</v>
      </c>
      <c r="H215" s="19" t="s">
        <v>1499</v>
      </c>
      <c r="I215" s="19" t="s">
        <v>1500</v>
      </c>
      <c r="J215" s="19" t="s">
        <v>1094</v>
      </c>
      <c r="K215" t="s">
        <v>1100</v>
      </c>
      <c r="L215" t="s">
        <v>114</v>
      </c>
      <c r="M215" t="s">
        <v>114</v>
      </c>
      <c r="N215" s="19" t="s">
        <v>1184</v>
      </c>
      <c r="O215" s="19" t="s">
        <v>116</v>
      </c>
      <c r="R215" t="s">
        <v>1097</v>
      </c>
    </row>
    <row r="216" spans="1:18" hidden="1" x14ac:dyDescent="0.3">
      <c r="A216" s="19">
        <f t="shared" si="3"/>
        <v>215</v>
      </c>
      <c r="B216" s="20" t="s">
        <v>87</v>
      </c>
      <c r="C216" s="20" t="s">
        <v>102</v>
      </c>
      <c r="D216" s="21" t="str">
        <f>IF($C216="","",IFERROR(VLOOKUP($C216,Map_Register!$A$2:$C$5,3,FALSE()),""))</f>
        <v>Toponym Labels</v>
      </c>
      <c r="E216" s="20" t="s">
        <v>15</v>
      </c>
      <c r="F216" s="22">
        <v>721172</v>
      </c>
      <c r="G216" s="19" t="s">
        <v>1179</v>
      </c>
      <c r="H216" s="19" t="s">
        <v>1501</v>
      </c>
      <c r="I216" s="19" t="s">
        <v>1501</v>
      </c>
      <c r="J216" s="19" t="s">
        <v>1110</v>
      </c>
      <c r="K216" s="19" t="s">
        <v>6</v>
      </c>
      <c r="L216" s="19" t="s">
        <v>1095</v>
      </c>
      <c r="M216" s="19" t="s">
        <v>1095</v>
      </c>
      <c r="N216" s="19" t="s">
        <v>1502</v>
      </c>
      <c r="R216" t="s">
        <v>1097</v>
      </c>
    </row>
    <row r="217" spans="1:18" hidden="1" x14ac:dyDescent="0.3">
      <c r="A217" s="19">
        <f t="shared" si="3"/>
        <v>216</v>
      </c>
      <c r="B217" s="20" t="s">
        <v>87</v>
      </c>
      <c r="C217" s="20" t="s">
        <v>102</v>
      </c>
      <c r="D217" s="21" t="str">
        <f>IF($C217="","",IFERROR(VLOOKUP($C217,Map_Register!$A$2:$C$5,3,FALSE()),""))</f>
        <v>Toponym Labels</v>
      </c>
      <c r="E217" s="20" t="s">
        <v>15</v>
      </c>
      <c r="F217" s="22">
        <v>721173</v>
      </c>
      <c r="G217" s="19" t="s">
        <v>1419</v>
      </c>
      <c r="H217" s="19" t="s">
        <v>1503</v>
      </c>
      <c r="I217" s="19" t="s">
        <v>1504</v>
      </c>
      <c r="J217" s="19" t="s">
        <v>1104</v>
      </c>
      <c r="K217" t="s">
        <v>1100</v>
      </c>
      <c r="L217" t="s">
        <v>114</v>
      </c>
      <c r="M217" t="s">
        <v>114</v>
      </c>
      <c r="N217" s="19" t="s">
        <v>1421</v>
      </c>
      <c r="O217" s="19" t="s">
        <v>116</v>
      </c>
      <c r="R217" t="s">
        <v>1097</v>
      </c>
    </row>
    <row r="218" spans="1:18" hidden="1" x14ac:dyDescent="0.3">
      <c r="A218" s="19">
        <f t="shared" si="3"/>
        <v>217</v>
      </c>
      <c r="B218" s="20" t="s">
        <v>87</v>
      </c>
      <c r="C218" s="20" t="s">
        <v>102</v>
      </c>
      <c r="D218" s="21" t="str">
        <f>IF($C218="","",IFERROR(VLOOKUP($C218,Map_Register!$A$2:$C$5,3,FALSE()),""))</f>
        <v>Toponym Labels</v>
      </c>
      <c r="E218" s="20" t="s">
        <v>15</v>
      </c>
      <c r="F218" s="22">
        <v>721174</v>
      </c>
      <c r="G218" s="19" t="s">
        <v>1179</v>
      </c>
      <c r="H218" s="19" t="s">
        <v>1505</v>
      </c>
      <c r="I218" s="19" t="s">
        <v>1506</v>
      </c>
      <c r="J218" s="19" t="s">
        <v>1104</v>
      </c>
      <c r="K218" s="19" t="s">
        <v>6</v>
      </c>
      <c r="L218" s="19" t="s">
        <v>1095</v>
      </c>
      <c r="M218" s="19" t="s">
        <v>1095</v>
      </c>
      <c r="N218" s="19" t="s">
        <v>1105</v>
      </c>
      <c r="R218" t="s">
        <v>1097</v>
      </c>
    </row>
    <row r="219" spans="1:18" hidden="1" x14ac:dyDescent="0.3">
      <c r="A219" s="19">
        <f t="shared" si="3"/>
        <v>218</v>
      </c>
      <c r="B219" s="20" t="s">
        <v>87</v>
      </c>
      <c r="C219" s="20" t="s">
        <v>102</v>
      </c>
      <c r="D219" s="21" t="str">
        <f>IF($C219="","",IFERROR(VLOOKUP($C219,Map_Register!$A$2:$C$5,3,FALSE()),""))</f>
        <v>Toponym Labels</v>
      </c>
      <c r="E219" s="20" t="s">
        <v>15</v>
      </c>
      <c r="F219" s="22">
        <v>721175</v>
      </c>
      <c r="G219" s="19" t="s">
        <v>1419</v>
      </c>
      <c r="H219" s="19" t="s">
        <v>1507</v>
      </c>
      <c r="I219" s="19" t="s">
        <v>1508</v>
      </c>
      <c r="J219" s="19" t="s">
        <v>1104</v>
      </c>
      <c r="K219" t="s">
        <v>1100</v>
      </c>
      <c r="L219" t="s">
        <v>114</v>
      </c>
      <c r="M219" t="s">
        <v>114</v>
      </c>
      <c r="N219" s="19" t="s">
        <v>1421</v>
      </c>
      <c r="O219" s="19" t="s">
        <v>116</v>
      </c>
      <c r="R219" t="s">
        <v>1097</v>
      </c>
    </row>
    <row r="220" spans="1:18" hidden="1" x14ac:dyDescent="0.3">
      <c r="A220" s="19">
        <f t="shared" si="3"/>
        <v>219</v>
      </c>
      <c r="B220" s="20" t="s">
        <v>87</v>
      </c>
      <c r="C220" s="20" t="s">
        <v>102</v>
      </c>
      <c r="D220" s="21" t="str">
        <f>IF($C220="","",IFERROR(VLOOKUP($C220,Map_Register!$A$2:$C$5,3,FALSE()),""))</f>
        <v>Toponym Labels</v>
      </c>
      <c r="E220" s="20" t="s">
        <v>15</v>
      </c>
      <c r="F220" s="22">
        <v>721177</v>
      </c>
      <c r="G220" s="19" t="s">
        <v>1179</v>
      </c>
      <c r="H220" s="19" t="s">
        <v>1509</v>
      </c>
      <c r="I220" s="19" t="s">
        <v>1510</v>
      </c>
      <c r="J220" s="19" t="s">
        <v>1104</v>
      </c>
      <c r="K220" s="19" t="s">
        <v>6</v>
      </c>
      <c r="L220" s="19" t="s">
        <v>1095</v>
      </c>
      <c r="M220" s="19" t="s">
        <v>1095</v>
      </c>
      <c r="N220" s="19" t="s">
        <v>1110</v>
      </c>
      <c r="R220" t="s">
        <v>1097</v>
      </c>
    </row>
    <row r="221" spans="1:18" x14ac:dyDescent="0.3">
      <c r="A221" s="19">
        <f t="shared" si="3"/>
        <v>220</v>
      </c>
      <c r="B221" s="20" t="s">
        <v>87</v>
      </c>
      <c r="C221" s="20" t="s">
        <v>102</v>
      </c>
      <c r="D221" s="21" t="str">
        <f>IF($C221="","",IFERROR(VLOOKUP($C221,Map_Register!$A$2:$C$5,3,FALSE()),""))</f>
        <v>Toponym Labels</v>
      </c>
      <c r="E221" s="20" t="s">
        <v>15</v>
      </c>
      <c r="F221" s="22">
        <v>721178</v>
      </c>
      <c r="G221" s="19" t="s">
        <v>1179</v>
      </c>
      <c r="H221" s="19" t="s">
        <v>1511</v>
      </c>
      <c r="I221" s="19" t="s">
        <v>1511</v>
      </c>
      <c r="J221" s="19" t="s">
        <v>1110</v>
      </c>
      <c r="K221" t="s">
        <v>1100</v>
      </c>
      <c r="L221" t="s">
        <v>114</v>
      </c>
      <c r="M221" t="s">
        <v>116</v>
      </c>
      <c r="N221" s="19" t="s">
        <v>1512</v>
      </c>
      <c r="O221" s="19" t="s">
        <v>116</v>
      </c>
      <c r="R221" t="s">
        <v>1097</v>
      </c>
    </row>
    <row r="222" spans="1:18" hidden="1" x14ac:dyDescent="0.3">
      <c r="A222" s="19">
        <f t="shared" si="3"/>
        <v>221</v>
      </c>
      <c r="B222" s="20" t="s">
        <v>87</v>
      </c>
      <c r="C222" s="20" t="s">
        <v>102</v>
      </c>
      <c r="D222" s="21" t="str">
        <f>IF($C222="","",IFERROR(VLOOKUP($C222,Map_Register!$A$2:$C$5,3,FALSE()),""))</f>
        <v>Toponym Labels</v>
      </c>
      <c r="E222" s="20" t="s">
        <v>15</v>
      </c>
      <c r="F222" s="22">
        <v>721179</v>
      </c>
      <c r="G222" s="19" t="s">
        <v>1179</v>
      </c>
      <c r="H222" s="19" t="s">
        <v>1513</v>
      </c>
      <c r="I222" s="19" t="s">
        <v>1513</v>
      </c>
      <c r="J222" s="19" t="s">
        <v>1110</v>
      </c>
      <c r="K222" t="s">
        <v>1100</v>
      </c>
      <c r="L222" t="s">
        <v>114</v>
      </c>
      <c r="M222" t="s">
        <v>114</v>
      </c>
      <c r="N222" s="19" t="s">
        <v>1184</v>
      </c>
      <c r="O222" s="19" t="s">
        <v>116</v>
      </c>
      <c r="R222" t="s">
        <v>1097</v>
      </c>
    </row>
    <row r="223" spans="1:18" hidden="1" x14ac:dyDescent="0.3">
      <c r="A223" s="19">
        <f t="shared" si="3"/>
        <v>222</v>
      </c>
      <c r="B223" s="20" t="s">
        <v>87</v>
      </c>
      <c r="C223" s="20" t="s">
        <v>102</v>
      </c>
      <c r="D223" s="21" t="str">
        <f>IF($C223="","",IFERROR(VLOOKUP($C223,Map_Register!$A$2:$C$5,3,FALSE()),""))</f>
        <v>Toponym Labels</v>
      </c>
      <c r="E223" s="20" t="s">
        <v>15</v>
      </c>
      <c r="F223" s="22">
        <v>721180</v>
      </c>
      <c r="G223" s="19" t="s">
        <v>1419</v>
      </c>
      <c r="H223" s="19" t="s">
        <v>1514</v>
      </c>
      <c r="I223" s="19" t="s">
        <v>1514</v>
      </c>
      <c r="J223" s="19" t="s">
        <v>1110</v>
      </c>
      <c r="K223" t="s">
        <v>1100</v>
      </c>
      <c r="L223" t="s">
        <v>114</v>
      </c>
      <c r="M223" t="s">
        <v>114</v>
      </c>
      <c r="N223" s="19" t="s">
        <v>530</v>
      </c>
      <c r="O223" s="19" t="s">
        <v>116</v>
      </c>
      <c r="R223" t="s">
        <v>1097</v>
      </c>
    </row>
    <row r="224" spans="1:18" hidden="1" x14ac:dyDescent="0.3">
      <c r="A224" s="19">
        <f t="shared" si="3"/>
        <v>223</v>
      </c>
      <c r="B224" s="20" t="s">
        <v>87</v>
      </c>
      <c r="C224" s="20" t="s">
        <v>102</v>
      </c>
      <c r="D224" s="21" t="str">
        <f>IF($C224="","",IFERROR(VLOOKUP($C224,Map_Register!$A$2:$C$5,3,FALSE()),""))</f>
        <v>Toponym Labels</v>
      </c>
      <c r="E224" s="20" t="s">
        <v>15</v>
      </c>
      <c r="F224" s="22">
        <v>721181</v>
      </c>
      <c r="G224" s="19" t="s">
        <v>1179</v>
      </c>
      <c r="H224" s="19" t="s">
        <v>1515</v>
      </c>
      <c r="I224" s="19" t="s">
        <v>1515</v>
      </c>
      <c r="J224" s="19" t="s">
        <v>1110</v>
      </c>
      <c r="K224" t="s">
        <v>1100</v>
      </c>
      <c r="L224" t="s">
        <v>114</v>
      </c>
      <c r="M224" t="s">
        <v>114</v>
      </c>
      <c r="N224" s="19" t="s">
        <v>1184</v>
      </c>
      <c r="O224" s="19" t="s">
        <v>116</v>
      </c>
      <c r="R224" t="s">
        <v>1097</v>
      </c>
    </row>
    <row r="225" spans="1:18" hidden="1" x14ac:dyDescent="0.3">
      <c r="A225" s="19">
        <f t="shared" si="3"/>
        <v>224</v>
      </c>
      <c r="B225" s="20" t="s">
        <v>87</v>
      </c>
      <c r="C225" s="20" t="s">
        <v>102</v>
      </c>
      <c r="D225" s="21" t="str">
        <f>IF($C225="","",IFERROR(VLOOKUP($C225,Map_Register!$A$2:$C$5,3,FALSE()),""))</f>
        <v>Toponym Labels</v>
      </c>
      <c r="E225" s="20" t="s">
        <v>15</v>
      </c>
      <c r="F225" s="22">
        <v>721182</v>
      </c>
      <c r="G225" s="19" t="s">
        <v>1179</v>
      </c>
      <c r="H225" s="19" t="s">
        <v>1516</v>
      </c>
      <c r="I225" s="19" t="s">
        <v>1516</v>
      </c>
      <c r="J225" s="19" t="s">
        <v>1110</v>
      </c>
      <c r="K225" t="s">
        <v>1100</v>
      </c>
      <c r="L225" t="s">
        <v>114</v>
      </c>
      <c r="M225" t="s">
        <v>114</v>
      </c>
      <c r="N225" s="19" t="s">
        <v>1184</v>
      </c>
      <c r="O225" s="19" t="s">
        <v>116</v>
      </c>
      <c r="R225" t="s">
        <v>1097</v>
      </c>
    </row>
    <row r="226" spans="1:18" hidden="1" x14ac:dyDescent="0.3">
      <c r="A226" s="19">
        <f t="shared" si="3"/>
        <v>225</v>
      </c>
      <c r="B226" s="20" t="s">
        <v>87</v>
      </c>
      <c r="C226" s="20" t="s">
        <v>102</v>
      </c>
      <c r="D226" s="21" t="str">
        <f>IF($C226="","",IFERROR(VLOOKUP($C226,Map_Register!$A$2:$C$5,3,FALSE()),""))</f>
        <v>Toponym Labels</v>
      </c>
      <c r="E226" s="20" t="s">
        <v>15</v>
      </c>
      <c r="F226" s="22">
        <v>721183</v>
      </c>
      <c r="G226" s="19" t="s">
        <v>1179</v>
      </c>
      <c r="H226" s="19" t="s">
        <v>1517</v>
      </c>
      <c r="I226" s="19" t="s">
        <v>1517</v>
      </c>
      <c r="J226" s="19" t="s">
        <v>1110</v>
      </c>
      <c r="K226" t="s">
        <v>1100</v>
      </c>
      <c r="L226" t="s">
        <v>114</v>
      </c>
      <c r="M226" t="s">
        <v>114</v>
      </c>
      <c r="N226" s="19" t="s">
        <v>1184</v>
      </c>
      <c r="O226" s="19" t="s">
        <v>116</v>
      </c>
      <c r="R226" t="s">
        <v>1097</v>
      </c>
    </row>
    <row r="227" spans="1:18" hidden="1" x14ac:dyDescent="0.3">
      <c r="A227" s="19">
        <f t="shared" si="3"/>
        <v>226</v>
      </c>
      <c r="B227" s="20" t="s">
        <v>87</v>
      </c>
      <c r="C227" s="20" t="s">
        <v>102</v>
      </c>
      <c r="D227" s="21" t="str">
        <f>IF($C227="","",IFERROR(VLOOKUP($C227,Map_Register!$A$2:$C$5,3,FALSE()),""))</f>
        <v>Toponym Labels</v>
      </c>
      <c r="E227" s="20" t="s">
        <v>15</v>
      </c>
      <c r="F227" s="22">
        <v>721184</v>
      </c>
      <c r="G227" s="19" t="s">
        <v>1179</v>
      </c>
      <c r="H227" s="19" t="s">
        <v>1518</v>
      </c>
      <c r="I227" s="19" t="s">
        <v>1518</v>
      </c>
      <c r="J227" s="19" t="s">
        <v>1110</v>
      </c>
      <c r="K227" t="s">
        <v>1100</v>
      </c>
      <c r="L227" t="s">
        <v>114</v>
      </c>
      <c r="M227" t="s">
        <v>114</v>
      </c>
      <c r="N227" s="19" t="s">
        <v>1184</v>
      </c>
      <c r="O227" s="19" t="s">
        <v>116</v>
      </c>
      <c r="R227" t="s">
        <v>1097</v>
      </c>
    </row>
    <row r="228" spans="1:18" hidden="1" x14ac:dyDescent="0.3">
      <c r="A228" s="19">
        <f t="shared" si="3"/>
        <v>227</v>
      </c>
      <c r="B228" s="20" t="s">
        <v>87</v>
      </c>
      <c r="C228" s="20" t="s">
        <v>102</v>
      </c>
      <c r="D228" s="21" t="str">
        <f>IF($C228="","",IFERROR(VLOOKUP($C228,Map_Register!$A$2:$C$5,3,FALSE()),""))</f>
        <v>Toponym Labels</v>
      </c>
      <c r="E228" s="20" t="s">
        <v>15</v>
      </c>
      <c r="F228" s="22">
        <v>721185</v>
      </c>
      <c r="G228" s="19" t="s">
        <v>1179</v>
      </c>
      <c r="H228" s="19" t="s">
        <v>1519</v>
      </c>
      <c r="I228" s="19" t="s">
        <v>1519</v>
      </c>
      <c r="J228" s="19" t="s">
        <v>1110</v>
      </c>
      <c r="K228" s="19" t="s">
        <v>6</v>
      </c>
      <c r="L228" s="19" t="s">
        <v>1095</v>
      </c>
      <c r="M228" s="19" t="s">
        <v>1095</v>
      </c>
      <c r="N228" s="19" t="s">
        <v>1502</v>
      </c>
      <c r="R228" t="s">
        <v>1097</v>
      </c>
    </row>
    <row r="229" spans="1:18" hidden="1" x14ac:dyDescent="0.3">
      <c r="A229" s="19">
        <f t="shared" si="3"/>
        <v>228</v>
      </c>
      <c r="B229" s="20" t="s">
        <v>87</v>
      </c>
      <c r="C229" s="20" t="s">
        <v>102</v>
      </c>
      <c r="D229" s="21" t="str">
        <f>IF($C229="","",IFERROR(VLOOKUP($C229,Map_Register!$A$2:$C$5,3,FALSE()),""))</f>
        <v>Toponym Labels</v>
      </c>
      <c r="E229" s="20" t="s">
        <v>15</v>
      </c>
      <c r="F229" s="22">
        <v>721186</v>
      </c>
      <c r="G229" s="19" t="s">
        <v>1179</v>
      </c>
      <c r="H229" s="19" t="s">
        <v>1520</v>
      </c>
      <c r="I229" s="19" t="s">
        <v>1520</v>
      </c>
      <c r="J229" s="19" t="s">
        <v>1110</v>
      </c>
      <c r="K229" t="s">
        <v>1100</v>
      </c>
      <c r="L229" t="s">
        <v>114</v>
      </c>
      <c r="M229" t="s">
        <v>114</v>
      </c>
      <c r="N229" s="19" t="s">
        <v>1184</v>
      </c>
      <c r="O229" s="19" t="s">
        <v>116</v>
      </c>
      <c r="R229" t="s">
        <v>1097</v>
      </c>
    </row>
    <row r="230" spans="1:18" hidden="1" x14ac:dyDescent="0.3">
      <c r="A230" s="19">
        <f t="shared" si="3"/>
        <v>229</v>
      </c>
      <c r="B230" s="20" t="s">
        <v>87</v>
      </c>
      <c r="C230" s="20" t="s">
        <v>102</v>
      </c>
      <c r="D230" s="21" t="str">
        <f>IF($C230="","",IFERROR(VLOOKUP($C230,Map_Register!$A$2:$C$5,3,FALSE()),""))</f>
        <v>Toponym Labels</v>
      </c>
      <c r="E230" s="20" t="s">
        <v>15</v>
      </c>
      <c r="F230" s="22">
        <v>721187</v>
      </c>
      <c r="G230" s="19" t="s">
        <v>1179</v>
      </c>
      <c r="H230" s="19" t="s">
        <v>1521</v>
      </c>
      <c r="I230" s="19" t="s">
        <v>1522</v>
      </c>
      <c r="J230" s="19" t="s">
        <v>1104</v>
      </c>
      <c r="K230" s="19" t="s">
        <v>6</v>
      </c>
      <c r="L230" s="19" t="s">
        <v>1095</v>
      </c>
      <c r="M230" s="19" t="s">
        <v>1095</v>
      </c>
      <c r="N230" s="19" t="s">
        <v>1523</v>
      </c>
      <c r="R230" t="s">
        <v>1097</v>
      </c>
    </row>
    <row r="231" spans="1:18" hidden="1" x14ac:dyDescent="0.3">
      <c r="A231" s="19">
        <f t="shared" si="3"/>
        <v>230</v>
      </c>
      <c r="B231" s="20" t="s">
        <v>87</v>
      </c>
      <c r="C231" s="20" t="s">
        <v>102</v>
      </c>
      <c r="D231" s="21" t="str">
        <f>IF($C231="","",IFERROR(VLOOKUP($C231,Map_Register!$A$2:$C$5,3,FALSE()),""))</f>
        <v>Toponym Labels</v>
      </c>
      <c r="E231" s="20" t="s">
        <v>15</v>
      </c>
      <c r="F231" s="22">
        <v>721188</v>
      </c>
      <c r="G231" s="19" t="s">
        <v>1179</v>
      </c>
      <c r="H231" s="19" t="s">
        <v>1524</v>
      </c>
      <c r="I231" s="19" t="s">
        <v>1525</v>
      </c>
      <c r="J231" s="19" t="s">
        <v>1104</v>
      </c>
      <c r="K231" t="s">
        <v>1100</v>
      </c>
      <c r="L231" t="s">
        <v>114</v>
      </c>
      <c r="M231" t="s">
        <v>114</v>
      </c>
      <c r="N231" s="19" t="s">
        <v>1184</v>
      </c>
      <c r="O231" s="19" t="s">
        <v>116</v>
      </c>
      <c r="R231" t="s">
        <v>1097</v>
      </c>
    </row>
    <row r="232" spans="1:18" x14ac:dyDescent="0.3">
      <c r="A232" s="19">
        <f t="shared" si="3"/>
        <v>231</v>
      </c>
      <c r="B232" s="20" t="s">
        <v>87</v>
      </c>
      <c r="C232" s="20" t="s">
        <v>102</v>
      </c>
      <c r="D232" s="21" t="str">
        <f>IF($C232="","",IFERROR(VLOOKUP($C232,Map_Register!$A$2:$C$5,3,FALSE()),""))</f>
        <v>Toponym Labels</v>
      </c>
      <c r="E232" s="20" t="s">
        <v>15</v>
      </c>
      <c r="F232" s="22">
        <v>721189</v>
      </c>
      <c r="G232" s="19" t="s">
        <v>1179</v>
      </c>
      <c r="H232" s="19" t="s">
        <v>1526</v>
      </c>
      <c r="I232" s="19" t="s">
        <v>1527</v>
      </c>
      <c r="J232" s="19" t="s">
        <v>1104</v>
      </c>
      <c r="K232" t="s">
        <v>1100</v>
      </c>
      <c r="L232" t="s">
        <v>114</v>
      </c>
      <c r="M232" t="s">
        <v>116</v>
      </c>
      <c r="N232" s="19" t="s">
        <v>1512</v>
      </c>
      <c r="O232" s="19" t="s">
        <v>116</v>
      </c>
      <c r="R232" t="s">
        <v>1097</v>
      </c>
    </row>
    <row r="233" spans="1:18" hidden="1" x14ac:dyDescent="0.3">
      <c r="A233" s="19">
        <f t="shared" si="3"/>
        <v>232</v>
      </c>
      <c r="B233" s="20" t="s">
        <v>87</v>
      </c>
      <c r="C233" s="20" t="s">
        <v>102</v>
      </c>
      <c r="D233" s="21" t="str">
        <f>IF($C233="","",IFERROR(VLOOKUP($C233,Map_Register!$A$2:$C$5,3,FALSE()),""))</f>
        <v>Toponym Labels</v>
      </c>
      <c r="E233" s="20" t="s">
        <v>15</v>
      </c>
      <c r="F233" s="22">
        <v>721190</v>
      </c>
      <c r="G233" s="19" t="s">
        <v>1179</v>
      </c>
      <c r="H233" s="19" t="s">
        <v>1528</v>
      </c>
      <c r="I233" s="19" t="s">
        <v>1529</v>
      </c>
      <c r="J233" s="19" t="s">
        <v>1104</v>
      </c>
      <c r="K233" s="19" t="s">
        <v>6</v>
      </c>
      <c r="L233" s="19" t="s">
        <v>1095</v>
      </c>
      <c r="M233" s="19" t="s">
        <v>1095</v>
      </c>
      <c r="N233" s="19" t="s">
        <v>1105</v>
      </c>
      <c r="R233" t="s">
        <v>1097</v>
      </c>
    </row>
    <row r="234" spans="1:18" hidden="1" x14ac:dyDescent="0.3">
      <c r="A234" s="19">
        <f t="shared" si="3"/>
        <v>233</v>
      </c>
      <c r="B234" s="20" t="s">
        <v>87</v>
      </c>
      <c r="C234" s="20" t="s">
        <v>102</v>
      </c>
      <c r="D234" s="21" t="str">
        <f>IF($C234="","",IFERROR(VLOOKUP($C234,Map_Register!$A$2:$C$5,3,FALSE()),""))</f>
        <v>Toponym Labels</v>
      </c>
      <c r="E234" s="20" t="s">
        <v>15</v>
      </c>
      <c r="F234" s="22">
        <v>721191</v>
      </c>
      <c r="G234" s="19" t="s">
        <v>1179</v>
      </c>
      <c r="H234" s="19" t="s">
        <v>1530</v>
      </c>
      <c r="I234" s="19" t="s">
        <v>1530</v>
      </c>
      <c r="J234" s="19" t="s">
        <v>1110</v>
      </c>
      <c r="K234" s="19" t="s">
        <v>6</v>
      </c>
      <c r="L234" s="19" t="s">
        <v>1095</v>
      </c>
      <c r="M234" s="19" t="s">
        <v>1095</v>
      </c>
      <c r="N234" s="19" t="s">
        <v>1502</v>
      </c>
      <c r="R234" t="s">
        <v>1097</v>
      </c>
    </row>
    <row r="235" spans="1:18" hidden="1" x14ac:dyDescent="0.3">
      <c r="A235" s="19">
        <f t="shared" si="3"/>
        <v>234</v>
      </c>
      <c r="B235" s="20" t="s">
        <v>87</v>
      </c>
      <c r="C235" s="20" t="s">
        <v>102</v>
      </c>
      <c r="D235" s="21" t="str">
        <f>IF($C235="","",IFERROR(VLOOKUP($C235,Map_Register!$A$2:$C$5,3,FALSE()),""))</f>
        <v>Toponym Labels</v>
      </c>
      <c r="E235" s="20" t="s">
        <v>15</v>
      </c>
      <c r="F235" s="22">
        <v>721192</v>
      </c>
      <c r="G235" s="19" t="s">
        <v>1179</v>
      </c>
      <c r="H235" s="19" t="s">
        <v>1531</v>
      </c>
      <c r="I235" s="19" t="s">
        <v>1531</v>
      </c>
      <c r="J235" s="19" t="s">
        <v>1110</v>
      </c>
      <c r="K235" t="s">
        <v>1100</v>
      </c>
      <c r="L235" t="s">
        <v>114</v>
      </c>
      <c r="M235" t="s">
        <v>114</v>
      </c>
      <c r="N235" s="19" t="s">
        <v>1184</v>
      </c>
      <c r="O235" s="19" t="s">
        <v>116</v>
      </c>
      <c r="R235" t="s">
        <v>1097</v>
      </c>
    </row>
    <row r="236" spans="1:18" hidden="1" x14ac:dyDescent="0.3">
      <c r="A236" s="19">
        <f t="shared" si="3"/>
        <v>235</v>
      </c>
      <c r="B236" s="20" t="s">
        <v>87</v>
      </c>
      <c r="C236" s="20" t="s">
        <v>102</v>
      </c>
      <c r="D236" s="21" t="str">
        <f>IF($C236="","",IFERROR(VLOOKUP($C236,Map_Register!$A$2:$C$5,3,FALSE()),""))</f>
        <v>Toponym Labels</v>
      </c>
      <c r="E236" s="20" t="s">
        <v>15</v>
      </c>
      <c r="F236" s="22">
        <v>721193</v>
      </c>
      <c r="G236" s="19" t="s">
        <v>1419</v>
      </c>
      <c r="H236" s="19" t="s">
        <v>1532</v>
      </c>
      <c r="I236" s="19" t="s">
        <v>1532</v>
      </c>
      <c r="J236" s="19" t="s">
        <v>1110</v>
      </c>
      <c r="K236" t="s">
        <v>1100</v>
      </c>
      <c r="L236" t="s">
        <v>114</v>
      </c>
      <c r="M236" t="s">
        <v>114</v>
      </c>
      <c r="N236" s="19" t="s">
        <v>1421</v>
      </c>
      <c r="O236" s="19" t="s">
        <v>116</v>
      </c>
      <c r="R236" t="s">
        <v>1097</v>
      </c>
    </row>
    <row r="237" spans="1:18" hidden="1" x14ac:dyDescent="0.3">
      <c r="A237" s="19">
        <f t="shared" si="3"/>
        <v>236</v>
      </c>
      <c r="B237" s="20" t="s">
        <v>87</v>
      </c>
      <c r="C237" s="20" t="s">
        <v>102</v>
      </c>
      <c r="D237" s="21" t="str">
        <f>IF($C237="","",IFERROR(VLOOKUP($C237,Map_Register!$A$2:$C$5,3,FALSE()),""))</f>
        <v>Toponym Labels</v>
      </c>
      <c r="E237" s="20" t="s">
        <v>15</v>
      </c>
      <c r="F237" s="22">
        <v>721194</v>
      </c>
      <c r="G237" s="19" t="s">
        <v>1179</v>
      </c>
      <c r="H237" s="19" t="s">
        <v>1533</v>
      </c>
      <c r="I237" s="19" t="s">
        <v>1533</v>
      </c>
      <c r="J237" s="19" t="s">
        <v>1110</v>
      </c>
      <c r="K237" t="s">
        <v>1100</v>
      </c>
      <c r="L237" t="s">
        <v>114</v>
      </c>
      <c r="M237" t="s">
        <v>114</v>
      </c>
      <c r="N237" s="19" t="s">
        <v>1184</v>
      </c>
      <c r="O237" s="19" t="s">
        <v>116</v>
      </c>
      <c r="R237" t="s">
        <v>1097</v>
      </c>
    </row>
    <row r="238" spans="1:18" x14ac:dyDescent="0.3">
      <c r="A238" s="19">
        <f t="shared" si="3"/>
        <v>237</v>
      </c>
      <c r="B238" s="20" t="s">
        <v>87</v>
      </c>
      <c r="C238" s="20" t="s">
        <v>102</v>
      </c>
      <c r="D238" s="21" t="str">
        <f>IF($C238="","",IFERROR(VLOOKUP($C238,Map_Register!$A$2:$C$5,3,FALSE()),""))</f>
        <v>Toponym Labels</v>
      </c>
      <c r="E238" s="20" t="s">
        <v>15</v>
      </c>
      <c r="F238" s="22">
        <v>721195</v>
      </c>
      <c r="G238" s="19" t="s">
        <v>1179</v>
      </c>
      <c r="H238" s="19" t="s">
        <v>1534</v>
      </c>
      <c r="I238" s="19" t="s">
        <v>1534</v>
      </c>
      <c r="J238" s="19" t="s">
        <v>1110</v>
      </c>
      <c r="K238" t="s">
        <v>1100</v>
      </c>
      <c r="L238" t="s">
        <v>114</v>
      </c>
      <c r="M238" t="s">
        <v>116</v>
      </c>
      <c r="N238" s="19" t="s">
        <v>1512</v>
      </c>
      <c r="O238" s="19" t="s">
        <v>116</v>
      </c>
      <c r="R238" t="s">
        <v>1097</v>
      </c>
    </row>
    <row r="239" spans="1:18" x14ac:dyDescent="0.3">
      <c r="A239" s="19">
        <f t="shared" si="3"/>
        <v>238</v>
      </c>
      <c r="B239" s="20" t="s">
        <v>87</v>
      </c>
      <c r="C239" s="20" t="s">
        <v>102</v>
      </c>
      <c r="D239" s="21" t="str">
        <f>IF($C239="","",IFERROR(VLOOKUP($C239,Map_Register!$A$2:$C$5,3,FALSE()),""))</f>
        <v>Toponym Labels</v>
      </c>
      <c r="E239" s="20" t="s">
        <v>15</v>
      </c>
      <c r="F239" s="22">
        <v>721196</v>
      </c>
      <c r="G239" s="19" t="s">
        <v>1179</v>
      </c>
      <c r="H239" s="19" t="s">
        <v>1535</v>
      </c>
      <c r="I239" s="19" t="s">
        <v>1536</v>
      </c>
      <c r="J239" s="19" t="s">
        <v>1104</v>
      </c>
      <c r="K239" t="s">
        <v>1100</v>
      </c>
      <c r="L239" t="s">
        <v>114</v>
      </c>
      <c r="M239" t="s">
        <v>116</v>
      </c>
      <c r="N239" s="19" t="s">
        <v>1512</v>
      </c>
      <c r="O239" s="19" t="s">
        <v>116</v>
      </c>
      <c r="R239" t="s">
        <v>1097</v>
      </c>
    </row>
    <row r="240" spans="1:18" hidden="1" x14ac:dyDescent="0.3">
      <c r="A240" s="19">
        <f t="shared" si="3"/>
        <v>239</v>
      </c>
      <c r="B240" s="20" t="s">
        <v>87</v>
      </c>
      <c r="C240" s="20" t="s">
        <v>102</v>
      </c>
      <c r="D240" s="21" t="str">
        <f>IF($C240="","",IFERROR(VLOOKUP($C240,Map_Register!$A$2:$C$5,3,FALSE()),""))</f>
        <v>Toponym Labels</v>
      </c>
      <c r="E240" s="20" t="s">
        <v>15</v>
      </c>
      <c r="F240" s="22">
        <v>721197</v>
      </c>
      <c r="G240" s="19" t="s">
        <v>1179</v>
      </c>
      <c r="H240" s="19" t="s">
        <v>1537</v>
      </c>
      <c r="I240" s="19" t="s">
        <v>1538</v>
      </c>
      <c r="J240" s="19" t="s">
        <v>1094</v>
      </c>
      <c r="K240" t="s">
        <v>1100</v>
      </c>
      <c r="L240" t="s">
        <v>114</v>
      </c>
      <c r="M240" t="s">
        <v>114</v>
      </c>
      <c r="N240" s="19" t="s">
        <v>1184</v>
      </c>
      <c r="O240" s="19" t="s">
        <v>116</v>
      </c>
      <c r="R240" t="s">
        <v>1097</v>
      </c>
    </row>
    <row r="241" spans="1:18" hidden="1" x14ac:dyDescent="0.3">
      <c r="A241" s="19">
        <f t="shared" si="3"/>
        <v>240</v>
      </c>
      <c r="B241" s="20" t="s">
        <v>87</v>
      </c>
      <c r="C241" s="20" t="s">
        <v>102</v>
      </c>
      <c r="D241" s="21" t="str">
        <f>IF($C241="","",IFERROR(VLOOKUP($C241,Map_Register!$A$2:$C$5,3,FALSE()),""))</f>
        <v>Toponym Labels</v>
      </c>
      <c r="E241" s="20" t="s">
        <v>15</v>
      </c>
      <c r="F241" s="22">
        <v>721198</v>
      </c>
      <c r="G241" s="19" t="s">
        <v>1419</v>
      </c>
      <c r="H241" s="19" t="s">
        <v>1539</v>
      </c>
      <c r="I241" s="19" t="s">
        <v>1540</v>
      </c>
      <c r="J241" s="19" t="s">
        <v>1104</v>
      </c>
      <c r="K241" t="s">
        <v>1100</v>
      </c>
      <c r="L241" t="s">
        <v>114</v>
      </c>
      <c r="M241" t="s">
        <v>114</v>
      </c>
      <c r="N241" s="19" t="s">
        <v>1421</v>
      </c>
      <c r="O241" s="19" t="s">
        <v>116</v>
      </c>
      <c r="R241" t="s">
        <v>1097</v>
      </c>
    </row>
    <row r="242" spans="1:18" hidden="1" x14ac:dyDescent="0.3">
      <c r="A242" s="19">
        <f t="shared" si="3"/>
        <v>241</v>
      </c>
      <c r="B242" s="20" t="s">
        <v>87</v>
      </c>
      <c r="C242" s="20" t="s">
        <v>102</v>
      </c>
      <c r="D242" s="21" t="str">
        <f>IF($C242="","",IFERROR(VLOOKUP($C242,Map_Register!$A$2:$C$5,3,FALSE()),""))</f>
        <v>Toponym Labels</v>
      </c>
      <c r="E242" s="20" t="s">
        <v>15</v>
      </c>
      <c r="F242" s="22">
        <v>721199</v>
      </c>
      <c r="G242" s="19" t="s">
        <v>1179</v>
      </c>
      <c r="H242" s="19" t="s">
        <v>1541</v>
      </c>
      <c r="I242" s="19" t="s">
        <v>1542</v>
      </c>
      <c r="J242" s="19" t="s">
        <v>1104</v>
      </c>
      <c r="K242" t="s">
        <v>1100</v>
      </c>
      <c r="L242" t="s">
        <v>114</v>
      </c>
      <c r="M242" t="s">
        <v>114</v>
      </c>
      <c r="N242" s="19" t="s">
        <v>1184</v>
      </c>
      <c r="O242" s="19" t="s">
        <v>116</v>
      </c>
      <c r="R242" t="s">
        <v>1097</v>
      </c>
    </row>
    <row r="243" spans="1:18" hidden="1" x14ac:dyDescent="0.3">
      <c r="A243" s="19">
        <f t="shared" si="3"/>
        <v>242</v>
      </c>
      <c r="B243" s="20" t="s">
        <v>87</v>
      </c>
      <c r="C243" s="20" t="s">
        <v>102</v>
      </c>
      <c r="D243" s="21" t="str">
        <f>IF($C243="","",IFERROR(VLOOKUP($C243,Map_Register!$A$2:$C$5,3,FALSE()),""))</f>
        <v>Toponym Labels</v>
      </c>
      <c r="E243" s="20" t="s">
        <v>15</v>
      </c>
      <c r="F243" s="22">
        <v>721200</v>
      </c>
      <c r="G243" s="19" t="s">
        <v>1179</v>
      </c>
      <c r="H243" s="19" t="s">
        <v>1543</v>
      </c>
      <c r="I243" s="19" t="s">
        <v>1543</v>
      </c>
      <c r="J243" s="19" t="s">
        <v>1110</v>
      </c>
      <c r="K243" t="s">
        <v>1100</v>
      </c>
      <c r="L243" t="s">
        <v>114</v>
      </c>
      <c r="M243" t="s">
        <v>114</v>
      </c>
      <c r="N243" s="19" t="s">
        <v>1184</v>
      </c>
      <c r="O243" s="19" t="s">
        <v>116</v>
      </c>
      <c r="R243" t="s">
        <v>1097</v>
      </c>
    </row>
    <row r="244" spans="1:18" hidden="1" x14ac:dyDescent="0.3">
      <c r="A244" s="19">
        <f t="shared" si="3"/>
        <v>243</v>
      </c>
      <c r="B244" s="20" t="s">
        <v>87</v>
      </c>
      <c r="C244" s="20" t="s">
        <v>102</v>
      </c>
      <c r="D244" s="21" t="str">
        <f>IF($C244="","",IFERROR(VLOOKUP($C244,Map_Register!$A$2:$C$5,3,FALSE()),""))</f>
        <v>Toponym Labels</v>
      </c>
      <c r="E244" s="20" t="s">
        <v>15</v>
      </c>
      <c r="F244" s="22">
        <v>721201</v>
      </c>
      <c r="G244" s="19" t="s">
        <v>1179</v>
      </c>
      <c r="H244" s="19" t="s">
        <v>1544</v>
      </c>
      <c r="I244" s="19" t="s">
        <v>1545</v>
      </c>
      <c r="J244" s="19" t="s">
        <v>1094</v>
      </c>
      <c r="K244" t="s">
        <v>1100</v>
      </c>
      <c r="L244" t="s">
        <v>114</v>
      </c>
      <c r="M244" t="s">
        <v>114</v>
      </c>
      <c r="N244" s="19" t="s">
        <v>1184</v>
      </c>
      <c r="O244" s="19" t="s">
        <v>116</v>
      </c>
      <c r="R244" t="s">
        <v>1097</v>
      </c>
    </row>
    <row r="245" spans="1:18" hidden="1" x14ac:dyDescent="0.3">
      <c r="A245" s="19">
        <f t="shared" si="3"/>
        <v>244</v>
      </c>
      <c r="B245" s="20" t="s">
        <v>87</v>
      </c>
      <c r="C245" s="20" t="s">
        <v>102</v>
      </c>
      <c r="D245" s="21" t="str">
        <f>IF($C245="","",IFERROR(VLOOKUP($C245,Map_Register!$A$2:$C$5,3,FALSE()),""))</f>
        <v>Toponym Labels</v>
      </c>
      <c r="E245" s="20" t="s">
        <v>15</v>
      </c>
      <c r="F245" s="22">
        <v>721202</v>
      </c>
      <c r="G245" s="19" t="s">
        <v>1179</v>
      </c>
      <c r="H245" s="19" t="s">
        <v>1546</v>
      </c>
      <c r="I245" s="19" t="s">
        <v>1547</v>
      </c>
      <c r="J245" s="19" t="s">
        <v>1094</v>
      </c>
      <c r="K245" s="19" t="s">
        <v>6</v>
      </c>
      <c r="L245" s="19" t="s">
        <v>1095</v>
      </c>
      <c r="M245" s="19" t="s">
        <v>1095</v>
      </c>
      <c r="N245" s="19" t="s">
        <v>1105</v>
      </c>
      <c r="R245" t="s">
        <v>1097</v>
      </c>
    </row>
    <row r="246" spans="1:18" x14ac:dyDescent="0.3">
      <c r="A246" s="19">
        <f t="shared" si="3"/>
        <v>245</v>
      </c>
      <c r="B246" s="20" t="s">
        <v>87</v>
      </c>
      <c r="C246" s="20" t="s">
        <v>102</v>
      </c>
      <c r="D246" s="21" t="str">
        <f>IF($C246="","",IFERROR(VLOOKUP($C246,Map_Register!$A$2:$C$5,3,FALSE()),""))</f>
        <v>Toponym Labels</v>
      </c>
      <c r="E246" s="20" t="s">
        <v>15</v>
      </c>
      <c r="F246" s="22">
        <v>721203</v>
      </c>
      <c r="G246" s="19" t="s">
        <v>1179</v>
      </c>
      <c r="H246" s="19" t="s">
        <v>1548</v>
      </c>
      <c r="I246" s="19" t="s">
        <v>1549</v>
      </c>
      <c r="J246" s="19" t="s">
        <v>1094</v>
      </c>
      <c r="K246" t="s">
        <v>1100</v>
      </c>
      <c r="L246" t="s">
        <v>114</v>
      </c>
      <c r="M246" t="s">
        <v>116</v>
      </c>
      <c r="N246" s="19" t="s">
        <v>1512</v>
      </c>
      <c r="O246" s="19" t="s">
        <v>116</v>
      </c>
      <c r="R246" t="s">
        <v>1097</v>
      </c>
    </row>
    <row r="247" spans="1:18" x14ac:dyDescent="0.3">
      <c r="A247" s="19">
        <f t="shared" si="3"/>
        <v>246</v>
      </c>
      <c r="B247" s="20" t="s">
        <v>87</v>
      </c>
      <c r="C247" s="20" t="s">
        <v>102</v>
      </c>
      <c r="D247" s="21" t="str">
        <f>IF($C247="","",IFERROR(VLOOKUP($C247,Map_Register!$A$2:$C$5,3,FALSE()),""))</f>
        <v>Toponym Labels</v>
      </c>
      <c r="E247" s="20" t="s">
        <v>15</v>
      </c>
      <c r="F247" s="22">
        <v>721204</v>
      </c>
      <c r="G247" s="19" t="s">
        <v>1179</v>
      </c>
      <c r="H247" s="19" t="s">
        <v>1550</v>
      </c>
      <c r="I247" s="19" t="s">
        <v>1550</v>
      </c>
      <c r="J247" s="19" t="s">
        <v>1110</v>
      </c>
      <c r="K247" t="s">
        <v>1100</v>
      </c>
      <c r="L247" t="s">
        <v>114</v>
      </c>
      <c r="M247" t="s">
        <v>116</v>
      </c>
      <c r="N247" s="19" t="s">
        <v>1512</v>
      </c>
      <c r="O247" s="19" t="s">
        <v>116</v>
      </c>
      <c r="R247" t="s">
        <v>1097</v>
      </c>
    </row>
    <row r="248" spans="1:18" hidden="1" x14ac:dyDescent="0.3">
      <c r="A248" s="19">
        <f t="shared" si="3"/>
        <v>247</v>
      </c>
      <c r="B248" s="20" t="s">
        <v>87</v>
      </c>
      <c r="C248" s="20" t="s">
        <v>102</v>
      </c>
      <c r="D248" s="21" t="str">
        <f>IF($C248="","",IFERROR(VLOOKUP($C248,Map_Register!$A$2:$C$5,3,FALSE()),""))</f>
        <v>Toponym Labels</v>
      </c>
      <c r="E248" s="20" t="s">
        <v>15</v>
      </c>
      <c r="F248" s="22">
        <v>721205</v>
      </c>
      <c r="G248" s="19" t="s">
        <v>1419</v>
      </c>
      <c r="H248" s="19" t="s">
        <v>1551</v>
      </c>
      <c r="I248" s="19" t="s">
        <v>1551</v>
      </c>
      <c r="J248" s="19" t="s">
        <v>1110</v>
      </c>
      <c r="K248" t="s">
        <v>1100</v>
      </c>
      <c r="L248" t="s">
        <v>114</v>
      </c>
      <c r="M248" t="s">
        <v>114</v>
      </c>
      <c r="N248" s="19" t="s">
        <v>1421</v>
      </c>
      <c r="O248" s="19" t="s">
        <v>116</v>
      </c>
      <c r="R248" t="s">
        <v>1097</v>
      </c>
    </row>
    <row r="249" spans="1:18" hidden="1" x14ac:dyDescent="0.3">
      <c r="A249" s="19">
        <f t="shared" si="3"/>
        <v>248</v>
      </c>
      <c r="B249" s="20" t="s">
        <v>87</v>
      </c>
      <c r="C249" s="20" t="s">
        <v>102</v>
      </c>
      <c r="D249" s="21" t="str">
        <f>IF($C249="","",IFERROR(VLOOKUP($C249,Map_Register!$A$2:$C$5,3,FALSE()),""))</f>
        <v>Toponym Labels</v>
      </c>
      <c r="E249" s="20" t="s">
        <v>15</v>
      </c>
      <c r="F249" s="22">
        <v>721206</v>
      </c>
      <c r="G249" s="19" t="s">
        <v>1179</v>
      </c>
      <c r="H249" s="19" t="s">
        <v>1552</v>
      </c>
      <c r="I249" s="19" t="s">
        <v>1553</v>
      </c>
      <c r="J249" s="19" t="s">
        <v>1104</v>
      </c>
      <c r="K249" s="19" t="s">
        <v>6</v>
      </c>
      <c r="L249" s="19" t="s">
        <v>1095</v>
      </c>
      <c r="M249" s="19" t="s">
        <v>1095</v>
      </c>
      <c r="N249" s="19" t="s">
        <v>1105</v>
      </c>
      <c r="R249" t="s">
        <v>1097</v>
      </c>
    </row>
    <row r="250" spans="1:18" hidden="1" x14ac:dyDescent="0.3">
      <c r="A250" s="19">
        <f t="shared" si="3"/>
        <v>249</v>
      </c>
      <c r="B250" s="20" t="s">
        <v>87</v>
      </c>
      <c r="C250" s="20" t="s">
        <v>102</v>
      </c>
      <c r="D250" s="21" t="str">
        <f>IF($C250="","",IFERROR(VLOOKUP($C250,Map_Register!$A$2:$C$5,3,FALSE()),""))</f>
        <v>Toponym Labels</v>
      </c>
      <c r="E250" s="20" t="s">
        <v>15</v>
      </c>
      <c r="F250" s="22">
        <v>721207</v>
      </c>
      <c r="G250" s="19" t="s">
        <v>1205</v>
      </c>
      <c r="H250" s="19" t="s">
        <v>1554</v>
      </c>
      <c r="I250" s="19" t="s">
        <v>1554</v>
      </c>
      <c r="J250" s="19" t="s">
        <v>1110</v>
      </c>
      <c r="K250" s="19" t="s">
        <v>6</v>
      </c>
      <c r="L250" s="19" t="s">
        <v>1095</v>
      </c>
      <c r="M250" s="19" t="s">
        <v>1095</v>
      </c>
      <c r="N250" s="19" t="s">
        <v>1294</v>
      </c>
      <c r="R250" t="s">
        <v>1097</v>
      </c>
    </row>
    <row r="251" spans="1:18" hidden="1" x14ac:dyDescent="0.3">
      <c r="A251" s="19">
        <f t="shared" si="3"/>
        <v>250</v>
      </c>
      <c r="B251" s="20" t="s">
        <v>87</v>
      </c>
      <c r="C251" s="20" t="s">
        <v>102</v>
      </c>
      <c r="D251" s="21" t="str">
        <f>IF($C251="","",IFERROR(VLOOKUP($C251,Map_Register!$A$2:$C$5,3,FALSE()),""))</f>
        <v>Toponym Labels</v>
      </c>
      <c r="E251" s="20" t="s">
        <v>15</v>
      </c>
      <c r="F251" s="22">
        <v>721208</v>
      </c>
      <c r="G251" s="19" t="s">
        <v>1205</v>
      </c>
      <c r="H251" s="19" t="s">
        <v>1555</v>
      </c>
      <c r="I251" s="19" t="s">
        <v>1555</v>
      </c>
      <c r="J251" s="19" t="s">
        <v>1110</v>
      </c>
      <c r="K251" t="s">
        <v>1100</v>
      </c>
      <c r="L251" t="s">
        <v>114</v>
      </c>
      <c r="M251" t="s">
        <v>114</v>
      </c>
      <c r="N251" s="19" t="s">
        <v>1290</v>
      </c>
      <c r="O251" s="19" t="s">
        <v>116</v>
      </c>
      <c r="R251" t="s">
        <v>1097</v>
      </c>
    </row>
    <row r="252" spans="1:18" hidden="1" x14ac:dyDescent="0.3">
      <c r="A252" s="19">
        <f t="shared" si="3"/>
        <v>251</v>
      </c>
      <c r="B252" s="20" t="s">
        <v>87</v>
      </c>
      <c r="C252" s="20" t="s">
        <v>102</v>
      </c>
      <c r="D252" s="21" t="str">
        <f>IF($C252="","",IFERROR(VLOOKUP($C252,Map_Register!$A$2:$C$5,3,FALSE()),""))</f>
        <v>Toponym Labels</v>
      </c>
      <c r="E252" s="20" t="s">
        <v>15</v>
      </c>
      <c r="F252" s="22">
        <v>721209</v>
      </c>
      <c r="G252" s="19" t="s">
        <v>1556</v>
      </c>
      <c r="H252" s="19" t="s">
        <v>1557</v>
      </c>
      <c r="I252" s="19" t="s">
        <v>1558</v>
      </c>
      <c r="J252" s="19" t="s">
        <v>1559</v>
      </c>
      <c r="K252" s="19" t="s">
        <v>1030</v>
      </c>
      <c r="L252" s="19" t="s">
        <v>1095</v>
      </c>
      <c r="M252" s="19" t="s">
        <v>1095</v>
      </c>
      <c r="N252" s="19" t="s">
        <v>1560</v>
      </c>
      <c r="Q252" s="19" t="s">
        <v>1561</v>
      </c>
      <c r="R252" t="s">
        <v>1097</v>
      </c>
    </row>
    <row r="253" spans="1:18" hidden="1" x14ac:dyDescent="0.3">
      <c r="A253" s="19">
        <f t="shared" si="3"/>
        <v>252</v>
      </c>
      <c r="B253" s="20" t="s">
        <v>87</v>
      </c>
      <c r="C253" s="20" t="s">
        <v>102</v>
      </c>
      <c r="D253" s="21" t="str">
        <f>IF($C253="","",IFERROR(VLOOKUP($C253,Map_Register!$A$2:$C$5,3,FALSE()),""))</f>
        <v>Toponym Labels</v>
      </c>
      <c r="E253" s="20" t="s">
        <v>15</v>
      </c>
      <c r="F253" s="22">
        <v>721210</v>
      </c>
      <c r="G253" s="19" t="s">
        <v>1205</v>
      </c>
      <c r="H253" s="19" t="s">
        <v>1562</v>
      </c>
      <c r="I253" s="19" t="s">
        <v>1562</v>
      </c>
      <c r="J253" s="19" t="s">
        <v>1110</v>
      </c>
      <c r="K253" t="s">
        <v>1100</v>
      </c>
      <c r="L253" t="s">
        <v>114</v>
      </c>
      <c r="M253" t="s">
        <v>114</v>
      </c>
      <c r="N253" s="19" t="s">
        <v>1290</v>
      </c>
      <c r="O253" s="19" t="s">
        <v>116</v>
      </c>
      <c r="R253" t="s">
        <v>1097</v>
      </c>
    </row>
    <row r="254" spans="1:18" hidden="1" x14ac:dyDescent="0.3">
      <c r="A254" s="19">
        <f t="shared" si="3"/>
        <v>253</v>
      </c>
      <c r="B254" s="20" t="s">
        <v>87</v>
      </c>
      <c r="C254" s="20" t="s">
        <v>102</v>
      </c>
      <c r="D254" s="21" t="str">
        <f>IF($C254="","",IFERROR(VLOOKUP($C254,Map_Register!$A$2:$C$5,3,FALSE()),""))</f>
        <v>Toponym Labels</v>
      </c>
      <c r="E254" s="20" t="s">
        <v>15</v>
      </c>
      <c r="F254" s="22">
        <v>721211</v>
      </c>
      <c r="G254" s="19" t="s">
        <v>1205</v>
      </c>
      <c r="H254" s="19" t="s">
        <v>1563</v>
      </c>
      <c r="I254" s="19" t="s">
        <v>1563</v>
      </c>
      <c r="J254" s="19" t="s">
        <v>1110</v>
      </c>
      <c r="K254" s="19" t="s">
        <v>6</v>
      </c>
      <c r="L254" s="19" t="s">
        <v>1095</v>
      </c>
      <c r="M254" s="19" t="s">
        <v>1095</v>
      </c>
      <c r="N254" s="19" t="s">
        <v>1294</v>
      </c>
      <c r="R254" t="s">
        <v>1097</v>
      </c>
    </row>
    <row r="255" spans="1:18" hidden="1" x14ac:dyDescent="0.3">
      <c r="A255" s="19">
        <f t="shared" si="3"/>
        <v>254</v>
      </c>
      <c r="B255" s="20" t="s">
        <v>87</v>
      </c>
      <c r="C255" s="20" t="s">
        <v>102</v>
      </c>
      <c r="D255" s="21" t="str">
        <f>IF($C255="","",IFERROR(VLOOKUP($C255,Map_Register!$A$2:$C$5,3,FALSE()),""))</f>
        <v>Toponym Labels</v>
      </c>
      <c r="E255" s="20" t="s">
        <v>15</v>
      </c>
      <c r="F255" s="22">
        <v>721212</v>
      </c>
      <c r="G255" s="19" t="s">
        <v>1205</v>
      </c>
      <c r="H255" s="19" t="s">
        <v>1499</v>
      </c>
      <c r="I255" s="19" t="s">
        <v>1499</v>
      </c>
      <c r="J255" s="19" t="s">
        <v>1110</v>
      </c>
      <c r="K255" t="s">
        <v>1100</v>
      </c>
      <c r="L255" t="s">
        <v>114</v>
      </c>
      <c r="M255" t="s">
        <v>114</v>
      </c>
      <c r="N255" s="19" t="s">
        <v>1290</v>
      </c>
      <c r="O255" s="19" t="s">
        <v>116</v>
      </c>
      <c r="R255" t="s">
        <v>1097</v>
      </c>
    </row>
    <row r="256" spans="1:18" hidden="1" x14ac:dyDescent="0.3">
      <c r="A256" s="19">
        <f t="shared" si="3"/>
        <v>255</v>
      </c>
      <c r="B256" s="20" t="s">
        <v>87</v>
      </c>
      <c r="C256" s="20" t="s">
        <v>102</v>
      </c>
      <c r="D256" s="21" t="str">
        <f>IF($C256="","",IFERROR(VLOOKUP($C256,Map_Register!$A$2:$C$5,3,FALSE()),""))</f>
        <v>Toponym Labels</v>
      </c>
      <c r="E256" s="20" t="s">
        <v>15</v>
      </c>
      <c r="F256" s="22">
        <v>721213</v>
      </c>
      <c r="G256" s="19" t="s">
        <v>1205</v>
      </c>
      <c r="H256" s="19" t="s">
        <v>1564</v>
      </c>
      <c r="I256" s="19" t="s">
        <v>1564</v>
      </c>
      <c r="J256" s="19" t="s">
        <v>1110</v>
      </c>
      <c r="K256" s="19" t="s">
        <v>6</v>
      </c>
      <c r="L256" s="19" t="s">
        <v>1095</v>
      </c>
      <c r="M256" s="19" t="s">
        <v>1095</v>
      </c>
      <c r="N256" s="19" t="s">
        <v>1294</v>
      </c>
      <c r="R256" t="s">
        <v>1097</v>
      </c>
    </row>
    <row r="257" spans="1:18" hidden="1" x14ac:dyDescent="0.3">
      <c r="A257" s="19">
        <f t="shared" si="3"/>
        <v>256</v>
      </c>
      <c r="B257" s="20" t="s">
        <v>87</v>
      </c>
      <c r="C257" s="20" t="s">
        <v>102</v>
      </c>
      <c r="D257" s="21" t="str">
        <f>IF($C257="","",IFERROR(VLOOKUP($C257,Map_Register!$A$2:$C$5,3,FALSE()),""))</f>
        <v>Toponym Labels</v>
      </c>
      <c r="E257" s="20" t="s">
        <v>15</v>
      </c>
      <c r="F257" s="22">
        <v>721214</v>
      </c>
      <c r="G257" s="19" t="s">
        <v>1205</v>
      </c>
      <c r="H257" s="19" t="s">
        <v>1565</v>
      </c>
      <c r="I257" s="19" t="s">
        <v>1565</v>
      </c>
      <c r="J257" s="19" t="s">
        <v>1110</v>
      </c>
      <c r="K257" s="19" t="s">
        <v>6</v>
      </c>
      <c r="L257" s="19" t="s">
        <v>1095</v>
      </c>
      <c r="M257" s="19" t="s">
        <v>1095</v>
      </c>
      <c r="N257" s="19" t="s">
        <v>1566</v>
      </c>
      <c r="R257" t="s">
        <v>1097</v>
      </c>
    </row>
    <row r="258" spans="1:18" hidden="1" x14ac:dyDescent="0.3">
      <c r="A258" s="19">
        <f t="shared" ref="A258:A321" si="4">IF($B258="","",ROW()-1)</f>
        <v>257</v>
      </c>
      <c r="B258" s="20" t="s">
        <v>87</v>
      </c>
      <c r="C258" s="20" t="s">
        <v>102</v>
      </c>
      <c r="D258" s="21" t="str">
        <f>IF($C258="","",IFERROR(VLOOKUP($C258,Map_Register!$A$2:$C$5,3,FALSE()),""))</f>
        <v>Toponym Labels</v>
      </c>
      <c r="E258" s="20" t="s">
        <v>15</v>
      </c>
      <c r="F258" s="22">
        <v>721215</v>
      </c>
      <c r="G258" s="19" t="s">
        <v>1205</v>
      </c>
      <c r="H258" s="19" t="s">
        <v>1330</v>
      </c>
      <c r="I258" s="19" t="s">
        <v>1330</v>
      </c>
      <c r="J258" s="19" t="s">
        <v>1117</v>
      </c>
      <c r="K258" s="19" t="s">
        <v>6</v>
      </c>
      <c r="L258" s="19" t="s">
        <v>1095</v>
      </c>
      <c r="M258" s="19" t="s">
        <v>1095</v>
      </c>
      <c r="N258" s="19" t="s">
        <v>1292</v>
      </c>
      <c r="R258" t="s">
        <v>1097</v>
      </c>
    </row>
    <row r="259" spans="1:18" hidden="1" x14ac:dyDescent="0.3">
      <c r="A259" s="19">
        <f t="shared" si="4"/>
        <v>258</v>
      </c>
      <c r="B259" s="20" t="s">
        <v>87</v>
      </c>
      <c r="C259" s="20" t="s">
        <v>102</v>
      </c>
      <c r="D259" s="21" t="str">
        <f>IF($C259="","",IFERROR(VLOOKUP($C259,Map_Register!$A$2:$C$5,3,FALSE()),""))</f>
        <v>Toponym Labels</v>
      </c>
      <c r="E259" s="20" t="s">
        <v>15</v>
      </c>
      <c r="F259" s="22">
        <v>721216</v>
      </c>
      <c r="G259" s="19" t="s">
        <v>1205</v>
      </c>
      <c r="H259" s="19" t="s">
        <v>1567</v>
      </c>
      <c r="I259" s="19" t="s">
        <v>1567</v>
      </c>
      <c r="J259" s="19" t="s">
        <v>1110</v>
      </c>
      <c r="K259" t="s">
        <v>1100</v>
      </c>
      <c r="L259" t="s">
        <v>114</v>
      </c>
      <c r="M259" t="s">
        <v>114</v>
      </c>
      <c r="N259" s="19" t="s">
        <v>1290</v>
      </c>
      <c r="O259" s="19" t="s">
        <v>116</v>
      </c>
      <c r="R259" t="s">
        <v>1097</v>
      </c>
    </row>
    <row r="260" spans="1:18" hidden="1" x14ac:dyDescent="0.3">
      <c r="A260" s="19">
        <f t="shared" si="4"/>
        <v>259</v>
      </c>
      <c r="B260" s="20" t="s">
        <v>87</v>
      </c>
      <c r="C260" s="20" t="s">
        <v>102</v>
      </c>
      <c r="D260" s="21" t="str">
        <f>IF($C260="","",IFERROR(VLOOKUP($C260,Map_Register!$A$2:$C$5,3,FALSE()),""))</f>
        <v>Toponym Labels</v>
      </c>
      <c r="E260" s="20" t="s">
        <v>15</v>
      </c>
      <c r="F260" s="22">
        <v>721217</v>
      </c>
      <c r="G260" s="19" t="s">
        <v>1205</v>
      </c>
      <c r="H260" s="19" t="s">
        <v>1568</v>
      </c>
      <c r="I260" s="19" t="s">
        <v>1568</v>
      </c>
      <c r="J260" s="19" t="s">
        <v>1110</v>
      </c>
      <c r="K260" s="19" t="s">
        <v>6</v>
      </c>
      <c r="L260" s="19" t="s">
        <v>1095</v>
      </c>
      <c r="M260" s="19" t="s">
        <v>1095</v>
      </c>
      <c r="N260" s="19" t="s">
        <v>1294</v>
      </c>
      <c r="R260" t="s">
        <v>1097</v>
      </c>
    </row>
    <row r="261" spans="1:18" hidden="1" x14ac:dyDescent="0.3">
      <c r="A261" s="19">
        <f t="shared" si="4"/>
        <v>260</v>
      </c>
      <c r="B261" s="20" t="s">
        <v>87</v>
      </c>
      <c r="C261" s="20" t="s">
        <v>102</v>
      </c>
      <c r="D261" s="21" t="str">
        <f>IF($C261="","",IFERROR(VLOOKUP($C261,Map_Register!$A$2:$C$5,3,FALSE()),""))</f>
        <v>Toponym Labels</v>
      </c>
      <c r="E261" s="20" t="s">
        <v>15</v>
      </c>
      <c r="F261" s="22">
        <v>721218</v>
      </c>
      <c r="G261" s="19" t="s">
        <v>1205</v>
      </c>
      <c r="H261" s="19" t="s">
        <v>1569</v>
      </c>
      <c r="I261" s="19" t="s">
        <v>1569</v>
      </c>
      <c r="J261" s="19" t="s">
        <v>1110</v>
      </c>
      <c r="K261" s="19" t="s">
        <v>6</v>
      </c>
      <c r="L261" s="19" t="s">
        <v>1095</v>
      </c>
      <c r="M261" s="19" t="s">
        <v>1095</v>
      </c>
      <c r="N261" s="19" t="s">
        <v>1294</v>
      </c>
      <c r="R261" t="s">
        <v>1097</v>
      </c>
    </row>
    <row r="262" spans="1:18" hidden="1" x14ac:dyDescent="0.3">
      <c r="A262" s="19">
        <f t="shared" si="4"/>
        <v>261</v>
      </c>
      <c r="B262" s="20" t="s">
        <v>87</v>
      </c>
      <c r="C262" s="20" t="s">
        <v>102</v>
      </c>
      <c r="D262" s="21" t="str">
        <f>IF($C262="","",IFERROR(VLOOKUP($C262,Map_Register!$A$2:$C$5,3,FALSE()),""))</f>
        <v>Toponym Labels</v>
      </c>
      <c r="E262" s="20" t="s">
        <v>15</v>
      </c>
      <c r="F262" s="22">
        <v>721219</v>
      </c>
      <c r="G262" s="19" t="s">
        <v>1205</v>
      </c>
      <c r="H262" s="19" t="s">
        <v>1570</v>
      </c>
      <c r="I262" s="19" t="s">
        <v>1570</v>
      </c>
      <c r="J262" s="19" t="s">
        <v>1110</v>
      </c>
      <c r="K262" s="19" t="s">
        <v>6</v>
      </c>
      <c r="L262" s="19" t="s">
        <v>1095</v>
      </c>
      <c r="M262" s="19" t="s">
        <v>1095</v>
      </c>
      <c r="N262" s="19" t="s">
        <v>1294</v>
      </c>
      <c r="R262" t="s">
        <v>1097</v>
      </c>
    </row>
    <row r="263" spans="1:18" hidden="1" x14ac:dyDescent="0.3">
      <c r="A263" s="19">
        <f t="shared" si="4"/>
        <v>262</v>
      </c>
      <c r="B263" s="20" t="s">
        <v>87</v>
      </c>
      <c r="C263" s="20" t="s">
        <v>102</v>
      </c>
      <c r="D263" s="21" t="str">
        <f>IF($C263="","",IFERROR(VLOOKUP($C263,Map_Register!$A$2:$C$5,3,FALSE()),""))</f>
        <v>Toponym Labels</v>
      </c>
      <c r="E263" s="20" t="s">
        <v>15</v>
      </c>
      <c r="F263" s="22">
        <v>721220</v>
      </c>
      <c r="G263" s="19" t="s">
        <v>1205</v>
      </c>
      <c r="H263" s="19" t="s">
        <v>1571</v>
      </c>
      <c r="I263" s="19" t="s">
        <v>1571</v>
      </c>
      <c r="J263" s="19" t="s">
        <v>1110</v>
      </c>
      <c r="K263" t="s">
        <v>1100</v>
      </c>
      <c r="L263" t="s">
        <v>114</v>
      </c>
      <c r="M263" t="s">
        <v>114</v>
      </c>
      <c r="N263" s="19" t="s">
        <v>1290</v>
      </c>
      <c r="O263" s="19" t="s">
        <v>116</v>
      </c>
      <c r="R263" t="s">
        <v>1097</v>
      </c>
    </row>
    <row r="264" spans="1:18" hidden="1" x14ac:dyDescent="0.3">
      <c r="A264" s="19">
        <f t="shared" si="4"/>
        <v>263</v>
      </c>
      <c r="B264" s="20" t="s">
        <v>87</v>
      </c>
      <c r="C264" s="20" t="s">
        <v>102</v>
      </c>
      <c r="D264" s="21" t="str">
        <f>IF($C264="","",IFERROR(VLOOKUP($C264,Map_Register!$A$2:$C$5,3,FALSE()),""))</f>
        <v>Toponym Labels</v>
      </c>
      <c r="E264" s="20" t="s">
        <v>15</v>
      </c>
      <c r="F264" s="22">
        <v>721221</v>
      </c>
      <c r="G264" s="19" t="s">
        <v>1205</v>
      </c>
      <c r="H264" s="19" t="s">
        <v>1572</v>
      </c>
      <c r="I264" s="19" t="s">
        <v>1572</v>
      </c>
      <c r="J264" s="19" t="s">
        <v>1110</v>
      </c>
      <c r="K264" t="s">
        <v>1100</v>
      </c>
      <c r="L264" t="s">
        <v>114</v>
      </c>
      <c r="M264" t="s">
        <v>114</v>
      </c>
      <c r="N264" s="19" t="s">
        <v>1290</v>
      </c>
      <c r="O264" s="19" t="s">
        <v>116</v>
      </c>
      <c r="R264" t="s">
        <v>1097</v>
      </c>
    </row>
    <row r="265" spans="1:18" hidden="1" x14ac:dyDescent="0.3">
      <c r="A265" s="19">
        <f t="shared" si="4"/>
        <v>264</v>
      </c>
      <c r="B265" s="20" t="s">
        <v>87</v>
      </c>
      <c r="C265" s="20" t="s">
        <v>102</v>
      </c>
      <c r="D265" s="21" t="str">
        <f>IF($C265="","",IFERROR(VLOOKUP($C265,Map_Register!$A$2:$C$5,3,FALSE()),""))</f>
        <v>Toponym Labels</v>
      </c>
      <c r="E265" s="20" t="s">
        <v>15</v>
      </c>
      <c r="F265" s="22">
        <v>721222</v>
      </c>
      <c r="G265" s="19" t="s">
        <v>1205</v>
      </c>
      <c r="H265" s="19" t="s">
        <v>1573</v>
      </c>
      <c r="I265" s="19" t="s">
        <v>1573</v>
      </c>
      <c r="J265" s="19" t="s">
        <v>1110</v>
      </c>
      <c r="K265" t="s">
        <v>1100</v>
      </c>
      <c r="L265" t="s">
        <v>114</v>
      </c>
      <c r="M265" t="s">
        <v>114</v>
      </c>
      <c r="N265" s="19" t="s">
        <v>1290</v>
      </c>
      <c r="O265" s="19" t="s">
        <v>116</v>
      </c>
      <c r="R265" t="s">
        <v>1097</v>
      </c>
    </row>
    <row r="266" spans="1:18" hidden="1" x14ac:dyDescent="0.3">
      <c r="A266" s="19">
        <f t="shared" si="4"/>
        <v>265</v>
      </c>
      <c r="B266" s="20" t="s">
        <v>87</v>
      </c>
      <c r="C266" s="20" t="s">
        <v>102</v>
      </c>
      <c r="D266" s="21" t="str">
        <f>IF($C266="","",IFERROR(VLOOKUP($C266,Map_Register!$A$2:$C$5,3,FALSE()),""))</f>
        <v>Toponym Labels</v>
      </c>
      <c r="E266" s="20" t="s">
        <v>15</v>
      </c>
      <c r="F266" s="22">
        <v>721223</v>
      </c>
      <c r="G266" s="19" t="s">
        <v>1205</v>
      </c>
      <c r="H266" s="19" t="s">
        <v>1574</v>
      </c>
      <c r="I266" s="19" t="s">
        <v>1574</v>
      </c>
      <c r="J266" s="19" t="s">
        <v>1110</v>
      </c>
      <c r="K266" s="19" t="s">
        <v>6</v>
      </c>
      <c r="L266" s="19" t="s">
        <v>1095</v>
      </c>
      <c r="M266" s="19" t="s">
        <v>1095</v>
      </c>
      <c r="N266" s="19" t="s">
        <v>1294</v>
      </c>
      <c r="R266" t="s">
        <v>1097</v>
      </c>
    </row>
    <row r="267" spans="1:18" hidden="1" x14ac:dyDescent="0.3">
      <c r="A267" s="19">
        <f t="shared" si="4"/>
        <v>266</v>
      </c>
      <c r="B267" s="20" t="s">
        <v>87</v>
      </c>
      <c r="C267" s="20" t="s">
        <v>102</v>
      </c>
      <c r="D267" s="21" t="str">
        <f>IF($C267="","",IFERROR(VLOOKUP($C267,Map_Register!$A$2:$C$5,3,FALSE()),""))</f>
        <v>Toponym Labels</v>
      </c>
      <c r="E267" s="20" t="s">
        <v>15</v>
      </c>
      <c r="F267" s="22">
        <v>721224</v>
      </c>
      <c r="G267" s="19" t="s">
        <v>1205</v>
      </c>
      <c r="H267" s="19" t="s">
        <v>1575</v>
      </c>
      <c r="I267" s="19" t="s">
        <v>1575</v>
      </c>
      <c r="J267" s="19" t="s">
        <v>1110</v>
      </c>
      <c r="K267" s="19" t="s">
        <v>6</v>
      </c>
      <c r="L267" s="19" t="s">
        <v>1095</v>
      </c>
      <c r="M267" s="19" t="s">
        <v>1095</v>
      </c>
      <c r="N267" s="19" t="s">
        <v>1294</v>
      </c>
      <c r="R267" t="s">
        <v>1097</v>
      </c>
    </row>
    <row r="268" spans="1:18" hidden="1" x14ac:dyDescent="0.3">
      <c r="A268" s="19">
        <f t="shared" si="4"/>
        <v>267</v>
      </c>
      <c r="B268" s="20" t="s">
        <v>87</v>
      </c>
      <c r="C268" s="20" t="s">
        <v>102</v>
      </c>
      <c r="D268" s="21" t="str">
        <f>IF($C268="","",IFERROR(VLOOKUP($C268,Map_Register!$A$2:$C$5,3,FALSE()),""))</f>
        <v>Toponym Labels</v>
      </c>
      <c r="E268" s="20" t="s">
        <v>15</v>
      </c>
      <c r="F268" s="22">
        <v>721225</v>
      </c>
      <c r="G268" s="19" t="s">
        <v>1205</v>
      </c>
      <c r="H268" s="19" t="s">
        <v>1576</v>
      </c>
      <c r="I268" s="19" t="s">
        <v>1576</v>
      </c>
      <c r="J268" s="19" t="s">
        <v>1110</v>
      </c>
      <c r="K268" s="19" t="s">
        <v>6</v>
      </c>
      <c r="L268" s="19" t="s">
        <v>1095</v>
      </c>
      <c r="M268" s="19" t="s">
        <v>1095</v>
      </c>
      <c r="N268" s="19" t="s">
        <v>1577</v>
      </c>
      <c r="R268" t="s">
        <v>1097</v>
      </c>
    </row>
    <row r="269" spans="1:18" hidden="1" x14ac:dyDescent="0.3">
      <c r="A269" s="19">
        <f t="shared" si="4"/>
        <v>268</v>
      </c>
      <c r="B269" s="20" t="s">
        <v>87</v>
      </c>
      <c r="C269" s="20" t="s">
        <v>102</v>
      </c>
      <c r="D269" s="21" t="str">
        <f>IF($C269="","",IFERROR(VLOOKUP($C269,Map_Register!$A$2:$C$5,3,FALSE()),""))</f>
        <v>Toponym Labels</v>
      </c>
      <c r="E269" s="20" t="s">
        <v>15</v>
      </c>
      <c r="F269" s="22">
        <v>721226</v>
      </c>
      <c r="G269" s="19" t="s">
        <v>1205</v>
      </c>
      <c r="H269" s="19" t="s">
        <v>1578</v>
      </c>
      <c r="I269" s="19" t="s">
        <v>1578</v>
      </c>
      <c r="J269" s="19" t="s">
        <v>1110</v>
      </c>
      <c r="K269" s="19" t="s">
        <v>6</v>
      </c>
      <c r="L269" s="19" t="s">
        <v>1095</v>
      </c>
      <c r="M269" s="19" t="s">
        <v>1095</v>
      </c>
      <c r="N269" s="19" t="s">
        <v>1294</v>
      </c>
      <c r="R269" t="s">
        <v>1097</v>
      </c>
    </row>
    <row r="270" spans="1:18" hidden="1" x14ac:dyDescent="0.3">
      <c r="A270" s="19">
        <f t="shared" si="4"/>
        <v>269</v>
      </c>
      <c r="B270" s="20" t="s">
        <v>87</v>
      </c>
      <c r="C270" s="20" t="s">
        <v>102</v>
      </c>
      <c r="D270" s="21" t="str">
        <f>IF($C270="","",IFERROR(VLOOKUP($C270,Map_Register!$A$2:$C$5,3,FALSE()),""))</f>
        <v>Toponym Labels</v>
      </c>
      <c r="E270" s="20" t="s">
        <v>15</v>
      </c>
      <c r="F270" s="22">
        <v>721227</v>
      </c>
      <c r="G270" s="19" t="s">
        <v>1205</v>
      </c>
      <c r="H270" s="19" t="s">
        <v>1579</v>
      </c>
      <c r="I270" s="19" t="s">
        <v>1579</v>
      </c>
      <c r="J270" s="19" t="s">
        <v>1110</v>
      </c>
      <c r="K270" t="s">
        <v>1100</v>
      </c>
      <c r="L270" t="s">
        <v>114</v>
      </c>
      <c r="M270" t="s">
        <v>114</v>
      </c>
      <c r="N270" s="19" t="s">
        <v>1290</v>
      </c>
      <c r="O270" s="19" t="s">
        <v>116</v>
      </c>
      <c r="R270" t="s">
        <v>1097</v>
      </c>
    </row>
    <row r="271" spans="1:18" hidden="1" x14ac:dyDescent="0.3">
      <c r="A271" s="19">
        <f t="shared" si="4"/>
        <v>270</v>
      </c>
      <c r="B271" s="20" t="s">
        <v>87</v>
      </c>
      <c r="C271" s="20" t="s">
        <v>102</v>
      </c>
      <c r="D271" s="21" t="str">
        <f>IF($C271="","",IFERROR(VLOOKUP($C271,Map_Register!$A$2:$C$5,3,FALSE()),""))</f>
        <v>Toponym Labels</v>
      </c>
      <c r="E271" s="20" t="s">
        <v>15</v>
      </c>
      <c r="F271" s="22">
        <v>721228</v>
      </c>
      <c r="G271" s="19" t="s">
        <v>1205</v>
      </c>
      <c r="H271" s="19" t="s">
        <v>1580</v>
      </c>
      <c r="I271" s="19" t="s">
        <v>1580</v>
      </c>
      <c r="J271" s="19" t="s">
        <v>1110</v>
      </c>
      <c r="K271" t="s">
        <v>1100</v>
      </c>
      <c r="L271" t="s">
        <v>114</v>
      </c>
      <c r="M271" t="s">
        <v>114</v>
      </c>
      <c r="N271" s="19" t="s">
        <v>1290</v>
      </c>
      <c r="O271" s="19" t="s">
        <v>116</v>
      </c>
      <c r="R271" t="s">
        <v>1097</v>
      </c>
    </row>
    <row r="272" spans="1:18" hidden="1" x14ac:dyDescent="0.3">
      <c r="A272" s="19">
        <f t="shared" si="4"/>
        <v>271</v>
      </c>
      <c r="B272" s="20" t="s">
        <v>87</v>
      </c>
      <c r="C272" s="20" t="s">
        <v>102</v>
      </c>
      <c r="D272" s="21" t="str">
        <f>IF($C272="","",IFERROR(VLOOKUP($C272,Map_Register!$A$2:$C$5,3,FALSE()),""))</f>
        <v>Toponym Labels</v>
      </c>
      <c r="E272" s="20" t="s">
        <v>15</v>
      </c>
      <c r="F272" s="22">
        <v>721229</v>
      </c>
      <c r="G272" s="19" t="s">
        <v>1091</v>
      </c>
      <c r="H272" s="19" t="s">
        <v>1581</v>
      </c>
      <c r="I272" s="19" t="s">
        <v>1581</v>
      </c>
      <c r="J272" s="19" t="s">
        <v>1110</v>
      </c>
      <c r="K272" s="19" t="s">
        <v>6</v>
      </c>
      <c r="L272" s="19" t="s">
        <v>1095</v>
      </c>
      <c r="M272" s="19" t="s">
        <v>1095</v>
      </c>
      <c r="N272" s="19" t="s">
        <v>1300</v>
      </c>
      <c r="R272" t="s">
        <v>1097</v>
      </c>
    </row>
    <row r="273" spans="1:18" hidden="1" x14ac:dyDescent="0.3">
      <c r="A273" s="19">
        <f t="shared" si="4"/>
        <v>272</v>
      </c>
      <c r="B273" s="20" t="s">
        <v>87</v>
      </c>
      <c r="C273" s="20" t="s">
        <v>102</v>
      </c>
      <c r="D273" s="21" t="str">
        <f>IF($C273="","",IFERROR(VLOOKUP($C273,Map_Register!$A$2:$C$5,3,FALSE()),""))</f>
        <v>Toponym Labels</v>
      </c>
      <c r="E273" s="20" t="s">
        <v>15</v>
      </c>
      <c r="F273" s="22">
        <v>721230</v>
      </c>
      <c r="G273" s="19" t="s">
        <v>1091</v>
      </c>
      <c r="H273" s="19" t="s">
        <v>1582</v>
      </c>
      <c r="I273" s="19" t="s">
        <v>1583</v>
      </c>
      <c r="J273" s="19" t="s">
        <v>1104</v>
      </c>
      <c r="K273" s="19" t="s">
        <v>6</v>
      </c>
      <c r="L273" s="19" t="s">
        <v>1095</v>
      </c>
      <c r="M273" s="19" t="s">
        <v>1095</v>
      </c>
      <c r="N273" s="19" t="s">
        <v>1584</v>
      </c>
      <c r="R273" t="s">
        <v>1097</v>
      </c>
    </row>
    <row r="274" spans="1:18" hidden="1" x14ac:dyDescent="0.3">
      <c r="A274" s="19">
        <f t="shared" si="4"/>
        <v>273</v>
      </c>
      <c r="B274" s="20" t="s">
        <v>87</v>
      </c>
      <c r="C274" s="20" t="s">
        <v>102</v>
      </c>
      <c r="D274" s="21" t="str">
        <f>IF($C274="","",IFERROR(VLOOKUP($C274,Map_Register!$A$2:$C$5,3,FALSE()),""))</f>
        <v>Toponym Labels</v>
      </c>
      <c r="E274" s="20" t="s">
        <v>15</v>
      </c>
      <c r="F274" s="22">
        <v>721231</v>
      </c>
      <c r="G274" s="19" t="s">
        <v>1108</v>
      </c>
      <c r="H274" s="19" t="s">
        <v>1585</v>
      </c>
      <c r="I274" s="19" t="s">
        <v>1586</v>
      </c>
      <c r="J274" s="19" t="s">
        <v>1094</v>
      </c>
      <c r="K274" s="19" t="s">
        <v>6</v>
      </c>
      <c r="L274" s="19" t="s">
        <v>1095</v>
      </c>
      <c r="M274" s="19" t="s">
        <v>1095</v>
      </c>
      <c r="N274" s="19" t="s">
        <v>1587</v>
      </c>
      <c r="R274" t="s">
        <v>1097</v>
      </c>
    </row>
    <row r="275" spans="1:18" hidden="1" x14ac:dyDescent="0.3">
      <c r="A275" s="19">
        <f t="shared" si="4"/>
        <v>274</v>
      </c>
      <c r="B275" s="20" t="s">
        <v>87</v>
      </c>
      <c r="C275" s="20" t="s">
        <v>102</v>
      </c>
      <c r="D275" s="21" t="str">
        <f>IF($C275="","",IFERROR(VLOOKUP($C275,Map_Register!$A$2:$C$5,3,FALSE()),""))</f>
        <v>Toponym Labels</v>
      </c>
      <c r="E275" s="20" t="s">
        <v>15</v>
      </c>
      <c r="F275" s="22">
        <v>721232</v>
      </c>
      <c r="G275" s="19" t="s">
        <v>1091</v>
      </c>
      <c r="H275" s="19" t="s">
        <v>1588</v>
      </c>
      <c r="I275" s="19" t="s">
        <v>1589</v>
      </c>
      <c r="J275" s="19" t="s">
        <v>1104</v>
      </c>
      <c r="K275" s="19" t="s">
        <v>6</v>
      </c>
      <c r="L275" s="19" t="s">
        <v>1095</v>
      </c>
      <c r="M275" s="19" t="s">
        <v>1095</v>
      </c>
      <c r="N275" s="19" t="s">
        <v>1105</v>
      </c>
      <c r="R275" t="s">
        <v>1097</v>
      </c>
    </row>
    <row r="276" spans="1:18" hidden="1" x14ac:dyDescent="0.3">
      <c r="A276" s="19">
        <f t="shared" si="4"/>
        <v>275</v>
      </c>
      <c r="B276" s="20" t="s">
        <v>87</v>
      </c>
      <c r="C276" s="20" t="s">
        <v>102</v>
      </c>
      <c r="D276" s="21" t="str">
        <f>IF($C276="","",IFERROR(VLOOKUP($C276,Map_Register!$A$2:$C$5,3,FALSE()),""))</f>
        <v>Toponym Labels</v>
      </c>
      <c r="E276" s="20" t="s">
        <v>15</v>
      </c>
      <c r="F276" s="22">
        <v>721262</v>
      </c>
      <c r="G276" s="19" t="s">
        <v>1091</v>
      </c>
      <c r="H276" s="19" t="s">
        <v>1590</v>
      </c>
      <c r="I276" s="19" t="s">
        <v>1591</v>
      </c>
      <c r="J276" s="19" t="s">
        <v>1104</v>
      </c>
      <c r="K276" s="19" t="s">
        <v>6</v>
      </c>
      <c r="L276" s="19" t="s">
        <v>1095</v>
      </c>
      <c r="M276" s="19" t="s">
        <v>1095</v>
      </c>
      <c r="N276" s="19" t="s">
        <v>1105</v>
      </c>
      <c r="R276" t="s">
        <v>1097</v>
      </c>
    </row>
    <row r="277" spans="1:18" hidden="1" x14ac:dyDescent="0.3">
      <c r="A277" s="19">
        <f t="shared" si="4"/>
        <v>276</v>
      </c>
      <c r="B277" s="20" t="s">
        <v>87</v>
      </c>
      <c r="C277" s="20" t="s">
        <v>102</v>
      </c>
      <c r="D277" s="21" t="str">
        <f>IF($C277="","",IFERROR(VLOOKUP($C277,Map_Register!$A$2:$C$5,3,FALSE()),""))</f>
        <v>Toponym Labels</v>
      </c>
      <c r="E277" s="20" t="s">
        <v>15</v>
      </c>
      <c r="F277" s="22">
        <v>721263</v>
      </c>
      <c r="G277" s="19" t="s">
        <v>1091</v>
      </c>
      <c r="H277" s="19" t="s">
        <v>1592</v>
      </c>
      <c r="I277" s="19" t="s">
        <v>1593</v>
      </c>
      <c r="J277" s="19" t="s">
        <v>1094</v>
      </c>
      <c r="K277" s="19" t="s">
        <v>6</v>
      </c>
      <c r="L277" s="19" t="s">
        <v>1095</v>
      </c>
      <c r="M277" s="19" t="s">
        <v>1095</v>
      </c>
      <c r="N277" s="19" t="s">
        <v>1584</v>
      </c>
      <c r="R277" t="s">
        <v>1097</v>
      </c>
    </row>
    <row r="278" spans="1:18" hidden="1" x14ac:dyDescent="0.3">
      <c r="A278" s="19">
        <f t="shared" si="4"/>
        <v>277</v>
      </c>
      <c r="B278" s="20" t="s">
        <v>87</v>
      </c>
      <c r="C278" s="20" t="s">
        <v>102</v>
      </c>
      <c r="D278" s="21" t="str">
        <f>IF($C278="","",IFERROR(VLOOKUP($C278,Map_Register!$A$2:$C$5,3,FALSE()),""))</f>
        <v>Toponym Labels</v>
      </c>
      <c r="E278" s="20" t="s">
        <v>15</v>
      </c>
      <c r="F278" s="22">
        <v>721264</v>
      </c>
      <c r="G278" s="19" t="s">
        <v>1091</v>
      </c>
      <c r="H278" s="19" t="s">
        <v>1590</v>
      </c>
      <c r="I278" s="19" t="s">
        <v>1590</v>
      </c>
      <c r="J278" s="19" t="s">
        <v>1117</v>
      </c>
      <c r="K278" t="s">
        <v>1100</v>
      </c>
      <c r="L278" t="s">
        <v>114</v>
      </c>
      <c r="M278" t="s">
        <v>114</v>
      </c>
      <c r="N278" s="19" t="s">
        <v>530</v>
      </c>
      <c r="O278" s="19" t="s">
        <v>116</v>
      </c>
      <c r="R278" t="s">
        <v>1097</v>
      </c>
    </row>
    <row r="279" spans="1:18" hidden="1" x14ac:dyDescent="0.3">
      <c r="A279" s="19">
        <f t="shared" si="4"/>
        <v>278</v>
      </c>
      <c r="B279" s="20" t="s">
        <v>87</v>
      </c>
      <c r="C279" s="20" t="s">
        <v>102</v>
      </c>
      <c r="D279" s="21" t="str">
        <f>IF($C279="","",IFERROR(VLOOKUP($C279,Map_Register!$A$2:$C$5,3,FALSE()),""))</f>
        <v>Toponym Labels</v>
      </c>
      <c r="E279" s="20" t="s">
        <v>15</v>
      </c>
      <c r="F279" s="22">
        <v>721265</v>
      </c>
      <c r="G279" s="19" t="s">
        <v>1136</v>
      </c>
      <c r="H279" s="19" t="s">
        <v>1594</v>
      </c>
      <c r="I279" s="19" t="s">
        <v>1594</v>
      </c>
      <c r="J279" s="19" t="s">
        <v>1117</v>
      </c>
      <c r="K279" t="s">
        <v>1100</v>
      </c>
      <c r="L279" t="s">
        <v>114</v>
      </c>
      <c r="M279" t="s">
        <v>114</v>
      </c>
      <c r="N279" s="19" t="s">
        <v>530</v>
      </c>
      <c r="O279" s="19" t="s">
        <v>116</v>
      </c>
      <c r="R279" t="s">
        <v>1097</v>
      </c>
    </row>
    <row r="280" spans="1:18" hidden="1" x14ac:dyDescent="0.3">
      <c r="A280" s="19">
        <f t="shared" si="4"/>
        <v>279</v>
      </c>
      <c r="B280" s="20" t="s">
        <v>87</v>
      </c>
      <c r="C280" s="20" t="s">
        <v>102</v>
      </c>
      <c r="D280" s="21" t="str">
        <f>IF($C280="","",IFERROR(VLOOKUP($C280,Map_Register!$A$2:$C$5,3,FALSE()),""))</f>
        <v>Toponym Labels</v>
      </c>
      <c r="E280" s="20" t="s">
        <v>15</v>
      </c>
      <c r="F280" s="22">
        <v>721266</v>
      </c>
      <c r="G280" s="19" t="s">
        <v>1136</v>
      </c>
      <c r="H280" s="19" t="s">
        <v>1595</v>
      </c>
      <c r="I280" s="19" t="s">
        <v>1595</v>
      </c>
      <c r="J280" s="19" t="s">
        <v>1117</v>
      </c>
      <c r="K280" t="s">
        <v>1100</v>
      </c>
      <c r="L280" t="s">
        <v>114</v>
      </c>
      <c r="M280" t="s">
        <v>114</v>
      </c>
      <c r="N280" s="19" t="s">
        <v>530</v>
      </c>
      <c r="O280" s="19" t="s">
        <v>116</v>
      </c>
      <c r="R280" t="s">
        <v>1097</v>
      </c>
    </row>
    <row r="281" spans="1:18" hidden="1" x14ac:dyDescent="0.3">
      <c r="A281" s="19">
        <f t="shared" si="4"/>
        <v>280</v>
      </c>
      <c r="B281" s="20" t="s">
        <v>87</v>
      </c>
      <c r="C281" s="20" t="s">
        <v>102</v>
      </c>
      <c r="D281" s="21" t="str">
        <f>IF($C281="","",IFERROR(VLOOKUP($C281,Map_Register!$A$2:$C$5,3,FALSE()),""))</f>
        <v>Toponym Labels</v>
      </c>
      <c r="E281" s="20" t="s">
        <v>15</v>
      </c>
      <c r="F281" s="22">
        <v>721267</v>
      </c>
      <c r="G281" s="19" t="s">
        <v>1136</v>
      </c>
      <c r="H281" s="19" t="s">
        <v>1596</v>
      </c>
      <c r="I281" s="19" t="s">
        <v>1597</v>
      </c>
      <c r="J281" s="19" t="s">
        <v>1104</v>
      </c>
      <c r="K281" s="19" t="s">
        <v>6</v>
      </c>
      <c r="L281" s="19" t="s">
        <v>1095</v>
      </c>
      <c r="M281" s="19" t="s">
        <v>1095</v>
      </c>
      <c r="N281" s="19" t="s">
        <v>1105</v>
      </c>
      <c r="R281" t="s">
        <v>1097</v>
      </c>
    </row>
    <row r="282" spans="1:18" hidden="1" x14ac:dyDescent="0.3">
      <c r="A282" s="19">
        <f t="shared" si="4"/>
        <v>281</v>
      </c>
      <c r="B282" s="20" t="s">
        <v>87</v>
      </c>
      <c r="C282" s="20" t="s">
        <v>102</v>
      </c>
      <c r="D282" s="21" t="str">
        <f>IF($C282="","",IFERROR(VLOOKUP($C282,Map_Register!$A$2:$C$5,3,FALSE()),""))</f>
        <v>Toponym Labels</v>
      </c>
      <c r="E282" s="20" t="s">
        <v>15</v>
      </c>
      <c r="F282" s="22">
        <v>721268</v>
      </c>
      <c r="G282" s="19" t="s">
        <v>1125</v>
      </c>
      <c r="H282" s="19" t="s">
        <v>1598</v>
      </c>
      <c r="I282" s="19" t="s">
        <v>1599</v>
      </c>
      <c r="J282" s="19" t="s">
        <v>1094</v>
      </c>
      <c r="K282" s="19" t="s">
        <v>6</v>
      </c>
      <c r="L282" s="19" t="s">
        <v>1095</v>
      </c>
      <c r="M282" s="19" t="s">
        <v>1095</v>
      </c>
      <c r="N282" s="19" t="s">
        <v>1105</v>
      </c>
      <c r="R282" t="s">
        <v>1097</v>
      </c>
    </row>
    <row r="283" spans="1:18" hidden="1" x14ac:dyDescent="0.3">
      <c r="A283" s="19">
        <f t="shared" si="4"/>
        <v>282</v>
      </c>
      <c r="B283" s="20" t="s">
        <v>87</v>
      </c>
      <c r="C283" s="20" t="s">
        <v>102</v>
      </c>
      <c r="D283" s="21" t="str">
        <f>IF($C283="","",IFERROR(VLOOKUP($C283,Map_Register!$A$2:$C$5,3,FALSE()),""))</f>
        <v>Toponym Labels</v>
      </c>
      <c r="E283" s="20" t="s">
        <v>15</v>
      </c>
      <c r="F283" s="22">
        <v>721272</v>
      </c>
      <c r="G283" s="19" t="s">
        <v>1136</v>
      </c>
      <c r="H283" s="19" t="s">
        <v>1600</v>
      </c>
      <c r="I283" s="19" t="s">
        <v>1601</v>
      </c>
      <c r="J283" s="19" t="s">
        <v>1104</v>
      </c>
      <c r="K283" t="s">
        <v>1100</v>
      </c>
      <c r="L283" t="s">
        <v>114</v>
      </c>
      <c r="M283" t="s">
        <v>114</v>
      </c>
      <c r="N283" s="19" t="s">
        <v>530</v>
      </c>
      <c r="O283" s="19" t="s">
        <v>116</v>
      </c>
      <c r="R283" t="s">
        <v>1097</v>
      </c>
    </row>
    <row r="284" spans="1:18" hidden="1" x14ac:dyDescent="0.3">
      <c r="A284" s="19">
        <f t="shared" si="4"/>
        <v>283</v>
      </c>
      <c r="B284" s="20" t="s">
        <v>87</v>
      </c>
      <c r="C284" s="20" t="s">
        <v>102</v>
      </c>
      <c r="D284" s="21" t="str">
        <f>IF($C284="","",IFERROR(VLOOKUP($C284,Map_Register!$A$2:$C$5,3,FALSE()),""))</f>
        <v>Toponym Labels</v>
      </c>
      <c r="E284" s="20" t="s">
        <v>15</v>
      </c>
      <c r="F284" s="22">
        <v>721290</v>
      </c>
      <c r="G284" s="19" t="s">
        <v>1179</v>
      </c>
      <c r="H284" s="19" t="s">
        <v>1602</v>
      </c>
      <c r="I284" s="19" t="s">
        <v>1602</v>
      </c>
      <c r="J284" s="19" t="s">
        <v>1117</v>
      </c>
      <c r="K284" t="s">
        <v>1100</v>
      </c>
      <c r="L284" t="s">
        <v>114</v>
      </c>
      <c r="M284" t="s">
        <v>114</v>
      </c>
      <c r="N284" s="19" t="s">
        <v>1184</v>
      </c>
      <c r="O284" s="19" t="s">
        <v>116</v>
      </c>
      <c r="R284" t="s">
        <v>1097</v>
      </c>
    </row>
    <row r="285" spans="1:18" hidden="1" x14ac:dyDescent="0.3">
      <c r="A285" s="19">
        <f t="shared" si="4"/>
        <v>284</v>
      </c>
      <c r="B285" s="20" t="s">
        <v>87</v>
      </c>
      <c r="C285" s="20" t="s">
        <v>102</v>
      </c>
      <c r="D285" s="21" t="str">
        <f>IF($C285="","",IFERROR(VLOOKUP($C285,Map_Register!$A$2:$C$5,3,FALSE()),""))</f>
        <v>Toponym Labels</v>
      </c>
      <c r="E285" s="20" t="s">
        <v>15</v>
      </c>
      <c r="F285" s="22">
        <v>721291</v>
      </c>
      <c r="G285" s="19" t="s">
        <v>1179</v>
      </c>
      <c r="H285" s="19" t="s">
        <v>1603</v>
      </c>
      <c r="I285" s="19" t="s">
        <v>1604</v>
      </c>
      <c r="J285" s="19" t="s">
        <v>1094</v>
      </c>
      <c r="K285" s="19" t="s">
        <v>6</v>
      </c>
      <c r="L285" s="19" t="s">
        <v>1095</v>
      </c>
      <c r="M285" s="19" t="s">
        <v>1095</v>
      </c>
      <c r="N285" s="19" t="s">
        <v>1105</v>
      </c>
      <c r="R285" t="s">
        <v>1097</v>
      </c>
    </row>
    <row r="286" spans="1:18" hidden="1" x14ac:dyDescent="0.3">
      <c r="A286" s="19">
        <f t="shared" si="4"/>
        <v>285</v>
      </c>
      <c r="B286" s="20" t="s">
        <v>87</v>
      </c>
      <c r="C286" s="20" t="s">
        <v>102</v>
      </c>
      <c r="D286" s="21" t="str">
        <f>IF($C286="","",IFERROR(VLOOKUP($C286,Map_Register!$A$2:$C$5,3,FALSE()),""))</f>
        <v>Toponym Labels</v>
      </c>
      <c r="E286" s="20" t="s">
        <v>15</v>
      </c>
      <c r="F286" s="22">
        <v>721292</v>
      </c>
      <c r="G286" s="19" t="s">
        <v>1179</v>
      </c>
      <c r="H286" s="19" t="s">
        <v>1605</v>
      </c>
      <c r="I286" s="19" t="s">
        <v>1606</v>
      </c>
      <c r="J286" s="19" t="s">
        <v>1094</v>
      </c>
      <c r="K286" s="19" t="s">
        <v>6</v>
      </c>
      <c r="L286" s="19" t="s">
        <v>1095</v>
      </c>
      <c r="M286" s="19" t="s">
        <v>1095</v>
      </c>
      <c r="N286" s="19" t="s">
        <v>1105</v>
      </c>
      <c r="R286" t="s">
        <v>1097</v>
      </c>
    </row>
    <row r="287" spans="1:18" hidden="1" x14ac:dyDescent="0.3">
      <c r="A287" s="19">
        <f t="shared" si="4"/>
        <v>286</v>
      </c>
      <c r="B287" s="20" t="s">
        <v>87</v>
      </c>
      <c r="C287" s="20" t="s">
        <v>102</v>
      </c>
      <c r="D287" s="21" t="str">
        <f>IF($C287="","",IFERROR(VLOOKUP($C287,Map_Register!$A$2:$C$5,3,FALSE()),""))</f>
        <v>Toponym Labels</v>
      </c>
      <c r="E287" s="20" t="s">
        <v>15</v>
      </c>
      <c r="F287" s="22">
        <v>721295</v>
      </c>
      <c r="G287" s="19" t="s">
        <v>1223</v>
      </c>
      <c r="H287" s="19" t="s">
        <v>1607</v>
      </c>
      <c r="I287" s="19" t="s">
        <v>1607</v>
      </c>
      <c r="J287" s="19" t="s">
        <v>1117</v>
      </c>
      <c r="K287" s="19" t="s">
        <v>6</v>
      </c>
      <c r="L287" s="19" t="s">
        <v>1095</v>
      </c>
      <c r="M287" s="19" t="s">
        <v>1095</v>
      </c>
      <c r="N287" s="19" t="s">
        <v>1389</v>
      </c>
      <c r="R287" t="s">
        <v>1097</v>
      </c>
    </row>
    <row r="288" spans="1:18" hidden="1" x14ac:dyDescent="0.3">
      <c r="A288" s="19">
        <f t="shared" si="4"/>
        <v>287</v>
      </c>
      <c r="B288" s="20" t="s">
        <v>87</v>
      </c>
      <c r="C288" s="20" t="s">
        <v>102</v>
      </c>
      <c r="D288" s="21" t="str">
        <f>IF($C288="","",IFERROR(VLOOKUP($C288,Map_Register!$A$2:$C$5,3,FALSE()),""))</f>
        <v>Toponym Labels</v>
      </c>
      <c r="E288" s="20" t="s">
        <v>15</v>
      </c>
      <c r="F288" s="22">
        <v>721299</v>
      </c>
      <c r="G288" s="19" t="s">
        <v>1205</v>
      </c>
      <c r="H288" s="19" t="s">
        <v>896</v>
      </c>
      <c r="I288" s="19" t="s">
        <v>896</v>
      </c>
      <c r="J288" s="19" t="s">
        <v>1110</v>
      </c>
      <c r="K288" s="19" t="s">
        <v>6</v>
      </c>
      <c r="L288" s="19" t="s">
        <v>1095</v>
      </c>
      <c r="M288" s="19" t="s">
        <v>1095</v>
      </c>
      <c r="N288" s="19" t="s">
        <v>1294</v>
      </c>
      <c r="R288" t="s">
        <v>1097</v>
      </c>
    </row>
    <row r="289" spans="1:18" hidden="1" x14ac:dyDescent="0.3">
      <c r="A289" s="19">
        <f t="shared" si="4"/>
        <v>288</v>
      </c>
      <c r="B289" s="20" t="s">
        <v>87</v>
      </c>
      <c r="C289" s="20" t="s">
        <v>102</v>
      </c>
      <c r="D289" s="21" t="str">
        <f>IF($C289="","",IFERROR(VLOOKUP($C289,Map_Register!$A$2:$C$5,3,FALSE()),""))</f>
        <v>Toponym Labels</v>
      </c>
      <c r="E289" s="20" t="s">
        <v>15</v>
      </c>
      <c r="F289" s="22">
        <v>721358</v>
      </c>
      <c r="G289" s="19" t="s">
        <v>1091</v>
      </c>
      <c r="H289" s="19" t="s">
        <v>1608</v>
      </c>
      <c r="I289" s="19" t="s">
        <v>1609</v>
      </c>
      <c r="J289" s="19" t="s">
        <v>1104</v>
      </c>
      <c r="K289" s="19" t="s">
        <v>6</v>
      </c>
      <c r="L289" s="19" t="s">
        <v>1095</v>
      </c>
      <c r="M289" s="19" t="s">
        <v>1095</v>
      </c>
      <c r="N289" s="19" t="s">
        <v>1105</v>
      </c>
      <c r="R289" t="s">
        <v>1097</v>
      </c>
    </row>
    <row r="290" spans="1:18" hidden="1" x14ac:dyDescent="0.3">
      <c r="A290" s="19">
        <f t="shared" si="4"/>
        <v>289</v>
      </c>
      <c r="B290" s="20" t="s">
        <v>87</v>
      </c>
      <c r="C290" s="20" t="s">
        <v>102</v>
      </c>
      <c r="D290" s="21" t="str">
        <f>IF($C290="","",IFERROR(VLOOKUP($C290,Map_Register!$A$2:$C$5,3,FALSE()),""))</f>
        <v>Toponym Labels</v>
      </c>
      <c r="E290" s="20" t="s">
        <v>15</v>
      </c>
      <c r="F290" s="22">
        <v>721359</v>
      </c>
      <c r="G290" s="19" t="s">
        <v>1091</v>
      </c>
      <c r="H290" s="19" t="s">
        <v>1610</v>
      </c>
      <c r="I290" s="19" t="s">
        <v>1611</v>
      </c>
      <c r="J290" s="19" t="s">
        <v>1094</v>
      </c>
      <c r="K290" t="s">
        <v>1100</v>
      </c>
      <c r="L290" t="s">
        <v>114</v>
      </c>
      <c r="M290" t="s">
        <v>114</v>
      </c>
      <c r="N290" s="19" t="s">
        <v>530</v>
      </c>
      <c r="O290" s="19" t="s">
        <v>116</v>
      </c>
      <c r="R290" t="s">
        <v>1097</v>
      </c>
    </row>
    <row r="291" spans="1:18" hidden="1" x14ac:dyDescent="0.3">
      <c r="A291" s="19">
        <f t="shared" si="4"/>
        <v>290</v>
      </c>
      <c r="B291" s="20" t="s">
        <v>87</v>
      </c>
      <c r="C291" s="20" t="s">
        <v>102</v>
      </c>
      <c r="D291" s="21" t="str">
        <f>IF($C291="","",IFERROR(VLOOKUP($C291,Map_Register!$A$2:$C$5,3,FALSE()),""))</f>
        <v>Toponym Labels</v>
      </c>
      <c r="E291" s="20" t="s">
        <v>15</v>
      </c>
      <c r="F291" s="22">
        <v>721360</v>
      </c>
      <c r="G291" s="19" t="s">
        <v>1091</v>
      </c>
      <c r="H291" s="19" t="s">
        <v>1612</v>
      </c>
      <c r="I291" s="19" t="s">
        <v>1613</v>
      </c>
      <c r="J291" s="19" t="s">
        <v>1104</v>
      </c>
      <c r="K291" t="s">
        <v>1100</v>
      </c>
      <c r="L291" t="s">
        <v>114</v>
      </c>
      <c r="M291" t="s">
        <v>114</v>
      </c>
      <c r="N291" s="19" t="s">
        <v>1614</v>
      </c>
      <c r="O291" s="19" t="s">
        <v>116</v>
      </c>
      <c r="R291" t="s">
        <v>1097</v>
      </c>
    </row>
    <row r="292" spans="1:18" hidden="1" x14ac:dyDescent="0.3">
      <c r="A292" s="19">
        <f t="shared" si="4"/>
        <v>291</v>
      </c>
      <c r="B292" s="20" t="s">
        <v>87</v>
      </c>
      <c r="C292" s="20" t="s">
        <v>102</v>
      </c>
      <c r="D292" s="21" t="str">
        <f>IF($C292="","",IFERROR(VLOOKUP($C292,Map_Register!$A$2:$C$5,3,FALSE()),""))</f>
        <v>Toponym Labels</v>
      </c>
      <c r="E292" s="20" t="s">
        <v>15</v>
      </c>
      <c r="F292" s="22">
        <v>721361</v>
      </c>
      <c r="G292" s="19" t="s">
        <v>1108</v>
      </c>
      <c r="H292" s="19" t="s">
        <v>1615</v>
      </c>
      <c r="I292" s="19" t="s">
        <v>1615</v>
      </c>
      <c r="J292" s="19" t="s">
        <v>1117</v>
      </c>
      <c r="K292" s="19" t="s">
        <v>6</v>
      </c>
      <c r="L292" s="19" t="s">
        <v>1095</v>
      </c>
      <c r="M292" s="19" t="s">
        <v>1095</v>
      </c>
      <c r="N292" s="19" t="s">
        <v>1111</v>
      </c>
      <c r="R292" t="s">
        <v>1097</v>
      </c>
    </row>
    <row r="293" spans="1:18" hidden="1" x14ac:dyDescent="0.3">
      <c r="A293" s="19">
        <f t="shared" si="4"/>
        <v>292</v>
      </c>
      <c r="B293" s="20" t="s">
        <v>87</v>
      </c>
      <c r="C293" s="20" t="s">
        <v>102</v>
      </c>
      <c r="D293" s="21" t="str">
        <f>IF($C293="","",IFERROR(VLOOKUP($C293,Map_Register!$A$2:$C$5,3,FALSE()),""))</f>
        <v>Toponym Labels</v>
      </c>
      <c r="E293" s="20" t="s">
        <v>15</v>
      </c>
      <c r="F293" s="22">
        <v>721362</v>
      </c>
      <c r="G293" s="19" t="s">
        <v>1091</v>
      </c>
      <c r="H293" s="19" t="s">
        <v>1616</v>
      </c>
      <c r="I293" s="19" t="s">
        <v>1617</v>
      </c>
      <c r="J293" s="19" t="s">
        <v>1104</v>
      </c>
      <c r="K293" s="19" t="s">
        <v>6</v>
      </c>
      <c r="L293" s="19" t="s">
        <v>1095</v>
      </c>
      <c r="M293" s="19" t="s">
        <v>1095</v>
      </c>
      <c r="N293" s="19" t="s">
        <v>1618</v>
      </c>
      <c r="R293" t="s">
        <v>1097</v>
      </c>
    </row>
    <row r="294" spans="1:18" hidden="1" x14ac:dyDescent="0.3">
      <c r="A294" s="19">
        <f t="shared" si="4"/>
        <v>293</v>
      </c>
      <c r="B294" s="20" t="s">
        <v>87</v>
      </c>
      <c r="C294" s="20" t="s">
        <v>102</v>
      </c>
      <c r="D294" s="21" t="str">
        <f>IF($C294="","",IFERROR(VLOOKUP($C294,Map_Register!$A$2:$C$5,3,FALSE()),""))</f>
        <v>Toponym Labels</v>
      </c>
      <c r="E294" s="20" t="s">
        <v>15</v>
      </c>
      <c r="F294" s="22">
        <v>721363</v>
      </c>
      <c r="G294" s="19" t="s">
        <v>1108</v>
      </c>
      <c r="H294" s="19" t="s">
        <v>1619</v>
      </c>
      <c r="I294" s="19" t="s">
        <v>1620</v>
      </c>
      <c r="J294" s="19" t="s">
        <v>1094</v>
      </c>
      <c r="K294" s="19" t="s">
        <v>6</v>
      </c>
      <c r="L294" s="19" t="s">
        <v>1095</v>
      </c>
      <c r="M294" s="19" t="s">
        <v>1095</v>
      </c>
      <c r="N294" s="19" t="s">
        <v>1105</v>
      </c>
      <c r="R294" t="s">
        <v>1097</v>
      </c>
    </row>
    <row r="295" spans="1:18" hidden="1" x14ac:dyDescent="0.3">
      <c r="A295" s="19">
        <f t="shared" si="4"/>
        <v>294</v>
      </c>
      <c r="B295" s="20" t="s">
        <v>87</v>
      </c>
      <c r="C295" s="20" t="s">
        <v>102</v>
      </c>
      <c r="D295" s="21" t="str">
        <f>IF($C295="","",IFERROR(VLOOKUP($C295,Map_Register!$A$2:$C$5,3,FALSE()),""))</f>
        <v>Toponym Labels</v>
      </c>
      <c r="E295" s="20" t="s">
        <v>15</v>
      </c>
      <c r="F295" s="22">
        <v>721364</v>
      </c>
      <c r="G295" s="19" t="s">
        <v>1145</v>
      </c>
      <c r="H295" s="19" t="s">
        <v>1621</v>
      </c>
      <c r="I295" s="19" t="s">
        <v>1622</v>
      </c>
      <c r="J295" s="19" t="s">
        <v>1094</v>
      </c>
      <c r="K295" t="s">
        <v>1100</v>
      </c>
      <c r="L295" s="19" t="s">
        <v>114</v>
      </c>
      <c r="M295" s="19" t="s">
        <v>114</v>
      </c>
      <c r="N295" s="19" t="s">
        <v>1623</v>
      </c>
      <c r="O295" s="19" t="s">
        <v>116</v>
      </c>
      <c r="R295" t="s">
        <v>1097</v>
      </c>
    </row>
    <row r="296" spans="1:18" hidden="1" x14ac:dyDescent="0.3">
      <c r="A296" s="19">
        <f t="shared" si="4"/>
        <v>295</v>
      </c>
      <c r="B296" s="20" t="s">
        <v>87</v>
      </c>
      <c r="C296" s="20" t="s">
        <v>102</v>
      </c>
      <c r="D296" s="21" t="str">
        <f>IF($C296="","",IFERROR(VLOOKUP($C296,Map_Register!$A$2:$C$5,3,FALSE()),""))</f>
        <v>Toponym Labels</v>
      </c>
      <c r="E296" s="20" t="s">
        <v>15</v>
      </c>
      <c r="F296" s="22">
        <v>721365</v>
      </c>
      <c r="G296" s="19" t="s">
        <v>1091</v>
      </c>
      <c r="H296" s="19" t="s">
        <v>1624</v>
      </c>
      <c r="I296" s="19" t="s">
        <v>1625</v>
      </c>
      <c r="J296" s="19" t="s">
        <v>1104</v>
      </c>
      <c r="K296" s="19" t="s">
        <v>6</v>
      </c>
      <c r="L296" s="19" t="s">
        <v>1095</v>
      </c>
      <c r="M296" s="19" t="s">
        <v>1095</v>
      </c>
      <c r="N296" s="19" t="s">
        <v>1105</v>
      </c>
      <c r="R296" t="s">
        <v>1097</v>
      </c>
    </row>
    <row r="297" spans="1:18" hidden="1" x14ac:dyDescent="0.3">
      <c r="A297" s="19">
        <f t="shared" si="4"/>
        <v>296</v>
      </c>
      <c r="B297" s="20" t="s">
        <v>87</v>
      </c>
      <c r="C297" s="20" t="s">
        <v>102</v>
      </c>
      <c r="D297" s="21" t="str">
        <f>IF($C297="","",IFERROR(VLOOKUP($C297,Map_Register!$A$2:$C$5,3,FALSE()),""))</f>
        <v>Toponym Labels</v>
      </c>
      <c r="E297" s="20" t="s">
        <v>15</v>
      </c>
      <c r="F297" s="22">
        <v>721366</v>
      </c>
      <c r="G297" s="19" t="s">
        <v>1163</v>
      </c>
      <c r="H297" s="19" t="s">
        <v>1626</v>
      </c>
      <c r="I297" s="19" t="s">
        <v>1626</v>
      </c>
      <c r="J297" s="19" t="s">
        <v>1110</v>
      </c>
      <c r="K297" s="19" t="s">
        <v>6</v>
      </c>
      <c r="L297" s="19" t="s">
        <v>1095</v>
      </c>
      <c r="M297" s="19" t="s">
        <v>1095</v>
      </c>
      <c r="N297" s="19" t="s">
        <v>1627</v>
      </c>
      <c r="R297" t="s">
        <v>1097</v>
      </c>
    </row>
    <row r="298" spans="1:18" hidden="1" x14ac:dyDescent="0.3">
      <c r="A298" s="19">
        <f t="shared" si="4"/>
        <v>297</v>
      </c>
      <c r="B298" s="20" t="s">
        <v>87</v>
      </c>
      <c r="C298" s="20" t="s">
        <v>102</v>
      </c>
      <c r="D298" s="21" t="str">
        <f>IF($C298="","",IFERROR(VLOOKUP($C298,Map_Register!$A$2:$C$5,3,FALSE()),""))</f>
        <v>Toponym Labels</v>
      </c>
      <c r="E298" s="20" t="s">
        <v>15</v>
      </c>
      <c r="F298" s="22">
        <v>721367</v>
      </c>
      <c r="G298" s="19" t="s">
        <v>1091</v>
      </c>
      <c r="H298" s="19" t="s">
        <v>1628</v>
      </c>
      <c r="I298" s="19" t="s">
        <v>1628</v>
      </c>
      <c r="J298" s="19" t="s">
        <v>1110</v>
      </c>
      <c r="K298" t="s">
        <v>1100</v>
      </c>
      <c r="L298" t="s">
        <v>114</v>
      </c>
      <c r="M298" t="s">
        <v>114</v>
      </c>
      <c r="N298" s="19" t="s">
        <v>530</v>
      </c>
      <c r="O298" s="19" t="s">
        <v>116</v>
      </c>
      <c r="R298" t="s">
        <v>1097</v>
      </c>
    </row>
    <row r="299" spans="1:18" hidden="1" x14ac:dyDescent="0.3">
      <c r="A299" s="19">
        <f t="shared" si="4"/>
        <v>298</v>
      </c>
      <c r="B299" s="20" t="s">
        <v>87</v>
      </c>
      <c r="C299" s="20" t="s">
        <v>102</v>
      </c>
      <c r="D299" s="21" t="str">
        <f>IF($C299="","",IFERROR(VLOOKUP($C299,Map_Register!$A$2:$C$5,3,FALSE()),""))</f>
        <v>Toponym Labels</v>
      </c>
      <c r="E299" s="20" t="s">
        <v>15</v>
      </c>
      <c r="F299" s="22">
        <v>721368</v>
      </c>
      <c r="G299" s="19" t="s">
        <v>1091</v>
      </c>
      <c r="H299" s="19" t="s">
        <v>1629</v>
      </c>
      <c r="I299" s="19" t="s">
        <v>1629</v>
      </c>
      <c r="J299" s="19" t="s">
        <v>1110</v>
      </c>
      <c r="K299" s="19" t="s">
        <v>6</v>
      </c>
      <c r="L299" s="19" t="s">
        <v>1095</v>
      </c>
      <c r="M299" s="19" t="s">
        <v>1095</v>
      </c>
      <c r="N299" s="19" t="s">
        <v>1300</v>
      </c>
      <c r="R299" t="s">
        <v>1097</v>
      </c>
    </row>
    <row r="300" spans="1:18" hidden="1" x14ac:dyDescent="0.3">
      <c r="A300" s="19">
        <f t="shared" si="4"/>
        <v>299</v>
      </c>
      <c r="B300" s="20" t="s">
        <v>87</v>
      </c>
      <c r="C300" s="20" t="s">
        <v>102</v>
      </c>
      <c r="D300" s="21" t="str">
        <f>IF($C300="","",IFERROR(VLOOKUP($C300,Map_Register!$A$2:$C$5,3,FALSE()),""))</f>
        <v>Toponym Labels</v>
      </c>
      <c r="E300" s="20" t="s">
        <v>15</v>
      </c>
      <c r="F300" s="22">
        <v>721369</v>
      </c>
      <c r="G300" s="19" t="s">
        <v>1136</v>
      </c>
      <c r="H300" s="19" t="s">
        <v>1630</v>
      </c>
      <c r="I300" s="19" t="s">
        <v>1630</v>
      </c>
      <c r="J300" s="19" t="s">
        <v>1110</v>
      </c>
      <c r="K300" t="s">
        <v>1100</v>
      </c>
      <c r="L300" t="s">
        <v>114</v>
      </c>
      <c r="M300" t="s">
        <v>114</v>
      </c>
      <c r="N300" s="19" t="s">
        <v>530</v>
      </c>
      <c r="O300" s="19" t="s">
        <v>116</v>
      </c>
      <c r="R300" t="s">
        <v>1097</v>
      </c>
    </row>
    <row r="301" spans="1:18" x14ac:dyDescent="0.3">
      <c r="A301" s="19">
        <f t="shared" si="4"/>
        <v>300</v>
      </c>
      <c r="B301" s="20" t="s">
        <v>87</v>
      </c>
      <c r="C301" s="20" t="s">
        <v>102</v>
      </c>
      <c r="D301" s="21" t="str">
        <f>IF($C301="","",IFERROR(VLOOKUP($C301,Map_Register!$A$2:$C$5,3,FALSE()),""))</f>
        <v>Toponym Labels</v>
      </c>
      <c r="E301" s="20" t="s">
        <v>15</v>
      </c>
      <c r="F301" s="22">
        <v>721370</v>
      </c>
      <c r="G301" s="19" t="s">
        <v>1309</v>
      </c>
      <c r="H301" s="19" t="s">
        <v>1631</v>
      </c>
      <c r="I301" s="19" t="s">
        <v>1631</v>
      </c>
      <c r="J301" s="19" t="s">
        <v>1110</v>
      </c>
      <c r="K301" t="s">
        <v>1100</v>
      </c>
      <c r="L301" t="s">
        <v>114</v>
      </c>
      <c r="M301" t="s">
        <v>116</v>
      </c>
      <c r="N301" s="19" t="s">
        <v>1268</v>
      </c>
      <c r="O301" s="19" t="s">
        <v>116</v>
      </c>
      <c r="R301" t="s">
        <v>1097</v>
      </c>
    </row>
    <row r="302" spans="1:18" hidden="1" x14ac:dyDescent="0.3">
      <c r="A302" s="19">
        <f t="shared" si="4"/>
        <v>301</v>
      </c>
      <c r="B302" s="20" t="s">
        <v>87</v>
      </c>
      <c r="C302" s="20" t="s">
        <v>102</v>
      </c>
      <c r="D302" s="21" t="str">
        <f>IF($C302="","",IFERROR(VLOOKUP($C302,Map_Register!$A$2:$C$5,3,FALSE()),""))</f>
        <v>Toponym Labels</v>
      </c>
      <c r="E302" s="20" t="s">
        <v>15</v>
      </c>
      <c r="F302" s="22">
        <v>721371</v>
      </c>
      <c r="G302" s="19" t="s">
        <v>1108</v>
      </c>
      <c r="H302" s="19" t="s">
        <v>1632</v>
      </c>
      <c r="I302" s="19" t="s">
        <v>1633</v>
      </c>
      <c r="J302" s="19" t="s">
        <v>1104</v>
      </c>
      <c r="K302" s="19" t="s">
        <v>6</v>
      </c>
      <c r="L302" s="19" t="s">
        <v>1095</v>
      </c>
      <c r="M302" s="19" t="s">
        <v>1095</v>
      </c>
      <c r="N302" s="19" t="s">
        <v>1105</v>
      </c>
      <c r="R302" t="s">
        <v>1097</v>
      </c>
    </row>
    <row r="303" spans="1:18" x14ac:dyDescent="0.3">
      <c r="A303" s="19">
        <f t="shared" si="4"/>
        <v>302</v>
      </c>
      <c r="B303" s="20" t="s">
        <v>87</v>
      </c>
      <c r="C303" s="20" t="s">
        <v>102</v>
      </c>
      <c r="D303" s="21" t="str">
        <f>IF($C303="","",IFERROR(VLOOKUP($C303,Map_Register!$A$2:$C$5,3,FALSE()),""))</f>
        <v>Toponym Labels</v>
      </c>
      <c r="E303" s="20" t="s">
        <v>15</v>
      </c>
      <c r="F303" s="22">
        <v>721372</v>
      </c>
      <c r="G303" s="19" t="s">
        <v>1179</v>
      </c>
      <c r="H303" s="19" t="s">
        <v>1634</v>
      </c>
      <c r="I303" s="19" t="s">
        <v>1635</v>
      </c>
      <c r="J303" s="19" t="s">
        <v>1104</v>
      </c>
      <c r="K303" t="s">
        <v>1100</v>
      </c>
      <c r="L303" t="s">
        <v>114</v>
      </c>
      <c r="M303" t="s">
        <v>116</v>
      </c>
      <c r="N303" s="19" t="s">
        <v>1512</v>
      </c>
      <c r="O303" s="19" t="s">
        <v>116</v>
      </c>
      <c r="R303" t="s">
        <v>1097</v>
      </c>
    </row>
    <row r="304" spans="1:18" hidden="1" x14ac:dyDescent="0.3">
      <c r="A304" s="19">
        <f t="shared" si="4"/>
        <v>303</v>
      </c>
      <c r="B304" s="20" t="s">
        <v>87</v>
      </c>
      <c r="C304" s="20" t="s">
        <v>102</v>
      </c>
      <c r="D304" s="21" t="str">
        <f>IF($C304="","",IFERROR(VLOOKUP($C304,Map_Register!$A$2:$C$5,3,FALSE()),""))</f>
        <v>Toponym Labels</v>
      </c>
      <c r="E304" s="20" t="s">
        <v>15</v>
      </c>
      <c r="F304" s="22">
        <v>721373</v>
      </c>
      <c r="G304" s="19" t="s">
        <v>1108</v>
      </c>
      <c r="H304" s="19" t="s">
        <v>1636</v>
      </c>
      <c r="I304" s="19" t="s">
        <v>1636</v>
      </c>
      <c r="J304" s="19" t="s">
        <v>1110</v>
      </c>
      <c r="K304" s="19" t="s">
        <v>6</v>
      </c>
      <c r="L304" s="19" t="s">
        <v>1095</v>
      </c>
      <c r="M304" s="19" t="s">
        <v>1095</v>
      </c>
      <c r="N304" s="19" t="s">
        <v>1111</v>
      </c>
      <c r="R304" t="s">
        <v>1097</v>
      </c>
    </row>
    <row r="305" spans="1:18" hidden="1" x14ac:dyDescent="0.3">
      <c r="A305" s="19">
        <f t="shared" si="4"/>
        <v>304</v>
      </c>
      <c r="B305" s="20" t="s">
        <v>87</v>
      </c>
      <c r="C305" s="20" t="s">
        <v>102</v>
      </c>
      <c r="D305" s="21" t="str">
        <f>IF($C305="","",IFERROR(VLOOKUP($C305,Map_Register!$A$2:$C$5,3,FALSE()),""))</f>
        <v>Toponym Labels</v>
      </c>
      <c r="E305" s="20" t="s">
        <v>15</v>
      </c>
      <c r="F305" s="22">
        <v>721374</v>
      </c>
      <c r="G305" s="19" t="s">
        <v>1145</v>
      </c>
      <c r="H305" s="19" t="s">
        <v>1637</v>
      </c>
      <c r="I305" s="19" t="s">
        <v>1637</v>
      </c>
      <c r="J305" s="19" t="s">
        <v>1110</v>
      </c>
      <c r="K305" s="19" t="s">
        <v>6</v>
      </c>
      <c r="L305" s="19" t="s">
        <v>1095</v>
      </c>
      <c r="M305" s="19" t="s">
        <v>1095</v>
      </c>
      <c r="N305" s="19" t="s">
        <v>1638</v>
      </c>
      <c r="R305" t="s">
        <v>1097</v>
      </c>
    </row>
    <row r="306" spans="1:18" hidden="1" x14ac:dyDescent="0.3">
      <c r="A306" s="19">
        <f t="shared" si="4"/>
        <v>305</v>
      </c>
      <c r="B306" s="20" t="s">
        <v>87</v>
      </c>
      <c r="C306" s="20" t="s">
        <v>102</v>
      </c>
      <c r="D306" s="21" t="str">
        <f>IF($C306="","",IFERROR(VLOOKUP($C306,Map_Register!$A$2:$C$5,3,FALSE()),""))</f>
        <v>Toponym Labels</v>
      </c>
      <c r="E306" s="20" t="s">
        <v>15</v>
      </c>
      <c r="F306" s="22">
        <v>721375</v>
      </c>
      <c r="G306" s="19" t="s">
        <v>1108</v>
      </c>
      <c r="H306" s="19" t="s">
        <v>1639</v>
      </c>
      <c r="I306" s="19" t="s">
        <v>1640</v>
      </c>
      <c r="J306" s="19" t="s">
        <v>1094</v>
      </c>
      <c r="K306" s="19" t="s">
        <v>6</v>
      </c>
      <c r="L306" s="19" t="s">
        <v>1095</v>
      </c>
      <c r="M306" s="19" t="s">
        <v>1095</v>
      </c>
      <c r="N306" s="19" t="s">
        <v>1105</v>
      </c>
      <c r="R306" t="s">
        <v>1097</v>
      </c>
    </row>
    <row r="307" spans="1:18" hidden="1" x14ac:dyDescent="0.3">
      <c r="A307" s="19">
        <f t="shared" si="4"/>
        <v>306</v>
      </c>
      <c r="B307" s="20" t="s">
        <v>87</v>
      </c>
      <c r="C307" s="20" t="s">
        <v>102</v>
      </c>
      <c r="D307" s="21" t="str">
        <f>IF($C307="","",IFERROR(VLOOKUP($C307,Map_Register!$A$2:$C$5,3,FALSE()),""))</f>
        <v>Toponym Labels</v>
      </c>
      <c r="E307" s="20" t="s">
        <v>15</v>
      </c>
      <c r="F307" s="22">
        <v>721376</v>
      </c>
      <c r="G307" s="19" t="s">
        <v>1136</v>
      </c>
      <c r="H307" s="19" t="s">
        <v>1417</v>
      </c>
      <c r="I307" s="19" t="s">
        <v>1418</v>
      </c>
      <c r="J307" s="19" t="s">
        <v>1104</v>
      </c>
      <c r="K307" s="19" t="s">
        <v>6</v>
      </c>
      <c r="L307" s="19" t="s">
        <v>1095</v>
      </c>
      <c r="M307" s="19" t="s">
        <v>1095</v>
      </c>
      <c r="N307" s="19" t="s">
        <v>1105</v>
      </c>
      <c r="R307" t="s">
        <v>1097</v>
      </c>
    </row>
    <row r="308" spans="1:18" hidden="1" x14ac:dyDescent="0.3">
      <c r="A308" s="19">
        <f t="shared" si="4"/>
        <v>307</v>
      </c>
      <c r="B308" s="20" t="s">
        <v>87</v>
      </c>
      <c r="C308" s="20" t="s">
        <v>102</v>
      </c>
      <c r="D308" s="21" t="str">
        <f>IF($C308="","",IFERROR(VLOOKUP($C308,Map_Register!$A$2:$C$5,3,FALSE()),""))</f>
        <v>Toponym Labels</v>
      </c>
      <c r="E308" s="20" t="s">
        <v>15</v>
      </c>
      <c r="F308" s="22">
        <v>721377</v>
      </c>
      <c r="G308" s="19" t="s">
        <v>1091</v>
      </c>
      <c r="H308" s="19" t="s">
        <v>1641</v>
      </c>
      <c r="I308" s="19" t="s">
        <v>1642</v>
      </c>
      <c r="J308" s="19" t="s">
        <v>1104</v>
      </c>
      <c r="K308" s="19" t="s">
        <v>6</v>
      </c>
      <c r="L308" s="19" t="s">
        <v>1095</v>
      </c>
      <c r="M308" s="19" t="s">
        <v>1095</v>
      </c>
      <c r="N308" s="19" t="s">
        <v>1105</v>
      </c>
      <c r="R308" t="s">
        <v>1097</v>
      </c>
    </row>
    <row r="309" spans="1:18" hidden="1" x14ac:dyDescent="0.3">
      <c r="A309" s="19">
        <f t="shared" si="4"/>
        <v>308</v>
      </c>
      <c r="B309" s="20" t="s">
        <v>87</v>
      </c>
      <c r="C309" s="20" t="s">
        <v>102</v>
      </c>
      <c r="D309" s="21" t="str">
        <f>IF($C309="","",IFERROR(VLOOKUP($C309,Map_Register!$A$2:$C$5,3,FALSE()),""))</f>
        <v>Toponym Labels</v>
      </c>
      <c r="E309" s="20" t="s">
        <v>15</v>
      </c>
      <c r="F309" s="22">
        <v>721378</v>
      </c>
      <c r="G309" s="19" t="s">
        <v>1091</v>
      </c>
      <c r="H309" s="19" t="s">
        <v>1643</v>
      </c>
      <c r="I309" s="19" t="s">
        <v>1643</v>
      </c>
      <c r="J309" s="19" t="s">
        <v>1110</v>
      </c>
      <c r="K309" s="19" t="s">
        <v>6</v>
      </c>
      <c r="L309" s="19" t="s">
        <v>1095</v>
      </c>
      <c r="M309" s="19" t="s">
        <v>1095</v>
      </c>
      <c r="N309" s="19" t="s">
        <v>1300</v>
      </c>
      <c r="R309" t="s">
        <v>1097</v>
      </c>
    </row>
    <row r="310" spans="1:18" hidden="1" x14ac:dyDescent="0.3">
      <c r="A310" s="19">
        <f t="shared" si="4"/>
        <v>309</v>
      </c>
      <c r="B310" s="20" t="s">
        <v>87</v>
      </c>
      <c r="C310" s="20" t="s">
        <v>102</v>
      </c>
      <c r="D310" s="21" t="str">
        <f>IF($C310="","",IFERROR(VLOOKUP($C310,Map_Register!$A$2:$C$5,3,FALSE()),""))</f>
        <v>Toponym Labels</v>
      </c>
      <c r="E310" s="20" t="s">
        <v>15</v>
      </c>
      <c r="F310" s="22">
        <v>721379</v>
      </c>
      <c r="G310" s="19" t="s">
        <v>1091</v>
      </c>
      <c r="H310" s="19" t="s">
        <v>1644</v>
      </c>
      <c r="I310" s="19" t="s">
        <v>1645</v>
      </c>
      <c r="J310" s="19" t="s">
        <v>1104</v>
      </c>
      <c r="K310" s="19" t="s">
        <v>6</v>
      </c>
      <c r="L310" s="19" t="s">
        <v>1095</v>
      </c>
      <c r="M310" s="19" t="s">
        <v>1095</v>
      </c>
      <c r="N310" s="19" t="s">
        <v>1105</v>
      </c>
      <c r="R310" t="s">
        <v>1097</v>
      </c>
    </row>
    <row r="311" spans="1:18" hidden="1" x14ac:dyDescent="0.3">
      <c r="A311" s="19">
        <f t="shared" si="4"/>
        <v>310</v>
      </c>
      <c r="B311" s="20" t="s">
        <v>87</v>
      </c>
      <c r="C311" s="20" t="s">
        <v>102</v>
      </c>
      <c r="D311" s="21" t="str">
        <f>IF($C311="","",IFERROR(VLOOKUP($C311,Map_Register!$A$2:$C$5,3,FALSE()),""))</f>
        <v>Toponym Labels</v>
      </c>
      <c r="E311" s="20" t="s">
        <v>15</v>
      </c>
      <c r="F311" s="22">
        <v>721380</v>
      </c>
      <c r="G311" s="19" t="s">
        <v>1145</v>
      </c>
      <c r="H311" s="19" t="s">
        <v>1646</v>
      </c>
      <c r="I311" s="19" t="s">
        <v>1646</v>
      </c>
      <c r="J311" s="19" t="s">
        <v>1110</v>
      </c>
      <c r="K311" t="s">
        <v>1100</v>
      </c>
      <c r="L311" s="19" t="s">
        <v>114</v>
      </c>
      <c r="M311" s="19" t="s">
        <v>114</v>
      </c>
      <c r="N311" s="19" t="s">
        <v>1647</v>
      </c>
      <c r="O311" s="19" t="s">
        <v>116</v>
      </c>
      <c r="R311" t="s">
        <v>1097</v>
      </c>
    </row>
    <row r="312" spans="1:18" x14ac:dyDescent="0.3">
      <c r="A312" s="19">
        <f t="shared" si="4"/>
        <v>311</v>
      </c>
      <c r="B312" s="20" t="s">
        <v>87</v>
      </c>
      <c r="C312" s="20" t="s">
        <v>102</v>
      </c>
      <c r="D312" s="21" t="str">
        <f>IF($C312="","",IFERROR(VLOOKUP($C312,Map_Register!$A$2:$C$5,3,FALSE()),""))</f>
        <v>Toponym Labels</v>
      </c>
      <c r="E312" s="20" t="s">
        <v>15</v>
      </c>
      <c r="F312" s="22">
        <v>721381</v>
      </c>
      <c r="G312" s="19" t="s">
        <v>1108</v>
      </c>
      <c r="H312" s="19" t="s">
        <v>1648</v>
      </c>
      <c r="I312" s="19" t="s">
        <v>1648</v>
      </c>
      <c r="J312" s="19" t="s">
        <v>1110</v>
      </c>
      <c r="K312" t="s">
        <v>1100</v>
      </c>
      <c r="L312" t="s">
        <v>114</v>
      </c>
      <c r="M312" t="s">
        <v>116</v>
      </c>
      <c r="N312" s="19" t="s">
        <v>1415</v>
      </c>
      <c r="O312" s="19" t="s">
        <v>116</v>
      </c>
      <c r="R312" t="s">
        <v>1097</v>
      </c>
    </row>
    <row r="313" spans="1:18" hidden="1" x14ac:dyDescent="0.3">
      <c r="A313" s="19">
        <f t="shared" si="4"/>
        <v>312</v>
      </c>
      <c r="B313" s="20" t="s">
        <v>87</v>
      </c>
      <c r="C313" s="20" t="s">
        <v>102</v>
      </c>
      <c r="D313" s="21" t="str">
        <f>IF($C313="","",IFERROR(VLOOKUP($C313,Map_Register!$A$2:$C$5,3,FALSE()),""))</f>
        <v>Toponym Labels</v>
      </c>
      <c r="E313" s="20" t="s">
        <v>15</v>
      </c>
      <c r="F313" s="22">
        <v>721382</v>
      </c>
      <c r="G313" s="19" t="s">
        <v>1125</v>
      </c>
      <c r="H313" s="19" t="s">
        <v>1649</v>
      </c>
      <c r="I313" s="19" t="s">
        <v>1650</v>
      </c>
      <c r="J313" s="19" t="s">
        <v>1104</v>
      </c>
      <c r="K313" s="19" t="s">
        <v>6</v>
      </c>
      <c r="L313" s="19" t="s">
        <v>1095</v>
      </c>
      <c r="M313" s="19" t="s">
        <v>1095</v>
      </c>
      <c r="N313" s="19" t="s">
        <v>1105</v>
      </c>
      <c r="R313" t="s">
        <v>1097</v>
      </c>
    </row>
    <row r="314" spans="1:18" hidden="1" x14ac:dyDescent="0.3">
      <c r="A314" s="19">
        <f t="shared" si="4"/>
        <v>313</v>
      </c>
      <c r="B314" s="20" t="s">
        <v>87</v>
      </c>
      <c r="C314" s="20" t="s">
        <v>102</v>
      </c>
      <c r="D314" s="21" t="str">
        <f>IF($C314="","",IFERROR(VLOOKUP($C314,Map_Register!$A$2:$C$5,3,FALSE()),""))</f>
        <v>Toponym Labels</v>
      </c>
      <c r="E314" s="20" t="s">
        <v>15</v>
      </c>
      <c r="F314" s="22">
        <v>721383</v>
      </c>
      <c r="G314" s="19" t="s">
        <v>1091</v>
      </c>
      <c r="H314" s="19" t="s">
        <v>1651</v>
      </c>
      <c r="I314" s="19" t="s">
        <v>1652</v>
      </c>
      <c r="J314" s="19" t="s">
        <v>1094</v>
      </c>
      <c r="K314" t="s">
        <v>1100</v>
      </c>
      <c r="L314" t="s">
        <v>114</v>
      </c>
      <c r="M314" t="s">
        <v>114</v>
      </c>
      <c r="N314" s="19" t="s">
        <v>530</v>
      </c>
      <c r="O314" s="19" t="s">
        <v>116</v>
      </c>
      <c r="R314" t="s">
        <v>1097</v>
      </c>
    </row>
    <row r="315" spans="1:18" hidden="1" x14ac:dyDescent="0.3">
      <c r="A315" s="19">
        <f t="shared" si="4"/>
        <v>314</v>
      </c>
      <c r="B315" s="20" t="s">
        <v>87</v>
      </c>
      <c r="C315" s="20" t="s">
        <v>102</v>
      </c>
      <c r="D315" s="21" t="str">
        <f>IF($C315="","",IFERROR(VLOOKUP($C315,Map_Register!$A$2:$C$5,3,FALSE()),""))</f>
        <v>Toponym Labels</v>
      </c>
      <c r="E315" s="20" t="s">
        <v>15</v>
      </c>
      <c r="F315" s="22">
        <v>721384</v>
      </c>
      <c r="G315" s="19" t="s">
        <v>1091</v>
      </c>
      <c r="H315" s="19" t="s">
        <v>1653</v>
      </c>
      <c r="I315" s="19" t="s">
        <v>1653</v>
      </c>
      <c r="J315" s="19" t="s">
        <v>1110</v>
      </c>
      <c r="K315" t="s">
        <v>1100</v>
      </c>
      <c r="L315" t="s">
        <v>114</v>
      </c>
      <c r="M315" t="s">
        <v>114</v>
      </c>
      <c r="N315" s="19" t="s">
        <v>530</v>
      </c>
      <c r="O315" s="19" t="s">
        <v>116</v>
      </c>
      <c r="R315" t="s">
        <v>1097</v>
      </c>
    </row>
    <row r="316" spans="1:18" hidden="1" x14ac:dyDescent="0.3">
      <c r="A316" s="19">
        <f t="shared" si="4"/>
        <v>315</v>
      </c>
      <c r="B316" s="20" t="s">
        <v>87</v>
      </c>
      <c r="C316" s="20" t="s">
        <v>102</v>
      </c>
      <c r="D316" s="21" t="str">
        <f>IF($C316="","",IFERROR(VLOOKUP($C316,Map_Register!$A$2:$C$5,3,FALSE()),""))</f>
        <v>Toponym Labels</v>
      </c>
      <c r="E316" s="20" t="s">
        <v>15</v>
      </c>
      <c r="F316" s="22">
        <v>721385</v>
      </c>
      <c r="G316" s="19" t="s">
        <v>1136</v>
      </c>
      <c r="H316" s="19" t="s">
        <v>1654</v>
      </c>
      <c r="I316" s="19" t="s">
        <v>1655</v>
      </c>
      <c r="J316" s="19" t="s">
        <v>1104</v>
      </c>
      <c r="K316" s="19" t="s">
        <v>6</v>
      </c>
      <c r="L316" s="19" t="s">
        <v>1095</v>
      </c>
      <c r="M316" s="19" t="s">
        <v>1095</v>
      </c>
      <c r="N316" s="19" t="s">
        <v>1105</v>
      </c>
      <c r="R316" t="s">
        <v>1097</v>
      </c>
    </row>
    <row r="317" spans="1:18" hidden="1" x14ac:dyDescent="0.3">
      <c r="A317" s="19">
        <f t="shared" si="4"/>
        <v>316</v>
      </c>
      <c r="B317" s="20" t="s">
        <v>87</v>
      </c>
      <c r="C317" s="20" t="s">
        <v>102</v>
      </c>
      <c r="D317" s="21" t="str">
        <f>IF($C317="","",IFERROR(VLOOKUP($C317,Map_Register!$A$2:$C$5,3,FALSE()),""))</f>
        <v>Toponym Labels</v>
      </c>
      <c r="E317" s="20" t="s">
        <v>15</v>
      </c>
      <c r="F317" s="22">
        <v>721386</v>
      </c>
      <c r="G317" s="19" t="s">
        <v>1136</v>
      </c>
      <c r="H317" s="19" t="s">
        <v>1656</v>
      </c>
      <c r="I317" s="19" t="s">
        <v>1657</v>
      </c>
      <c r="J317" s="19" t="s">
        <v>1094</v>
      </c>
      <c r="K317" s="19" t="s">
        <v>6</v>
      </c>
      <c r="L317" s="19" t="s">
        <v>1095</v>
      </c>
      <c r="M317" s="19" t="s">
        <v>1095</v>
      </c>
      <c r="N317" s="19" t="s">
        <v>1105</v>
      </c>
      <c r="R317" t="s">
        <v>1097</v>
      </c>
    </row>
    <row r="318" spans="1:18" hidden="1" x14ac:dyDescent="0.3">
      <c r="A318" s="19">
        <f t="shared" si="4"/>
        <v>317</v>
      </c>
      <c r="B318" s="20" t="s">
        <v>87</v>
      </c>
      <c r="C318" s="20" t="s">
        <v>102</v>
      </c>
      <c r="D318" s="21" t="str">
        <f>IF($C318="","",IFERROR(VLOOKUP($C318,Map_Register!$A$2:$C$5,3,FALSE()),""))</f>
        <v>Toponym Labels</v>
      </c>
      <c r="E318" s="20" t="s">
        <v>15</v>
      </c>
      <c r="F318" s="22">
        <v>721387</v>
      </c>
      <c r="G318" s="19" t="s">
        <v>1091</v>
      </c>
      <c r="H318" s="19" t="s">
        <v>1658</v>
      </c>
      <c r="I318" s="19" t="s">
        <v>1659</v>
      </c>
      <c r="J318" s="19" t="s">
        <v>1104</v>
      </c>
      <c r="K318" s="19" t="s">
        <v>6</v>
      </c>
      <c r="L318" s="19" t="s">
        <v>1095</v>
      </c>
      <c r="M318" s="19" t="s">
        <v>1095</v>
      </c>
      <c r="N318" s="19" t="s">
        <v>1105</v>
      </c>
      <c r="R318" t="s">
        <v>1097</v>
      </c>
    </row>
    <row r="319" spans="1:18" hidden="1" x14ac:dyDescent="0.3">
      <c r="A319" s="19">
        <f t="shared" si="4"/>
        <v>318</v>
      </c>
      <c r="B319" s="20" t="s">
        <v>87</v>
      </c>
      <c r="C319" s="20" t="s">
        <v>102</v>
      </c>
      <c r="D319" s="21" t="str">
        <f>IF($C319="","",IFERROR(VLOOKUP($C319,Map_Register!$A$2:$C$5,3,FALSE()),""))</f>
        <v>Toponym Labels</v>
      </c>
      <c r="E319" s="20" t="s">
        <v>15</v>
      </c>
      <c r="F319" s="22">
        <v>721388</v>
      </c>
      <c r="G319" s="19" t="s">
        <v>1136</v>
      </c>
      <c r="H319" s="19" t="s">
        <v>1660</v>
      </c>
      <c r="I319" s="19" t="s">
        <v>1661</v>
      </c>
      <c r="J319" s="19" t="s">
        <v>1094</v>
      </c>
      <c r="K319" t="s">
        <v>1100</v>
      </c>
      <c r="L319" t="s">
        <v>114</v>
      </c>
      <c r="M319" t="s">
        <v>114</v>
      </c>
      <c r="N319" s="19" t="s">
        <v>530</v>
      </c>
      <c r="O319" s="19" t="s">
        <v>116</v>
      </c>
      <c r="R319" t="s">
        <v>1097</v>
      </c>
    </row>
    <row r="320" spans="1:18" hidden="1" x14ac:dyDescent="0.3">
      <c r="A320" s="19">
        <f t="shared" si="4"/>
        <v>319</v>
      </c>
      <c r="B320" s="20" t="s">
        <v>87</v>
      </c>
      <c r="C320" s="20" t="s">
        <v>102</v>
      </c>
      <c r="D320" s="21" t="str">
        <f>IF($C320="","",IFERROR(VLOOKUP($C320,Map_Register!$A$2:$C$5,3,FALSE()),""))</f>
        <v>Toponym Labels</v>
      </c>
      <c r="E320" s="20" t="s">
        <v>15</v>
      </c>
      <c r="F320" s="22">
        <v>721389</v>
      </c>
      <c r="G320" s="19" t="s">
        <v>1136</v>
      </c>
      <c r="H320" s="19" t="s">
        <v>1662</v>
      </c>
      <c r="I320" s="19" t="s">
        <v>1663</v>
      </c>
      <c r="J320" s="19" t="s">
        <v>1104</v>
      </c>
      <c r="K320" s="19" t="s">
        <v>6</v>
      </c>
      <c r="L320" s="19" t="s">
        <v>1095</v>
      </c>
      <c r="M320" s="19" t="s">
        <v>1095</v>
      </c>
      <c r="N320" s="19" t="s">
        <v>1664</v>
      </c>
      <c r="R320" t="s">
        <v>1097</v>
      </c>
    </row>
    <row r="321" spans="1:18" hidden="1" x14ac:dyDescent="0.3">
      <c r="A321" s="19">
        <f t="shared" si="4"/>
        <v>320</v>
      </c>
      <c r="B321" s="20" t="s">
        <v>87</v>
      </c>
      <c r="C321" s="20" t="s">
        <v>102</v>
      </c>
      <c r="D321" s="21" t="str">
        <f>IF($C321="","",IFERROR(VLOOKUP($C321,Map_Register!$A$2:$C$5,3,FALSE()),""))</f>
        <v>Toponym Labels</v>
      </c>
      <c r="E321" s="20" t="s">
        <v>15</v>
      </c>
      <c r="F321" s="22">
        <v>721390</v>
      </c>
      <c r="G321" s="19" t="s">
        <v>1179</v>
      </c>
      <c r="H321" s="19" t="s">
        <v>1665</v>
      </c>
      <c r="I321" s="19" t="s">
        <v>1665</v>
      </c>
      <c r="J321" s="19" t="s">
        <v>1117</v>
      </c>
      <c r="K321" t="s">
        <v>1100</v>
      </c>
      <c r="L321" t="s">
        <v>114</v>
      </c>
      <c r="M321" t="s">
        <v>114</v>
      </c>
      <c r="N321" s="19" t="s">
        <v>1666</v>
      </c>
      <c r="O321" s="19" t="s">
        <v>116</v>
      </c>
      <c r="R321" t="s">
        <v>1097</v>
      </c>
    </row>
    <row r="322" spans="1:18" hidden="1" x14ac:dyDescent="0.3">
      <c r="A322" s="19">
        <f t="shared" ref="A322:A385" si="5">IF($B322="","",ROW()-1)</f>
        <v>321</v>
      </c>
      <c r="B322" s="20" t="s">
        <v>87</v>
      </c>
      <c r="C322" s="20" t="s">
        <v>102</v>
      </c>
      <c r="D322" s="21" t="str">
        <f>IF($C322="","",IFERROR(VLOOKUP($C322,Map_Register!$A$2:$C$5,3,FALSE()),""))</f>
        <v>Toponym Labels</v>
      </c>
      <c r="E322" s="20" t="s">
        <v>15</v>
      </c>
      <c r="F322" s="22">
        <v>721391</v>
      </c>
      <c r="G322" s="19" t="s">
        <v>1136</v>
      </c>
      <c r="H322" s="19" t="s">
        <v>1667</v>
      </c>
      <c r="I322" s="19" t="s">
        <v>1668</v>
      </c>
      <c r="J322" s="19" t="s">
        <v>1104</v>
      </c>
      <c r="K322" t="s">
        <v>1100</v>
      </c>
      <c r="L322" t="s">
        <v>114</v>
      </c>
      <c r="M322" t="s">
        <v>114</v>
      </c>
      <c r="N322" s="19" t="s">
        <v>530</v>
      </c>
      <c r="O322" s="19" t="s">
        <v>116</v>
      </c>
      <c r="R322" t="s">
        <v>1097</v>
      </c>
    </row>
    <row r="323" spans="1:18" hidden="1" x14ac:dyDescent="0.3">
      <c r="A323" s="19">
        <f t="shared" si="5"/>
        <v>322</v>
      </c>
      <c r="B323" s="20" t="s">
        <v>87</v>
      </c>
      <c r="C323" s="20" t="s">
        <v>102</v>
      </c>
      <c r="D323" s="21" t="str">
        <f>IF($C323="","",IFERROR(VLOOKUP($C323,Map_Register!$A$2:$C$5,3,FALSE()),""))</f>
        <v>Toponym Labels</v>
      </c>
      <c r="E323" s="20" t="s">
        <v>15</v>
      </c>
      <c r="F323" s="22">
        <v>721392</v>
      </c>
      <c r="G323" s="19" t="s">
        <v>1163</v>
      </c>
      <c r="H323" s="19" t="s">
        <v>1669</v>
      </c>
      <c r="I323" s="19" t="s">
        <v>1670</v>
      </c>
      <c r="J323" s="19" t="s">
        <v>1094</v>
      </c>
      <c r="K323" s="19" t="s">
        <v>6</v>
      </c>
      <c r="L323" s="19" t="s">
        <v>1095</v>
      </c>
      <c r="M323" s="19" t="s">
        <v>1095</v>
      </c>
      <c r="N323" s="19" t="s">
        <v>1105</v>
      </c>
      <c r="R323" t="s">
        <v>1097</v>
      </c>
    </row>
    <row r="324" spans="1:18" hidden="1" x14ac:dyDescent="0.3">
      <c r="A324" s="19">
        <f t="shared" si="5"/>
        <v>323</v>
      </c>
      <c r="B324" s="20" t="s">
        <v>87</v>
      </c>
      <c r="C324" s="20" t="s">
        <v>102</v>
      </c>
      <c r="D324" s="21" t="str">
        <f>IF($C324="","",IFERROR(VLOOKUP($C324,Map_Register!$A$2:$C$5,3,FALSE()),""))</f>
        <v>Toponym Labels</v>
      </c>
      <c r="E324" s="20" t="s">
        <v>15</v>
      </c>
      <c r="F324" s="22">
        <v>721393</v>
      </c>
      <c r="G324" s="19" t="s">
        <v>1163</v>
      </c>
      <c r="H324" s="19" t="s">
        <v>1671</v>
      </c>
      <c r="I324" s="19" t="s">
        <v>1672</v>
      </c>
      <c r="J324" s="19" t="s">
        <v>1104</v>
      </c>
      <c r="K324" s="19" t="s">
        <v>6</v>
      </c>
      <c r="L324" s="19" t="s">
        <v>1095</v>
      </c>
      <c r="M324" s="19" t="s">
        <v>1095</v>
      </c>
      <c r="N324" s="19" t="s">
        <v>1105</v>
      </c>
      <c r="R324" t="s">
        <v>1097</v>
      </c>
    </row>
    <row r="325" spans="1:18" hidden="1" x14ac:dyDescent="0.3">
      <c r="A325" s="19">
        <f t="shared" si="5"/>
        <v>324</v>
      </c>
      <c r="B325" s="20" t="s">
        <v>87</v>
      </c>
      <c r="C325" s="20" t="s">
        <v>102</v>
      </c>
      <c r="D325" s="21" t="str">
        <f>IF($C325="","",IFERROR(VLOOKUP($C325,Map_Register!$A$2:$C$5,3,FALSE()),""))</f>
        <v>Toponym Labels</v>
      </c>
      <c r="E325" s="20" t="s">
        <v>15</v>
      </c>
      <c r="F325" s="22">
        <v>721394</v>
      </c>
      <c r="G325" s="19" t="s">
        <v>1136</v>
      </c>
      <c r="H325" s="19" t="s">
        <v>1673</v>
      </c>
      <c r="I325" s="19" t="s">
        <v>1674</v>
      </c>
      <c r="J325" s="19" t="s">
        <v>1094</v>
      </c>
      <c r="K325" s="19" t="s">
        <v>6</v>
      </c>
      <c r="L325" s="19" t="s">
        <v>1095</v>
      </c>
      <c r="M325" s="19" t="s">
        <v>1095</v>
      </c>
      <c r="N325" s="19" t="s">
        <v>1675</v>
      </c>
      <c r="R325" t="s">
        <v>1097</v>
      </c>
    </row>
    <row r="326" spans="1:18" hidden="1" x14ac:dyDescent="0.3">
      <c r="A326" s="19">
        <f t="shared" si="5"/>
        <v>325</v>
      </c>
      <c r="B326" s="20" t="s">
        <v>87</v>
      </c>
      <c r="C326" s="20" t="s">
        <v>102</v>
      </c>
      <c r="D326" s="21" t="str">
        <f>IF($C326="","",IFERROR(VLOOKUP($C326,Map_Register!$A$2:$C$5,3,FALSE()),""))</f>
        <v>Toponym Labels</v>
      </c>
      <c r="E326" s="20" t="s">
        <v>15</v>
      </c>
      <c r="F326" s="22">
        <v>721395</v>
      </c>
      <c r="G326" s="19" t="s">
        <v>1136</v>
      </c>
      <c r="H326" s="19" t="s">
        <v>1676</v>
      </c>
      <c r="I326" s="19" t="s">
        <v>1677</v>
      </c>
      <c r="J326" s="19" t="s">
        <v>1104</v>
      </c>
      <c r="K326" s="19" t="s">
        <v>6</v>
      </c>
      <c r="L326" s="19" t="s">
        <v>1095</v>
      </c>
      <c r="M326" s="19" t="s">
        <v>1095</v>
      </c>
      <c r="N326" s="19" t="s">
        <v>1678</v>
      </c>
      <c r="R326" t="s">
        <v>1097</v>
      </c>
    </row>
    <row r="327" spans="1:18" hidden="1" x14ac:dyDescent="0.3">
      <c r="A327" s="19">
        <f t="shared" si="5"/>
        <v>326</v>
      </c>
      <c r="B327" s="20" t="s">
        <v>87</v>
      </c>
      <c r="C327" s="20" t="s">
        <v>102</v>
      </c>
      <c r="D327" s="21" t="str">
        <f>IF($C327="","",IFERROR(VLOOKUP($C327,Map_Register!$A$2:$C$5,3,FALSE()),""))</f>
        <v>Toponym Labels</v>
      </c>
      <c r="E327" s="20" t="s">
        <v>15</v>
      </c>
      <c r="F327" s="22">
        <v>721396</v>
      </c>
      <c r="G327" s="19" t="s">
        <v>1136</v>
      </c>
      <c r="H327" s="19" t="s">
        <v>1679</v>
      </c>
      <c r="I327" s="19" t="s">
        <v>1679</v>
      </c>
      <c r="J327" s="19" t="s">
        <v>1110</v>
      </c>
      <c r="K327" t="s">
        <v>1100</v>
      </c>
      <c r="L327" s="19" t="s">
        <v>114</v>
      </c>
      <c r="M327" s="19" t="s">
        <v>114</v>
      </c>
      <c r="N327" s="19" t="s">
        <v>1211</v>
      </c>
      <c r="O327" s="19" t="s">
        <v>116</v>
      </c>
      <c r="R327" t="s">
        <v>1097</v>
      </c>
    </row>
    <row r="328" spans="1:18" hidden="1" x14ac:dyDescent="0.3">
      <c r="A328" s="19">
        <f t="shared" si="5"/>
        <v>327</v>
      </c>
      <c r="B328" s="20" t="s">
        <v>87</v>
      </c>
      <c r="C328" s="20" t="s">
        <v>102</v>
      </c>
      <c r="D328" s="21" t="str">
        <f>IF($C328="","",IFERROR(VLOOKUP($C328,Map_Register!$A$2:$C$5,3,FALSE()),""))</f>
        <v>Toponym Labels</v>
      </c>
      <c r="E328" s="20" t="s">
        <v>15</v>
      </c>
      <c r="F328" s="22">
        <v>721397</v>
      </c>
      <c r="G328" s="19" t="s">
        <v>1136</v>
      </c>
      <c r="H328" s="19" t="s">
        <v>1680</v>
      </c>
      <c r="I328" s="19" t="s">
        <v>1681</v>
      </c>
      <c r="J328" s="19" t="s">
        <v>1104</v>
      </c>
      <c r="K328" s="19" t="s">
        <v>6</v>
      </c>
      <c r="L328" s="19" t="s">
        <v>1095</v>
      </c>
      <c r="M328" s="19" t="s">
        <v>1095</v>
      </c>
      <c r="N328" s="19" t="s">
        <v>1105</v>
      </c>
      <c r="R328" t="s">
        <v>1097</v>
      </c>
    </row>
    <row r="329" spans="1:18" hidden="1" x14ac:dyDescent="0.3">
      <c r="A329" s="19">
        <f t="shared" si="5"/>
        <v>328</v>
      </c>
      <c r="B329" s="20" t="s">
        <v>87</v>
      </c>
      <c r="C329" s="20" t="s">
        <v>102</v>
      </c>
      <c r="D329" s="21" t="str">
        <f>IF($C329="","",IFERROR(VLOOKUP($C329,Map_Register!$A$2:$C$5,3,FALSE()),""))</f>
        <v>Toponym Labels</v>
      </c>
      <c r="E329" s="20" t="s">
        <v>15</v>
      </c>
      <c r="F329" s="22">
        <v>721398</v>
      </c>
      <c r="G329" s="19" t="s">
        <v>1108</v>
      </c>
      <c r="H329" s="19" t="s">
        <v>1682</v>
      </c>
      <c r="I329" s="19" t="s">
        <v>1683</v>
      </c>
      <c r="J329" s="19" t="s">
        <v>1104</v>
      </c>
      <c r="K329" s="19" t="s">
        <v>6</v>
      </c>
      <c r="L329" s="19" t="s">
        <v>1095</v>
      </c>
      <c r="M329" s="19" t="s">
        <v>1095</v>
      </c>
      <c r="N329" s="19" t="s">
        <v>1684</v>
      </c>
      <c r="R329" t="s">
        <v>1097</v>
      </c>
    </row>
    <row r="330" spans="1:18" hidden="1" x14ac:dyDescent="0.3">
      <c r="A330" s="19">
        <f t="shared" si="5"/>
        <v>329</v>
      </c>
      <c r="B330" s="20" t="s">
        <v>87</v>
      </c>
      <c r="C330" s="20" t="s">
        <v>102</v>
      </c>
      <c r="D330" s="21" t="str">
        <f>IF($C330="","",IFERROR(VLOOKUP($C330,Map_Register!$A$2:$C$5,3,FALSE()),""))</f>
        <v>Toponym Labels</v>
      </c>
      <c r="E330" s="20" t="s">
        <v>15</v>
      </c>
      <c r="F330" s="22">
        <v>721399</v>
      </c>
      <c r="G330" s="19" t="s">
        <v>1136</v>
      </c>
      <c r="H330" s="19" t="s">
        <v>1685</v>
      </c>
      <c r="I330" s="19" t="s">
        <v>1686</v>
      </c>
      <c r="J330" s="19" t="s">
        <v>1094</v>
      </c>
      <c r="K330" t="s">
        <v>1100</v>
      </c>
      <c r="L330" t="s">
        <v>114</v>
      </c>
      <c r="M330" t="s">
        <v>114</v>
      </c>
      <c r="N330" s="19" t="s">
        <v>530</v>
      </c>
      <c r="O330" s="19" t="s">
        <v>116</v>
      </c>
      <c r="R330" t="s">
        <v>1097</v>
      </c>
    </row>
    <row r="331" spans="1:18" hidden="1" x14ac:dyDescent="0.3">
      <c r="A331" s="19">
        <f t="shared" si="5"/>
        <v>330</v>
      </c>
      <c r="B331" s="20" t="s">
        <v>87</v>
      </c>
      <c r="C331" s="20" t="s">
        <v>102</v>
      </c>
      <c r="D331" s="21" t="str">
        <f>IF($C331="","",IFERROR(VLOOKUP($C331,Map_Register!$A$2:$C$5,3,FALSE()),""))</f>
        <v>Toponym Labels</v>
      </c>
      <c r="E331" s="20" t="s">
        <v>15</v>
      </c>
      <c r="F331" s="22">
        <v>721400</v>
      </c>
      <c r="G331" s="19" t="s">
        <v>1136</v>
      </c>
      <c r="H331" s="19" t="s">
        <v>1687</v>
      </c>
      <c r="I331" s="19" t="s">
        <v>1687</v>
      </c>
      <c r="J331" s="19" t="s">
        <v>1117</v>
      </c>
      <c r="K331" t="s">
        <v>1100</v>
      </c>
      <c r="L331" t="s">
        <v>114</v>
      </c>
      <c r="M331" t="s">
        <v>114</v>
      </c>
      <c r="N331" s="19" t="s">
        <v>530</v>
      </c>
      <c r="O331" s="19" t="s">
        <v>116</v>
      </c>
      <c r="R331" t="s">
        <v>1097</v>
      </c>
    </row>
    <row r="332" spans="1:18" hidden="1" x14ac:dyDescent="0.3">
      <c r="A332" s="19">
        <f t="shared" si="5"/>
        <v>331</v>
      </c>
      <c r="B332" s="20" t="s">
        <v>87</v>
      </c>
      <c r="C332" s="20" t="s">
        <v>102</v>
      </c>
      <c r="D332" s="21" t="str">
        <f>IF($C332="","",IFERROR(VLOOKUP($C332,Map_Register!$A$2:$C$5,3,FALSE()),""))</f>
        <v>Toponym Labels</v>
      </c>
      <c r="E332" s="20" t="s">
        <v>15</v>
      </c>
      <c r="F332" s="22">
        <v>721401</v>
      </c>
      <c r="G332" s="19" t="s">
        <v>1136</v>
      </c>
      <c r="H332" s="19" t="s">
        <v>1688</v>
      </c>
      <c r="I332" s="19" t="s">
        <v>1688</v>
      </c>
      <c r="J332" s="19" t="s">
        <v>1110</v>
      </c>
      <c r="K332" t="s">
        <v>1100</v>
      </c>
      <c r="L332" t="s">
        <v>114</v>
      </c>
      <c r="M332" t="s">
        <v>114</v>
      </c>
      <c r="N332" s="19" t="s">
        <v>530</v>
      </c>
      <c r="O332" s="19" t="s">
        <v>116</v>
      </c>
      <c r="R332" t="s">
        <v>1097</v>
      </c>
    </row>
    <row r="333" spans="1:18" hidden="1" x14ac:dyDescent="0.3">
      <c r="A333" s="19">
        <f t="shared" si="5"/>
        <v>332</v>
      </c>
      <c r="B333" s="20" t="s">
        <v>87</v>
      </c>
      <c r="C333" s="20" t="s">
        <v>102</v>
      </c>
      <c r="D333" s="21" t="str">
        <f>IF($C333="","",IFERROR(VLOOKUP($C333,Map_Register!$A$2:$C$5,3,FALSE()),""))</f>
        <v>Toponym Labels</v>
      </c>
      <c r="E333" s="20" t="s">
        <v>15</v>
      </c>
      <c r="F333" s="22">
        <v>721402</v>
      </c>
      <c r="G333" s="19" t="s">
        <v>1136</v>
      </c>
      <c r="H333" s="19" t="s">
        <v>1689</v>
      </c>
      <c r="I333" s="19" t="s">
        <v>1690</v>
      </c>
      <c r="J333" s="19" t="s">
        <v>1104</v>
      </c>
      <c r="K333" s="19" t="s">
        <v>6</v>
      </c>
      <c r="L333" s="19" t="s">
        <v>1095</v>
      </c>
      <c r="M333" s="19" t="s">
        <v>1095</v>
      </c>
      <c r="N333" s="19" t="s">
        <v>1105</v>
      </c>
      <c r="R333" t="s">
        <v>1097</v>
      </c>
    </row>
    <row r="334" spans="1:18" hidden="1" x14ac:dyDescent="0.3">
      <c r="A334" s="19">
        <f t="shared" si="5"/>
        <v>333</v>
      </c>
      <c r="B334" s="20" t="s">
        <v>87</v>
      </c>
      <c r="C334" s="20" t="s">
        <v>102</v>
      </c>
      <c r="D334" s="21" t="str">
        <f>IF($C334="","",IFERROR(VLOOKUP($C334,Map_Register!$A$2:$C$5,3,FALSE()),""))</f>
        <v>Toponym Labels</v>
      </c>
      <c r="E334" s="20" t="s">
        <v>15</v>
      </c>
      <c r="F334" s="22">
        <v>721403</v>
      </c>
      <c r="G334" s="19" t="s">
        <v>1163</v>
      </c>
      <c r="H334" s="19" t="s">
        <v>1691</v>
      </c>
      <c r="I334" s="19" t="s">
        <v>1691</v>
      </c>
      <c r="J334" s="19" t="s">
        <v>1110</v>
      </c>
      <c r="K334" t="s">
        <v>1100</v>
      </c>
      <c r="L334" t="s">
        <v>114</v>
      </c>
      <c r="M334" t="s">
        <v>114</v>
      </c>
      <c r="N334" s="19" t="s">
        <v>1375</v>
      </c>
      <c r="O334" s="19" t="s">
        <v>116</v>
      </c>
      <c r="R334" t="s">
        <v>1097</v>
      </c>
    </row>
    <row r="335" spans="1:18" hidden="1" x14ac:dyDescent="0.3">
      <c r="A335" s="19">
        <f t="shared" si="5"/>
        <v>334</v>
      </c>
      <c r="B335" s="20" t="s">
        <v>87</v>
      </c>
      <c r="C335" s="20" t="s">
        <v>102</v>
      </c>
      <c r="D335" s="21" t="str">
        <f>IF($C335="","",IFERROR(VLOOKUP($C335,Map_Register!$A$2:$C$5,3,FALSE()),""))</f>
        <v>Toponym Labels</v>
      </c>
      <c r="E335" s="20" t="s">
        <v>15</v>
      </c>
      <c r="F335" s="22">
        <v>721404</v>
      </c>
      <c r="G335" s="19" t="s">
        <v>1136</v>
      </c>
      <c r="H335" s="19" t="s">
        <v>1692</v>
      </c>
      <c r="I335" s="19" t="s">
        <v>1692</v>
      </c>
      <c r="J335" s="19" t="s">
        <v>1110</v>
      </c>
      <c r="K335" s="19" t="s">
        <v>6</v>
      </c>
      <c r="L335" s="19" t="s">
        <v>1095</v>
      </c>
      <c r="M335" s="19" t="s">
        <v>1095</v>
      </c>
      <c r="N335" s="19" t="s">
        <v>1406</v>
      </c>
      <c r="R335" t="s">
        <v>1097</v>
      </c>
    </row>
    <row r="336" spans="1:18" hidden="1" x14ac:dyDescent="0.3">
      <c r="A336" s="19">
        <f t="shared" si="5"/>
        <v>335</v>
      </c>
      <c r="B336" s="20" t="s">
        <v>87</v>
      </c>
      <c r="C336" s="20" t="s">
        <v>102</v>
      </c>
      <c r="D336" s="21" t="str">
        <f>IF($C336="","",IFERROR(VLOOKUP($C336,Map_Register!$A$2:$C$5,3,FALSE()),""))</f>
        <v>Toponym Labels</v>
      </c>
      <c r="E336" s="20" t="s">
        <v>15</v>
      </c>
      <c r="F336" s="22">
        <v>721405</v>
      </c>
      <c r="G336" s="19" t="s">
        <v>1136</v>
      </c>
      <c r="H336" s="19" t="s">
        <v>1693</v>
      </c>
      <c r="I336" s="19" t="s">
        <v>1694</v>
      </c>
      <c r="J336" s="19" t="s">
        <v>1104</v>
      </c>
      <c r="K336" s="19" t="s">
        <v>6</v>
      </c>
      <c r="L336" s="19" t="s">
        <v>1095</v>
      </c>
      <c r="M336" s="19" t="s">
        <v>1095</v>
      </c>
      <c r="N336" s="19" t="s">
        <v>1695</v>
      </c>
      <c r="R336" t="s">
        <v>1097</v>
      </c>
    </row>
    <row r="337" spans="1:18" hidden="1" x14ac:dyDescent="0.3">
      <c r="A337" s="19">
        <f t="shared" si="5"/>
        <v>336</v>
      </c>
      <c r="B337" s="20" t="s">
        <v>87</v>
      </c>
      <c r="C337" s="20" t="s">
        <v>102</v>
      </c>
      <c r="D337" s="21" t="str">
        <f>IF($C337="","",IFERROR(VLOOKUP($C337,Map_Register!$A$2:$C$5,3,FALSE()),""))</f>
        <v>Toponym Labels</v>
      </c>
      <c r="E337" s="20" t="s">
        <v>15</v>
      </c>
      <c r="F337" s="22">
        <v>721406</v>
      </c>
      <c r="G337" s="19" t="s">
        <v>1136</v>
      </c>
      <c r="H337" s="19" t="s">
        <v>1696</v>
      </c>
      <c r="I337" s="19" t="s">
        <v>1697</v>
      </c>
      <c r="J337" s="19" t="s">
        <v>1104</v>
      </c>
      <c r="K337" s="19" t="s">
        <v>6</v>
      </c>
      <c r="L337" s="19" t="s">
        <v>1095</v>
      </c>
      <c r="M337" s="19" t="s">
        <v>1095</v>
      </c>
      <c r="N337" s="19" t="s">
        <v>1698</v>
      </c>
      <c r="R337" t="s">
        <v>1097</v>
      </c>
    </row>
    <row r="338" spans="1:18" hidden="1" x14ac:dyDescent="0.3">
      <c r="A338" s="19">
        <f t="shared" si="5"/>
        <v>337</v>
      </c>
      <c r="B338" s="20" t="s">
        <v>87</v>
      </c>
      <c r="C338" s="20" t="s">
        <v>102</v>
      </c>
      <c r="D338" s="21" t="str">
        <f>IF($C338="","",IFERROR(VLOOKUP($C338,Map_Register!$A$2:$C$5,3,FALSE()),""))</f>
        <v>Toponym Labels</v>
      </c>
      <c r="E338" s="20" t="s">
        <v>15</v>
      </c>
      <c r="F338" s="22">
        <v>721407</v>
      </c>
      <c r="G338" s="19" t="s">
        <v>1136</v>
      </c>
      <c r="H338" s="19" t="s">
        <v>1699</v>
      </c>
      <c r="I338" s="19" t="s">
        <v>1700</v>
      </c>
      <c r="J338" s="19" t="s">
        <v>1094</v>
      </c>
      <c r="K338" s="19" t="s">
        <v>6</v>
      </c>
      <c r="L338" s="19" t="s">
        <v>1095</v>
      </c>
      <c r="M338" s="19" t="s">
        <v>1095</v>
      </c>
      <c r="N338" s="19" t="s">
        <v>1105</v>
      </c>
      <c r="R338" t="s">
        <v>1097</v>
      </c>
    </row>
    <row r="339" spans="1:18" hidden="1" x14ac:dyDescent="0.3">
      <c r="A339" s="19">
        <f t="shared" si="5"/>
        <v>338</v>
      </c>
      <c r="B339" s="20" t="s">
        <v>87</v>
      </c>
      <c r="C339" s="20" t="s">
        <v>102</v>
      </c>
      <c r="D339" s="21" t="str">
        <f>IF($C339="","",IFERROR(VLOOKUP($C339,Map_Register!$A$2:$C$5,3,FALSE()),""))</f>
        <v>Toponym Labels</v>
      </c>
      <c r="E339" s="20" t="s">
        <v>15</v>
      </c>
      <c r="F339" s="22">
        <v>721408</v>
      </c>
      <c r="G339" s="19" t="s">
        <v>1125</v>
      </c>
      <c r="H339" s="19" t="s">
        <v>889</v>
      </c>
      <c r="I339" s="19" t="s">
        <v>1701</v>
      </c>
      <c r="J339" s="19" t="s">
        <v>1094</v>
      </c>
      <c r="K339" s="19" t="s">
        <v>6</v>
      </c>
      <c r="L339" s="19" t="s">
        <v>1095</v>
      </c>
      <c r="M339" s="19" t="s">
        <v>1095</v>
      </c>
      <c r="N339" s="19" t="s">
        <v>1105</v>
      </c>
      <c r="R339" t="s">
        <v>1097</v>
      </c>
    </row>
    <row r="340" spans="1:18" hidden="1" x14ac:dyDescent="0.3">
      <c r="A340" s="19">
        <f t="shared" si="5"/>
        <v>339</v>
      </c>
      <c r="B340" s="20" t="s">
        <v>87</v>
      </c>
      <c r="C340" s="20" t="s">
        <v>102</v>
      </c>
      <c r="D340" s="21" t="str">
        <f>IF($C340="","",IFERROR(VLOOKUP($C340,Map_Register!$A$2:$C$5,3,FALSE()),""))</f>
        <v>Toponym Labels</v>
      </c>
      <c r="E340" s="20" t="s">
        <v>15</v>
      </c>
      <c r="F340" s="22">
        <v>721409</v>
      </c>
      <c r="G340" s="19" t="s">
        <v>1091</v>
      </c>
      <c r="H340" s="19" t="s">
        <v>1702</v>
      </c>
      <c r="I340" s="19" t="s">
        <v>1702</v>
      </c>
      <c r="J340" s="19" t="s">
        <v>1110</v>
      </c>
      <c r="K340" s="19" t="s">
        <v>6</v>
      </c>
      <c r="L340" s="19" t="s">
        <v>1095</v>
      </c>
      <c r="M340" s="19" t="s">
        <v>1095</v>
      </c>
      <c r="N340" s="19" t="s">
        <v>1300</v>
      </c>
      <c r="R340" t="s">
        <v>1097</v>
      </c>
    </row>
    <row r="341" spans="1:18" hidden="1" x14ac:dyDescent="0.3">
      <c r="A341" s="19">
        <f t="shared" si="5"/>
        <v>340</v>
      </c>
      <c r="B341" s="20" t="s">
        <v>87</v>
      </c>
      <c r="C341" s="20" t="s">
        <v>102</v>
      </c>
      <c r="D341" s="21" t="str">
        <f>IF($C341="","",IFERROR(VLOOKUP($C341,Map_Register!$A$2:$C$5,3,FALSE()),""))</f>
        <v>Toponym Labels</v>
      </c>
      <c r="E341" s="20" t="s">
        <v>15</v>
      </c>
      <c r="F341" s="22">
        <v>721410</v>
      </c>
      <c r="G341" s="19" t="s">
        <v>1091</v>
      </c>
      <c r="H341" s="19" t="s">
        <v>1653</v>
      </c>
      <c r="I341" s="19" t="s">
        <v>1653</v>
      </c>
      <c r="J341" s="19" t="s">
        <v>1110</v>
      </c>
      <c r="K341" t="s">
        <v>1100</v>
      </c>
      <c r="L341" t="s">
        <v>114</v>
      </c>
      <c r="M341" t="s">
        <v>114</v>
      </c>
      <c r="N341" s="19" t="s">
        <v>530</v>
      </c>
      <c r="O341" s="19" t="s">
        <v>116</v>
      </c>
      <c r="R341" t="s">
        <v>1097</v>
      </c>
    </row>
    <row r="342" spans="1:18" hidden="1" x14ac:dyDescent="0.3">
      <c r="A342" s="19">
        <f t="shared" si="5"/>
        <v>341</v>
      </c>
      <c r="B342" s="20" t="s">
        <v>87</v>
      </c>
      <c r="C342" s="20" t="s">
        <v>102</v>
      </c>
      <c r="D342" s="21" t="str">
        <f>IF($C342="","",IFERROR(VLOOKUP($C342,Map_Register!$A$2:$C$5,3,FALSE()),""))</f>
        <v>Toponym Labels</v>
      </c>
      <c r="E342" s="20" t="s">
        <v>15</v>
      </c>
      <c r="F342" s="22">
        <v>721411</v>
      </c>
      <c r="G342" s="19" t="s">
        <v>1136</v>
      </c>
      <c r="H342" s="19" t="s">
        <v>898</v>
      </c>
      <c r="I342" s="19" t="s">
        <v>1703</v>
      </c>
      <c r="J342" s="19" t="s">
        <v>1094</v>
      </c>
      <c r="K342" s="19" t="s">
        <v>6</v>
      </c>
      <c r="L342" s="19" t="s">
        <v>1095</v>
      </c>
      <c r="M342" s="19" t="s">
        <v>1095</v>
      </c>
      <c r="N342" s="19" t="s">
        <v>1704</v>
      </c>
      <c r="R342" t="s">
        <v>1097</v>
      </c>
    </row>
    <row r="343" spans="1:18" hidden="1" x14ac:dyDescent="0.3">
      <c r="A343" s="19">
        <f t="shared" si="5"/>
        <v>342</v>
      </c>
      <c r="B343" s="20" t="s">
        <v>87</v>
      </c>
      <c r="C343" s="20" t="s">
        <v>102</v>
      </c>
      <c r="D343" s="21" t="str">
        <f>IF($C343="","",IFERROR(VLOOKUP($C343,Map_Register!$A$2:$C$5,3,FALSE()),""))</f>
        <v>Toponym Labels</v>
      </c>
      <c r="E343" s="20" t="s">
        <v>15</v>
      </c>
      <c r="F343" s="22">
        <v>721412</v>
      </c>
      <c r="G343" s="19" t="s">
        <v>1136</v>
      </c>
      <c r="H343" s="19" t="s">
        <v>1705</v>
      </c>
      <c r="I343" s="19" t="s">
        <v>1705</v>
      </c>
      <c r="J343" s="19" t="s">
        <v>1117</v>
      </c>
      <c r="K343" s="19" t="s">
        <v>6</v>
      </c>
      <c r="L343" s="19" t="s">
        <v>1095</v>
      </c>
      <c r="M343" s="19" t="s">
        <v>1095</v>
      </c>
      <c r="N343" s="19" t="s">
        <v>1406</v>
      </c>
      <c r="R343" t="s">
        <v>1097</v>
      </c>
    </row>
    <row r="344" spans="1:18" hidden="1" x14ac:dyDescent="0.3">
      <c r="A344" s="19">
        <f t="shared" si="5"/>
        <v>343</v>
      </c>
      <c r="B344" s="20" t="s">
        <v>87</v>
      </c>
      <c r="C344" s="20" t="s">
        <v>102</v>
      </c>
      <c r="D344" s="21" t="str">
        <f>IF($C344="","",IFERROR(VLOOKUP($C344,Map_Register!$A$2:$C$5,3,FALSE()),""))</f>
        <v>Toponym Labels</v>
      </c>
      <c r="E344" s="20" t="s">
        <v>15</v>
      </c>
      <c r="F344" s="22">
        <v>721413</v>
      </c>
      <c r="G344" s="19" t="s">
        <v>1136</v>
      </c>
      <c r="H344" s="19" t="s">
        <v>1706</v>
      </c>
      <c r="I344" s="19" t="s">
        <v>1707</v>
      </c>
      <c r="J344" s="19" t="s">
        <v>1104</v>
      </c>
      <c r="K344" s="19" t="s">
        <v>6</v>
      </c>
      <c r="L344" s="19" t="s">
        <v>1095</v>
      </c>
      <c r="M344" s="19" t="s">
        <v>1095</v>
      </c>
      <c r="N344" s="19" t="s">
        <v>1105</v>
      </c>
      <c r="R344" t="s">
        <v>1097</v>
      </c>
    </row>
    <row r="345" spans="1:18" hidden="1" x14ac:dyDescent="0.3">
      <c r="A345" s="19">
        <f t="shared" si="5"/>
        <v>344</v>
      </c>
      <c r="B345" s="20" t="s">
        <v>87</v>
      </c>
      <c r="C345" s="20" t="s">
        <v>102</v>
      </c>
      <c r="D345" s="21" t="str">
        <f>IF($C345="","",IFERROR(VLOOKUP($C345,Map_Register!$A$2:$C$5,3,FALSE()),""))</f>
        <v>Toponym Labels</v>
      </c>
      <c r="E345" s="20" t="s">
        <v>15</v>
      </c>
      <c r="F345" s="22">
        <v>721414</v>
      </c>
      <c r="G345" s="19" t="s">
        <v>1136</v>
      </c>
      <c r="H345" s="19" t="s">
        <v>1708</v>
      </c>
      <c r="I345" s="19" t="s">
        <v>1709</v>
      </c>
      <c r="J345" s="19" t="s">
        <v>1094</v>
      </c>
      <c r="K345" s="19" t="s">
        <v>6</v>
      </c>
      <c r="L345" s="19" t="s">
        <v>1095</v>
      </c>
      <c r="M345" s="19" t="s">
        <v>1095</v>
      </c>
      <c r="N345" s="19" t="s">
        <v>1710</v>
      </c>
      <c r="R345" t="s">
        <v>1097</v>
      </c>
    </row>
    <row r="346" spans="1:18" hidden="1" x14ac:dyDescent="0.3">
      <c r="A346" s="19">
        <f t="shared" si="5"/>
        <v>345</v>
      </c>
      <c r="B346" s="20" t="s">
        <v>87</v>
      </c>
      <c r="C346" s="20" t="s">
        <v>102</v>
      </c>
      <c r="D346" s="21" t="str">
        <f>IF($C346="","",IFERROR(VLOOKUP($C346,Map_Register!$A$2:$C$5,3,FALSE()),""))</f>
        <v>Toponym Labels</v>
      </c>
      <c r="E346" s="20" t="s">
        <v>15</v>
      </c>
      <c r="F346" s="22">
        <v>721415</v>
      </c>
      <c r="G346" s="19" t="s">
        <v>1136</v>
      </c>
      <c r="H346" s="19" t="s">
        <v>1711</v>
      </c>
      <c r="I346" s="19" t="s">
        <v>1711</v>
      </c>
      <c r="J346" s="19" t="s">
        <v>1110</v>
      </c>
      <c r="K346" s="19" t="s">
        <v>6</v>
      </c>
      <c r="L346" s="19" t="s">
        <v>1095</v>
      </c>
      <c r="M346" s="19" t="s">
        <v>1095</v>
      </c>
      <c r="N346" s="19" t="s">
        <v>1406</v>
      </c>
      <c r="R346" t="s">
        <v>1097</v>
      </c>
    </row>
    <row r="347" spans="1:18" hidden="1" x14ac:dyDescent="0.3">
      <c r="A347" s="19">
        <f t="shared" si="5"/>
        <v>346</v>
      </c>
      <c r="B347" s="20" t="s">
        <v>87</v>
      </c>
      <c r="C347" s="20" t="s">
        <v>102</v>
      </c>
      <c r="D347" s="21" t="str">
        <f>IF($C347="","",IFERROR(VLOOKUP($C347,Map_Register!$A$2:$C$5,3,FALSE()),""))</f>
        <v>Toponym Labels</v>
      </c>
      <c r="E347" s="20" t="s">
        <v>15</v>
      </c>
      <c r="F347" s="22">
        <v>721416</v>
      </c>
      <c r="G347" s="19" t="s">
        <v>1136</v>
      </c>
      <c r="H347" s="19" t="s">
        <v>1712</v>
      </c>
      <c r="I347" s="19" t="s">
        <v>1713</v>
      </c>
      <c r="J347" s="19" t="s">
        <v>1714</v>
      </c>
      <c r="K347" s="19" t="s">
        <v>6</v>
      </c>
      <c r="L347" s="19" t="s">
        <v>1095</v>
      </c>
      <c r="M347" s="19" t="s">
        <v>1095</v>
      </c>
      <c r="N347" s="19" t="s">
        <v>1715</v>
      </c>
      <c r="R347" t="s">
        <v>1097</v>
      </c>
    </row>
    <row r="348" spans="1:18" hidden="1" x14ac:dyDescent="0.3">
      <c r="A348" s="19">
        <f t="shared" si="5"/>
        <v>347</v>
      </c>
      <c r="B348" s="20" t="s">
        <v>87</v>
      </c>
      <c r="C348" s="20" t="s">
        <v>102</v>
      </c>
      <c r="D348" s="21" t="str">
        <f>IF($C348="","",IFERROR(VLOOKUP($C348,Map_Register!$A$2:$C$5,3,FALSE()),""))</f>
        <v>Toponym Labels</v>
      </c>
      <c r="E348" s="20" t="s">
        <v>15</v>
      </c>
      <c r="F348" s="22">
        <v>721417</v>
      </c>
      <c r="G348" s="19" t="s">
        <v>1136</v>
      </c>
      <c r="H348" s="19" t="s">
        <v>1716</v>
      </c>
      <c r="I348" s="19" t="s">
        <v>1716</v>
      </c>
      <c r="J348" s="19" t="s">
        <v>1110</v>
      </c>
      <c r="K348" t="s">
        <v>1100</v>
      </c>
      <c r="L348" t="s">
        <v>114</v>
      </c>
      <c r="M348" t="s">
        <v>114</v>
      </c>
      <c r="N348" s="19" t="s">
        <v>530</v>
      </c>
      <c r="O348" s="19" t="s">
        <v>116</v>
      </c>
      <c r="R348" t="s">
        <v>1097</v>
      </c>
    </row>
    <row r="349" spans="1:18" hidden="1" x14ac:dyDescent="0.3">
      <c r="A349" s="19">
        <f t="shared" si="5"/>
        <v>348</v>
      </c>
      <c r="B349" s="20" t="s">
        <v>87</v>
      </c>
      <c r="C349" s="20" t="s">
        <v>102</v>
      </c>
      <c r="D349" s="21" t="str">
        <f>IF($C349="","",IFERROR(VLOOKUP($C349,Map_Register!$A$2:$C$5,3,FALSE()),""))</f>
        <v>Toponym Labels</v>
      </c>
      <c r="E349" s="20" t="s">
        <v>15</v>
      </c>
      <c r="F349" s="22">
        <v>721418</v>
      </c>
      <c r="G349" s="19" t="s">
        <v>1136</v>
      </c>
      <c r="H349" s="19" t="s">
        <v>1717</v>
      </c>
      <c r="I349" s="19" t="s">
        <v>1717</v>
      </c>
      <c r="J349" s="19" t="s">
        <v>1110</v>
      </c>
      <c r="K349" t="s">
        <v>1100</v>
      </c>
      <c r="L349" t="s">
        <v>114</v>
      </c>
      <c r="M349" t="s">
        <v>114</v>
      </c>
      <c r="N349" s="19" t="s">
        <v>530</v>
      </c>
      <c r="O349" s="19" t="s">
        <v>116</v>
      </c>
      <c r="R349" t="s">
        <v>1097</v>
      </c>
    </row>
    <row r="350" spans="1:18" hidden="1" x14ac:dyDescent="0.3">
      <c r="A350" s="19">
        <f t="shared" si="5"/>
        <v>349</v>
      </c>
      <c r="B350" s="20" t="s">
        <v>87</v>
      </c>
      <c r="C350" s="20" t="s">
        <v>102</v>
      </c>
      <c r="D350" s="21" t="str">
        <f>IF($C350="","",IFERROR(VLOOKUP($C350,Map_Register!$A$2:$C$5,3,FALSE()),""))</f>
        <v>Toponym Labels</v>
      </c>
      <c r="E350" s="20" t="s">
        <v>15</v>
      </c>
      <c r="F350" s="22">
        <v>721419</v>
      </c>
      <c r="G350" s="19" t="s">
        <v>1136</v>
      </c>
      <c r="H350" s="19" t="s">
        <v>1718</v>
      </c>
      <c r="I350" s="19" t="s">
        <v>1718</v>
      </c>
      <c r="J350" s="19" t="s">
        <v>1110</v>
      </c>
      <c r="K350" t="s">
        <v>1100</v>
      </c>
      <c r="L350" t="s">
        <v>114</v>
      </c>
      <c r="M350" t="s">
        <v>114</v>
      </c>
      <c r="N350" s="19" t="s">
        <v>530</v>
      </c>
      <c r="O350" s="19" t="s">
        <v>116</v>
      </c>
      <c r="R350" t="s">
        <v>1097</v>
      </c>
    </row>
    <row r="351" spans="1:18" hidden="1" x14ac:dyDescent="0.3">
      <c r="A351" s="19">
        <f t="shared" si="5"/>
        <v>350</v>
      </c>
      <c r="B351" s="20" t="s">
        <v>87</v>
      </c>
      <c r="C351" s="20" t="s">
        <v>102</v>
      </c>
      <c r="D351" s="21" t="str">
        <f>IF($C351="","",IFERROR(VLOOKUP($C351,Map_Register!$A$2:$C$5,3,FALSE()),""))</f>
        <v>Toponym Labels</v>
      </c>
      <c r="E351" s="20" t="s">
        <v>15</v>
      </c>
      <c r="F351" s="22">
        <v>721420</v>
      </c>
      <c r="G351" s="19" t="s">
        <v>1136</v>
      </c>
      <c r="H351" s="19" t="s">
        <v>1719</v>
      </c>
      <c r="I351" s="19" t="s">
        <v>1720</v>
      </c>
      <c r="J351" s="19" t="s">
        <v>1428</v>
      </c>
      <c r="K351" s="19" t="s">
        <v>6</v>
      </c>
      <c r="L351" s="19" t="s">
        <v>1095</v>
      </c>
      <c r="M351" s="19" t="s">
        <v>1095</v>
      </c>
      <c r="N351" s="19" t="s">
        <v>1721</v>
      </c>
      <c r="R351" t="s">
        <v>1097</v>
      </c>
    </row>
    <row r="352" spans="1:18" hidden="1" x14ac:dyDescent="0.3">
      <c r="A352" s="19">
        <f t="shared" si="5"/>
        <v>351</v>
      </c>
      <c r="B352" s="20" t="s">
        <v>87</v>
      </c>
      <c r="C352" s="20" t="s">
        <v>102</v>
      </c>
      <c r="D352" s="21" t="str">
        <f>IF($C352="","",IFERROR(VLOOKUP($C352,Map_Register!$A$2:$C$5,3,FALSE()),""))</f>
        <v>Toponym Labels</v>
      </c>
      <c r="E352" s="20" t="s">
        <v>15</v>
      </c>
      <c r="F352" s="22">
        <v>721421</v>
      </c>
      <c r="G352" s="19" t="s">
        <v>1163</v>
      </c>
      <c r="H352" s="19" t="s">
        <v>1722</v>
      </c>
      <c r="I352" s="19" t="s">
        <v>1723</v>
      </c>
      <c r="J352" s="19" t="s">
        <v>1094</v>
      </c>
      <c r="K352" s="19" t="s">
        <v>6</v>
      </c>
      <c r="L352" s="19" t="s">
        <v>1095</v>
      </c>
      <c r="M352" s="19" t="s">
        <v>1095</v>
      </c>
      <c r="N352" s="19" t="s">
        <v>1105</v>
      </c>
      <c r="R352" t="s">
        <v>1097</v>
      </c>
    </row>
    <row r="353" spans="1:18" hidden="1" x14ac:dyDescent="0.3">
      <c r="A353" s="19">
        <f t="shared" si="5"/>
        <v>352</v>
      </c>
      <c r="B353" s="20" t="s">
        <v>87</v>
      </c>
      <c r="C353" s="20" t="s">
        <v>102</v>
      </c>
      <c r="D353" s="21" t="str">
        <f>IF($C353="","",IFERROR(VLOOKUP($C353,Map_Register!$A$2:$C$5,3,FALSE()),""))</f>
        <v>Toponym Labels</v>
      </c>
      <c r="E353" s="20" t="s">
        <v>15</v>
      </c>
      <c r="F353" s="22">
        <v>721422</v>
      </c>
      <c r="G353" s="19" t="s">
        <v>1163</v>
      </c>
      <c r="H353" s="19" t="s">
        <v>1724</v>
      </c>
      <c r="I353" s="19" t="s">
        <v>1725</v>
      </c>
      <c r="J353" s="19" t="s">
        <v>1104</v>
      </c>
      <c r="K353" s="19" t="s">
        <v>6</v>
      </c>
      <c r="L353" s="19" t="s">
        <v>1095</v>
      </c>
      <c r="M353" s="19" t="s">
        <v>1095</v>
      </c>
      <c r="N353" s="19" t="s">
        <v>1105</v>
      </c>
      <c r="R353" t="s">
        <v>1097</v>
      </c>
    </row>
    <row r="354" spans="1:18" hidden="1" x14ac:dyDescent="0.3">
      <c r="A354" s="19">
        <f t="shared" si="5"/>
        <v>353</v>
      </c>
      <c r="B354" s="20" t="s">
        <v>87</v>
      </c>
      <c r="C354" s="20" t="s">
        <v>102</v>
      </c>
      <c r="D354" s="21" t="str">
        <f>IF($C354="","",IFERROR(VLOOKUP($C354,Map_Register!$A$2:$C$5,3,FALSE()),""))</f>
        <v>Toponym Labels</v>
      </c>
      <c r="E354" s="20" t="s">
        <v>15</v>
      </c>
      <c r="F354" s="22">
        <v>721423</v>
      </c>
      <c r="G354" s="19" t="s">
        <v>1163</v>
      </c>
      <c r="H354" s="19" t="s">
        <v>1726</v>
      </c>
      <c r="I354" s="19" t="s">
        <v>1726</v>
      </c>
      <c r="J354" s="19" t="s">
        <v>1110</v>
      </c>
      <c r="K354" s="19" t="s">
        <v>6</v>
      </c>
      <c r="L354" s="19" t="s">
        <v>1095</v>
      </c>
      <c r="M354" s="19" t="s">
        <v>1095</v>
      </c>
      <c r="N354" s="19" t="s">
        <v>1627</v>
      </c>
      <c r="R354" t="s">
        <v>1097</v>
      </c>
    </row>
    <row r="355" spans="1:18" x14ac:dyDescent="0.3">
      <c r="A355" s="19">
        <f t="shared" si="5"/>
        <v>354</v>
      </c>
      <c r="B355" s="20" t="s">
        <v>87</v>
      </c>
      <c r="C355" s="20" t="s">
        <v>102</v>
      </c>
      <c r="D355" s="21" t="str">
        <f>IF($C355="","",IFERROR(VLOOKUP($C355,Map_Register!$A$2:$C$5,3,FALSE()),""))</f>
        <v>Toponym Labels</v>
      </c>
      <c r="E355" s="20" t="s">
        <v>15</v>
      </c>
      <c r="F355" s="22">
        <v>721424</v>
      </c>
      <c r="G355" s="19" t="s">
        <v>1179</v>
      </c>
      <c r="H355" s="19" t="s">
        <v>1727</v>
      </c>
      <c r="I355" s="19" t="s">
        <v>1727</v>
      </c>
      <c r="J355" s="19" t="s">
        <v>1110</v>
      </c>
      <c r="K355" t="s">
        <v>1100</v>
      </c>
      <c r="L355" t="s">
        <v>114</v>
      </c>
      <c r="M355" t="s">
        <v>116</v>
      </c>
      <c r="N355" s="19" t="s">
        <v>1512</v>
      </c>
      <c r="O355" s="19" t="s">
        <v>116</v>
      </c>
      <c r="R355" t="s">
        <v>1097</v>
      </c>
    </row>
    <row r="356" spans="1:18" x14ac:dyDescent="0.3">
      <c r="A356" s="19">
        <f t="shared" si="5"/>
        <v>355</v>
      </c>
      <c r="B356" s="20" t="s">
        <v>87</v>
      </c>
      <c r="C356" s="20" t="s">
        <v>102</v>
      </c>
      <c r="D356" s="21" t="str">
        <f>IF($C356="","",IFERROR(VLOOKUP($C356,Map_Register!$A$2:$C$5,3,FALSE()),""))</f>
        <v>Toponym Labels</v>
      </c>
      <c r="E356" s="20" t="s">
        <v>15</v>
      </c>
      <c r="F356" s="22">
        <v>721425</v>
      </c>
      <c r="G356" s="19" t="s">
        <v>1179</v>
      </c>
      <c r="H356" s="19" t="s">
        <v>1193</v>
      </c>
      <c r="I356" s="19" t="s">
        <v>1194</v>
      </c>
      <c r="J356" s="19" t="s">
        <v>1094</v>
      </c>
      <c r="K356" t="s">
        <v>1100</v>
      </c>
      <c r="L356" t="s">
        <v>114</v>
      </c>
      <c r="M356" t="s">
        <v>116</v>
      </c>
      <c r="N356" s="19" t="s">
        <v>1512</v>
      </c>
      <c r="O356" s="19" t="s">
        <v>116</v>
      </c>
      <c r="R356" t="s">
        <v>1097</v>
      </c>
    </row>
    <row r="357" spans="1:18" x14ac:dyDescent="0.3">
      <c r="A357" s="19">
        <f t="shared" si="5"/>
        <v>356</v>
      </c>
      <c r="B357" s="20" t="s">
        <v>87</v>
      </c>
      <c r="C357" s="20" t="s">
        <v>102</v>
      </c>
      <c r="D357" s="21" t="str">
        <f>IF($C357="","",IFERROR(VLOOKUP($C357,Map_Register!$A$2:$C$5,3,FALSE()),""))</f>
        <v>Toponym Labels</v>
      </c>
      <c r="E357" s="20" t="s">
        <v>15</v>
      </c>
      <c r="F357" s="22">
        <v>721426</v>
      </c>
      <c r="G357" s="19" t="s">
        <v>1179</v>
      </c>
      <c r="H357" s="19" t="s">
        <v>1728</v>
      </c>
      <c r="I357" s="19" t="s">
        <v>1728</v>
      </c>
      <c r="J357" s="19" t="s">
        <v>1110</v>
      </c>
      <c r="K357" t="s">
        <v>1100</v>
      </c>
      <c r="L357" t="s">
        <v>114</v>
      </c>
      <c r="M357" t="s">
        <v>116</v>
      </c>
      <c r="N357" s="19" t="s">
        <v>1512</v>
      </c>
      <c r="O357" s="19" t="s">
        <v>116</v>
      </c>
      <c r="R357" t="s">
        <v>1097</v>
      </c>
    </row>
    <row r="358" spans="1:18" hidden="1" x14ac:dyDescent="0.3">
      <c r="A358" s="19">
        <f t="shared" si="5"/>
        <v>357</v>
      </c>
      <c r="B358" s="20" t="s">
        <v>87</v>
      </c>
      <c r="C358" s="20" t="s">
        <v>102</v>
      </c>
      <c r="D358" s="21" t="str">
        <f>IF($C358="","",IFERROR(VLOOKUP($C358,Map_Register!$A$2:$C$5,3,FALSE()),""))</f>
        <v>Toponym Labels</v>
      </c>
      <c r="E358" s="20" t="s">
        <v>15</v>
      </c>
      <c r="F358" s="22">
        <v>721427</v>
      </c>
      <c r="G358" s="19" t="s">
        <v>1179</v>
      </c>
      <c r="H358" s="19" t="s">
        <v>1729</v>
      </c>
      <c r="I358" s="19" t="s">
        <v>1730</v>
      </c>
      <c r="J358" s="19" t="s">
        <v>1104</v>
      </c>
      <c r="K358" s="19" t="s">
        <v>6</v>
      </c>
      <c r="L358" s="19" t="s">
        <v>1095</v>
      </c>
      <c r="M358" s="19" t="s">
        <v>1095</v>
      </c>
      <c r="N358" s="19" t="s">
        <v>1105</v>
      </c>
      <c r="R358" t="s">
        <v>1097</v>
      </c>
    </row>
    <row r="359" spans="1:18" x14ac:dyDescent="0.3">
      <c r="A359" s="19">
        <f t="shared" si="5"/>
        <v>358</v>
      </c>
      <c r="B359" s="20" t="s">
        <v>87</v>
      </c>
      <c r="C359" s="20" t="s">
        <v>102</v>
      </c>
      <c r="D359" s="21" t="str">
        <f>IF($C359="","",IFERROR(VLOOKUP($C359,Map_Register!$A$2:$C$5,3,FALSE()),""))</f>
        <v>Toponym Labels</v>
      </c>
      <c r="E359" s="20" t="s">
        <v>15</v>
      </c>
      <c r="F359" s="22">
        <v>721428</v>
      </c>
      <c r="G359" s="19" t="s">
        <v>1179</v>
      </c>
      <c r="H359" s="19" t="s">
        <v>1731</v>
      </c>
      <c r="I359" s="19" t="s">
        <v>1731</v>
      </c>
      <c r="J359" s="19" t="s">
        <v>1110</v>
      </c>
      <c r="K359" t="s">
        <v>1100</v>
      </c>
      <c r="L359" t="s">
        <v>114</v>
      </c>
      <c r="M359" t="s">
        <v>116</v>
      </c>
      <c r="N359" s="19" t="s">
        <v>1512</v>
      </c>
      <c r="O359" s="19" t="s">
        <v>116</v>
      </c>
      <c r="R359" t="s">
        <v>1097</v>
      </c>
    </row>
    <row r="360" spans="1:18" hidden="1" x14ac:dyDescent="0.3">
      <c r="A360" s="19">
        <f t="shared" si="5"/>
        <v>359</v>
      </c>
      <c r="B360" s="20" t="s">
        <v>87</v>
      </c>
      <c r="C360" s="20" t="s">
        <v>102</v>
      </c>
      <c r="D360" s="21" t="str">
        <f>IF($C360="","",IFERROR(VLOOKUP($C360,Map_Register!$A$2:$C$5,3,FALSE()),""))</f>
        <v>Toponym Labels</v>
      </c>
      <c r="E360" s="20" t="s">
        <v>15</v>
      </c>
      <c r="F360" s="22">
        <v>721429</v>
      </c>
      <c r="G360" s="19" t="s">
        <v>1179</v>
      </c>
      <c r="H360" s="19" t="s">
        <v>1732</v>
      </c>
      <c r="I360" s="19" t="s">
        <v>1733</v>
      </c>
      <c r="J360" s="19" t="s">
        <v>1094</v>
      </c>
      <c r="K360" s="19" t="s">
        <v>6</v>
      </c>
      <c r="L360" s="19" t="s">
        <v>1095</v>
      </c>
      <c r="M360" s="19" t="s">
        <v>1095</v>
      </c>
      <c r="N360" s="19" t="s">
        <v>1105</v>
      </c>
      <c r="R360" t="s">
        <v>1097</v>
      </c>
    </row>
    <row r="361" spans="1:18" hidden="1" x14ac:dyDescent="0.3">
      <c r="A361" s="19">
        <f t="shared" si="5"/>
        <v>360</v>
      </c>
      <c r="B361" s="20" t="s">
        <v>87</v>
      </c>
      <c r="C361" s="20" t="s">
        <v>102</v>
      </c>
      <c r="D361" s="21" t="str">
        <f>IF($C361="","",IFERROR(VLOOKUP($C361,Map_Register!$A$2:$C$5,3,FALSE()),""))</f>
        <v>Toponym Labels</v>
      </c>
      <c r="E361" s="20" t="s">
        <v>15</v>
      </c>
      <c r="F361" s="22">
        <v>721430</v>
      </c>
      <c r="G361" s="19" t="s">
        <v>1179</v>
      </c>
      <c r="H361" s="19" t="s">
        <v>1734</v>
      </c>
      <c r="I361" s="19" t="s">
        <v>1735</v>
      </c>
      <c r="J361" s="19" t="s">
        <v>1094</v>
      </c>
      <c r="K361" t="s">
        <v>1100</v>
      </c>
      <c r="L361" t="s">
        <v>114</v>
      </c>
      <c r="M361" t="s">
        <v>114</v>
      </c>
      <c r="N361" s="19" t="s">
        <v>1184</v>
      </c>
      <c r="O361" s="19" t="s">
        <v>116</v>
      </c>
      <c r="R361" t="s">
        <v>1097</v>
      </c>
    </row>
    <row r="362" spans="1:18" hidden="1" x14ac:dyDescent="0.3">
      <c r="A362" s="19">
        <f t="shared" si="5"/>
        <v>361</v>
      </c>
      <c r="B362" s="20" t="s">
        <v>87</v>
      </c>
      <c r="C362" s="20" t="s">
        <v>102</v>
      </c>
      <c r="D362" s="21" t="str">
        <f>IF($C362="","",IFERROR(VLOOKUP($C362,Map_Register!$A$2:$C$5,3,FALSE()),""))</f>
        <v>Toponym Labels</v>
      </c>
      <c r="E362" s="20" t="s">
        <v>15</v>
      </c>
      <c r="F362" s="22">
        <v>721431</v>
      </c>
      <c r="G362" s="19" t="s">
        <v>1179</v>
      </c>
      <c r="H362" s="19" t="s">
        <v>1736</v>
      </c>
      <c r="I362" s="19" t="s">
        <v>1737</v>
      </c>
      <c r="J362" s="19" t="s">
        <v>1094</v>
      </c>
      <c r="K362" t="s">
        <v>1100</v>
      </c>
      <c r="L362" t="s">
        <v>114</v>
      </c>
      <c r="M362" t="s">
        <v>114</v>
      </c>
      <c r="N362" s="19" t="s">
        <v>1184</v>
      </c>
      <c r="O362" s="19" t="s">
        <v>116</v>
      </c>
      <c r="R362" t="s">
        <v>1097</v>
      </c>
    </row>
    <row r="363" spans="1:18" hidden="1" x14ac:dyDescent="0.3">
      <c r="A363" s="19">
        <f t="shared" si="5"/>
        <v>362</v>
      </c>
      <c r="B363" s="20" t="s">
        <v>87</v>
      </c>
      <c r="C363" s="20" t="s">
        <v>102</v>
      </c>
      <c r="D363" s="21" t="str">
        <f>IF($C363="","",IFERROR(VLOOKUP($C363,Map_Register!$A$2:$C$5,3,FALSE()),""))</f>
        <v>Toponym Labels</v>
      </c>
      <c r="E363" s="20" t="s">
        <v>15</v>
      </c>
      <c r="F363" s="22">
        <v>721432</v>
      </c>
      <c r="G363" s="19" t="s">
        <v>1179</v>
      </c>
      <c r="H363" s="19" t="s">
        <v>1738</v>
      </c>
      <c r="I363" s="19" t="s">
        <v>1739</v>
      </c>
      <c r="J363" s="19" t="s">
        <v>1094</v>
      </c>
      <c r="K363" t="s">
        <v>1100</v>
      </c>
      <c r="L363" t="s">
        <v>114</v>
      </c>
      <c r="M363" t="s">
        <v>114</v>
      </c>
      <c r="N363" s="19" t="s">
        <v>1184</v>
      </c>
      <c r="O363" s="19" t="s">
        <v>116</v>
      </c>
      <c r="R363" t="s">
        <v>1097</v>
      </c>
    </row>
    <row r="364" spans="1:18" x14ac:dyDescent="0.3">
      <c r="A364" s="19">
        <f t="shared" si="5"/>
        <v>363</v>
      </c>
      <c r="B364" s="20" t="s">
        <v>87</v>
      </c>
      <c r="C364" s="20" t="s">
        <v>102</v>
      </c>
      <c r="D364" s="21" t="str">
        <f>IF($C364="","",IFERROR(VLOOKUP($C364,Map_Register!$A$2:$C$5,3,FALSE()),""))</f>
        <v>Toponym Labels</v>
      </c>
      <c r="E364" s="20" t="s">
        <v>15</v>
      </c>
      <c r="F364" s="22">
        <v>721433</v>
      </c>
      <c r="G364" s="19" t="s">
        <v>1179</v>
      </c>
      <c r="H364" s="19" t="s">
        <v>1740</v>
      </c>
      <c r="I364" s="19" t="s">
        <v>1740</v>
      </c>
      <c r="J364" s="19" t="s">
        <v>1117</v>
      </c>
      <c r="K364" t="s">
        <v>1100</v>
      </c>
      <c r="L364" t="s">
        <v>114</v>
      </c>
      <c r="M364" t="s">
        <v>116</v>
      </c>
      <c r="N364" s="19" t="s">
        <v>1741</v>
      </c>
      <c r="O364" s="19" t="s">
        <v>116</v>
      </c>
      <c r="R364" t="s">
        <v>1097</v>
      </c>
    </row>
    <row r="365" spans="1:18" hidden="1" x14ac:dyDescent="0.3">
      <c r="A365" s="19">
        <f t="shared" si="5"/>
        <v>364</v>
      </c>
      <c r="B365" s="20" t="s">
        <v>87</v>
      </c>
      <c r="C365" s="20" t="s">
        <v>102</v>
      </c>
      <c r="D365" s="21" t="str">
        <f>IF($C365="","",IFERROR(VLOOKUP($C365,Map_Register!$A$2:$C$5,3,FALSE()),""))</f>
        <v>Toponym Labels</v>
      </c>
      <c r="E365" s="20" t="s">
        <v>15</v>
      </c>
      <c r="F365" s="22">
        <v>721434</v>
      </c>
      <c r="G365" s="19" t="s">
        <v>1179</v>
      </c>
      <c r="H365" s="19" t="s">
        <v>1742</v>
      </c>
      <c r="I365" s="19" t="s">
        <v>1743</v>
      </c>
      <c r="J365" s="19" t="s">
        <v>1094</v>
      </c>
      <c r="K365" s="19" t="s">
        <v>6</v>
      </c>
      <c r="L365" s="19" t="s">
        <v>1095</v>
      </c>
      <c r="M365" s="19" t="s">
        <v>1095</v>
      </c>
      <c r="N365" s="19" t="s">
        <v>1105</v>
      </c>
      <c r="R365" t="s">
        <v>1097</v>
      </c>
    </row>
    <row r="366" spans="1:18" hidden="1" x14ac:dyDescent="0.3">
      <c r="A366" s="19">
        <f t="shared" si="5"/>
        <v>365</v>
      </c>
      <c r="B366" s="20" t="s">
        <v>87</v>
      </c>
      <c r="C366" s="20" t="s">
        <v>102</v>
      </c>
      <c r="D366" s="21" t="str">
        <f>IF($C366="","",IFERROR(VLOOKUP($C366,Map_Register!$A$2:$C$5,3,FALSE()),""))</f>
        <v>Toponym Labels</v>
      </c>
      <c r="E366" s="20" t="s">
        <v>15</v>
      </c>
      <c r="F366" s="22">
        <v>721435</v>
      </c>
      <c r="G366" s="19" t="s">
        <v>1179</v>
      </c>
      <c r="H366" s="19" t="s">
        <v>1744</v>
      </c>
      <c r="I366" s="19" t="s">
        <v>1745</v>
      </c>
      <c r="J366" s="19" t="s">
        <v>1104</v>
      </c>
      <c r="K366" t="s">
        <v>1100</v>
      </c>
      <c r="L366" t="s">
        <v>114</v>
      </c>
      <c r="M366" t="s">
        <v>114</v>
      </c>
      <c r="N366" s="19" t="s">
        <v>1184</v>
      </c>
      <c r="O366" s="19" t="s">
        <v>116</v>
      </c>
      <c r="R366" t="s">
        <v>1097</v>
      </c>
    </row>
    <row r="367" spans="1:18" hidden="1" x14ac:dyDescent="0.3">
      <c r="A367" s="19">
        <f t="shared" si="5"/>
        <v>366</v>
      </c>
      <c r="B367" s="20" t="s">
        <v>87</v>
      </c>
      <c r="C367" s="20" t="s">
        <v>102</v>
      </c>
      <c r="D367" s="21" t="str">
        <f>IF($C367="","",IFERROR(VLOOKUP($C367,Map_Register!$A$2:$C$5,3,FALSE()),""))</f>
        <v>Toponym Labels</v>
      </c>
      <c r="E367" s="20" t="s">
        <v>15</v>
      </c>
      <c r="F367" s="22">
        <v>721436</v>
      </c>
      <c r="G367" s="19" t="s">
        <v>1179</v>
      </c>
      <c r="H367" s="19" t="s">
        <v>1746</v>
      </c>
      <c r="I367" s="19" t="s">
        <v>1746</v>
      </c>
      <c r="J367" s="19" t="s">
        <v>1117</v>
      </c>
      <c r="K367" t="s">
        <v>1100</v>
      </c>
      <c r="L367" t="s">
        <v>114</v>
      </c>
      <c r="M367" t="s">
        <v>114</v>
      </c>
      <c r="N367" s="19" t="s">
        <v>1184</v>
      </c>
      <c r="O367" s="19" t="s">
        <v>116</v>
      </c>
      <c r="R367" t="s">
        <v>1097</v>
      </c>
    </row>
    <row r="368" spans="1:18" x14ac:dyDescent="0.3">
      <c r="A368" s="19">
        <f t="shared" si="5"/>
        <v>367</v>
      </c>
      <c r="B368" s="20" t="s">
        <v>87</v>
      </c>
      <c r="C368" s="20" t="s">
        <v>102</v>
      </c>
      <c r="D368" s="21" t="str">
        <f>IF($C368="","",IFERROR(VLOOKUP($C368,Map_Register!$A$2:$C$5,3,FALSE()),""))</f>
        <v>Toponym Labels</v>
      </c>
      <c r="E368" s="20" t="s">
        <v>15</v>
      </c>
      <c r="F368" s="22">
        <v>721437</v>
      </c>
      <c r="G368" s="19" t="s">
        <v>1179</v>
      </c>
      <c r="H368" s="19" t="s">
        <v>1526</v>
      </c>
      <c r="I368" s="19" t="s">
        <v>1747</v>
      </c>
      <c r="J368" s="19" t="s">
        <v>1104</v>
      </c>
      <c r="K368" t="s">
        <v>1100</v>
      </c>
      <c r="L368" t="s">
        <v>114</v>
      </c>
      <c r="M368" t="s">
        <v>116</v>
      </c>
      <c r="N368" s="19" t="s">
        <v>1741</v>
      </c>
      <c r="O368" s="19" t="s">
        <v>116</v>
      </c>
      <c r="R368" t="s">
        <v>1097</v>
      </c>
    </row>
    <row r="369" spans="1:18" hidden="1" x14ac:dyDescent="0.3">
      <c r="A369" s="19">
        <f t="shared" si="5"/>
        <v>368</v>
      </c>
      <c r="B369" s="20" t="s">
        <v>87</v>
      </c>
      <c r="C369" s="20" t="s">
        <v>102</v>
      </c>
      <c r="D369" s="21" t="str">
        <f>IF($C369="","",IFERROR(VLOOKUP($C369,Map_Register!$A$2:$C$5,3,FALSE()),""))</f>
        <v>Toponym Labels</v>
      </c>
      <c r="E369" s="20" t="s">
        <v>15</v>
      </c>
      <c r="F369" s="22">
        <v>721438</v>
      </c>
      <c r="G369" s="19" t="s">
        <v>1179</v>
      </c>
      <c r="H369" s="19" t="s">
        <v>1748</v>
      </c>
      <c r="I369" s="19" t="s">
        <v>1749</v>
      </c>
      <c r="J369" s="19" t="s">
        <v>1104</v>
      </c>
      <c r="K369" t="s">
        <v>1100</v>
      </c>
      <c r="L369" t="s">
        <v>114</v>
      </c>
      <c r="M369" t="s">
        <v>114</v>
      </c>
      <c r="N369" s="19" t="s">
        <v>1184</v>
      </c>
      <c r="O369" s="19" t="s">
        <v>116</v>
      </c>
      <c r="R369" t="s">
        <v>1097</v>
      </c>
    </row>
    <row r="370" spans="1:18" hidden="1" x14ac:dyDescent="0.3">
      <c r="A370" s="19">
        <f t="shared" si="5"/>
        <v>369</v>
      </c>
      <c r="B370" s="20" t="s">
        <v>87</v>
      </c>
      <c r="C370" s="20" t="s">
        <v>102</v>
      </c>
      <c r="D370" s="21" t="str">
        <f>IF($C370="","",IFERROR(VLOOKUP($C370,Map_Register!$A$2:$C$5,3,FALSE()),""))</f>
        <v>Toponym Labels</v>
      </c>
      <c r="E370" s="20" t="s">
        <v>15</v>
      </c>
      <c r="F370" s="22">
        <v>721439</v>
      </c>
      <c r="G370" s="19" t="s">
        <v>1179</v>
      </c>
      <c r="H370" s="19" t="s">
        <v>1750</v>
      </c>
      <c r="I370" s="19" t="s">
        <v>1750</v>
      </c>
      <c r="J370" s="19" t="s">
        <v>1110</v>
      </c>
      <c r="K370" t="s">
        <v>1100</v>
      </c>
      <c r="L370" s="19" t="s">
        <v>114</v>
      </c>
      <c r="M370" s="19" t="s">
        <v>114</v>
      </c>
      <c r="N370" s="19" t="s">
        <v>1751</v>
      </c>
      <c r="O370" s="19" t="s">
        <v>116</v>
      </c>
      <c r="R370" t="s">
        <v>1097</v>
      </c>
    </row>
    <row r="371" spans="1:18" hidden="1" x14ac:dyDescent="0.3">
      <c r="A371" s="19">
        <f t="shared" si="5"/>
        <v>370</v>
      </c>
      <c r="B371" s="20" t="s">
        <v>87</v>
      </c>
      <c r="C371" s="20" t="s">
        <v>102</v>
      </c>
      <c r="D371" s="21" t="str">
        <f>IF($C371="","",IFERROR(VLOOKUP($C371,Map_Register!$A$2:$C$5,3,FALSE()),""))</f>
        <v>Toponym Labels</v>
      </c>
      <c r="E371" s="20" t="s">
        <v>15</v>
      </c>
      <c r="F371" s="22">
        <v>721440</v>
      </c>
      <c r="G371" s="19" t="s">
        <v>1179</v>
      </c>
      <c r="H371" s="19" t="s">
        <v>1752</v>
      </c>
      <c r="I371" s="19" t="s">
        <v>1753</v>
      </c>
      <c r="J371" s="19" t="s">
        <v>1094</v>
      </c>
      <c r="K371" t="s">
        <v>1100</v>
      </c>
      <c r="L371" t="s">
        <v>114</v>
      </c>
      <c r="M371" t="s">
        <v>114</v>
      </c>
      <c r="N371" s="19" t="s">
        <v>1184</v>
      </c>
      <c r="O371" s="19" t="s">
        <v>116</v>
      </c>
      <c r="R371" t="s">
        <v>1097</v>
      </c>
    </row>
    <row r="372" spans="1:18" hidden="1" x14ac:dyDescent="0.3">
      <c r="A372" s="19">
        <f t="shared" si="5"/>
        <v>371</v>
      </c>
      <c r="B372" s="20" t="s">
        <v>87</v>
      </c>
      <c r="C372" s="20" t="s">
        <v>102</v>
      </c>
      <c r="D372" s="21" t="str">
        <f>IF($C372="","",IFERROR(VLOOKUP($C372,Map_Register!$A$2:$C$5,3,FALSE()),""))</f>
        <v>Toponym Labels</v>
      </c>
      <c r="E372" s="20" t="s">
        <v>15</v>
      </c>
      <c r="F372" s="22">
        <v>721441</v>
      </c>
      <c r="G372" s="19" t="s">
        <v>1179</v>
      </c>
      <c r="H372" s="19" t="s">
        <v>1754</v>
      </c>
      <c r="I372" s="19" t="s">
        <v>1755</v>
      </c>
      <c r="J372" s="19" t="s">
        <v>1094</v>
      </c>
      <c r="K372" s="19" t="s">
        <v>6</v>
      </c>
      <c r="L372" s="19" t="s">
        <v>1095</v>
      </c>
      <c r="M372" s="19" t="s">
        <v>1095</v>
      </c>
      <c r="N372" s="19" t="s">
        <v>1105</v>
      </c>
      <c r="R372" t="s">
        <v>1097</v>
      </c>
    </row>
    <row r="373" spans="1:18" x14ac:dyDescent="0.3">
      <c r="A373" s="19">
        <f t="shared" si="5"/>
        <v>372</v>
      </c>
      <c r="B373" s="20" t="s">
        <v>87</v>
      </c>
      <c r="C373" s="20" t="s">
        <v>102</v>
      </c>
      <c r="D373" s="21" t="str">
        <f>IF($C373="","",IFERROR(VLOOKUP($C373,Map_Register!$A$2:$C$5,3,FALSE()),""))</f>
        <v>Toponym Labels</v>
      </c>
      <c r="E373" s="20" t="s">
        <v>15</v>
      </c>
      <c r="F373" s="22">
        <v>721442</v>
      </c>
      <c r="G373" s="19" t="s">
        <v>1179</v>
      </c>
      <c r="H373" s="19" t="s">
        <v>1756</v>
      </c>
      <c r="I373" s="19" t="s">
        <v>1756</v>
      </c>
      <c r="J373" s="19" t="s">
        <v>1117</v>
      </c>
      <c r="K373" t="s">
        <v>1100</v>
      </c>
      <c r="L373" t="s">
        <v>114</v>
      </c>
      <c r="M373" t="s">
        <v>116</v>
      </c>
      <c r="N373" s="19" t="s">
        <v>1757</v>
      </c>
      <c r="O373" s="19" t="s">
        <v>116</v>
      </c>
      <c r="R373" t="s">
        <v>1097</v>
      </c>
    </row>
    <row r="374" spans="1:18" x14ac:dyDescent="0.3">
      <c r="A374" s="19">
        <f t="shared" si="5"/>
        <v>373</v>
      </c>
      <c r="B374" s="20" t="s">
        <v>87</v>
      </c>
      <c r="C374" s="20" t="s">
        <v>102</v>
      </c>
      <c r="D374" s="21" t="str">
        <f>IF($C374="","",IFERROR(VLOOKUP($C374,Map_Register!$A$2:$C$5,3,FALSE()),""))</f>
        <v>Toponym Labels</v>
      </c>
      <c r="E374" s="20" t="s">
        <v>15</v>
      </c>
      <c r="F374" s="22">
        <v>721443</v>
      </c>
      <c r="G374" s="19" t="s">
        <v>1179</v>
      </c>
      <c r="H374" s="19" t="s">
        <v>1758</v>
      </c>
      <c r="I374" s="19" t="s">
        <v>1759</v>
      </c>
      <c r="J374" s="19" t="s">
        <v>1104</v>
      </c>
      <c r="K374" t="s">
        <v>1100</v>
      </c>
      <c r="L374" t="s">
        <v>114</v>
      </c>
      <c r="M374" t="s">
        <v>116</v>
      </c>
      <c r="N374" s="19" t="s">
        <v>1512</v>
      </c>
      <c r="O374" s="19" t="s">
        <v>116</v>
      </c>
      <c r="R374" t="s">
        <v>1097</v>
      </c>
    </row>
    <row r="375" spans="1:18" hidden="1" x14ac:dyDescent="0.3">
      <c r="A375" s="19">
        <f t="shared" si="5"/>
        <v>374</v>
      </c>
      <c r="B375" s="20" t="s">
        <v>87</v>
      </c>
      <c r="C375" s="20" t="s">
        <v>102</v>
      </c>
      <c r="D375" s="21" t="str">
        <f>IF($C375="","",IFERROR(VLOOKUP($C375,Map_Register!$A$2:$C$5,3,FALSE()),""))</f>
        <v>Toponym Labels</v>
      </c>
      <c r="E375" s="20" t="s">
        <v>15</v>
      </c>
      <c r="F375" s="22">
        <v>721444</v>
      </c>
      <c r="G375" s="19" t="s">
        <v>1179</v>
      </c>
      <c r="H375" s="19" t="s">
        <v>1760</v>
      </c>
      <c r="I375" s="19" t="s">
        <v>1761</v>
      </c>
      <c r="J375" s="19" t="s">
        <v>1094</v>
      </c>
      <c r="K375" t="s">
        <v>1100</v>
      </c>
      <c r="L375" t="s">
        <v>114</v>
      </c>
      <c r="M375" t="s">
        <v>114</v>
      </c>
      <c r="N375" s="19" t="s">
        <v>1762</v>
      </c>
      <c r="O375" s="19" t="s">
        <v>116</v>
      </c>
      <c r="R375" t="s">
        <v>1097</v>
      </c>
    </row>
    <row r="376" spans="1:18" hidden="1" x14ac:dyDescent="0.3">
      <c r="A376" s="19">
        <f t="shared" si="5"/>
        <v>375</v>
      </c>
      <c r="B376" s="20" t="s">
        <v>87</v>
      </c>
      <c r="C376" s="20" t="s">
        <v>102</v>
      </c>
      <c r="D376" s="21" t="str">
        <f>IF($C376="","",IFERROR(VLOOKUP($C376,Map_Register!$A$2:$C$5,3,FALSE()),""))</f>
        <v>Toponym Labels</v>
      </c>
      <c r="E376" s="20" t="s">
        <v>15</v>
      </c>
      <c r="F376" s="22">
        <v>721445</v>
      </c>
      <c r="G376" s="19" t="s">
        <v>1179</v>
      </c>
      <c r="H376" s="19" t="s">
        <v>1763</v>
      </c>
      <c r="I376" s="19" t="s">
        <v>1764</v>
      </c>
      <c r="J376" s="19" t="s">
        <v>1104</v>
      </c>
      <c r="K376" s="19" t="s">
        <v>6</v>
      </c>
      <c r="L376" s="19" t="s">
        <v>1095</v>
      </c>
      <c r="M376" s="19" t="s">
        <v>1095</v>
      </c>
      <c r="N376" s="19" t="s">
        <v>1765</v>
      </c>
      <c r="R376" t="s">
        <v>1097</v>
      </c>
    </row>
    <row r="377" spans="1:18" hidden="1" x14ac:dyDescent="0.3">
      <c r="A377" s="19">
        <f t="shared" si="5"/>
        <v>376</v>
      </c>
      <c r="B377" s="20" t="s">
        <v>87</v>
      </c>
      <c r="C377" s="20" t="s">
        <v>102</v>
      </c>
      <c r="D377" s="21" t="str">
        <f>IF($C377="","",IFERROR(VLOOKUP($C377,Map_Register!$A$2:$C$5,3,FALSE()),""))</f>
        <v>Toponym Labels</v>
      </c>
      <c r="E377" s="20" t="s">
        <v>15</v>
      </c>
      <c r="F377" s="22">
        <v>721446</v>
      </c>
      <c r="G377" s="19" t="s">
        <v>1179</v>
      </c>
      <c r="H377" s="19" t="s">
        <v>1766</v>
      </c>
      <c r="I377" s="19" t="s">
        <v>1767</v>
      </c>
      <c r="J377" s="19" t="s">
        <v>1094</v>
      </c>
      <c r="K377" s="19" t="s">
        <v>6</v>
      </c>
      <c r="L377" s="19" t="s">
        <v>1095</v>
      </c>
      <c r="M377" s="19" t="s">
        <v>1095</v>
      </c>
      <c r="N377" s="19" t="s">
        <v>1105</v>
      </c>
      <c r="R377" t="s">
        <v>1097</v>
      </c>
    </row>
    <row r="378" spans="1:18" hidden="1" x14ac:dyDescent="0.3">
      <c r="A378" s="19">
        <f t="shared" si="5"/>
        <v>377</v>
      </c>
      <c r="B378" s="20" t="s">
        <v>87</v>
      </c>
      <c r="C378" s="20" t="s">
        <v>102</v>
      </c>
      <c r="D378" s="21" t="str">
        <f>IF($C378="","",IFERROR(VLOOKUP($C378,Map_Register!$A$2:$C$5,3,FALSE()),""))</f>
        <v>Toponym Labels</v>
      </c>
      <c r="E378" s="20" t="s">
        <v>15</v>
      </c>
      <c r="F378" s="22">
        <v>721447</v>
      </c>
      <c r="G378" s="19" t="s">
        <v>1179</v>
      </c>
      <c r="H378" s="19" t="s">
        <v>1768</v>
      </c>
      <c r="I378" s="19" t="s">
        <v>1769</v>
      </c>
      <c r="J378" s="19" t="s">
        <v>1094</v>
      </c>
      <c r="K378" s="19" t="s">
        <v>6</v>
      </c>
      <c r="L378" s="19" t="s">
        <v>1095</v>
      </c>
      <c r="M378" s="19" t="s">
        <v>1095</v>
      </c>
      <c r="N378" s="19" t="s">
        <v>1105</v>
      </c>
      <c r="R378" t="s">
        <v>1097</v>
      </c>
    </row>
    <row r="379" spans="1:18" x14ac:dyDescent="0.3">
      <c r="A379" s="19">
        <f t="shared" si="5"/>
        <v>378</v>
      </c>
      <c r="B379" s="20" t="s">
        <v>87</v>
      </c>
      <c r="C379" s="20" t="s">
        <v>102</v>
      </c>
      <c r="D379" s="21" t="str">
        <f>IF($C379="","",IFERROR(VLOOKUP($C379,Map_Register!$A$2:$C$5,3,FALSE()),""))</f>
        <v>Toponym Labels</v>
      </c>
      <c r="E379" s="20" t="s">
        <v>15</v>
      </c>
      <c r="F379" s="22">
        <v>721448</v>
      </c>
      <c r="G379" s="19" t="s">
        <v>1179</v>
      </c>
      <c r="H379" s="19" t="s">
        <v>1770</v>
      </c>
      <c r="I379" s="19" t="s">
        <v>1771</v>
      </c>
      <c r="J379" s="19" t="s">
        <v>1104</v>
      </c>
      <c r="K379" t="s">
        <v>1100</v>
      </c>
      <c r="L379" t="s">
        <v>114</v>
      </c>
      <c r="M379" t="s">
        <v>116</v>
      </c>
      <c r="N379" s="19" t="s">
        <v>1512</v>
      </c>
      <c r="O379" s="19" t="s">
        <v>116</v>
      </c>
      <c r="R379" t="s">
        <v>1097</v>
      </c>
    </row>
    <row r="380" spans="1:18" hidden="1" x14ac:dyDescent="0.3">
      <c r="A380" s="19">
        <f t="shared" si="5"/>
        <v>379</v>
      </c>
      <c r="B380" s="20" t="s">
        <v>87</v>
      </c>
      <c r="C380" s="20" t="s">
        <v>102</v>
      </c>
      <c r="D380" s="21" t="str">
        <f>IF($C380="","",IFERROR(VLOOKUP($C380,Map_Register!$A$2:$C$5,3,FALSE()),""))</f>
        <v>Toponym Labels</v>
      </c>
      <c r="E380" s="20" t="s">
        <v>15</v>
      </c>
      <c r="F380" s="22">
        <v>721449</v>
      </c>
      <c r="G380" s="19" t="s">
        <v>1179</v>
      </c>
      <c r="H380" s="19" t="s">
        <v>1772</v>
      </c>
      <c r="I380" s="19" t="s">
        <v>1772</v>
      </c>
      <c r="J380" s="19" t="s">
        <v>1110</v>
      </c>
      <c r="K380" t="s">
        <v>1100</v>
      </c>
      <c r="L380" t="s">
        <v>114</v>
      </c>
      <c r="M380" t="s">
        <v>114</v>
      </c>
      <c r="N380" s="19" t="s">
        <v>1773</v>
      </c>
      <c r="O380" s="19" t="s">
        <v>116</v>
      </c>
      <c r="R380" t="s">
        <v>1097</v>
      </c>
    </row>
    <row r="381" spans="1:18" x14ac:dyDescent="0.3">
      <c r="A381" s="19">
        <f t="shared" si="5"/>
        <v>380</v>
      </c>
      <c r="B381" s="20" t="s">
        <v>87</v>
      </c>
      <c r="C381" s="20" t="s">
        <v>102</v>
      </c>
      <c r="D381" s="21" t="str">
        <f>IF($C381="","",IFERROR(VLOOKUP($C381,Map_Register!$A$2:$C$5,3,FALSE()),""))</f>
        <v>Toponym Labels</v>
      </c>
      <c r="E381" s="20" t="s">
        <v>15</v>
      </c>
      <c r="F381" s="22">
        <v>721450</v>
      </c>
      <c r="G381" s="19" t="s">
        <v>1179</v>
      </c>
      <c r="H381" s="19" t="s">
        <v>1774</v>
      </c>
      <c r="I381" s="19" t="s">
        <v>1775</v>
      </c>
      <c r="J381" s="19" t="s">
        <v>1104</v>
      </c>
      <c r="K381" t="s">
        <v>1100</v>
      </c>
      <c r="L381" t="s">
        <v>114</v>
      </c>
      <c r="M381" t="s">
        <v>116</v>
      </c>
      <c r="N381" s="19" t="s">
        <v>1512</v>
      </c>
      <c r="O381" s="19" t="s">
        <v>116</v>
      </c>
      <c r="R381" t="s">
        <v>1097</v>
      </c>
    </row>
    <row r="382" spans="1:18" hidden="1" x14ac:dyDescent="0.3">
      <c r="A382" s="19">
        <f t="shared" si="5"/>
        <v>381</v>
      </c>
      <c r="B382" s="20" t="s">
        <v>87</v>
      </c>
      <c r="C382" s="20" t="s">
        <v>102</v>
      </c>
      <c r="D382" s="21" t="str">
        <f>IF($C382="","",IFERROR(VLOOKUP($C382,Map_Register!$A$2:$C$5,3,FALSE()),""))</f>
        <v>Toponym Labels</v>
      </c>
      <c r="E382" s="20" t="s">
        <v>15</v>
      </c>
      <c r="F382" s="22">
        <v>721451</v>
      </c>
      <c r="G382" s="19" t="s">
        <v>1179</v>
      </c>
      <c r="H382" s="19" t="s">
        <v>1776</v>
      </c>
      <c r="I382" s="19" t="s">
        <v>1776</v>
      </c>
      <c r="J382" s="19" t="s">
        <v>1117</v>
      </c>
      <c r="K382" t="s">
        <v>1100</v>
      </c>
      <c r="L382" t="s">
        <v>114</v>
      </c>
      <c r="M382" t="s">
        <v>114</v>
      </c>
      <c r="N382" s="19" t="s">
        <v>1184</v>
      </c>
      <c r="O382" s="19" t="s">
        <v>116</v>
      </c>
      <c r="R382" t="s">
        <v>1097</v>
      </c>
    </row>
    <row r="383" spans="1:18" hidden="1" x14ac:dyDescent="0.3">
      <c r="A383" s="19">
        <f t="shared" si="5"/>
        <v>382</v>
      </c>
      <c r="B383" s="20" t="s">
        <v>87</v>
      </c>
      <c r="C383" s="20" t="s">
        <v>102</v>
      </c>
      <c r="D383" s="21" t="str">
        <f>IF($C383="","",IFERROR(VLOOKUP($C383,Map_Register!$A$2:$C$5,3,FALSE()),""))</f>
        <v>Toponym Labels</v>
      </c>
      <c r="E383" s="20" t="s">
        <v>15</v>
      </c>
      <c r="F383" s="22">
        <v>721452</v>
      </c>
      <c r="G383" s="19" t="s">
        <v>1179</v>
      </c>
      <c r="H383" s="19" t="s">
        <v>1777</v>
      </c>
      <c r="I383" s="19" t="s">
        <v>1778</v>
      </c>
      <c r="J383" s="19" t="s">
        <v>1094</v>
      </c>
      <c r="K383" t="s">
        <v>1100</v>
      </c>
      <c r="L383" s="19" t="s">
        <v>114</v>
      </c>
      <c r="M383" s="19" t="s">
        <v>114</v>
      </c>
      <c r="N383" s="19" t="s">
        <v>1779</v>
      </c>
      <c r="O383" s="19" t="s">
        <v>116</v>
      </c>
      <c r="R383" t="s">
        <v>1097</v>
      </c>
    </row>
    <row r="384" spans="1:18" hidden="1" x14ac:dyDescent="0.3">
      <c r="A384" s="19">
        <f t="shared" si="5"/>
        <v>383</v>
      </c>
      <c r="B384" s="20" t="s">
        <v>87</v>
      </c>
      <c r="C384" s="20" t="s">
        <v>102</v>
      </c>
      <c r="D384" s="21" t="str">
        <f>IF($C384="","",IFERROR(VLOOKUP($C384,Map_Register!$A$2:$C$5,3,FALSE()),""))</f>
        <v>Toponym Labels</v>
      </c>
      <c r="E384" s="20" t="s">
        <v>15</v>
      </c>
      <c r="F384" s="22">
        <v>721453</v>
      </c>
      <c r="G384" s="19" t="s">
        <v>1179</v>
      </c>
      <c r="H384" s="19" t="s">
        <v>1780</v>
      </c>
      <c r="I384" s="19" t="s">
        <v>1780</v>
      </c>
      <c r="J384" s="19" t="s">
        <v>1117</v>
      </c>
      <c r="K384" t="s">
        <v>1100</v>
      </c>
      <c r="L384" s="19" t="s">
        <v>114</v>
      </c>
      <c r="M384" s="19" t="s">
        <v>114</v>
      </c>
      <c r="N384" s="19" t="s">
        <v>1781</v>
      </c>
      <c r="O384" s="19" t="s">
        <v>116</v>
      </c>
      <c r="R384" t="s">
        <v>1097</v>
      </c>
    </row>
    <row r="385" spans="1:18" hidden="1" x14ac:dyDescent="0.3">
      <c r="A385" s="19">
        <f t="shared" si="5"/>
        <v>384</v>
      </c>
      <c r="B385" s="20" t="s">
        <v>87</v>
      </c>
      <c r="C385" s="20" t="s">
        <v>102</v>
      </c>
      <c r="D385" s="21" t="str">
        <f>IF($C385="","",IFERROR(VLOOKUP($C385,Map_Register!$A$2:$C$5,3,FALSE()),""))</f>
        <v>Toponym Labels</v>
      </c>
      <c r="E385" s="20" t="s">
        <v>15</v>
      </c>
      <c r="F385" s="22">
        <v>721454</v>
      </c>
      <c r="G385" s="19" t="s">
        <v>1179</v>
      </c>
      <c r="H385" s="19" t="s">
        <v>1782</v>
      </c>
      <c r="I385" s="19" t="s">
        <v>1782</v>
      </c>
      <c r="J385" s="19" t="s">
        <v>1110</v>
      </c>
      <c r="K385" s="19" t="s">
        <v>6</v>
      </c>
      <c r="L385" s="19" t="s">
        <v>1095</v>
      </c>
      <c r="M385" s="19" t="s">
        <v>1095</v>
      </c>
      <c r="N385" s="19" t="s">
        <v>1502</v>
      </c>
      <c r="R385" t="s">
        <v>1097</v>
      </c>
    </row>
    <row r="386" spans="1:18" hidden="1" x14ac:dyDescent="0.3">
      <c r="A386" s="19">
        <f t="shared" ref="A386:A449" si="6">IF($B386="","",ROW()-1)</f>
        <v>385</v>
      </c>
      <c r="B386" s="20" t="s">
        <v>87</v>
      </c>
      <c r="C386" s="20" t="s">
        <v>102</v>
      </c>
      <c r="D386" s="21" t="str">
        <f>IF($C386="","",IFERROR(VLOOKUP($C386,Map_Register!$A$2:$C$5,3,FALSE()),""))</f>
        <v>Toponym Labels</v>
      </c>
      <c r="E386" s="20" t="s">
        <v>15</v>
      </c>
      <c r="F386" s="22">
        <v>721455</v>
      </c>
      <c r="G386" s="19" t="s">
        <v>1179</v>
      </c>
      <c r="H386" s="19" t="s">
        <v>1783</v>
      </c>
      <c r="I386" s="19" t="s">
        <v>1783</v>
      </c>
      <c r="J386" s="19" t="s">
        <v>1110</v>
      </c>
      <c r="K386" t="s">
        <v>1100</v>
      </c>
      <c r="L386" t="s">
        <v>114</v>
      </c>
      <c r="M386" t="s">
        <v>114</v>
      </c>
      <c r="N386" s="19" t="s">
        <v>1184</v>
      </c>
      <c r="O386" s="19" t="s">
        <v>116</v>
      </c>
      <c r="R386" t="s">
        <v>1097</v>
      </c>
    </row>
    <row r="387" spans="1:18" hidden="1" x14ac:dyDescent="0.3">
      <c r="A387" s="19">
        <f t="shared" si="6"/>
        <v>386</v>
      </c>
      <c r="B387" s="20" t="s">
        <v>87</v>
      </c>
      <c r="C387" s="20" t="s">
        <v>102</v>
      </c>
      <c r="D387" s="21" t="str">
        <f>IF($C387="","",IFERROR(VLOOKUP($C387,Map_Register!$A$2:$C$5,3,FALSE()),""))</f>
        <v>Toponym Labels</v>
      </c>
      <c r="E387" s="20" t="s">
        <v>15</v>
      </c>
      <c r="F387" s="22">
        <v>721456</v>
      </c>
      <c r="G387" s="19" t="s">
        <v>1179</v>
      </c>
      <c r="H387" s="19" t="s">
        <v>1784</v>
      </c>
      <c r="I387" s="19" t="s">
        <v>1785</v>
      </c>
      <c r="J387" s="19" t="s">
        <v>1104</v>
      </c>
      <c r="K387" s="19" t="s">
        <v>6</v>
      </c>
      <c r="L387" s="19" t="s">
        <v>1095</v>
      </c>
      <c r="M387" s="19" t="s">
        <v>1095</v>
      </c>
      <c r="N387" s="19" t="s">
        <v>1105</v>
      </c>
      <c r="R387" t="s">
        <v>1097</v>
      </c>
    </row>
    <row r="388" spans="1:18" hidden="1" x14ac:dyDescent="0.3">
      <c r="A388" s="19">
        <f t="shared" si="6"/>
        <v>387</v>
      </c>
      <c r="B388" s="20" t="s">
        <v>87</v>
      </c>
      <c r="C388" s="20" t="s">
        <v>102</v>
      </c>
      <c r="D388" s="21" t="str">
        <f>IF($C388="","",IFERROR(VLOOKUP($C388,Map_Register!$A$2:$C$5,3,FALSE()),""))</f>
        <v>Toponym Labels</v>
      </c>
      <c r="E388" s="20" t="s">
        <v>15</v>
      </c>
      <c r="F388" s="22">
        <v>721457</v>
      </c>
      <c r="G388" s="19" t="s">
        <v>1179</v>
      </c>
      <c r="H388" s="19" t="s">
        <v>1786</v>
      </c>
      <c r="I388" s="19" t="s">
        <v>1786</v>
      </c>
      <c r="J388" s="19" t="s">
        <v>1110</v>
      </c>
      <c r="K388" s="19" t="s">
        <v>6</v>
      </c>
      <c r="L388" s="19" t="s">
        <v>1095</v>
      </c>
      <c r="M388" s="19" t="s">
        <v>1095</v>
      </c>
      <c r="N388" s="19" t="s">
        <v>1502</v>
      </c>
      <c r="R388" t="s">
        <v>1097</v>
      </c>
    </row>
    <row r="389" spans="1:18" hidden="1" x14ac:dyDescent="0.3">
      <c r="A389" s="19">
        <f t="shared" si="6"/>
        <v>388</v>
      </c>
      <c r="B389" s="20" t="s">
        <v>87</v>
      </c>
      <c r="C389" s="20" t="s">
        <v>102</v>
      </c>
      <c r="D389" s="21" t="str">
        <f>IF($C389="","",IFERROR(VLOOKUP($C389,Map_Register!$A$2:$C$5,3,FALSE()),""))</f>
        <v>Toponym Labels</v>
      </c>
      <c r="E389" s="20" t="s">
        <v>15</v>
      </c>
      <c r="F389" s="22">
        <v>721458</v>
      </c>
      <c r="G389" s="19" t="s">
        <v>1205</v>
      </c>
      <c r="H389" s="19" t="s">
        <v>1787</v>
      </c>
      <c r="I389" s="19" t="s">
        <v>1787</v>
      </c>
      <c r="J389" s="19" t="s">
        <v>1110</v>
      </c>
      <c r="K389" s="19" t="s">
        <v>6</v>
      </c>
      <c r="L389" s="19" t="s">
        <v>1095</v>
      </c>
      <c r="M389" s="19" t="s">
        <v>1095</v>
      </c>
      <c r="N389" s="19" t="s">
        <v>1294</v>
      </c>
      <c r="R389" t="s">
        <v>1097</v>
      </c>
    </row>
    <row r="390" spans="1:18" hidden="1" x14ac:dyDescent="0.3">
      <c r="A390" s="19">
        <f t="shared" si="6"/>
        <v>389</v>
      </c>
      <c r="B390" s="20" t="s">
        <v>87</v>
      </c>
      <c r="C390" s="20" t="s">
        <v>102</v>
      </c>
      <c r="D390" s="21" t="str">
        <f>IF($C390="","",IFERROR(VLOOKUP($C390,Map_Register!$A$2:$C$5,3,FALSE()),""))</f>
        <v>Toponym Labels</v>
      </c>
      <c r="E390" s="20" t="s">
        <v>15</v>
      </c>
      <c r="F390" s="22">
        <v>721459</v>
      </c>
      <c r="G390" s="19" t="s">
        <v>1205</v>
      </c>
      <c r="H390" s="19" t="s">
        <v>889</v>
      </c>
      <c r="I390" s="19" t="s">
        <v>889</v>
      </c>
      <c r="J390" s="19" t="s">
        <v>1110</v>
      </c>
      <c r="K390" s="19" t="s">
        <v>6</v>
      </c>
      <c r="L390" s="19" t="s">
        <v>1095</v>
      </c>
      <c r="M390" s="19" t="s">
        <v>1095</v>
      </c>
      <c r="N390" s="19" t="s">
        <v>1294</v>
      </c>
      <c r="R390" t="s">
        <v>1097</v>
      </c>
    </row>
    <row r="391" spans="1:18" hidden="1" x14ac:dyDescent="0.3">
      <c r="A391" s="19">
        <f t="shared" si="6"/>
        <v>390</v>
      </c>
      <c r="B391" s="20" t="s">
        <v>87</v>
      </c>
      <c r="C391" s="20" t="s">
        <v>102</v>
      </c>
      <c r="D391" s="21" t="str">
        <f>IF($C391="","",IFERROR(VLOOKUP($C391,Map_Register!$A$2:$C$5,3,FALSE()),""))</f>
        <v>Toponym Labels</v>
      </c>
      <c r="E391" s="20" t="s">
        <v>15</v>
      </c>
      <c r="F391" s="22">
        <v>721460</v>
      </c>
      <c r="G391" s="19" t="s">
        <v>1205</v>
      </c>
      <c r="H391" s="19" t="s">
        <v>1221</v>
      </c>
      <c r="I391" s="19" t="s">
        <v>1221</v>
      </c>
      <c r="J391" s="19" t="s">
        <v>1110</v>
      </c>
      <c r="K391" t="s">
        <v>6</v>
      </c>
      <c r="N391" s="19" t="s">
        <v>1788</v>
      </c>
      <c r="R391" t="s">
        <v>1097</v>
      </c>
    </row>
    <row r="392" spans="1:18" hidden="1" x14ac:dyDescent="0.3">
      <c r="A392" s="19">
        <f t="shared" si="6"/>
        <v>391</v>
      </c>
      <c r="B392" s="20" t="s">
        <v>87</v>
      </c>
      <c r="C392" s="20" t="s">
        <v>102</v>
      </c>
      <c r="D392" s="21" t="str">
        <f>IF($C392="","",IFERROR(VLOOKUP($C392,Map_Register!$A$2:$C$5,3,FALSE()),""))</f>
        <v>Toponym Labels</v>
      </c>
      <c r="E392" s="20" t="s">
        <v>15</v>
      </c>
      <c r="F392" s="22">
        <v>721461</v>
      </c>
      <c r="G392" s="19" t="s">
        <v>1136</v>
      </c>
      <c r="H392" s="19" t="s">
        <v>1789</v>
      </c>
      <c r="I392" s="19" t="s">
        <v>1790</v>
      </c>
      <c r="J392" s="19" t="s">
        <v>1094</v>
      </c>
      <c r="K392" s="19" t="s">
        <v>6</v>
      </c>
      <c r="L392" s="19" t="s">
        <v>1095</v>
      </c>
      <c r="M392" s="19" t="s">
        <v>1095</v>
      </c>
      <c r="N392" s="19" t="s">
        <v>1105</v>
      </c>
      <c r="R392" t="s">
        <v>1097</v>
      </c>
    </row>
    <row r="393" spans="1:18" hidden="1" x14ac:dyDescent="0.3">
      <c r="A393" s="19">
        <f t="shared" si="6"/>
        <v>392</v>
      </c>
      <c r="B393" s="20" t="s">
        <v>87</v>
      </c>
      <c r="C393" s="20" t="s">
        <v>102</v>
      </c>
      <c r="D393" s="21" t="str">
        <f>IF($C393="","",IFERROR(VLOOKUP($C393,Map_Register!$A$2:$C$5,3,FALSE()),""))</f>
        <v>Toponym Labels</v>
      </c>
      <c r="E393" s="20" t="s">
        <v>15</v>
      </c>
      <c r="F393" s="22">
        <v>721462</v>
      </c>
      <c r="G393" s="19" t="s">
        <v>1136</v>
      </c>
      <c r="H393" s="19" t="s">
        <v>1791</v>
      </c>
      <c r="I393" s="19" t="s">
        <v>1792</v>
      </c>
      <c r="J393" s="19" t="s">
        <v>1104</v>
      </c>
      <c r="K393" s="19" t="s">
        <v>6</v>
      </c>
      <c r="L393" s="19" t="s">
        <v>1095</v>
      </c>
      <c r="M393" s="19" t="s">
        <v>1095</v>
      </c>
      <c r="N393" s="19" t="s">
        <v>1105</v>
      </c>
      <c r="R393" t="s">
        <v>1097</v>
      </c>
    </row>
    <row r="394" spans="1:18" hidden="1" x14ac:dyDescent="0.3">
      <c r="A394" s="19">
        <f t="shared" si="6"/>
        <v>393</v>
      </c>
      <c r="B394" s="20" t="s">
        <v>87</v>
      </c>
      <c r="C394" s="20" t="s">
        <v>102</v>
      </c>
      <c r="D394" s="21" t="str">
        <f>IF($C394="","",IFERROR(VLOOKUP($C394,Map_Register!$A$2:$C$5,3,FALSE()),""))</f>
        <v>Toponym Labels</v>
      </c>
      <c r="E394" s="20" t="s">
        <v>15</v>
      </c>
      <c r="F394" s="22">
        <v>721463</v>
      </c>
      <c r="G394" s="19" t="s">
        <v>1136</v>
      </c>
      <c r="H394" s="19" t="s">
        <v>1793</v>
      </c>
      <c r="I394" s="19" t="s">
        <v>1794</v>
      </c>
      <c r="J394" s="19" t="s">
        <v>1104</v>
      </c>
      <c r="K394" s="19" t="s">
        <v>6</v>
      </c>
      <c r="L394" s="19" t="s">
        <v>1095</v>
      </c>
      <c r="M394" s="19" t="s">
        <v>1095</v>
      </c>
      <c r="N394" s="19" t="s">
        <v>1105</v>
      </c>
      <c r="R394" t="s">
        <v>1097</v>
      </c>
    </row>
    <row r="395" spans="1:18" hidden="1" x14ac:dyDescent="0.3">
      <c r="A395" s="19">
        <f t="shared" si="6"/>
        <v>394</v>
      </c>
      <c r="B395" s="20" t="s">
        <v>87</v>
      </c>
      <c r="C395" s="20" t="s">
        <v>102</v>
      </c>
      <c r="D395" s="21" t="str">
        <f>IF($C395="","",IFERROR(VLOOKUP($C395,Map_Register!$A$2:$C$5,3,FALSE()),""))</f>
        <v>Toponym Labels</v>
      </c>
      <c r="E395" s="20" t="s">
        <v>15</v>
      </c>
      <c r="F395" s="22">
        <v>721464</v>
      </c>
      <c r="G395" s="19" t="s">
        <v>1125</v>
      </c>
      <c r="H395" s="19" t="s">
        <v>1795</v>
      </c>
      <c r="I395" s="19" t="s">
        <v>1796</v>
      </c>
      <c r="J395" s="19" t="s">
        <v>1094</v>
      </c>
      <c r="K395" s="19" t="s">
        <v>6</v>
      </c>
      <c r="L395" s="19" t="s">
        <v>1095</v>
      </c>
      <c r="M395" s="19" t="s">
        <v>1095</v>
      </c>
      <c r="N395" s="19" t="s">
        <v>1105</v>
      </c>
      <c r="R395" t="s">
        <v>1097</v>
      </c>
    </row>
    <row r="396" spans="1:18" hidden="1" x14ac:dyDescent="0.3">
      <c r="A396" s="19">
        <f t="shared" si="6"/>
        <v>395</v>
      </c>
      <c r="B396" s="20" t="s">
        <v>87</v>
      </c>
      <c r="C396" s="20" t="s">
        <v>102</v>
      </c>
      <c r="D396" s="21" t="str">
        <f>IF($C396="","",IFERROR(VLOOKUP($C396,Map_Register!$A$2:$C$5,3,FALSE()),""))</f>
        <v>Toponym Labels</v>
      </c>
      <c r="E396" s="20" t="s">
        <v>15</v>
      </c>
      <c r="F396" s="22">
        <v>721465</v>
      </c>
      <c r="G396" s="19" t="s">
        <v>1163</v>
      </c>
      <c r="H396" s="19" t="s">
        <v>1797</v>
      </c>
      <c r="I396" s="19" t="s">
        <v>1798</v>
      </c>
      <c r="J396" s="19" t="s">
        <v>1094</v>
      </c>
      <c r="K396" s="19" t="s">
        <v>6</v>
      </c>
      <c r="L396" s="19" t="s">
        <v>1095</v>
      </c>
      <c r="M396" s="19" t="s">
        <v>1095</v>
      </c>
      <c r="N396" s="19" t="s">
        <v>1105</v>
      </c>
      <c r="R396" t="s">
        <v>1097</v>
      </c>
    </row>
    <row r="397" spans="1:18" hidden="1" x14ac:dyDescent="0.3">
      <c r="A397" s="19">
        <f t="shared" si="6"/>
        <v>396</v>
      </c>
      <c r="B397" s="20" t="s">
        <v>87</v>
      </c>
      <c r="C397" s="20" t="s">
        <v>102</v>
      </c>
      <c r="D397" s="21" t="str">
        <f>IF($C397="","",IFERROR(VLOOKUP($C397,Map_Register!$A$2:$C$5,3,FALSE()),""))</f>
        <v>Toponym Labels</v>
      </c>
      <c r="E397" s="20" t="s">
        <v>15</v>
      </c>
      <c r="F397" s="22">
        <v>721466</v>
      </c>
      <c r="G397" s="19" t="s">
        <v>1136</v>
      </c>
      <c r="H397" s="19" t="s">
        <v>1799</v>
      </c>
      <c r="I397" s="19" t="s">
        <v>1800</v>
      </c>
      <c r="J397" s="19" t="s">
        <v>1104</v>
      </c>
      <c r="K397" t="s">
        <v>1100</v>
      </c>
      <c r="L397" t="s">
        <v>114</v>
      </c>
      <c r="M397" t="s">
        <v>114</v>
      </c>
      <c r="N397" s="19" t="s">
        <v>530</v>
      </c>
      <c r="O397" s="19" t="s">
        <v>116</v>
      </c>
      <c r="R397" t="s">
        <v>1097</v>
      </c>
    </row>
    <row r="398" spans="1:18" hidden="1" x14ac:dyDescent="0.3">
      <c r="A398" s="19">
        <f t="shared" si="6"/>
        <v>397</v>
      </c>
      <c r="B398" s="20" t="s">
        <v>87</v>
      </c>
      <c r="C398" s="20" t="s">
        <v>102</v>
      </c>
      <c r="D398" s="21" t="str">
        <f>IF($C398="","",IFERROR(VLOOKUP($C398,Map_Register!$A$2:$C$5,3,FALSE()),""))</f>
        <v>Toponym Labels</v>
      </c>
      <c r="E398" s="20" t="s">
        <v>15</v>
      </c>
      <c r="F398" s="22">
        <v>721478</v>
      </c>
      <c r="G398" s="19" t="s">
        <v>1136</v>
      </c>
      <c r="H398" s="19" t="s">
        <v>1801</v>
      </c>
      <c r="I398" s="19" t="s">
        <v>1801</v>
      </c>
      <c r="J398" s="19" t="s">
        <v>1117</v>
      </c>
      <c r="K398" t="s">
        <v>1100</v>
      </c>
      <c r="L398" t="s">
        <v>114</v>
      </c>
      <c r="M398" t="s">
        <v>114</v>
      </c>
      <c r="N398" s="19" t="s">
        <v>530</v>
      </c>
      <c r="O398" s="19" t="s">
        <v>116</v>
      </c>
      <c r="R398" t="s">
        <v>1097</v>
      </c>
    </row>
    <row r="399" spans="1:18" hidden="1" x14ac:dyDescent="0.3">
      <c r="A399" s="19">
        <f t="shared" si="6"/>
        <v>398</v>
      </c>
      <c r="B399" s="20" t="s">
        <v>87</v>
      </c>
      <c r="C399" s="20" t="s">
        <v>102</v>
      </c>
      <c r="D399" s="21" t="str">
        <f>IF($C399="","",IFERROR(VLOOKUP($C399,Map_Register!$A$2:$C$5,3,FALSE()),""))</f>
        <v>Toponym Labels</v>
      </c>
      <c r="E399" s="20" t="s">
        <v>15</v>
      </c>
      <c r="F399" s="22">
        <v>721490</v>
      </c>
      <c r="G399" s="19" t="s">
        <v>1136</v>
      </c>
      <c r="H399" s="19" t="s">
        <v>1802</v>
      </c>
      <c r="I399" s="19" t="s">
        <v>1803</v>
      </c>
      <c r="J399" s="19" t="s">
        <v>1104</v>
      </c>
      <c r="K399" s="19" t="s">
        <v>6</v>
      </c>
      <c r="L399" s="19" t="s">
        <v>1095</v>
      </c>
      <c r="M399" s="19" t="s">
        <v>1095</v>
      </c>
      <c r="N399" s="19" t="s">
        <v>1105</v>
      </c>
      <c r="R399" t="s">
        <v>1097</v>
      </c>
    </row>
    <row r="400" spans="1:18" hidden="1" x14ac:dyDescent="0.3">
      <c r="A400" s="19">
        <f t="shared" si="6"/>
        <v>399</v>
      </c>
      <c r="B400" s="20" t="s">
        <v>87</v>
      </c>
      <c r="C400" s="20" t="s">
        <v>102</v>
      </c>
      <c r="D400" s="21" t="str">
        <f>IF($C400="","",IFERROR(VLOOKUP($C400,Map_Register!$A$2:$C$5,3,FALSE()),""))</f>
        <v>Toponym Labels</v>
      </c>
      <c r="E400" s="20" t="s">
        <v>15</v>
      </c>
      <c r="F400" s="22">
        <v>721491</v>
      </c>
      <c r="G400" s="19" t="s">
        <v>1136</v>
      </c>
      <c r="H400" s="19" t="s">
        <v>1804</v>
      </c>
      <c r="I400" s="19" t="s">
        <v>1805</v>
      </c>
      <c r="J400" s="19" t="s">
        <v>1104</v>
      </c>
      <c r="K400" t="s">
        <v>1100</v>
      </c>
      <c r="L400" t="s">
        <v>114</v>
      </c>
      <c r="M400" t="s">
        <v>114</v>
      </c>
      <c r="N400" s="19" t="s">
        <v>530</v>
      </c>
      <c r="O400" s="19" t="s">
        <v>116</v>
      </c>
      <c r="R400" t="s">
        <v>1097</v>
      </c>
    </row>
    <row r="401" spans="1:18" hidden="1" x14ac:dyDescent="0.3">
      <c r="A401" s="19">
        <f t="shared" si="6"/>
        <v>400</v>
      </c>
      <c r="B401" s="20" t="s">
        <v>87</v>
      </c>
      <c r="C401" s="20" t="s">
        <v>102</v>
      </c>
      <c r="D401" s="21" t="str">
        <f>IF($C401="","",IFERROR(VLOOKUP($C401,Map_Register!$A$2:$C$5,3,FALSE()),""))</f>
        <v>Toponym Labels</v>
      </c>
      <c r="E401" s="20" t="s">
        <v>15</v>
      </c>
      <c r="F401" s="22">
        <v>721492</v>
      </c>
      <c r="G401" s="19" t="s">
        <v>1136</v>
      </c>
      <c r="H401" s="19" t="s">
        <v>1806</v>
      </c>
      <c r="I401" s="19" t="s">
        <v>1806</v>
      </c>
      <c r="J401" s="19" t="s">
        <v>1110</v>
      </c>
      <c r="K401" t="s">
        <v>1100</v>
      </c>
      <c r="L401" t="s">
        <v>114</v>
      </c>
      <c r="M401" t="s">
        <v>114</v>
      </c>
      <c r="N401" s="19" t="s">
        <v>530</v>
      </c>
      <c r="O401" s="19" t="s">
        <v>116</v>
      </c>
      <c r="R401" t="s">
        <v>1097</v>
      </c>
    </row>
    <row r="402" spans="1:18" hidden="1" x14ac:dyDescent="0.3">
      <c r="A402" s="19">
        <f t="shared" si="6"/>
        <v>401</v>
      </c>
      <c r="B402" s="20" t="s">
        <v>87</v>
      </c>
      <c r="C402" s="20" t="s">
        <v>102</v>
      </c>
      <c r="D402" s="21" t="str">
        <f>IF($C402="","",IFERROR(VLOOKUP($C402,Map_Register!$A$2:$C$5,3,FALSE()),""))</f>
        <v>Toponym Labels</v>
      </c>
      <c r="E402" s="20" t="s">
        <v>15</v>
      </c>
      <c r="F402" s="22">
        <v>721493</v>
      </c>
      <c r="G402" s="19" t="s">
        <v>1136</v>
      </c>
      <c r="H402" s="19" t="s">
        <v>1807</v>
      </c>
      <c r="I402" s="19" t="s">
        <v>1808</v>
      </c>
      <c r="J402" s="19" t="s">
        <v>1104</v>
      </c>
      <c r="K402" s="19" t="s">
        <v>6</v>
      </c>
      <c r="L402" s="19" t="s">
        <v>1095</v>
      </c>
      <c r="M402" s="19" t="s">
        <v>1095</v>
      </c>
      <c r="N402" s="19" t="s">
        <v>1105</v>
      </c>
      <c r="R402" t="s">
        <v>1097</v>
      </c>
    </row>
    <row r="403" spans="1:18" hidden="1" x14ac:dyDescent="0.3">
      <c r="A403" s="19">
        <f t="shared" si="6"/>
        <v>402</v>
      </c>
      <c r="B403" s="20" t="s">
        <v>87</v>
      </c>
      <c r="C403" s="20" t="s">
        <v>102</v>
      </c>
      <c r="D403" s="21" t="str">
        <f>IF($C403="","",IFERROR(VLOOKUP($C403,Map_Register!$A$2:$C$5,3,FALSE()),""))</f>
        <v>Toponym Labels</v>
      </c>
      <c r="E403" s="20" t="s">
        <v>15</v>
      </c>
      <c r="F403" s="22">
        <v>721494</v>
      </c>
      <c r="G403" s="19" t="s">
        <v>1163</v>
      </c>
      <c r="H403" s="19" t="s">
        <v>1809</v>
      </c>
      <c r="I403" s="19" t="s">
        <v>1810</v>
      </c>
      <c r="J403" s="19" t="s">
        <v>1094</v>
      </c>
      <c r="K403" s="19" t="s">
        <v>6</v>
      </c>
      <c r="L403" s="19" t="s">
        <v>1095</v>
      </c>
      <c r="M403" s="19" t="s">
        <v>1095</v>
      </c>
      <c r="N403" s="19" t="s">
        <v>1105</v>
      </c>
      <c r="R403" t="s">
        <v>1097</v>
      </c>
    </row>
    <row r="404" spans="1:18" hidden="1" x14ac:dyDescent="0.3">
      <c r="A404" s="19">
        <f t="shared" si="6"/>
        <v>403</v>
      </c>
      <c r="B404" s="20" t="s">
        <v>87</v>
      </c>
      <c r="C404" s="20" t="s">
        <v>102</v>
      </c>
      <c r="D404" s="21" t="str">
        <f>IF($C404="","",IFERROR(VLOOKUP($C404,Map_Register!$A$2:$C$5,3,FALSE()),""))</f>
        <v>Toponym Labels</v>
      </c>
      <c r="E404" s="20" t="s">
        <v>15</v>
      </c>
      <c r="F404" s="22">
        <v>721529</v>
      </c>
      <c r="G404" s="19" t="s">
        <v>1179</v>
      </c>
      <c r="H404" s="19" t="s">
        <v>1811</v>
      </c>
      <c r="I404" s="19" t="s">
        <v>1812</v>
      </c>
      <c r="J404" s="19" t="s">
        <v>1104</v>
      </c>
      <c r="K404" s="19" t="s">
        <v>6</v>
      </c>
      <c r="L404" s="19" t="s">
        <v>1095</v>
      </c>
      <c r="M404" s="19" t="s">
        <v>1095</v>
      </c>
      <c r="N404" s="19" t="s">
        <v>1105</v>
      </c>
      <c r="R404" t="s">
        <v>1097</v>
      </c>
    </row>
    <row r="405" spans="1:18" hidden="1" x14ac:dyDescent="0.3">
      <c r="A405" s="19">
        <f t="shared" si="6"/>
        <v>404</v>
      </c>
      <c r="B405" s="20" t="s">
        <v>87</v>
      </c>
      <c r="C405" s="20" t="s">
        <v>102</v>
      </c>
      <c r="D405" s="21" t="str">
        <f>IF($C405="","",IFERROR(VLOOKUP($C405,Map_Register!$A$2:$C$5,3,FALSE()),""))</f>
        <v>Toponym Labels</v>
      </c>
      <c r="E405" s="20" t="s">
        <v>15</v>
      </c>
      <c r="F405" s="22">
        <v>721538</v>
      </c>
      <c r="G405" s="19" t="s">
        <v>1419</v>
      </c>
      <c r="H405" s="19" t="s">
        <v>1813</v>
      </c>
      <c r="I405" s="19" t="s">
        <v>1814</v>
      </c>
      <c r="J405" s="19" t="s">
        <v>1094</v>
      </c>
      <c r="K405" t="s">
        <v>1100</v>
      </c>
      <c r="L405" t="s">
        <v>114</v>
      </c>
      <c r="M405" t="s">
        <v>114</v>
      </c>
      <c r="N405" s="19" t="s">
        <v>1421</v>
      </c>
      <c r="O405" s="19" t="s">
        <v>116</v>
      </c>
      <c r="R405" t="s">
        <v>1097</v>
      </c>
    </row>
    <row r="406" spans="1:18" hidden="1" x14ac:dyDescent="0.3">
      <c r="A406" s="19">
        <f t="shared" si="6"/>
        <v>405</v>
      </c>
      <c r="B406" s="20" t="s">
        <v>87</v>
      </c>
      <c r="C406" s="20" t="s">
        <v>102</v>
      </c>
      <c r="D406" s="21" t="str">
        <f>IF($C406="","",IFERROR(VLOOKUP($C406,Map_Register!$A$2:$C$5,3,FALSE()),""))</f>
        <v>Toponym Labels</v>
      </c>
      <c r="E406" s="20" t="s">
        <v>15</v>
      </c>
      <c r="F406" s="22">
        <v>721539</v>
      </c>
      <c r="G406" s="19" t="s">
        <v>1179</v>
      </c>
      <c r="H406" s="19" t="s">
        <v>1815</v>
      </c>
      <c r="I406" s="19" t="s">
        <v>1816</v>
      </c>
      <c r="J406" s="19" t="s">
        <v>1094</v>
      </c>
      <c r="K406" s="19" t="s">
        <v>6</v>
      </c>
      <c r="L406" s="19" t="s">
        <v>1095</v>
      </c>
      <c r="M406" s="19" t="s">
        <v>1095</v>
      </c>
      <c r="N406" s="19" t="s">
        <v>1105</v>
      </c>
      <c r="R406" t="s">
        <v>1097</v>
      </c>
    </row>
    <row r="407" spans="1:18" hidden="1" x14ac:dyDescent="0.3">
      <c r="A407" s="19">
        <f t="shared" si="6"/>
        <v>406</v>
      </c>
      <c r="B407" s="20" t="s">
        <v>87</v>
      </c>
      <c r="C407" s="20" t="s">
        <v>102</v>
      </c>
      <c r="D407" s="21" t="str">
        <f>IF($C407="","",IFERROR(VLOOKUP($C407,Map_Register!$A$2:$C$5,3,FALSE()),""))</f>
        <v>Toponym Labels</v>
      </c>
      <c r="E407" s="20" t="s">
        <v>15</v>
      </c>
      <c r="F407" s="22">
        <v>721540</v>
      </c>
      <c r="G407" s="19" t="s">
        <v>1179</v>
      </c>
      <c r="H407" s="19" t="s">
        <v>1817</v>
      </c>
      <c r="I407" s="19" t="s">
        <v>1818</v>
      </c>
      <c r="J407" s="19" t="s">
        <v>1094</v>
      </c>
      <c r="K407" s="19" t="s">
        <v>6</v>
      </c>
      <c r="L407" s="19" t="s">
        <v>1095</v>
      </c>
      <c r="M407" s="19" t="s">
        <v>1095</v>
      </c>
      <c r="N407" s="19" t="s">
        <v>1105</v>
      </c>
      <c r="R407" t="s">
        <v>1097</v>
      </c>
    </row>
    <row r="408" spans="1:18" hidden="1" x14ac:dyDescent="0.3">
      <c r="A408" s="19">
        <f t="shared" si="6"/>
        <v>407</v>
      </c>
      <c r="B408" s="20" t="s">
        <v>87</v>
      </c>
      <c r="C408" s="20" t="s">
        <v>102</v>
      </c>
      <c r="D408" s="21" t="str">
        <f>IF($C408="","",IFERROR(VLOOKUP($C408,Map_Register!$A$2:$C$5,3,FALSE()),""))</f>
        <v>Toponym Labels</v>
      </c>
      <c r="E408" s="20" t="s">
        <v>15</v>
      </c>
      <c r="F408" s="22">
        <v>721602</v>
      </c>
      <c r="G408" s="19" t="s">
        <v>1108</v>
      </c>
      <c r="H408" s="19" t="s">
        <v>1819</v>
      </c>
      <c r="I408" s="19" t="s">
        <v>1820</v>
      </c>
      <c r="J408" s="19" t="s">
        <v>1094</v>
      </c>
      <c r="K408" s="19" t="s">
        <v>6</v>
      </c>
      <c r="L408" s="19" t="s">
        <v>1095</v>
      </c>
      <c r="M408" s="19" t="s">
        <v>1095</v>
      </c>
      <c r="N408" s="19" t="s">
        <v>1105</v>
      </c>
      <c r="R408" t="s">
        <v>1097</v>
      </c>
    </row>
    <row r="409" spans="1:18" hidden="1" x14ac:dyDescent="0.3">
      <c r="A409" s="19">
        <f t="shared" si="6"/>
        <v>408</v>
      </c>
      <c r="B409" s="20" t="s">
        <v>87</v>
      </c>
      <c r="C409" s="20" t="s">
        <v>102</v>
      </c>
      <c r="D409" s="21" t="str">
        <f>IF($C409="","",IFERROR(VLOOKUP($C409,Map_Register!$A$2:$C$5,3,FALSE()),""))</f>
        <v>Toponym Labels</v>
      </c>
      <c r="E409" s="20" t="s">
        <v>15</v>
      </c>
      <c r="F409" s="22">
        <v>721603</v>
      </c>
      <c r="G409" s="19" t="s">
        <v>1163</v>
      </c>
      <c r="H409" s="19" t="s">
        <v>1821</v>
      </c>
      <c r="I409" s="19" t="s">
        <v>1822</v>
      </c>
      <c r="J409" s="19" t="s">
        <v>1094</v>
      </c>
      <c r="K409" s="19" t="s">
        <v>6</v>
      </c>
      <c r="L409" s="19" t="s">
        <v>1095</v>
      </c>
      <c r="M409" s="19" t="s">
        <v>1095</v>
      </c>
      <c r="N409" s="19" t="s">
        <v>1105</v>
      </c>
      <c r="R409" t="s">
        <v>1097</v>
      </c>
    </row>
    <row r="410" spans="1:18" hidden="1" x14ac:dyDescent="0.3">
      <c r="A410" s="19">
        <f t="shared" si="6"/>
        <v>409</v>
      </c>
      <c r="B410" s="20" t="s">
        <v>87</v>
      </c>
      <c r="C410" s="20" t="s">
        <v>102</v>
      </c>
      <c r="D410" s="21" t="str">
        <f>IF($C410="","",IFERROR(VLOOKUP($C410,Map_Register!$A$2:$C$5,3,FALSE()),""))</f>
        <v>Toponym Labels</v>
      </c>
      <c r="E410" s="20" t="s">
        <v>15</v>
      </c>
      <c r="F410" s="22">
        <v>721604</v>
      </c>
      <c r="G410" s="19" t="s">
        <v>1125</v>
      </c>
      <c r="H410" s="19" t="s">
        <v>1823</v>
      </c>
      <c r="I410" s="19" t="s">
        <v>1824</v>
      </c>
      <c r="J410" s="19" t="s">
        <v>1104</v>
      </c>
      <c r="K410" s="19" t="s">
        <v>6</v>
      </c>
      <c r="L410" s="19" t="s">
        <v>1095</v>
      </c>
      <c r="M410" s="19" t="s">
        <v>1095</v>
      </c>
      <c r="N410" s="19" t="s">
        <v>1105</v>
      </c>
      <c r="R410" t="s">
        <v>1097</v>
      </c>
    </row>
    <row r="411" spans="1:18" hidden="1" x14ac:dyDescent="0.3">
      <c r="A411" s="19">
        <f t="shared" si="6"/>
        <v>410</v>
      </c>
      <c r="B411" s="20" t="s">
        <v>87</v>
      </c>
      <c r="C411" s="20" t="s">
        <v>102</v>
      </c>
      <c r="D411" s="21" t="str">
        <f>IF($C411="","",IFERROR(VLOOKUP($C411,Map_Register!$A$2:$C$5,3,FALSE()),""))</f>
        <v>Toponym Labels</v>
      </c>
      <c r="E411" s="20" t="s">
        <v>15</v>
      </c>
      <c r="F411" s="22">
        <v>721605</v>
      </c>
      <c r="G411" s="19" t="s">
        <v>1091</v>
      </c>
      <c r="H411" s="19" t="s">
        <v>1825</v>
      </c>
      <c r="I411" s="19" t="s">
        <v>1826</v>
      </c>
      <c r="J411" s="19" t="s">
        <v>1094</v>
      </c>
      <c r="K411" s="19" t="s">
        <v>6</v>
      </c>
      <c r="L411" s="19" t="s">
        <v>1095</v>
      </c>
      <c r="M411" s="19" t="s">
        <v>1095</v>
      </c>
      <c r="N411" s="19" t="s">
        <v>1105</v>
      </c>
      <c r="R411" t="s">
        <v>1097</v>
      </c>
    </row>
    <row r="412" spans="1:18" hidden="1" x14ac:dyDescent="0.3">
      <c r="A412" s="19">
        <f t="shared" si="6"/>
        <v>411</v>
      </c>
      <c r="B412" s="20" t="s">
        <v>87</v>
      </c>
      <c r="C412" s="20" t="s">
        <v>102</v>
      </c>
      <c r="D412" s="21" t="str">
        <f>IF($C412="","",IFERROR(VLOOKUP($C412,Map_Register!$A$2:$C$5,3,FALSE()),""))</f>
        <v>Toponym Labels</v>
      </c>
      <c r="E412" s="20" t="s">
        <v>15</v>
      </c>
      <c r="F412" s="22">
        <v>721606</v>
      </c>
      <c r="G412" s="19" t="s">
        <v>1163</v>
      </c>
      <c r="H412" s="19" t="s">
        <v>1827</v>
      </c>
      <c r="I412" s="19" t="s">
        <v>1828</v>
      </c>
      <c r="J412" s="19" t="s">
        <v>1104</v>
      </c>
      <c r="K412" t="s">
        <v>1100</v>
      </c>
      <c r="L412" s="19" t="s">
        <v>114</v>
      </c>
      <c r="M412" s="19" t="s">
        <v>114</v>
      </c>
      <c r="N412" s="19" t="s">
        <v>1829</v>
      </c>
      <c r="O412" s="19" t="s">
        <v>116</v>
      </c>
      <c r="R412" t="s">
        <v>1097</v>
      </c>
    </row>
    <row r="413" spans="1:18" hidden="1" x14ac:dyDescent="0.3">
      <c r="A413" s="19">
        <f t="shared" si="6"/>
        <v>412</v>
      </c>
      <c r="B413" s="20" t="s">
        <v>87</v>
      </c>
      <c r="C413" s="20" t="s">
        <v>102</v>
      </c>
      <c r="D413" s="21" t="str">
        <f>IF($C413="","",IFERROR(VLOOKUP($C413,Map_Register!$A$2:$C$5,3,FALSE()),""))</f>
        <v>Toponym Labels</v>
      </c>
      <c r="E413" s="20" t="s">
        <v>15</v>
      </c>
      <c r="F413" s="22">
        <v>721607</v>
      </c>
      <c r="G413" s="19" t="s">
        <v>1163</v>
      </c>
      <c r="H413" s="19" t="s">
        <v>1830</v>
      </c>
      <c r="I413" s="19" t="s">
        <v>1831</v>
      </c>
      <c r="J413" s="19" t="s">
        <v>1104</v>
      </c>
      <c r="K413" s="19" t="s">
        <v>6</v>
      </c>
      <c r="L413" s="19" t="s">
        <v>1095</v>
      </c>
      <c r="M413" s="19" t="s">
        <v>1095</v>
      </c>
      <c r="N413" s="19" t="s">
        <v>1105</v>
      </c>
      <c r="R413" t="s">
        <v>1097</v>
      </c>
    </row>
    <row r="414" spans="1:18" hidden="1" x14ac:dyDescent="0.3">
      <c r="A414" s="19">
        <f t="shared" si="6"/>
        <v>413</v>
      </c>
      <c r="B414" s="20" t="s">
        <v>87</v>
      </c>
      <c r="C414" s="20" t="s">
        <v>102</v>
      </c>
      <c r="D414" s="21" t="str">
        <f>IF($C414="","",IFERROR(VLOOKUP($C414,Map_Register!$A$2:$C$5,3,FALSE()),""))</f>
        <v>Toponym Labels</v>
      </c>
      <c r="E414" s="20" t="s">
        <v>15</v>
      </c>
      <c r="F414" s="22">
        <v>721608</v>
      </c>
      <c r="G414" s="19" t="s">
        <v>1136</v>
      </c>
      <c r="H414" s="19" t="s">
        <v>1832</v>
      </c>
      <c r="I414" s="19" t="s">
        <v>1833</v>
      </c>
      <c r="J414" s="19" t="s">
        <v>1094</v>
      </c>
      <c r="K414" t="s">
        <v>1100</v>
      </c>
      <c r="L414" t="s">
        <v>114</v>
      </c>
      <c r="M414" t="s">
        <v>114</v>
      </c>
      <c r="N414" s="19" t="s">
        <v>530</v>
      </c>
      <c r="O414" s="19" t="s">
        <v>116</v>
      </c>
      <c r="R414" t="s">
        <v>1097</v>
      </c>
    </row>
    <row r="415" spans="1:18" hidden="1" x14ac:dyDescent="0.3">
      <c r="A415" s="19">
        <f t="shared" si="6"/>
        <v>414</v>
      </c>
      <c r="B415" s="20" t="s">
        <v>87</v>
      </c>
      <c r="C415" s="20" t="s">
        <v>102</v>
      </c>
      <c r="D415" s="21" t="str">
        <f>IF($C415="","",IFERROR(VLOOKUP($C415,Map_Register!$A$2:$C$5,3,FALSE()),""))</f>
        <v>Toponym Labels</v>
      </c>
      <c r="E415" s="20" t="s">
        <v>15</v>
      </c>
      <c r="F415" s="22">
        <v>721609</v>
      </c>
      <c r="G415" s="19" t="s">
        <v>1136</v>
      </c>
      <c r="H415" s="19" t="s">
        <v>1834</v>
      </c>
      <c r="I415" s="19" t="s">
        <v>1835</v>
      </c>
      <c r="J415" s="19" t="s">
        <v>1094</v>
      </c>
      <c r="K415" s="19" t="s">
        <v>6</v>
      </c>
      <c r="L415" s="19" t="s">
        <v>1095</v>
      </c>
      <c r="M415" s="19" t="s">
        <v>1095</v>
      </c>
      <c r="N415" s="19" t="s">
        <v>1105</v>
      </c>
      <c r="R415" t="s">
        <v>1097</v>
      </c>
    </row>
    <row r="416" spans="1:18" hidden="1" x14ac:dyDescent="0.3">
      <c r="A416" s="19">
        <f t="shared" si="6"/>
        <v>415</v>
      </c>
      <c r="B416" s="20" t="s">
        <v>87</v>
      </c>
      <c r="C416" s="20" t="s">
        <v>102</v>
      </c>
      <c r="D416" s="21" t="str">
        <f>IF($C416="","",IFERROR(VLOOKUP($C416,Map_Register!$A$2:$C$5,3,FALSE()),""))</f>
        <v>Toponym Labels</v>
      </c>
      <c r="E416" s="20" t="s">
        <v>15</v>
      </c>
      <c r="F416" s="22">
        <v>721610</v>
      </c>
      <c r="G416" s="19" t="s">
        <v>1136</v>
      </c>
      <c r="H416" s="19" t="s">
        <v>971</v>
      </c>
      <c r="I416" s="19" t="s">
        <v>1836</v>
      </c>
      <c r="J416" s="19" t="s">
        <v>1094</v>
      </c>
      <c r="K416" s="19" t="s">
        <v>6</v>
      </c>
      <c r="L416" s="19" t="s">
        <v>1095</v>
      </c>
      <c r="M416" s="19" t="s">
        <v>1095</v>
      </c>
      <c r="N416" s="19" t="s">
        <v>1105</v>
      </c>
      <c r="R416" t="s">
        <v>1097</v>
      </c>
    </row>
    <row r="417" spans="1:18" hidden="1" x14ac:dyDescent="0.3">
      <c r="A417" s="19">
        <f t="shared" si="6"/>
        <v>416</v>
      </c>
      <c r="B417" s="20" t="s">
        <v>87</v>
      </c>
      <c r="C417" s="20" t="s">
        <v>102</v>
      </c>
      <c r="D417" s="21" t="str">
        <f>IF($C417="","",IFERROR(VLOOKUP($C417,Map_Register!$A$2:$C$5,3,FALSE()),""))</f>
        <v>Toponym Labels</v>
      </c>
      <c r="E417" s="20" t="s">
        <v>15</v>
      </c>
      <c r="F417" s="22">
        <v>721611</v>
      </c>
      <c r="G417" s="19" t="s">
        <v>1163</v>
      </c>
      <c r="H417" s="19" t="s">
        <v>1691</v>
      </c>
      <c r="I417" s="19" t="s">
        <v>1691</v>
      </c>
      <c r="J417" s="19" t="s">
        <v>1110</v>
      </c>
      <c r="K417" s="19" t="s">
        <v>6</v>
      </c>
      <c r="L417" s="19" t="s">
        <v>1095</v>
      </c>
      <c r="M417" s="19" t="s">
        <v>1095</v>
      </c>
      <c r="N417" s="19" t="s">
        <v>1627</v>
      </c>
      <c r="R417" t="s">
        <v>1097</v>
      </c>
    </row>
    <row r="418" spans="1:18" hidden="1" x14ac:dyDescent="0.3">
      <c r="A418" s="19">
        <f t="shared" si="6"/>
        <v>417</v>
      </c>
      <c r="B418" s="20" t="s">
        <v>87</v>
      </c>
      <c r="C418" s="20" t="s">
        <v>102</v>
      </c>
      <c r="D418" s="21" t="str">
        <f>IF($C418="","",IFERROR(VLOOKUP($C418,Map_Register!$A$2:$C$5,3,FALSE()),""))</f>
        <v>Toponym Labels</v>
      </c>
      <c r="E418" s="20" t="s">
        <v>15</v>
      </c>
      <c r="F418" s="22">
        <v>721612</v>
      </c>
      <c r="G418" s="19" t="s">
        <v>1136</v>
      </c>
      <c r="H418" s="19" t="s">
        <v>1837</v>
      </c>
      <c r="I418" s="19" t="s">
        <v>1838</v>
      </c>
      <c r="J418" s="19" t="s">
        <v>1104</v>
      </c>
      <c r="K418" s="19" t="s">
        <v>6</v>
      </c>
      <c r="L418" s="19" t="s">
        <v>1095</v>
      </c>
      <c r="M418" s="19" t="s">
        <v>1095</v>
      </c>
      <c r="N418" s="19" t="s">
        <v>1105</v>
      </c>
      <c r="R418" t="s">
        <v>1097</v>
      </c>
    </row>
    <row r="419" spans="1:18" hidden="1" x14ac:dyDescent="0.3">
      <c r="A419" s="19">
        <f t="shared" si="6"/>
        <v>418</v>
      </c>
      <c r="B419" s="20" t="s">
        <v>87</v>
      </c>
      <c r="C419" s="20" t="s">
        <v>102</v>
      </c>
      <c r="D419" s="21" t="str">
        <f>IF($C419="","",IFERROR(VLOOKUP($C419,Map_Register!$A$2:$C$5,3,FALSE()),""))</f>
        <v>Toponym Labels</v>
      </c>
      <c r="E419" s="20" t="s">
        <v>15</v>
      </c>
      <c r="F419" s="22">
        <v>721613</v>
      </c>
      <c r="G419" s="19" t="s">
        <v>1136</v>
      </c>
      <c r="H419" s="19" t="s">
        <v>1839</v>
      </c>
      <c r="I419" s="19" t="s">
        <v>1840</v>
      </c>
      <c r="J419" s="19" t="s">
        <v>1104</v>
      </c>
      <c r="K419" s="19" t="s">
        <v>6</v>
      </c>
      <c r="L419" s="19" t="s">
        <v>1095</v>
      </c>
      <c r="M419" s="19" t="s">
        <v>1095</v>
      </c>
      <c r="N419" s="19" t="s">
        <v>1105</v>
      </c>
      <c r="R419" t="s">
        <v>1097</v>
      </c>
    </row>
    <row r="420" spans="1:18" hidden="1" x14ac:dyDescent="0.3">
      <c r="A420" s="19">
        <f t="shared" si="6"/>
        <v>419</v>
      </c>
      <c r="B420" s="20" t="s">
        <v>87</v>
      </c>
      <c r="C420" s="20" t="s">
        <v>102</v>
      </c>
      <c r="D420" s="21" t="str">
        <f>IF($C420="","",IFERROR(VLOOKUP($C420,Map_Register!$A$2:$C$5,3,FALSE()),""))</f>
        <v>Toponym Labels</v>
      </c>
      <c r="E420" s="20" t="s">
        <v>15</v>
      </c>
      <c r="F420" s="22">
        <v>721614</v>
      </c>
      <c r="G420" s="19" t="s">
        <v>1163</v>
      </c>
      <c r="H420" s="19" t="s">
        <v>1841</v>
      </c>
      <c r="I420" s="19" t="s">
        <v>1842</v>
      </c>
      <c r="J420" s="19" t="s">
        <v>1104</v>
      </c>
      <c r="K420" s="19" t="s">
        <v>6</v>
      </c>
      <c r="L420" s="19" t="s">
        <v>1095</v>
      </c>
      <c r="M420" s="19" t="s">
        <v>1095</v>
      </c>
      <c r="N420" s="19" t="s">
        <v>1105</v>
      </c>
      <c r="R420" t="s">
        <v>1097</v>
      </c>
    </row>
    <row r="421" spans="1:18" hidden="1" x14ac:dyDescent="0.3">
      <c r="A421" s="19">
        <f t="shared" si="6"/>
        <v>420</v>
      </c>
      <c r="B421" s="20" t="s">
        <v>87</v>
      </c>
      <c r="C421" s="20" t="s">
        <v>102</v>
      </c>
      <c r="D421" s="21" t="str">
        <f>IF($C421="","",IFERROR(VLOOKUP($C421,Map_Register!$A$2:$C$5,3,FALSE()),""))</f>
        <v>Toponym Labels</v>
      </c>
      <c r="E421" s="20" t="s">
        <v>15</v>
      </c>
      <c r="F421" s="22">
        <v>721615</v>
      </c>
      <c r="G421" s="19" t="s">
        <v>1163</v>
      </c>
      <c r="H421" s="19" t="s">
        <v>1843</v>
      </c>
      <c r="I421" s="19" t="s">
        <v>1844</v>
      </c>
      <c r="J421" s="19" t="s">
        <v>1094</v>
      </c>
      <c r="K421" s="19" t="s">
        <v>6</v>
      </c>
      <c r="L421" s="19" t="s">
        <v>1095</v>
      </c>
      <c r="M421" s="19" t="s">
        <v>1095</v>
      </c>
      <c r="N421" s="19" t="s">
        <v>1845</v>
      </c>
      <c r="R421" t="s">
        <v>1097</v>
      </c>
    </row>
    <row r="422" spans="1:18" hidden="1" x14ac:dyDescent="0.3">
      <c r="A422" s="19">
        <f t="shared" si="6"/>
        <v>421</v>
      </c>
      <c r="B422" s="20" t="s">
        <v>87</v>
      </c>
      <c r="C422" s="20" t="s">
        <v>102</v>
      </c>
      <c r="D422" s="21" t="str">
        <f>IF($C422="","",IFERROR(VLOOKUP($C422,Map_Register!$A$2:$C$5,3,FALSE()),""))</f>
        <v>Toponym Labels</v>
      </c>
      <c r="E422" s="20" t="s">
        <v>15</v>
      </c>
      <c r="F422" s="22">
        <v>721616</v>
      </c>
      <c r="G422" s="19" t="s">
        <v>1179</v>
      </c>
      <c r="H422" s="19" t="s">
        <v>1846</v>
      </c>
      <c r="I422" s="19" t="s">
        <v>1847</v>
      </c>
      <c r="J422" s="19" t="s">
        <v>1094</v>
      </c>
      <c r="K422" s="19" t="s">
        <v>6</v>
      </c>
      <c r="L422" s="19" t="s">
        <v>1095</v>
      </c>
      <c r="M422" s="19" t="s">
        <v>1095</v>
      </c>
      <c r="N422" s="19" t="s">
        <v>1105</v>
      </c>
      <c r="R422" t="s">
        <v>1097</v>
      </c>
    </row>
    <row r="423" spans="1:18" hidden="1" x14ac:dyDescent="0.3">
      <c r="A423" s="19">
        <f t="shared" si="6"/>
        <v>422</v>
      </c>
      <c r="B423" s="20" t="s">
        <v>87</v>
      </c>
      <c r="C423" s="20" t="s">
        <v>102</v>
      </c>
      <c r="D423" s="21" t="str">
        <f>IF($C423="","",IFERROR(VLOOKUP($C423,Map_Register!$A$2:$C$5,3,FALSE()),""))</f>
        <v>Toponym Labels</v>
      </c>
      <c r="E423" s="20" t="s">
        <v>15</v>
      </c>
      <c r="F423" s="22">
        <v>721617</v>
      </c>
      <c r="G423" s="19" t="s">
        <v>1179</v>
      </c>
      <c r="H423" s="19" t="s">
        <v>1848</v>
      </c>
      <c r="I423" s="19" t="s">
        <v>1848</v>
      </c>
      <c r="J423" s="19" t="s">
        <v>1117</v>
      </c>
      <c r="K423" s="19" t="s">
        <v>6</v>
      </c>
      <c r="L423" s="19" t="s">
        <v>1095</v>
      </c>
      <c r="M423" s="19" t="s">
        <v>1095</v>
      </c>
      <c r="N423" s="19" t="s">
        <v>1502</v>
      </c>
      <c r="R423" t="s">
        <v>1097</v>
      </c>
    </row>
    <row r="424" spans="1:18" hidden="1" x14ac:dyDescent="0.3">
      <c r="A424" s="19">
        <f t="shared" si="6"/>
        <v>423</v>
      </c>
      <c r="B424" s="20" t="s">
        <v>87</v>
      </c>
      <c r="C424" s="20" t="s">
        <v>102</v>
      </c>
      <c r="D424" s="21" t="str">
        <f>IF($C424="","",IFERROR(VLOOKUP($C424,Map_Register!$A$2:$C$5,3,FALSE()),""))</f>
        <v>Toponym Labels</v>
      </c>
      <c r="E424" s="20" t="s">
        <v>15</v>
      </c>
      <c r="F424" s="22">
        <v>721618</v>
      </c>
      <c r="G424" s="19" t="s">
        <v>1179</v>
      </c>
      <c r="H424" s="19" t="s">
        <v>1849</v>
      </c>
      <c r="I424" s="19" t="s">
        <v>1850</v>
      </c>
      <c r="J424" s="19" t="s">
        <v>1094</v>
      </c>
      <c r="K424" s="19" t="s">
        <v>6</v>
      </c>
      <c r="L424" s="19" t="s">
        <v>1095</v>
      </c>
      <c r="M424" s="19" t="s">
        <v>1095</v>
      </c>
      <c r="N424" s="19" t="s">
        <v>1105</v>
      </c>
      <c r="R424" t="s">
        <v>1097</v>
      </c>
    </row>
    <row r="425" spans="1:18" hidden="1" x14ac:dyDescent="0.3">
      <c r="A425" s="19">
        <f t="shared" si="6"/>
        <v>424</v>
      </c>
      <c r="B425" s="20" t="s">
        <v>87</v>
      </c>
      <c r="C425" s="20" t="s">
        <v>102</v>
      </c>
      <c r="D425" s="21" t="str">
        <f>IF($C425="","",IFERROR(VLOOKUP($C425,Map_Register!$A$2:$C$5,3,FALSE()),""))</f>
        <v>Toponym Labels</v>
      </c>
      <c r="E425" s="20" t="s">
        <v>15</v>
      </c>
      <c r="F425" s="22">
        <v>721619</v>
      </c>
      <c r="G425" s="19" t="s">
        <v>1179</v>
      </c>
      <c r="H425" s="19" t="s">
        <v>1851</v>
      </c>
      <c r="I425" s="19" t="s">
        <v>1852</v>
      </c>
      <c r="J425" s="19" t="s">
        <v>1094</v>
      </c>
      <c r="K425" t="s">
        <v>1100</v>
      </c>
      <c r="L425" t="s">
        <v>114</v>
      </c>
      <c r="M425" t="s">
        <v>114</v>
      </c>
      <c r="N425" s="19" t="s">
        <v>1184</v>
      </c>
      <c r="O425" s="19" t="s">
        <v>116</v>
      </c>
      <c r="R425" t="s">
        <v>1097</v>
      </c>
    </row>
    <row r="426" spans="1:18" hidden="1" x14ac:dyDescent="0.3">
      <c r="A426" s="19">
        <f t="shared" si="6"/>
        <v>425</v>
      </c>
      <c r="B426" s="20" t="s">
        <v>87</v>
      </c>
      <c r="C426" s="20" t="s">
        <v>102</v>
      </c>
      <c r="D426" s="21" t="str">
        <f>IF($C426="","",IFERROR(VLOOKUP($C426,Map_Register!$A$2:$C$5,3,FALSE()),""))</f>
        <v>Toponym Labels</v>
      </c>
      <c r="E426" s="20" t="s">
        <v>15</v>
      </c>
      <c r="F426" s="22">
        <v>721620</v>
      </c>
      <c r="G426" s="19" t="s">
        <v>1179</v>
      </c>
      <c r="H426" s="19" t="s">
        <v>1853</v>
      </c>
      <c r="I426" s="19" t="s">
        <v>1854</v>
      </c>
      <c r="J426" s="19" t="s">
        <v>1094</v>
      </c>
      <c r="K426" s="19" t="s">
        <v>6</v>
      </c>
      <c r="L426" s="19" t="s">
        <v>1095</v>
      </c>
      <c r="M426" s="19" t="s">
        <v>1095</v>
      </c>
      <c r="N426" s="19" t="s">
        <v>1105</v>
      </c>
      <c r="R426" t="s">
        <v>1097</v>
      </c>
    </row>
    <row r="427" spans="1:18" hidden="1" x14ac:dyDescent="0.3">
      <c r="A427" s="19">
        <f t="shared" si="6"/>
        <v>426</v>
      </c>
      <c r="B427" s="20" t="s">
        <v>87</v>
      </c>
      <c r="C427" s="20" t="s">
        <v>102</v>
      </c>
      <c r="D427" s="21" t="str">
        <f>IF($C427="","",IFERROR(VLOOKUP($C427,Map_Register!$A$2:$C$5,3,FALSE()),""))</f>
        <v>Toponym Labels</v>
      </c>
      <c r="E427" s="20" t="s">
        <v>15</v>
      </c>
      <c r="F427" s="22">
        <v>721621</v>
      </c>
      <c r="G427" s="19" t="s">
        <v>1179</v>
      </c>
      <c r="H427" s="19" t="s">
        <v>1855</v>
      </c>
      <c r="I427" s="19" t="s">
        <v>1855</v>
      </c>
      <c r="J427" s="19" t="s">
        <v>1110</v>
      </c>
      <c r="K427" s="19" t="s">
        <v>6</v>
      </c>
      <c r="L427" s="19" t="s">
        <v>1095</v>
      </c>
      <c r="M427" s="19" t="s">
        <v>1095</v>
      </c>
      <c r="N427" s="19" t="s">
        <v>1502</v>
      </c>
      <c r="R427" t="s">
        <v>1097</v>
      </c>
    </row>
    <row r="428" spans="1:18" hidden="1" x14ac:dyDescent="0.3">
      <c r="A428" s="19">
        <f t="shared" si="6"/>
        <v>427</v>
      </c>
      <c r="B428" s="20" t="s">
        <v>87</v>
      </c>
      <c r="C428" s="20" t="s">
        <v>102</v>
      </c>
      <c r="D428" s="21" t="str">
        <f>IF($C428="","",IFERROR(VLOOKUP($C428,Map_Register!$A$2:$C$5,3,FALSE()),""))</f>
        <v>Toponym Labels</v>
      </c>
      <c r="E428" s="20" t="s">
        <v>15</v>
      </c>
      <c r="F428" s="22">
        <v>721622</v>
      </c>
      <c r="G428" s="19" t="s">
        <v>1179</v>
      </c>
      <c r="H428" s="19" t="s">
        <v>1856</v>
      </c>
      <c r="I428" s="19" t="s">
        <v>1856</v>
      </c>
      <c r="J428" s="19" t="s">
        <v>1110</v>
      </c>
      <c r="K428" s="19" t="s">
        <v>6</v>
      </c>
      <c r="L428" s="19" t="s">
        <v>1095</v>
      </c>
      <c r="M428" s="19" t="s">
        <v>1095</v>
      </c>
      <c r="N428" s="19" t="s">
        <v>1502</v>
      </c>
      <c r="R428" t="s">
        <v>1097</v>
      </c>
    </row>
    <row r="429" spans="1:18" hidden="1" x14ac:dyDescent="0.3">
      <c r="A429" s="19">
        <f t="shared" si="6"/>
        <v>428</v>
      </c>
      <c r="B429" s="20" t="s">
        <v>87</v>
      </c>
      <c r="C429" s="20" t="s">
        <v>102</v>
      </c>
      <c r="D429" s="21" t="str">
        <f>IF($C429="","",IFERROR(VLOOKUP($C429,Map_Register!$A$2:$C$5,3,FALSE()),""))</f>
        <v>Toponym Labels</v>
      </c>
      <c r="E429" s="20" t="s">
        <v>15</v>
      </c>
      <c r="F429" s="22">
        <v>721623</v>
      </c>
      <c r="G429" s="19" t="s">
        <v>1179</v>
      </c>
      <c r="H429" s="19" t="s">
        <v>1857</v>
      </c>
      <c r="I429" s="19" t="s">
        <v>1857</v>
      </c>
      <c r="J429" s="19" t="s">
        <v>1110</v>
      </c>
      <c r="K429" s="19" t="s">
        <v>6</v>
      </c>
      <c r="L429" s="19" t="s">
        <v>1095</v>
      </c>
      <c r="M429" s="19" t="s">
        <v>1095</v>
      </c>
      <c r="N429" s="19" t="s">
        <v>1502</v>
      </c>
      <c r="R429" t="s">
        <v>1097</v>
      </c>
    </row>
    <row r="430" spans="1:18" hidden="1" x14ac:dyDescent="0.3">
      <c r="A430" s="19">
        <f t="shared" si="6"/>
        <v>429</v>
      </c>
      <c r="B430" s="20" t="s">
        <v>87</v>
      </c>
      <c r="C430" s="20" t="s">
        <v>102</v>
      </c>
      <c r="D430" s="21" t="str">
        <f>IF($C430="","",IFERROR(VLOOKUP($C430,Map_Register!$A$2:$C$5,3,FALSE()),""))</f>
        <v>Toponym Labels</v>
      </c>
      <c r="E430" s="20" t="s">
        <v>15</v>
      </c>
      <c r="F430" s="22">
        <v>721624</v>
      </c>
      <c r="G430" s="19" t="s">
        <v>1091</v>
      </c>
      <c r="H430" s="19" t="s">
        <v>1858</v>
      </c>
      <c r="I430" s="19" t="s">
        <v>1858</v>
      </c>
      <c r="J430" s="19" t="s">
        <v>1117</v>
      </c>
      <c r="K430" s="19" t="s">
        <v>6</v>
      </c>
      <c r="L430" s="19" t="s">
        <v>1095</v>
      </c>
      <c r="M430" s="19" t="s">
        <v>1095</v>
      </c>
      <c r="N430" s="19" t="s">
        <v>1300</v>
      </c>
      <c r="R430" t="s">
        <v>1097</v>
      </c>
    </row>
    <row r="431" spans="1:18" hidden="1" x14ac:dyDescent="0.3">
      <c r="A431" s="19">
        <f t="shared" si="6"/>
        <v>430</v>
      </c>
      <c r="B431" s="20" t="s">
        <v>87</v>
      </c>
      <c r="C431" s="20" t="s">
        <v>102</v>
      </c>
      <c r="D431" s="21" t="str">
        <f>IF($C431="","",IFERROR(VLOOKUP($C431,Map_Register!$A$2:$C$5,3,FALSE()),""))</f>
        <v>Toponym Labels</v>
      </c>
      <c r="E431" s="20" t="s">
        <v>15</v>
      </c>
      <c r="F431" s="22">
        <v>721625</v>
      </c>
      <c r="G431" s="19" t="s">
        <v>1136</v>
      </c>
      <c r="H431" s="19" t="s">
        <v>1859</v>
      </c>
      <c r="I431" s="19" t="s">
        <v>1859</v>
      </c>
      <c r="J431" s="19" t="s">
        <v>1110</v>
      </c>
      <c r="K431" t="s">
        <v>1100</v>
      </c>
      <c r="L431" t="s">
        <v>114</v>
      </c>
      <c r="M431" t="s">
        <v>114</v>
      </c>
      <c r="N431" s="19" t="s">
        <v>530</v>
      </c>
      <c r="O431" s="19" t="s">
        <v>116</v>
      </c>
      <c r="R431" t="s">
        <v>1097</v>
      </c>
    </row>
    <row r="432" spans="1:18" hidden="1" x14ac:dyDescent="0.3">
      <c r="A432" s="19">
        <f t="shared" si="6"/>
        <v>431</v>
      </c>
      <c r="B432" s="20" t="s">
        <v>87</v>
      </c>
      <c r="C432" s="20" t="s">
        <v>102</v>
      </c>
      <c r="D432" s="21" t="str">
        <f>IF($C432="","",IFERROR(VLOOKUP($C432,Map_Register!$A$2:$C$5,3,FALSE()),""))</f>
        <v>Toponym Labels</v>
      </c>
      <c r="E432" s="20" t="s">
        <v>15</v>
      </c>
      <c r="F432" s="22">
        <v>721626</v>
      </c>
      <c r="G432" s="19" t="s">
        <v>1163</v>
      </c>
      <c r="H432" s="19" t="s">
        <v>1827</v>
      </c>
      <c r="I432" s="19" t="s">
        <v>1828</v>
      </c>
      <c r="J432" s="19" t="s">
        <v>1104</v>
      </c>
      <c r="K432" s="19" t="s">
        <v>6</v>
      </c>
      <c r="L432" s="19" t="s">
        <v>1095</v>
      </c>
      <c r="M432" s="19" t="s">
        <v>1095</v>
      </c>
      <c r="N432" s="19" t="s">
        <v>1105</v>
      </c>
      <c r="R432" t="s">
        <v>1097</v>
      </c>
    </row>
    <row r="433" spans="1:18" hidden="1" x14ac:dyDescent="0.3">
      <c r="A433" s="19">
        <f t="shared" si="6"/>
        <v>432</v>
      </c>
      <c r="B433" s="20" t="s">
        <v>87</v>
      </c>
      <c r="C433" s="20" t="s">
        <v>102</v>
      </c>
      <c r="D433" s="21" t="str">
        <f>IF($C433="","",IFERROR(VLOOKUP($C433,Map_Register!$A$2:$C$5,3,FALSE()),""))</f>
        <v>Toponym Labels</v>
      </c>
      <c r="E433" s="20" t="s">
        <v>15</v>
      </c>
      <c r="F433" s="22">
        <v>721640</v>
      </c>
      <c r="G433" s="19" t="s">
        <v>1163</v>
      </c>
      <c r="H433" s="19" t="s">
        <v>1860</v>
      </c>
      <c r="I433" s="19" t="s">
        <v>1861</v>
      </c>
      <c r="J433" s="19" t="s">
        <v>1094</v>
      </c>
      <c r="K433" s="19" t="s">
        <v>6</v>
      </c>
      <c r="L433" s="19" t="s">
        <v>1095</v>
      </c>
      <c r="M433" s="19" t="s">
        <v>1095</v>
      </c>
      <c r="N433" s="19" t="s">
        <v>1105</v>
      </c>
      <c r="R433" t="s">
        <v>1097</v>
      </c>
    </row>
    <row r="434" spans="1:18" hidden="1" x14ac:dyDescent="0.3">
      <c r="A434" s="19">
        <f t="shared" si="6"/>
        <v>433</v>
      </c>
      <c r="B434" s="20" t="s">
        <v>87</v>
      </c>
      <c r="C434" s="20" t="s">
        <v>102</v>
      </c>
      <c r="D434" s="21" t="str">
        <f>IF($C434="","",IFERROR(VLOOKUP($C434,Map_Register!$A$2:$C$5,3,FALSE()),""))</f>
        <v>Toponym Labels</v>
      </c>
      <c r="E434" s="20" t="s">
        <v>15</v>
      </c>
      <c r="F434" s="22">
        <v>721771</v>
      </c>
      <c r="G434" s="19" t="s">
        <v>1136</v>
      </c>
      <c r="H434" s="19" t="s">
        <v>1862</v>
      </c>
      <c r="I434" s="19" t="s">
        <v>1863</v>
      </c>
      <c r="J434" s="19" t="s">
        <v>1094</v>
      </c>
      <c r="K434" s="19" t="s">
        <v>6</v>
      </c>
      <c r="L434" s="19" t="s">
        <v>1095</v>
      </c>
      <c r="M434" s="19" t="s">
        <v>1095</v>
      </c>
      <c r="N434" s="19" t="s">
        <v>1105</v>
      </c>
      <c r="R434" t="s">
        <v>1097</v>
      </c>
    </row>
    <row r="435" spans="1:18" hidden="1" x14ac:dyDescent="0.3">
      <c r="A435" s="19">
        <f t="shared" si="6"/>
        <v>434</v>
      </c>
      <c r="B435" s="20" t="s">
        <v>87</v>
      </c>
      <c r="C435" s="20" t="s">
        <v>102</v>
      </c>
      <c r="D435" s="21" t="str">
        <f>IF($C435="","",IFERROR(VLOOKUP($C435,Map_Register!$A$2:$C$5,3,FALSE()),""))</f>
        <v>Toponym Labels</v>
      </c>
      <c r="E435" s="20" t="s">
        <v>15</v>
      </c>
      <c r="F435" s="22">
        <v>721772</v>
      </c>
      <c r="G435" s="19" t="s">
        <v>1163</v>
      </c>
      <c r="H435" s="19" t="s">
        <v>1864</v>
      </c>
      <c r="I435" s="19" t="s">
        <v>1864</v>
      </c>
      <c r="J435" s="19" t="s">
        <v>1110</v>
      </c>
      <c r="K435" s="19" t="s">
        <v>6</v>
      </c>
      <c r="L435" s="19" t="s">
        <v>1095</v>
      </c>
      <c r="M435" s="19" t="s">
        <v>1095</v>
      </c>
      <c r="N435" s="19" t="s">
        <v>1627</v>
      </c>
      <c r="R435" t="s">
        <v>1097</v>
      </c>
    </row>
    <row r="436" spans="1:18" hidden="1" x14ac:dyDescent="0.3">
      <c r="A436" s="19">
        <f t="shared" si="6"/>
        <v>435</v>
      </c>
      <c r="B436" s="20" t="s">
        <v>87</v>
      </c>
      <c r="C436" s="20" t="s">
        <v>102</v>
      </c>
      <c r="D436" s="21" t="str">
        <f>IF($C436="","",IFERROR(VLOOKUP($C436,Map_Register!$A$2:$C$5,3,FALSE()),""))</f>
        <v>Toponym Labels</v>
      </c>
      <c r="E436" s="20" t="s">
        <v>15</v>
      </c>
      <c r="F436" s="22">
        <v>721773</v>
      </c>
      <c r="G436" s="19" t="s">
        <v>1163</v>
      </c>
      <c r="H436" s="19" t="s">
        <v>1865</v>
      </c>
      <c r="I436" s="19" t="s">
        <v>1865</v>
      </c>
      <c r="J436" s="19" t="s">
        <v>1110</v>
      </c>
      <c r="K436" s="19" t="s">
        <v>6</v>
      </c>
      <c r="L436" s="19" t="s">
        <v>1095</v>
      </c>
      <c r="M436" s="19" t="s">
        <v>1095</v>
      </c>
      <c r="N436" s="19" t="s">
        <v>1627</v>
      </c>
      <c r="R436" t="s">
        <v>1097</v>
      </c>
    </row>
    <row r="437" spans="1:18" hidden="1" x14ac:dyDescent="0.3">
      <c r="A437" s="19">
        <f t="shared" si="6"/>
        <v>436</v>
      </c>
      <c r="B437" s="20" t="s">
        <v>87</v>
      </c>
      <c r="C437" s="20" t="s">
        <v>102</v>
      </c>
      <c r="D437" s="21" t="str">
        <f>IF($C437="","",IFERROR(VLOOKUP($C437,Map_Register!$A$2:$C$5,3,FALSE()),""))</f>
        <v>Toponym Labels</v>
      </c>
      <c r="E437" s="20" t="s">
        <v>15</v>
      </c>
      <c r="F437" s="22">
        <v>721774</v>
      </c>
      <c r="G437" s="19" t="s">
        <v>1108</v>
      </c>
      <c r="H437" s="19" t="s">
        <v>1866</v>
      </c>
      <c r="I437" s="19" t="s">
        <v>1866</v>
      </c>
      <c r="J437" s="19" t="s">
        <v>1110</v>
      </c>
      <c r="K437" s="19" t="s">
        <v>6</v>
      </c>
      <c r="L437" s="19" t="s">
        <v>1095</v>
      </c>
      <c r="M437" s="19" t="s">
        <v>1095</v>
      </c>
      <c r="N437" s="19" t="s">
        <v>1111</v>
      </c>
      <c r="R437" t="s">
        <v>1097</v>
      </c>
    </row>
    <row r="438" spans="1:18" hidden="1" x14ac:dyDescent="0.3">
      <c r="A438" s="19">
        <f t="shared" si="6"/>
        <v>437</v>
      </c>
      <c r="B438" s="20" t="s">
        <v>87</v>
      </c>
      <c r="C438" s="20" t="s">
        <v>102</v>
      </c>
      <c r="D438" s="21" t="str">
        <f>IF($C438="","",IFERROR(VLOOKUP($C438,Map_Register!$A$2:$C$5,3,FALSE()),""))</f>
        <v>Toponym Labels</v>
      </c>
      <c r="E438" s="20" t="s">
        <v>15</v>
      </c>
      <c r="F438" s="22">
        <v>721775</v>
      </c>
      <c r="G438" s="19" t="s">
        <v>1136</v>
      </c>
      <c r="H438" s="19" t="s">
        <v>1867</v>
      </c>
      <c r="I438" s="19" t="s">
        <v>1867</v>
      </c>
      <c r="J438" s="19" t="s">
        <v>1110</v>
      </c>
      <c r="K438" s="19" t="s">
        <v>6</v>
      </c>
      <c r="L438" s="19" t="s">
        <v>1095</v>
      </c>
      <c r="M438" s="19" t="s">
        <v>1095</v>
      </c>
      <c r="N438" s="19" t="s">
        <v>1406</v>
      </c>
      <c r="R438" t="s">
        <v>1097</v>
      </c>
    </row>
    <row r="439" spans="1:18" hidden="1" x14ac:dyDescent="0.3">
      <c r="A439" s="19">
        <f t="shared" si="6"/>
        <v>438</v>
      </c>
      <c r="B439" s="20" t="s">
        <v>87</v>
      </c>
      <c r="C439" s="20" t="s">
        <v>102</v>
      </c>
      <c r="D439" s="21" t="str">
        <f>IF($C439="","",IFERROR(VLOOKUP($C439,Map_Register!$A$2:$C$5,3,FALSE()),""))</f>
        <v>Toponym Labels</v>
      </c>
      <c r="E439" s="20" t="s">
        <v>15</v>
      </c>
      <c r="F439" s="22">
        <v>721776</v>
      </c>
      <c r="G439" s="19" t="s">
        <v>1136</v>
      </c>
      <c r="H439" s="19" t="s">
        <v>1868</v>
      </c>
      <c r="I439" s="19" t="s">
        <v>1868</v>
      </c>
      <c r="J439" s="19" t="s">
        <v>1110</v>
      </c>
      <c r="K439" s="19" t="s">
        <v>6</v>
      </c>
      <c r="L439" s="19" t="s">
        <v>1095</v>
      </c>
      <c r="M439" s="19" t="s">
        <v>1095</v>
      </c>
      <c r="N439" s="19" t="s">
        <v>1406</v>
      </c>
      <c r="R439" t="s">
        <v>1097</v>
      </c>
    </row>
    <row r="440" spans="1:18" hidden="1" x14ac:dyDescent="0.3">
      <c r="A440" s="19">
        <f t="shared" si="6"/>
        <v>439</v>
      </c>
      <c r="B440" s="20" t="s">
        <v>87</v>
      </c>
      <c r="C440" s="20" t="s">
        <v>102</v>
      </c>
      <c r="D440" s="21" t="str">
        <f>IF($C440="","",IFERROR(VLOOKUP($C440,Map_Register!$A$2:$C$5,3,FALSE()),""))</f>
        <v>Toponym Labels</v>
      </c>
      <c r="E440" s="20" t="s">
        <v>15</v>
      </c>
      <c r="F440" s="22">
        <v>721777</v>
      </c>
      <c r="G440" s="19" t="s">
        <v>1136</v>
      </c>
      <c r="H440" s="19" t="s">
        <v>1869</v>
      </c>
      <c r="I440" s="19" t="s">
        <v>1869</v>
      </c>
      <c r="J440" s="19" t="s">
        <v>1110</v>
      </c>
      <c r="K440" s="19" t="s">
        <v>6</v>
      </c>
      <c r="L440" s="19" t="s">
        <v>1095</v>
      </c>
      <c r="M440" s="19" t="s">
        <v>1095</v>
      </c>
      <c r="N440" s="19" t="s">
        <v>1406</v>
      </c>
      <c r="R440" t="s">
        <v>1097</v>
      </c>
    </row>
    <row r="441" spans="1:18" hidden="1" x14ac:dyDescent="0.3">
      <c r="A441" s="19">
        <f t="shared" si="6"/>
        <v>440</v>
      </c>
      <c r="B441" s="20" t="s">
        <v>87</v>
      </c>
      <c r="C441" s="20" t="s">
        <v>102</v>
      </c>
      <c r="D441" s="21" t="str">
        <f>IF($C441="","",IFERROR(VLOOKUP($C441,Map_Register!$A$2:$C$5,3,FALSE()),""))</f>
        <v>Toponym Labels</v>
      </c>
      <c r="E441" s="20" t="s">
        <v>15</v>
      </c>
      <c r="F441" s="22">
        <v>721778</v>
      </c>
      <c r="G441" s="19" t="s">
        <v>1136</v>
      </c>
      <c r="H441" s="19" t="s">
        <v>1870</v>
      </c>
      <c r="I441" s="19" t="s">
        <v>1871</v>
      </c>
      <c r="J441" s="19" t="s">
        <v>1104</v>
      </c>
      <c r="K441" s="19" t="s">
        <v>6</v>
      </c>
      <c r="L441" s="19" t="s">
        <v>1095</v>
      </c>
      <c r="M441" s="19" t="s">
        <v>1095</v>
      </c>
      <c r="N441" s="19" t="s">
        <v>1105</v>
      </c>
      <c r="R441" t="s">
        <v>1097</v>
      </c>
    </row>
    <row r="442" spans="1:18" hidden="1" x14ac:dyDescent="0.3">
      <c r="A442" s="19">
        <f t="shared" si="6"/>
        <v>441</v>
      </c>
      <c r="B442" s="20" t="s">
        <v>87</v>
      </c>
      <c r="C442" s="20" t="s">
        <v>102</v>
      </c>
      <c r="D442" s="21" t="str">
        <f>IF($C442="","",IFERROR(VLOOKUP($C442,Map_Register!$A$2:$C$5,3,FALSE()),""))</f>
        <v>Toponym Labels</v>
      </c>
      <c r="E442" s="20" t="s">
        <v>15</v>
      </c>
      <c r="F442" s="22">
        <v>721779</v>
      </c>
      <c r="G442" s="19" t="s">
        <v>1136</v>
      </c>
      <c r="H442" s="19" t="s">
        <v>1872</v>
      </c>
      <c r="I442" s="19" t="s">
        <v>1872</v>
      </c>
      <c r="J442" s="19" t="s">
        <v>1110</v>
      </c>
      <c r="K442" t="s">
        <v>1100</v>
      </c>
      <c r="L442" t="s">
        <v>114</v>
      </c>
      <c r="M442" t="s">
        <v>114</v>
      </c>
      <c r="N442" s="19" t="s">
        <v>530</v>
      </c>
      <c r="O442" s="19" t="s">
        <v>116</v>
      </c>
      <c r="R442" t="s">
        <v>1097</v>
      </c>
    </row>
    <row r="443" spans="1:18" hidden="1" x14ac:dyDescent="0.3">
      <c r="A443" s="19">
        <f t="shared" si="6"/>
        <v>442</v>
      </c>
      <c r="B443" s="20" t="s">
        <v>87</v>
      </c>
      <c r="C443" s="20" t="s">
        <v>102</v>
      </c>
      <c r="D443" s="21" t="str">
        <f>IF($C443="","",IFERROR(VLOOKUP($C443,Map_Register!$A$2:$C$5,3,FALSE()),""))</f>
        <v>Toponym Labels</v>
      </c>
      <c r="E443" s="20" t="s">
        <v>15</v>
      </c>
      <c r="F443" s="22">
        <v>721780</v>
      </c>
      <c r="G443" s="19" t="s">
        <v>1136</v>
      </c>
      <c r="H443" s="19" t="s">
        <v>1873</v>
      </c>
      <c r="I443" s="19" t="s">
        <v>1874</v>
      </c>
      <c r="J443" s="19" t="s">
        <v>1094</v>
      </c>
      <c r="K443" s="19" t="s">
        <v>6</v>
      </c>
      <c r="L443" s="19" t="s">
        <v>1095</v>
      </c>
      <c r="M443" s="19" t="s">
        <v>1095</v>
      </c>
      <c r="N443" s="19" t="s">
        <v>1105</v>
      </c>
      <c r="R443" t="s">
        <v>1097</v>
      </c>
    </row>
    <row r="444" spans="1:18" hidden="1" x14ac:dyDescent="0.3">
      <c r="A444" s="19">
        <f t="shared" si="6"/>
        <v>443</v>
      </c>
      <c r="B444" s="20" t="s">
        <v>87</v>
      </c>
      <c r="C444" s="20" t="s">
        <v>102</v>
      </c>
      <c r="D444" s="21" t="str">
        <f>IF($C444="","",IFERROR(VLOOKUP($C444,Map_Register!$A$2:$C$5,3,FALSE()),""))</f>
        <v>Toponym Labels</v>
      </c>
      <c r="E444" s="20" t="s">
        <v>15</v>
      </c>
      <c r="F444" s="22">
        <v>721781</v>
      </c>
      <c r="G444" s="19" t="s">
        <v>1125</v>
      </c>
      <c r="H444" s="19" t="s">
        <v>1875</v>
      </c>
      <c r="I444" s="19" t="s">
        <v>1876</v>
      </c>
      <c r="J444" s="19" t="s">
        <v>1104</v>
      </c>
      <c r="K444" s="19" t="s">
        <v>6</v>
      </c>
      <c r="L444" s="19" t="s">
        <v>1095</v>
      </c>
      <c r="M444" s="19" t="s">
        <v>1095</v>
      </c>
      <c r="N444" s="19" t="s">
        <v>1105</v>
      </c>
      <c r="R444" t="s">
        <v>1097</v>
      </c>
    </row>
    <row r="445" spans="1:18" hidden="1" x14ac:dyDescent="0.3">
      <c r="A445" s="19">
        <f t="shared" si="6"/>
        <v>444</v>
      </c>
      <c r="B445" s="20" t="s">
        <v>87</v>
      </c>
      <c r="C445" s="20" t="s">
        <v>102</v>
      </c>
      <c r="D445" s="21" t="str">
        <f>IF($C445="","",IFERROR(VLOOKUP($C445,Map_Register!$A$2:$C$5,3,FALSE()),""))</f>
        <v>Toponym Labels</v>
      </c>
      <c r="E445" s="20" t="s">
        <v>15</v>
      </c>
      <c r="F445" s="22">
        <v>721782</v>
      </c>
      <c r="G445" s="19" t="s">
        <v>1163</v>
      </c>
      <c r="H445" s="19" t="s">
        <v>1877</v>
      </c>
      <c r="I445" s="19" t="s">
        <v>1878</v>
      </c>
      <c r="J445" s="19" t="s">
        <v>1094</v>
      </c>
      <c r="K445" s="19" t="s">
        <v>6</v>
      </c>
      <c r="L445" s="19" t="s">
        <v>1095</v>
      </c>
      <c r="M445" s="19" t="s">
        <v>1095</v>
      </c>
      <c r="N445" s="19" t="s">
        <v>1105</v>
      </c>
      <c r="R445" t="s">
        <v>1097</v>
      </c>
    </row>
    <row r="446" spans="1:18" hidden="1" x14ac:dyDescent="0.3">
      <c r="A446" s="19">
        <f t="shared" si="6"/>
        <v>445</v>
      </c>
      <c r="B446" s="20" t="s">
        <v>87</v>
      </c>
      <c r="C446" s="20" t="s">
        <v>102</v>
      </c>
      <c r="D446" s="21" t="str">
        <f>IF($C446="","",IFERROR(VLOOKUP($C446,Map_Register!$A$2:$C$5,3,FALSE()),""))</f>
        <v>Toponym Labels</v>
      </c>
      <c r="E446" s="20" t="s">
        <v>15</v>
      </c>
      <c r="F446" s="22">
        <v>721783</v>
      </c>
      <c r="G446" s="19" t="s">
        <v>1136</v>
      </c>
      <c r="H446" s="19" t="s">
        <v>1879</v>
      </c>
      <c r="I446" s="19" t="s">
        <v>1880</v>
      </c>
      <c r="J446" s="19" t="s">
        <v>1104</v>
      </c>
      <c r="K446" s="19" t="s">
        <v>6</v>
      </c>
      <c r="L446" s="19" t="s">
        <v>1095</v>
      </c>
      <c r="M446" s="19" t="s">
        <v>1095</v>
      </c>
      <c r="N446" s="19" t="s">
        <v>1105</v>
      </c>
      <c r="R446" t="s">
        <v>1097</v>
      </c>
    </row>
    <row r="447" spans="1:18" hidden="1" x14ac:dyDescent="0.3">
      <c r="A447" s="19">
        <f t="shared" si="6"/>
        <v>446</v>
      </c>
      <c r="B447" s="20" t="s">
        <v>87</v>
      </c>
      <c r="C447" s="20" t="s">
        <v>102</v>
      </c>
      <c r="D447" s="21" t="str">
        <f>IF($C447="","",IFERROR(VLOOKUP($C447,Map_Register!$A$2:$C$5,3,FALSE()),""))</f>
        <v>Toponym Labels</v>
      </c>
      <c r="E447" s="20" t="s">
        <v>15</v>
      </c>
      <c r="F447" s="22">
        <v>721784</v>
      </c>
      <c r="G447" s="19" t="s">
        <v>1163</v>
      </c>
      <c r="H447" s="19" t="s">
        <v>1881</v>
      </c>
      <c r="I447" s="19" t="s">
        <v>1882</v>
      </c>
      <c r="J447" s="19" t="s">
        <v>1094</v>
      </c>
      <c r="K447" s="19" t="s">
        <v>6</v>
      </c>
      <c r="L447" s="19" t="s">
        <v>1095</v>
      </c>
      <c r="M447" s="19" t="s">
        <v>1095</v>
      </c>
      <c r="N447" s="19" t="s">
        <v>1105</v>
      </c>
      <c r="R447" t="s">
        <v>1097</v>
      </c>
    </row>
    <row r="448" spans="1:18" hidden="1" x14ac:dyDescent="0.3">
      <c r="A448" s="19">
        <f t="shared" si="6"/>
        <v>447</v>
      </c>
      <c r="B448" s="20" t="s">
        <v>87</v>
      </c>
      <c r="C448" s="20" t="s">
        <v>102</v>
      </c>
      <c r="D448" s="21" t="str">
        <f>IF($C448="","",IFERROR(VLOOKUP($C448,Map_Register!$A$2:$C$5,3,FALSE()),""))</f>
        <v>Toponym Labels</v>
      </c>
      <c r="E448" s="20" t="s">
        <v>15</v>
      </c>
      <c r="F448" s="22">
        <v>721785</v>
      </c>
      <c r="G448" s="19" t="s">
        <v>1125</v>
      </c>
      <c r="H448" s="19" t="s">
        <v>1883</v>
      </c>
      <c r="I448" s="19" t="s">
        <v>1884</v>
      </c>
      <c r="J448" s="19" t="s">
        <v>1094</v>
      </c>
      <c r="K448" s="19" t="s">
        <v>6</v>
      </c>
      <c r="L448" s="19" t="s">
        <v>1095</v>
      </c>
      <c r="M448" s="19" t="s">
        <v>1095</v>
      </c>
      <c r="N448" s="19" t="s">
        <v>1105</v>
      </c>
      <c r="R448" t="s">
        <v>1097</v>
      </c>
    </row>
    <row r="449" spans="1:18" hidden="1" x14ac:dyDescent="0.3">
      <c r="A449" s="19">
        <f t="shared" si="6"/>
        <v>448</v>
      </c>
      <c r="B449" s="20" t="s">
        <v>87</v>
      </c>
      <c r="C449" s="20" t="s">
        <v>102</v>
      </c>
      <c r="D449" s="21" t="str">
        <f>IF($C449="","",IFERROR(VLOOKUP($C449,Map_Register!$A$2:$C$5,3,FALSE()),""))</f>
        <v>Toponym Labels</v>
      </c>
      <c r="E449" s="20" t="s">
        <v>15</v>
      </c>
      <c r="F449" s="22">
        <v>721786</v>
      </c>
      <c r="G449" s="19" t="s">
        <v>1136</v>
      </c>
      <c r="H449" s="19" t="s">
        <v>1885</v>
      </c>
      <c r="I449" s="19" t="s">
        <v>1886</v>
      </c>
      <c r="J449" s="19" t="s">
        <v>1104</v>
      </c>
      <c r="K449" t="s">
        <v>1100</v>
      </c>
      <c r="L449" t="s">
        <v>114</v>
      </c>
      <c r="M449" t="s">
        <v>114</v>
      </c>
      <c r="N449" s="19" t="s">
        <v>530</v>
      </c>
      <c r="O449" s="19" t="s">
        <v>116</v>
      </c>
      <c r="R449" t="s">
        <v>1097</v>
      </c>
    </row>
    <row r="450" spans="1:18" hidden="1" x14ac:dyDescent="0.3">
      <c r="A450" s="19">
        <f t="shared" ref="A450:A513" si="7">IF($B450="","",ROW()-1)</f>
        <v>449</v>
      </c>
      <c r="B450" s="20" t="s">
        <v>87</v>
      </c>
      <c r="C450" s="20" t="s">
        <v>102</v>
      </c>
      <c r="D450" s="21" t="str">
        <f>IF($C450="","",IFERROR(VLOOKUP($C450,Map_Register!$A$2:$C$5,3,FALSE()),""))</f>
        <v>Toponym Labels</v>
      </c>
      <c r="E450" s="20" t="s">
        <v>15</v>
      </c>
      <c r="F450" s="22">
        <v>721787</v>
      </c>
      <c r="G450" s="19" t="s">
        <v>1163</v>
      </c>
      <c r="H450" s="19" t="s">
        <v>1887</v>
      </c>
      <c r="I450" s="19" t="s">
        <v>1888</v>
      </c>
      <c r="J450" s="19" t="s">
        <v>1094</v>
      </c>
      <c r="K450" s="19" t="s">
        <v>6</v>
      </c>
      <c r="L450" s="19" t="s">
        <v>1095</v>
      </c>
      <c r="M450" s="19" t="s">
        <v>1095</v>
      </c>
      <c r="N450" s="19" t="s">
        <v>1105</v>
      </c>
      <c r="R450" t="s">
        <v>1097</v>
      </c>
    </row>
    <row r="451" spans="1:18" hidden="1" x14ac:dyDescent="0.3">
      <c r="A451" s="19">
        <f t="shared" si="7"/>
        <v>450</v>
      </c>
      <c r="B451" s="20" t="s">
        <v>87</v>
      </c>
      <c r="C451" s="20" t="s">
        <v>102</v>
      </c>
      <c r="D451" s="21" t="str">
        <f>IF($C451="","",IFERROR(VLOOKUP($C451,Map_Register!$A$2:$C$5,3,FALSE()),""))</f>
        <v>Toponym Labels</v>
      </c>
      <c r="E451" s="20" t="s">
        <v>15</v>
      </c>
      <c r="F451" s="22">
        <v>721788</v>
      </c>
      <c r="G451" s="19" t="s">
        <v>1091</v>
      </c>
      <c r="H451" s="19" t="s">
        <v>1889</v>
      </c>
      <c r="I451" s="19" t="s">
        <v>1890</v>
      </c>
      <c r="J451" s="19" t="s">
        <v>1094</v>
      </c>
      <c r="K451" t="s">
        <v>1100</v>
      </c>
      <c r="L451" t="s">
        <v>114</v>
      </c>
      <c r="M451" t="s">
        <v>114</v>
      </c>
      <c r="N451" s="19" t="s">
        <v>530</v>
      </c>
      <c r="O451" s="19" t="s">
        <v>116</v>
      </c>
      <c r="R451" t="s">
        <v>1097</v>
      </c>
    </row>
    <row r="452" spans="1:18" x14ac:dyDescent="0.3">
      <c r="A452" s="19">
        <f t="shared" si="7"/>
        <v>451</v>
      </c>
      <c r="B452" s="20" t="s">
        <v>87</v>
      </c>
      <c r="C452" s="20" t="s">
        <v>102</v>
      </c>
      <c r="D452" s="21" t="str">
        <f>IF($C452="","",IFERROR(VLOOKUP($C452,Map_Register!$A$2:$C$5,3,FALSE()),""))</f>
        <v>Toponym Labels</v>
      </c>
      <c r="E452" s="20" t="s">
        <v>15</v>
      </c>
      <c r="F452" s="22">
        <v>721789</v>
      </c>
      <c r="G452" s="19" t="s">
        <v>1125</v>
      </c>
      <c r="H452" s="19" t="s">
        <v>1891</v>
      </c>
      <c r="I452" s="19" t="s">
        <v>1892</v>
      </c>
      <c r="J452" s="19" t="s">
        <v>1094</v>
      </c>
      <c r="K452" t="s">
        <v>1100</v>
      </c>
      <c r="L452" t="s">
        <v>114</v>
      </c>
      <c r="M452" t="s">
        <v>116</v>
      </c>
      <c r="N452" s="19" t="s">
        <v>1268</v>
      </c>
      <c r="O452" s="19" t="s">
        <v>116</v>
      </c>
      <c r="R452" t="s">
        <v>1097</v>
      </c>
    </row>
    <row r="453" spans="1:18" hidden="1" x14ac:dyDescent="0.3">
      <c r="A453" s="19">
        <f t="shared" si="7"/>
        <v>452</v>
      </c>
      <c r="B453" s="20" t="s">
        <v>87</v>
      </c>
      <c r="C453" s="20" t="s">
        <v>102</v>
      </c>
      <c r="D453" s="21" t="str">
        <f>IF($C453="","",IFERROR(VLOOKUP($C453,Map_Register!$A$2:$C$5,3,FALSE()),""))</f>
        <v>Toponym Labels</v>
      </c>
      <c r="E453" s="20" t="s">
        <v>15</v>
      </c>
      <c r="F453" s="22">
        <v>721790</v>
      </c>
      <c r="G453" s="19" t="s">
        <v>1145</v>
      </c>
      <c r="H453" s="19" t="s">
        <v>1893</v>
      </c>
      <c r="I453" s="19" t="s">
        <v>1894</v>
      </c>
      <c r="J453" s="19" t="s">
        <v>1104</v>
      </c>
      <c r="K453" s="19" t="s">
        <v>6</v>
      </c>
      <c r="L453" s="19" t="s">
        <v>1095</v>
      </c>
      <c r="M453" s="19" t="s">
        <v>1095</v>
      </c>
      <c r="N453" s="19" t="s">
        <v>1895</v>
      </c>
      <c r="R453" t="s">
        <v>1097</v>
      </c>
    </row>
    <row r="454" spans="1:18" hidden="1" x14ac:dyDescent="0.3">
      <c r="A454" s="19">
        <f t="shared" si="7"/>
        <v>453</v>
      </c>
      <c r="B454" s="20" t="s">
        <v>87</v>
      </c>
      <c r="C454" s="20" t="s">
        <v>102</v>
      </c>
      <c r="D454" s="21" t="str">
        <f>IF($C454="","",IFERROR(VLOOKUP($C454,Map_Register!$A$2:$C$5,3,FALSE()),""))</f>
        <v>Toponym Labels</v>
      </c>
      <c r="E454" s="20" t="s">
        <v>15</v>
      </c>
      <c r="F454" s="22">
        <v>721791</v>
      </c>
      <c r="G454" s="19" t="s">
        <v>1125</v>
      </c>
      <c r="H454" s="19" t="s">
        <v>1896</v>
      </c>
      <c r="I454" s="19" t="s">
        <v>1897</v>
      </c>
      <c r="J454" s="19" t="s">
        <v>1104</v>
      </c>
      <c r="K454" s="19" t="s">
        <v>6</v>
      </c>
      <c r="L454" s="19" t="s">
        <v>1095</v>
      </c>
      <c r="M454" s="19" t="s">
        <v>1095</v>
      </c>
      <c r="N454" s="19" t="s">
        <v>1105</v>
      </c>
      <c r="R454" t="s">
        <v>1097</v>
      </c>
    </row>
    <row r="455" spans="1:18" hidden="1" x14ac:dyDescent="0.3">
      <c r="A455" s="19">
        <f t="shared" si="7"/>
        <v>454</v>
      </c>
      <c r="B455" s="20" t="s">
        <v>87</v>
      </c>
      <c r="C455" s="20" t="s">
        <v>102</v>
      </c>
      <c r="D455" s="21" t="str">
        <f>IF($C455="","",IFERROR(VLOOKUP($C455,Map_Register!$A$2:$C$5,3,FALSE()),""))</f>
        <v>Toponym Labels</v>
      </c>
      <c r="E455" s="20" t="s">
        <v>15</v>
      </c>
      <c r="F455" s="22">
        <v>721792</v>
      </c>
      <c r="G455" s="19" t="s">
        <v>1108</v>
      </c>
      <c r="H455" s="19" t="s">
        <v>1898</v>
      </c>
      <c r="I455" s="19" t="s">
        <v>1899</v>
      </c>
      <c r="J455" s="19" t="s">
        <v>1094</v>
      </c>
      <c r="K455" s="19" t="s">
        <v>6</v>
      </c>
      <c r="L455" s="19" t="s">
        <v>1095</v>
      </c>
      <c r="M455" s="19" t="s">
        <v>1095</v>
      </c>
      <c r="N455" s="19" t="s">
        <v>1105</v>
      </c>
      <c r="R455" t="s">
        <v>1097</v>
      </c>
    </row>
    <row r="456" spans="1:18" hidden="1" x14ac:dyDescent="0.3">
      <c r="A456" s="19">
        <f t="shared" si="7"/>
        <v>455</v>
      </c>
      <c r="B456" s="20" t="s">
        <v>87</v>
      </c>
      <c r="C456" s="20" t="s">
        <v>102</v>
      </c>
      <c r="D456" s="21" t="str">
        <f>IF($C456="","",IFERROR(VLOOKUP($C456,Map_Register!$A$2:$C$5,3,FALSE()),""))</f>
        <v>Toponym Labels</v>
      </c>
      <c r="E456" s="20" t="s">
        <v>15</v>
      </c>
      <c r="F456" s="22">
        <v>721793</v>
      </c>
      <c r="G456" s="19" t="s">
        <v>1136</v>
      </c>
      <c r="H456" s="19" t="s">
        <v>1900</v>
      </c>
      <c r="I456" s="19" t="s">
        <v>1900</v>
      </c>
      <c r="J456" s="19" t="s">
        <v>1110</v>
      </c>
      <c r="K456" s="19" t="s">
        <v>6</v>
      </c>
      <c r="L456" s="19" t="s">
        <v>1095</v>
      </c>
      <c r="M456" s="19" t="s">
        <v>1095</v>
      </c>
      <c r="N456" s="19" t="s">
        <v>1406</v>
      </c>
      <c r="R456" t="s">
        <v>1097</v>
      </c>
    </row>
    <row r="457" spans="1:18" hidden="1" x14ac:dyDescent="0.3">
      <c r="A457" s="19">
        <f t="shared" si="7"/>
        <v>456</v>
      </c>
      <c r="B457" s="20" t="s">
        <v>87</v>
      </c>
      <c r="C457" s="20" t="s">
        <v>102</v>
      </c>
      <c r="D457" s="21" t="str">
        <f>IF($C457="","",IFERROR(VLOOKUP($C457,Map_Register!$A$2:$C$5,3,FALSE()),""))</f>
        <v>Toponym Labels</v>
      </c>
      <c r="E457" s="20" t="s">
        <v>15</v>
      </c>
      <c r="F457" s="22">
        <v>721794</v>
      </c>
      <c r="G457" s="19" t="s">
        <v>1091</v>
      </c>
      <c r="H457" s="19" t="s">
        <v>1901</v>
      </c>
      <c r="I457" s="19" t="s">
        <v>1901</v>
      </c>
      <c r="J457" s="19" t="s">
        <v>1117</v>
      </c>
      <c r="K457" s="19" t="s">
        <v>6</v>
      </c>
      <c r="L457" s="19" t="s">
        <v>1095</v>
      </c>
      <c r="M457" s="19" t="s">
        <v>1095</v>
      </c>
      <c r="N457" s="19" t="s">
        <v>1300</v>
      </c>
      <c r="R457" t="s">
        <v>1097</v>
      </c>
    </row>
    <row r="458" spans="1:18" hidden="1" x14ac:dyDescent="0.3">
      <c r="A458" s="19">
        <f t="shared" si="7"/>
        <v>457</v>
      </c>
      <c r="B458" s="20" t="s">
        <v>87</v>
      </c>
      <c r="C458" s="20" t="s">
        <v>102</v>
      </c>
      <c r="D458" s="21" t="str">
        <f>IF($C458="","",IFERROR(VLOOKUP($C458,Map_Register!$A$2:$C$5,3,FALSE()),""))</f>
        <v>Toponym Labels</v>
      </c>
      <c r="E458" s="20" t="s">
        <v>15</v>
      </c>
      <c r="F458" s="22">
        <v>721795</v>
      </c>
      <c r="G458" s="19" t="s">
        <v>1145</v>
      </c>
      <c r="H458" s="19" t="s">
        <v>1902</v>
      </c>
      <c r="I458" s="19" t="s">
        <v>1903</v>
      </c>
      <c r="J458" s="19" t="s">
        <v>1104</v>
      </c>
      <c r="K458" s="19" t="s">
        <v>6</v>
      </c>
      <c r="L458" s="19" t="s">
        <v>1095</v>
      </c>
      <c r="M458" s="19" t="s">
        <v>1095</v>
      </c>
      <c r="N458" s="19" t="s">
        <v>1105</v>
      </c>
      <c r="R458" t="s">
        <v>1097</v>
      </c>
    </row>
    <row r="459" spans="1:18" hidden="1" x14ac:dyDescent="0.3">
      <c r="A459" s="19">
        <f t="shared" si="7"/>
        <v>458</v>
      </c>
      <c r="B459" s="20" t="s">
        <v>87</v>
      </c>
      <c r="C459" s="20" t="s">
        <v>102</v>
      </c>
      <c r="D459" s="21" t="str">
        <f>IF($C459="","",IFERROR(VLOOKUP($C459,Map_Register!$A$2:$C$5,3,FALSE()),""))</f>
        <v>Toponym Labels</v>
      </c>
      <c r="E459" s="20" t="s">
        <v>15</v>
      </c>
      <c r="F459" s="22">
        <v>721796</v>
      </c>
      <c r="G459" s="19" t="s">
        <v>1309</v>
      </c>
      <c r="H459" s="19" t="s">
        <v>1904</v>
      </c>
      <c r="I459" s="19" t="s">
        <v>1904</v>
      </c>
      <c r="J459" s="19" t="s">
        <v>1110</v>
      </c>
      <c r="K459" s="19" t="s">
        <v>6</v>
      </c>
      <c r="L459" s="19" t="s">
        <v>1095</v>
      </c>
      <c r="M459" s="19" t="s">
        <v>1095</v>
      </c>
      <c r="N459" s="19" t="s">
        <v>1905</v>
      </c>
      <c r="R459" t="s">
        <v>1097</v>
      </c>
    </row>
    <row r="460" spans="1:18" hidden="1" x14ac:dyDescent="0.3">
      <c r="A460" s="19">
        <f t="shared" si="7"/>
        <v>459</v>
      </c>
      <c r="B460" s="20" t="s">
        <v>87</v>
      </c>
      <c r="C460" s="20" t="s">
        <v>102</v>
      </c>
      <c r="D460" s="21" t="str">
        <f>IF($C460="","",IFERROR(VLOOKUP($C460,Map_Register!$A$2:$C$5,3,FALSE()),""))</f>
        <v>Toponym Labels</v>
      </c>
      <c r="E460" s="20" t="s">
        <v>15</v>
      </c>
      <c r="F460" s="22">
        <v>721797</v>
      </c>
      <c r="G460" s="19" t="s">
        <v>1125</v>
      </c>
      <c r="H460" s="19" t="s">
        <v>1906</v>
      </c>
      <c r="I460" s="19" t="s">
        <v>1906</v>
      </c>
      <c r="J460" s="19" t="s">
        <v>1117</v>
      </c>
      <c r="K460" t="s">
        <v>1100</v>
      </c>
      <c r="L460" s="19" t="s">
        <v>114</v>
      </c>
      <c r="M460" s="19" t="s">
        <v>114</v>
      </c>
      <c r="N460" s="19" t="s">
        <v>1907</v>
      </c>
      <c r="O460" s="19" t="s">
        <v>116</v>
      </c>
      <c r="R460" t="s">
        <v>1097</v>
      </c>
    </row>
    <row r="461" spans="1:18" hidden="1" x14ac:dyDescent="0.3">
      <c r="A461" s="19">
        <f t="shared" si="7"/>
        <v>460</v>
      </c>
      <c r="B461" s="20" t="s">
        <v>87</v>
      </c>
      <c r="C461" s="20" t="s">
        <v>102</v>
      </c>
      <c r="D461" s="21" t="str">
        <f>IF($C461="","",IFERROR(VLOOKUP($C461,Map_Register!$A$2:$C$5,3,FALSE()),""))</f>
        <v>Toponym Labels</v>
      </c>
      <c r="E461" s="20" t="s">
        <v>15</v>
      </c>
      <c r="F461" s="22">
        <v>721798</v>
      </c>
      <c r="G461" s="19" t="s">
        <v>1091</v>
      </c>
      <c r="H461" s="19" t="s">
        <v>1908</v>
      </c>
      <c r="I461" s="19" t="s">
        <v>1908</v>
      </c>
      <c r="J461" s="19" t="s">
        <v>1110</v>
      </c>
      <c r="K461" s="19" t="s">
        <v>6</v>
      </c>
      <c r="L461" s="19" t="s">
        <v>1095</v>
      </c>
      <c r="M461" s="19" t="s">
        <v>1095</v>
      </c>
      <c r="N461" s="19" t="s">
        <v>1300</v>
      </c>
      <c r="R461" t="s">
        <v>1097</v>
      </c>
    </row>
    <row r="462" spans="1:18" hidden="1" x14ac:dyDescent="0.3">
      <c r="A462" s="19">
        <f t="shared" si="7"/>
        <v>461</v>
      </c>
      <c r="B462" s="20" t="s">
        <v>87</v>
      </c>
      <c r="C462" s="20" t="s">
        <v>102</v>
      </c>
      <c r="D462" s="21" t="str">
        <f>IF($C462="","",IFERROR(VLOOKUP($C462,Map_Register!$A$2:$C$5,3,FALSE()),""))</f>
        <v>Toponym Labels</v>
      </c>
      <c r="E462" s="20" t="s">
        <v>15</v>
      </c>
      <c r="F462" s="22">
        <v>721799</v>
      </c>
      <c r="G462" s="19" t="s">
        <v>1136</v>
      </c>
      <c r="H462" s="19" t="s">
        <v>1909</v>
      </c>
      <c r="I462" s="19" t="s">
        <v>1910</v>
      </c>
      <c r="J462" s="19" t="s">
        <v>1104</v>
      </c>
      <c r="K462" t="s">
        <v>1100</v>
      </c>
      <c r="L462" t="s">
        <v>114</v>
      </c>
      <c r="M462" t="s">
        <v>114</v>
      </c>
      <c r="N462" s="19" t="s">
        <v>530</v>
      </c>
      <c r="O462" s="19" t="s">
        <v>116</v>
      </c>
      <c r="R462" t="s">
        <v>1097</v>
      </c>
    </row>
    <row r="463" spans="1:18" hidden="1" x14ac:dyDescent="0.3">
      <c r="A463" s="19">
        <f t="shared" si="7"/>
        <v>462</v>
      </c>
      <c r="B463" s="20" t="s">
        <v>87</v>
      </c>
      <c r="C463" s="20" t="s">
        <v>102</v>
      </c>
      <c r="D463" s="21" t="str">
        <f>IF($C463="","",IFERROR(VLOOKUP($C463,Map_Register!$A$2:$C$5,3,FALSE()),""))</f>
        <v>Toponym Labels</v>
      </c>
      <c r="E463" s="20" t="s">
        <v>15</v>
      </c>
      <c r="F463" s="22">
        <v>721800</v>
      </c>
      <c r="G463" s="19" t="s">
        <v>1091</v>
      </c>
      <c r="H463" s="19" t="s">
        <v>1911</v>
      </c>
      <c r="I463" s="19" t="s">
        <v>1912</v>
      </c>
      <c r="J463" s="19" t="s">
        <v>1104</v>
      </c>
      <c r="K463" s="19" t="s">
        <v>6</v>
      </c>
      <c r="L463" s="19" t="s">
        <v>1095</v>
      </c>
      <c r="M463" s="19" t="s">
        <v>1095</v>
      </c>
      <c r="N463" s="19" t="s">
        <v>1105</v>
      </c>
      <c r="R463" t="s">
        <v>1097</v>
      </c>
    </row>
    <row r="464" spans="1:18" hidden="1" x14ac:dyDescent="0.3">
      <c r="A464" s="19">
        <f t="shared" si="7"/>
        <v>463</v>
      </c>
      <c r="B464" s="20" t="s">
        <v>87</v>
      </c>
      <c r="C464" s="20" t="s">
        <v>102</v>
      </c>
      <c r="D464" s="21" t="str">
        <f>IF($C464="","",IFERROR(VLOOKUP($C464,Map_Register!$A$2:$C$5,3,FALSE()),""))</f>
        <v>Toponym Labels</v>
      </c>
      <c r="E464" s="20" t="s">
        <v>15</v>
      </c>
      <c r="F464" s="22">
        <v>721801</v>
      </c>
      <c r="G464" s="19" t="s">
        <v>1136</v>
      </c>
      <c r="H464" s="19" t="s">
        <v>1913</v>
      </c>
      <c r="I464" s="19" t="s">
        <v>1914</v>
      </c>
      <c r="J464" s="19" t="s">
        <v>1094</v>
      </c>
      <c r="K464" s="19" t="s">
        <v>6</v>
      </c>
      <c r="L464" s="19" t="s">
        <v>1095</v>
      </c>
      <c r="M464" s="19" t="s">
        <v>1095</v>
      </c>
      <c r="N464" s="19" t="s">
        <v>1105</v>
      </c>
      <c r="R464" t="s">
        <v>1097</v>
      </c>
    </row>
    <row r="465" spans="1:18" hidden="1" x14ac:dyDescent="0.3">
      <c r="A465" s="19">
        <f t="shared" si="7"/>
        <v>464</v>
      </c>
      <c r="B465" s="20" t="s">
        <v>87</v>
      </c>
      <c r="C465" s="20" t="s">
        <v>102</v>
      </c>
      <c r="D465" s="21" t="str">
        <f>IF($C465="","",IFERROR(VLOOKUP($C465,Map_Register!$A$2:$C$5,3,FALSE()),""))</f>
        <v>Toponym Labels</v>
      </c>
      <c r="E465" s="20" t="s">
        <v>15</v>
      </c>
      <c r="F465" s="22">
        <v>721802</v>
      </c>
      <c r="G465" s="19" t="s">
        <v>1136</v>
      </c>
      <c r="H465" s="19" t="s">
        <v>1915</v>
      </c>
      <c r="I465" s="19" t="s">
        <v>1916</v>
      </c>
      <c r="J465" s="19" t="s">
        <v>1094</v>
      </c>
      <c r="K465" s="19" t="s">
        <v>6</v>
      </c>
      <c r="L465" s="19" t="s">
        <v>1095</v>
      </c>
      <c r="M465" s="19" t="s">
        <v>1095</v>
      </c>
      <c r="N465" s="19" t="s">
        <v>1105</v>
      </c>
      <c r="R465" t="s">
        <v>1097</v>
      </c>
    </row>
    <row r="466" spans="1:18" hidden="1" x14ac:dyDescent="0.3">
      <c r="A466" s="19">
        <f t="shared" si="7"/>
        <v>465</v>
      </c>
      <c r="B466" s="20" t="s">
        <v>87</v>
      </c>
      <c r="C466" s="20" t="s">
        <v>102</v>
      </c>
      <c r="D466" s="21" t="str">
        <f>IF($C466="","",IFERROR(VLOOKUP($C466,Map_Register!$A$2:$C$5,3,FALSE()),""))</f>
        <v>Toponym Labels</v>
      </c>
      <c r="E466" s="20" t="s">
        <v>15</v>
      </c>
      <c r="F466" s="22">
        <v>721803</v>
      </c>
      <c r="G466" s="19" t="s">
        <v>1179</v>
      </c>
      <c r="H466" s="19" t="s">
        <v>1917</v>
      </c>
      <c r="I466" s="19" t="s">
        <v>1918</v>
      </c>
      <c r="J466" s="19" t="s">
        <v>1094</v>
      </c>
      <c r="K466" t="s">
        <v>1100</v>
      </c>
      <c r="L466" t="s">
        <v>114</v>
      </c>
      <c r="M466" t="s">
        <v>114</v>
      </c>
      <c r="N466" s="19" t="s">
        <v>1184</v>
      </c>
      <c r="O466" s="19" t="s">
        <v>116</v>
      </c>
      <c r="R466" t="s">
        <v>1097</v>
      </c>
    </row>
    <row r="467" spans="1:18" hidden="1" x14ac:dyDescent="0.3">
      <c r="A467" s="19">
        <f t="shared" si="7"/>
        <v>466</v>
      </c>
      <c r="B467" s="20" t="s">
        <v>87</v>
      </c>
      <c r="C467" s="20" t="s">
        <v>102</v>
      </c>
      <c r="D467" s="21" t="str">
        <f>IF($C467="","",IFERROR(VLOOKUP($C467,Map_Register!$A$2:$C$5,3,FALSE()),""))</f>
        <v>Toponym Labels</v>
      </c>
      <c r="E467" s="20" t="s">
        <v>15</v>
      </c>
      <c r="F467" s="22">
        <v>721804</v>
      </c>
      <c r="G467" s="19" t="s">
        <v>1179</v>
      </c>
      <c r="H467" s="19" t="s">
        <v>1919</v>
      </c>
      <c r="I467" s="19" t="s">
        <v>1920</v>
      </c>
      <c r="J467" s="19" t="s">
        <v>1094</v>
      </c>
      <c r="K467" t="s">
        <v>1100</v>
      </c>
      <c r="L467" t="s">
        <v>114</v>
      </c>
      <c r="M467" t="s">
        <v>114</v>
      </c>
      <c r="N467" s="19" t="s">
        <v>1184</v>
      </c>
      <c r="O467" s="19" t="s">
        <v>116</v>
      </c>
      <c r="R467" t="s">
        <v>1097</v>
      </c>
    </row>
    <row r="468" spans="1:18" hidden="1" x14ac:dyDescent="0.3">
      <c r="A468" s="19">
        <f t="shared" si="7"/>
        <v>467</v>
      </c>
      <c r="B468" s="20" t="s">
        <v>87</v>
      </c>
      <c r="C468" s="20" t="s">
        <v>102</v>
      </c>
      <c r="D468" s="21" t="str">
        <f>IF($C468="","",IFERROR(VLOOKUP($C468,Map_Register!$A$2:$C$5,3,FALSE()),""))</f>
        <v>Toponym Labels</v>
      </c>
      <c r="E468" s="20" t="s">
        <v>15</v>
      </c>
      <c r="F468" s="22">
        <v>721805</v>
      </c>
      <c r="G468" s="19" t="s">
        <v>1179</v>
      </c>
      <c r="H468" s="19" t="s">
        <v>1921</v>
      </c>
      <c r="I468" s="19" t="s">
        <v>1921</v>
      </c>
      <c r="J468" s="19" t="s">
        <v>1110</v>
      </c>
      <c r="K468" s="19" t="s">
        <v>6</v>
      </c>
      <c r="L468" s="19" t="s">
        <v>1095</v>
      </c>
      <c r="M468" s="19" t="s">
        <v>1095</v>
      </c>
      <c r="N468" s="19" t="s">
        <v>1502</v>
      </c>
      <c r="R468" t="s">
        <v>1097</v>
      </c>
    </row>
    <row r="469" spans="1:18" hidden="1" x14ac:dyDescent="0.3">
      <c r="A469" s="19">
        <f t="shared" si="7"/>
        <v>468</v>
      </c>
      <c r="B469" s="20" t="s">
        <v>87</v>
      </c>
      <c r="C469" s="20" t="s">
        <v>102</v>
      </c>
      <c r="D469" s="21" t="str">
        <f>IF($C469="","",IFERROR(VLOOKUP($C469,Map_Register!$A$2:$C$5,3,FALSE()),""))</f>
        <v>Toponym Labels</v>
      </c>
      <c r="E469" s="20" t="s">
        <v>15</v>
      </c>
      <c r="F469" s="22">
        <v>721806</v>
      </c>
      <c r="G469" s="19" t="s">
        <v>1179</v>
      </c>
      <c r="H469" s="19" t="s">
        <v>1922</v>
      </c>
      <c r="I469" s="19" t="s">
        <v>1922</v>
      </c>
      <c r="J469" s="19" t="s">
        <v>1110</v>
      </c>
      <c r="K469" s="19" t="s">
        <v>6</v>
      </c>
      <c r="L469" s="19" t="s">
        <v>1095</v>
      </c>
      <c r="M469" s="19" t="s">
        <v>1095</v>
      </c>
      <c r="N469" s="19" t="s">
        <v>1502</v>
      </c>
      <c r="R469" t="s">
        <v>1097</v>
      </c>
    </row>
    <row r="470" spans="1:18" hidden="1" x14ac:dyDescent="0.3">
      <c r="A470" s="19">
        <f t="shared" si="7"/>
        <v>469</v>
      </c>
      <c r="B470" s="20" t="s">
        <v>87</v>
      </c>
      <c r="C470" s="20" t="s">
        <v>102</v>
      </c>
      <c r="D470" s="21" t="str">
        <f>IF($C470="","",IFERROR(VLOOKUP($C470,Map_Register!$A$2:$C$5,3,FALSE()),""))</f>
        <v>Toponym Labels</v>
      </c>
      <c r="E470" s="20" t="s">
        <v>15</v>
      </c>
      <c r="F470" s="22">
        <v>721807</v>
      </c>
      <c r="G470" s="19" t="s">
        <v>1179</v>
      </c>
      <c r="H470" s="19" t="s">
        <v>1923</v>
      </c>
      <c r="I470" s="19" t="s">
        <v>1924</v>
      </c>
      <c r="J470" s="19" t="s">
        <v>1104</v>
      </c>
      <c r="K470" s="19" t="s">
        <v>6</v>
      </c>
      <c r="L470" s="19" t="s">
        <v>1095</v>
      </c>
      <c r="M470" s="19" t="s">
        <v>1095</v>
      </c>
      <c r="N470" s="19" t="s">
        <v>1105</v>
      </c>
      <c r="R470" t="s">
        <v>1097</v>
      </c>
    </row>
    <row r="471" spans="1:18" hidden="1" x14ac:dyDescent="0.3">
      <c r="A471" s="19">
        <f t="shared" si="7"/>
        <v>470</v>
      </c>
      <c r="B471" s="20" t="s">
        <v>87</v>
      </c>
      <c r="C471" s="20" t="s">
        <v>102</v>
      </c>
      <c r="D471" s="21" t="str">
        <f>IF($C471="","",IFERROR(VLOOKUP($C471,Map_Register!$A$2:$C$5,3,FALSE()),""))</f>
        <v>Toponym Labels</v>
      </c>
      <c r="E471" s="20" t="s">
        <v>15</v>
      </c>
      <c r="F471" s="22">
        <v>721808</v>
      </c>
      <c r="G471" s="19" t="s">
        <v>1179</v>
      </c>
      <c r="H471" s="19" t="s">
        <v>1925</v>
      </c>
      <c r="I471" s="19" t="s">
        <v>1925</v>
      </c>
      <c r="J471" s="19" t="s">
        <v>1110</v>
      </c>
      <c r="K471" s="19" t="s">
        <v>6</v>
      </c>
      <c r="L471" s="19" t="s">
        <v>1095</v>
      </c>
      <c r="M471" s="19" t="s">
        <v>1095</v>
      </c>
      <c r="N471" s="19" t="s">
        <v>1502</v>
      </c>
      <c r="R471" t="s">
        <v>1097</v>
      </c>
    </row>
    <row r="472" spans="1:18" hidden="1" x14ac:dyDescent="0.3">
      <c r="A472" s="19">
        <f t="shared" si="7"/>
        <v>471</v>
      </c>
      <c r="B472" s="20" t="s">
        <v>87</v>
      </c>
      <c r="C472" s="20" t="s">
        <v>102</v>
      </c>
      <c r="D472" s="21" t="str">
        <f>IF($C472="","",IFERROR(VLOOKUP($C472,Map_Register!$A$2:$C$5,3,FALSE()),""))</f>
        <v>Toponym Labels</v>
      </c>
      <c r="E472" s="20" t="s">
        <v>15</v>
      </c>
      <c r="F472" s="22">
        <v>721809</v>
      </c>
      <c r="G472" s="19" t="s">
        <v>1179</v>
      </c>
      <c r="H472" s="19" t="s">
        <v>1926</v>
      </c>
      <c r="I472" s="19" t="s">
        <v>1927</v>
      </c>
      <c r="J472" s="19" t="s">
        <v>1104</v>
      </c>
      <c r="K472" t="s">
        <v>1100</v>
      </c>
      <c r="L472" t="s">
        <v>114</v>
      </c>
      <c r="M472" t="s">
        <v>114</v>
      </c>
      <c r="N472" s="19" t="s">
        <v>1184</v>
      </c>
      <c r="O472" s="19" t="s">
        <v>116</v>
      </c>
      <c r="R472" t="s">
        <v>1097</v>
      </c>
    </row>
    <row r="473" spans="1:18" hidden="1" x14ac:dyDescent="0.3">
      <c r="A473" s="19">
        <f t="shared" si="7"/>
        <v>472</v>
      </c>
      <c r="B473" s="20" t="s">
        <v>87</v>
      </c>
      <c r="C473" s="20" t="s">
        <v>102</v>
      </c>
      <c r="D473" s="21" t="str">
        <f>IF($C473="","",IFERROR(VLOOKUP($C473,Map_Register!$A$2:$C$5,3,FALSE()),""))</f>
        <v>Toponym Labels</v>
      </c>
      <c r="E473" s="20" t="s">
        <v>15</v>
      </c>
      <c r="F473" s="22">
        <v>721810</v>
      </c>
      <c r="G473" s="19" t="s">
        <v>1179</v>
      </c>
      <c r="H473" s="19" t="s">
        <v>1928</v>
      </c>
      <c r="I473" s="19" t="s">
        <v>1929</v>
      </c>
      <c r="J473" s="19" t="s">
        <v>1094</v>
      </c>
      <c r="K473" s="19" t="s">
        <v>6</v>
      </c>
      <c r="L473" s="19" t="s">
        <v>1095</v>
      </c>
      <c r="M473" s="19" t="s">
        <v>1095</v>
      </c>
      <c r="N473" s="19" t="s">
        <v>1105</v>
      </c>
      <c r="R473" t="s">
        <v>1097</v>
      </c>
    </row>
    <row r="474" spans="1:18" hidden="1" x14ac:dyDescent="0.3">
      <c r="A474" s="19">
        <f t="shared" si="7"/>
        <v>473</v>
      </c>
      <c r="B474" s="20" t="s">
        <v>87</v>
      </c>
      <c r="C474" s="20" t="s">
        <v>102</v>
      </c>
      <c r="D474" s="21" t="str">
        <f>IF($C474="","",IFERROR(VLOOKUP($C474,Map_Register!$A$2:$C$5,3,FALSE()),""))</f>
        <v>Toponym Labels</v>
      </c>
      <c r="E474" s="20" t="s">
        <v>15</v>
      </c>
      <c r="F474" s="22">
        <v>721811</v>
      </c>
      <c r="G474" s="19" t="s">
        <v>1179</v>
      </c>
      <c r="H474" s="19" t="s">
        <v>1930</v>
      </c>
      <c r="I474" s="19" t="s">
        <v>1931</v>
      </c>
      <c r="J474" s="19" t="s">
        <v>1104</v>
      </c>
      <c r="K474" s="19" t="s">
        <v>6</v>
      </c>
      <c r="L474" s="19" t="s">
        <v>1095</v>
      </c>
      <c r="M474" s="19" t="s">
        <v>1095</v>
      </c>
      <c r="N474" s="19" t="s">
        <v>1105</v>
      </c>
      <c r="R474" t="s">
        <v>1097</v>
      </c>
    </row>
    <row r="475" spans="1:18" x14ac:dyDescent="0.3">
      <c r="A475" s="19">
        <f t="shared" si="7"/>
        <v>474</v>
      </c>
      <c r="B475" s="20" t="s">
        <v>87</v>
      </c>
      <c r="C475" s="20" t="s">
        <v>102</v>
      </c>
      <c r="D475" s="21" t="str">
        <f>IF($C475="","",IFERROR(VLOOKUP($C475,Map_Register!$A$2:$C$5,3,FALSE()),""))</f>
        <v>Toponym Labels</v>
      </c>
      <c r="E475" s="20" t="s">
        <v>15</v>
      </c>
      <c r="F475" s="22">
        <v>721812</v>
      </c>
      <c r="G475" s="19" t="s">
        <v>1179</v>
      </c>
      <c r="H475" s="19" t="s">
        <v>1932</v>
      </c>
      <c r="I475" s="19" t="s">
        <v>1933</v>
      </c>
      <c r="J475" s="19" t="s">
        <v>1104</v>
      </c>
      <c r="K475" t="s">
        <v>1100</v>
      </c>
      <c r="L475" t="s">
        <v>114</v>
      </c>
      <c r="M475" t="s">
        <v>116</v>
      </c>
      <c r="N475" s="19" t="s">
        <v>1512</v>
      </c>
      <c r="O475" s="19" t="s">
        <v>116</v>
      </c>
      <c r="R475" t="s">
        <v>1097</v>
      </c>
    </row>
    <row r="476" spans="1:18" hidden="1" x14ac:dyDescent="0.3">
      <c r="A476" s="19">
        <f t="shared" si="7"/>
        <v>475</v>
      </c>
      <c r="B476" s="20" t="s">
        <v>87</v>
      </c>
      <c r="C476" s="20" t="s">
        <v>102</v>
      </c>
      <c r="D476" s="21" t="str">
        <f>IF($C476="","",IFERROR(VLOOKUP($C476,Map_Register!$A$2:$C$5,3,FALSE()),""))</f>
        <v>Toponym Labels</v>
      </c>
      <c r="E476" s="20" t="s">
        <v>15</v>
      </c>
      <c r="F476" s="22">
        <v>721813</v>
      </c>
      <c r="G476" s="19" t="s">
        <v>1179</v>
      </c>
      <c r="H476" s="19" t="s">
        <v>1934</v>
      </c>
      <c r="I476" s="19" t="s">
        <v>1935</v>
      </c>
      <c r="J476" s="19" t="s">
        <v>1094</v>
      </c>
      <c r="K476" s="19" t="s">
        <v>6</v>
      </c>
      <c r="L476" s="19" t="s">
        <v>1095</v>
      </c>
      <c r="M476" s="19" t="s">
        <v>1095</v>
      </c>
      <c r="N476" s="19" t="s">
        <v>1105</v>
      </c>
      <c r="R476" t="s">
        <v>1097</v>
      </c>
    </row>
    <row r="477" spans="1:18" hidden="1" x14ac:dyDescent="0.3">
      <c r="A477" s="19">
        <f t="shared" si="7"/>
        <v>476</v>
      </c>
      <c r="B477" s="20" t="s">
        <v>87</v>
      </c>
      <c r="C477" s="20" t="s">
        <v>102</v>
      </c>
      <c r="D477" s="21" t="str">
        <f>IF($C477="","",IFERROR(VLOOKUP($C477,Map_Register!$A$2:$C$5,3,FALSE()),""))</f>
        <v>Toponym Labels</v>
      </c>
      <c r="E477" s="20" t="s">
        <v>15</v>
      </c>
      <c r="F477" s="22">
        <v>721814</v>
      </c>
      <c r="G477" s="19" t="s">
        <v>1179</v>
      </c>
      <c r="H477" s="19" t="s">
        <v>1936</v>
      </c>
      <c r="I477" s="19" t="s">
        <v>1936</v>
      </c>
      <c r="J477" s="19" t="s">
        <v>1110</v>
      </c>
      <c r="K477" s="19" t="s">
        <v>6</v>
      </c>
      <c r="L477" s="19" t="s">
        <v>1095</v>
      </c>
      <c r="M477" s="19" t="s">
        <v>1095</v>
      </c>
      <c r="N477" s="19" t="s">
        <v>1502</v>
      </c>
      <c r="R477" t="s">
        <v>1097</v>
      </c>
    </row>
    <row r="478" spans="1:18" hidden="1" x14ac:dyDescent="0.3">
      <c r="A478" s="19">
        <f t="shared" si="7"/>
        <v>477</v>
      </c>
      <c r="B478" s="20" t="s">
        <v>87</v>
      </c>
      <c r="C478" s="20" t="s">
        <v>102</v>
      </c>
      <c r="D478" s="21" t="str">
        <f>IF($C478="","",IFERROR(VLOOKUP($C478,Map_Register!$A$2:$C$5,3,FALSE()),""))</f>
        <v>Toponym Labels</v>
      </c>
      <c r="E478" s="20" t="s">
        <v>15</v>
      </c>
      <c r="F478" s="22">
        <v>721815</v>
      </c>
      <c r="G478" s="19" t="s">
        <v>1179</v>
      </c>
      <c r="H478" s="19" t="s">
        <v>1937</v>
      </c>
      <c r="I478" s="19" t="s">
        <v>1938</v>
      </c>
      <c r="J478" s="19" t="s">
        <v>1104</v>
      </c>
      <c r="K478" t="s">
        <v>1100</v>
      </c>
      <c r="L478" t="s">
        <v>114</v>
      </c>
      <c r="M478" t="s">
        <v>114</v>
      </c>
      <c r="N478" s="19" t="s">
        <v>1184</v>
      </c>
      <c r="O478" s="19" t="s">
        <v>116</v>
      </c>
      <c r="R478" t="s">
        <v>1097</v>
      </c>
    </row>
    <row r="479" spans="1:18" hidden="1" x14ac:dyDescent="0.3">
      <c r="A479" s="19">
        <f t="shared" si="7"/>
        <v>478</v>
      </c>
      <c r="B479" s="20" t="s">
        <v>87</v>
      </c>
      <c r="C479" s="20" t="s">
        <v>102</v>
      </c>
      <c r="D479" s="21" t="str">
        <f>IF($C479="","",IFERROR(VLOOKUP($C479,Map_Register!$A$2:$C$5,3,FALSE()),""))</f>
        <v>Toponym Labels</v>
      </c>
      <c r="E479" s="20" t="s">
        <v>15</v>
      </c>
      <c r="F479" s="22">
        <v>721816</v>
      </c>
      <c r="G479" s="19" t="s">
        <v>1179</v>
      </c>
      <c r="H479" s="19" t="s">
        <v>1939</v>
      </c>
      <c r="I479" s="19" t="s">
        <v>1940</v>
      </c>
      <c r="J479" s="19" t="s">
        <v>1104</v>
      </c>
      <c r="K479" s="19" t="s">
        <v>6</v>
      </c>
      <c r="L479" s="19" t="s">
        <v>1095</v>
      </c>
      <c r="M479" s="19" t="s">
        <v>1095</v>
      </c>
      <c r="N479" s="19" t="s">
        <v>1105</v>
      </c>
      <c r="R479" t="s">
        <v>1097</v>
      </c>
    </row>
    <row r="480" spans="1:18" hidden="1" x14ac:dyDescent="0.3">
      <c r="A480" s="19">
        <f t="shared" si="7"/>
        <v>479</v>
      </c>
      <c r="B480" s="20" t="s">
        <v>87</v>
      </c>
      <c r="C480" s="20" t="s">
        <v>102</v>
      </c>
      <c r="D480" s="21" t="str">
        <f>IF($C480="","",IFERROR(VLOOKUP($C480,Map_Register!$A$2:$C$5,3,FALSE()),""))</f>
        <v>Toponym Labels</v>
      </c>
      <c r="E480" s="20" t="s">
        <v>15</v>
      </c>
      <c r="F480" s="22">
        <v>721817</v>
      </c>
      <c r="G480" s="19" t="s">
        <v>1179</v>
      </c>
      <c r="H480" s="19" t="s">
        <v>1524</v>
      </c>
      <c r="I480" s="19" t="s">
        <v>1524</v>
      </c>
      <c r="J480" s="19" t="s">
        <v>1117</v>
      </c>
      <c r="K480" t="s">
        <v>1100</v>
      </c>
      <c r="L480" t="s">
        <v>114</v>
      </c>
      <c r="M480" t="s">
        <v>114</v>
      </c>
      <c r="N480" s="19" t="s">
        <v>1184</v>
      </c>
      <c r="O480" s="19" t="s">
        <v>116</v>
      </c>
      <c r="R480" t="s">
        <v>1097</v>
      </c>
    </row>
    <row r="481" spans="1:18" hidden="1" x14ac:dyDescent="0.3">
      <c r="A481" s="19">
        <f t="shared" si="7"/>
        <v>480</v>
      </c>
      <c r="B481" s="20" t="s">
        <v>87</v>
      </c>
      <c r="C481" s="20" t="s">
        <v>102</v>
      </c>
      <c r="D481" s="21" t="str">
        <f>IF($C481="","",IFERROR(VLOOKUP($C481,Map_Register!$A$2:$C$5,3,FALSE()),""))</f>
        <v>Toponym Labels</v>
      </c>
      <c r="E481" s="20" t="s">
        <v>15</v>
      </c>
      <c r="F481" s="22">
        <v>721818</v>
      </c>
      <c r="G481" s="19" t="s">
        <v>1179</v>
      </c>
      <c r="H481" s="19" t="s">
        <v>1941</v>
      </c>
      <c r="I481" s="19" t="s">
        <v>1942</v>
      </c>
      <c r="J481" s="19" t="s">
        <v>1094</v>
      </c>
      <c r="K481" s="19" t="s">
        <v>6</v>
      </c>
      <c r="L481" s="19" t="s">
        <v>1095</v>
      </c>
      <c r="M481" s="19" t="s">
        <v>1095</v>
      </c>
      <c r="N481" s="19" t="s">
        <v>1105</v>
      </c>
      <c r="R481" t="s">
        <v>1097</v>
      </c>
    </row>
    <row r="482" spans="1:18" hidden="1" x14ac:dyDescent="0.3">
      <c r="A482" s="19">
        <f t="shared" si="7"/>
        <v>481</v>
      </c>
      <c r="B482" s="20" t="s">
        <v>87</v>
      </c>
      <c r="C482" s="20" t="s">
        <v>102</v>
      </c>
      <c r="D482" s="21" t="str">
        <f>IF($C482="","",IFERROR(VLOOKUP($C482,Map_Register!$A$2:$C$5,3,FALSE()),""))</f>
        <v>Toponym Labels</v>
      </c>
      <c r="E482" s="20" t="s">
        <v>15</v>
      </c>
      <c r="F482" s="22">
        <v>721819</v>
      </c>
      <c r="G482" s="19" t="s">
        <v>1943</v>
      </c>
      <c r="H482" s="19" t="s">
        <v>1932</v>
      </c>
      <c r="I482" s="19" t="s">
        <v>1944</v>
      </c>
      <c r="J482" s="19" t="s">
        <v>1945</v>
      </c>
      <c r="K482" s="19" t="s">
        <v>6</v>
      </c>
      <c r="L482" s="19" t="s">
        <v>1095</v>
      </c>
      <c r="M482" s="19" t="s">
        <v>1095</v>
      </c>
      <c r="N482" s="19" t="s">
        <v>1946</v>
      </c>
      <c r="R482" t="s">
        <v>1097</v>
      </c>
    </row>
    <row r="483" spans="1:18" hidden="1" x14ac:dyDescent="0.3">
      <c r="A483" s="19">
        <f t="shared" si="7"/>
        <v>482</v>
      </c>
      <c r="B483" s="20" t="s">
        <v>87</v>
      </c>
      <c r="C483" s="20" t="s">
        <v>102</v>
      </c>
      <c r="D483" s="21" t="str">
        <f>IF($C483="","",IFERROR(VLOOKUP($C483,Map_Register!$A$2:$C$5,3,FALSE()),""))</f>
        <v>Toponym Labels</v>
      </c>
      <c r="E483" s="20" t="s">
        <v>15</v>
      </c>
      <c r="F483" s="22">
        <v>721820</v>
      </c>
      <c r="G483" s="19" t="s">
        <v>1205</v>
      </c>
      <c r="H483" s="19" t="s">
        <v>1947</v>
      </c>
      <c r="I483" s="19" t="s">
        <v>1947</v>
      </c>
      <c r="J483" s="19" t="s">
        <v>1110</v>
      </c>
      <c r="K483" s="19" t="s">
        <v>6</v>
      </c>
      <c r="L483" s="19" t="s">
        <v>1095</v>
      </c>
      <c r="M483" s="19" t="s">
        <v>1095</v>
      </c>
      <c r="N483" s="19" t="s">
        <v>1948</v>
      </c>
      <c r="R483" t="s">
        <v>1097</v>
      </c>
    </row>
    <row r="484" spans="1:18" hidden="1" x14ac:dyDescent="0.3">
      <c r="A484" s="19">
        <f t="shared" si="7"/>
        <v>483</v>
      </c>
      <c r="B484" s="20" t="s">
        <v>87</v>
      </c>
      <c r="C484" s="20" t="s">
        <v>102</v>
      </c>
      <c r="D484" s="21" t="str">
        <f>IF($C484="","",IFERROR(VLOOKUP($C484,Map_Register!$A$2:$C$5,3,FALSE()),""))</f>
        <v>Toponym Labels</v>
      </c>
      <c r="E484" s="20" t="s">
        <v>15</v>
      </c>
      <c r="F484" s="22">
        <v>721821</v>
      </c>
      <c r="G484" s="19" t="s">
        <v>1136</v>
      </c>
      <c r="H484" s="19" t="s">
        <v>1551</v>
      </c>
      <c r="I484" s="19" t="s">
        <v>1551</v>
      </c>
      <c r="J484" s="19" t="s">
        <v>1110</v>
      </c>
      <c r="K484" t="s">
        <v>1100</v>
      </c>
      <c r="L484" t="s">
        <v>114</v>
      </c>
      <c r="M484" t="s">
        <v>114</v>
      </c>
      <c r="N484" s="19" t="s">
        <v>530</v>
      </c>
      <c r="O484" s="19" t="s">
        <v>116</v>
      </c>
      <c r="R484" t="s">
        <v>1097</v>
      </c>
    </row>
    <row r="485" spans="1:18" hidden="1" x14ac:dyDescent="0.3">
      <c r="A485" s="19">
        <f t="shared" si="7"/>
        <v>484</v>
      </c>
      <c r="B485" s="20" t="s">
        <v>87</v>
      </c>
      <c r="C485" s="20" t="s">
        <v>102</v>
      </c>
      <c r="D485" s="21" t="str">
        <f>IF($C485="","",IFERROR(VLOOKUP($C485,Map_Register!$A$2:$C$5,3,FALSE()),""))</f>
        <v>Toponym Labels</v>
      </c>
      <c r="E485" s="20" t="s">
        <v>15</v>
      </c>
      <c r="F485" s="22">
        <v>721822</v>
      </c>
      <c r="G485" s="19" t="s">
        <v>1136</v>
      </c>
      <c r="H485" s="19" t="s">
        <v>1949</v>
      </c>
      <c r="I485" s="19" t="s">
        <v>1950</v>
      </c>
      <c r="J485" s="19" t="s">
        <v>1094</v>
      </c>
      <c r="K485" s="19" t="s">
        <v>6</v>
      </c>
      <c r="L485" s="19" t="s">
        <v>1095</v>
      </c>
      <c r="M485" s="19" t="s">
        <v>1095</v>
      </c>
      <c r="N485" s="19" t="s">
        <v>1105</v>
      </c>
      <c r="R485" t="s">
        <v>1097</v>
      </c>
    </row>
    <row r="486" spans="1:18" hidden="1" x14ac:dyDescent="0.3">
      <c r="A486" s="19">
        <f t="shared" si="7"/>
        <v>485</v>
      </c>
      <c r="B486" s="20" t="s">
        <v>87</v>
      </c>
      <c r="C486" s="20" t="s">
        <v>102</v>
      </c>
      <c r="D486" s="21" t="str">
        <f>IF($C486="","",IFERROR(VLOOKUP($C486,Map_Register!$A$2:$C$5,3,FALSE()),""))</f>
        <v>Toponym Labels</v>
      </c>
      <c r="E486" s="20" t="s">
        <v>15</v>
      </c>
      <c r="F486" s="22">
        <v>721823</v>
      </c>
      <c r="G486" s="19" t="s">
        <v>1136</v>
      </c>
      <c r="H486" s="19" t="s">
        <v>1951</v>
      </c>
      <c r="I486" s="19" t="s">
        <v>1952</v>
      </c>
      <c r="J486" s="19" t="s">
        <v>1104</v>
      </c>
      <c r="K486" s="19" t="s">
        <v>6</v>
      </c>
      <c r="L486" s="19" t="s">
        <v>1095</v>
      </c>
      <c r="M486" s="19" t="s">
        <v>1095</v>
      </c>
      <c r="N486" s="19" t="s">
        <v>1953</v>
      </c>
      <c r="R486" t="s">
        <v>1097</v>
      </c>
    </row>
    <row r="487" spans="1:18" hidden="1" x14ac:dyDescent="0.3">
      <c r="A487" s="19">
        <f t="shared" si="7"/>
        <v>486</v>
      </c>
      <c r="B487" s="20" t="s">
        <v>87</v>
      </c>
      <c r="C487" s="20" t="s">
        <v>102</v>
      </c>
      <c r="D487" s="21" t="str">
        <f>IF($C487="","",IFERROR(VLOOKUP($C487,Map_Register!$A$2:$C$5,3,FALSE()),""))</f>
        <v>Toponym Labels</v>
      </c>
      <c r="E487" s="20" t="s">
        <v>15</v>
      </c>
      <c r="F487" s="22">
        <v>721829</v>
      </c>
      <c r="G487" s="19" t="s">
        <v>1125</v>
      </c>
      <c r="H487" s="19" t="s">
        <v>1954</v>
      </c>
      <c r="I487" s="19" t="s">
        <v>1955</v>
      </c>
      <c r="J487" s="19" t="s">
        <v>1104</v>
      </c>
      <c r="K487" s="19" t="s">
        <v>6</v>
      </c>
      <c r="L487" s="19" t="s">
        <v>1095</v>
      </c>
      <c r="M487" s="19" t="s">
        <v>1095</v>
      </c>
      <c r="N487" s="19" t="s">
        <v>1105</v>
      </c>
      <c r="R487" t="s">
        <v>1097</v>
      </c>
    </row>
    <row r="488" spans="1:18" hidden="1" x14ac:dyDescent="0.3">
      <c r="A488" s="19">
        <f t="shared" si="7"/>
        <v>487</v>
      </c>
      <c r="B488" s="20" t="s">
        <v>87</v>
      </c>
      <c r="C488" s="20" t="s">
        <v>102</v>
      </c>
      <c r="D488" s="21" t="str">
        <f>IF($C488="","",IFERROR(VLOOKUP($C488,Map_Register!$A$2:$C$5,3,FALSE()),""))</f>
        <v>Toponym Labels</v>
      </c>
      <c r="E488" s="20" t="s">
        <v>15</v>
      </c>
      <c r="F488" s="22">
        <v>721830</v>
      </c>
      <c r="G488" s="19" t="s">
        <v>1136</v>
      </c>
      <c r="H488" s="19" t="s">
        <v>1956</v>
      </c>
      <c r="I488" s="19" t="s">
        <v>1957</v>
      </c>
      <c r="J488" s="19" t="s">
        <v>1104</v>
      </c>
      <c r="K488" s="19" t="s">
        <v>6</v>
      </c>
      <c r="L488" s="19" t="s">
        <v>1095</v>
      </c>
      <c r="M488" s="19" t="s">
        <v>1095</v>
      </c>
      <c r="N488" s="19" t="s">
        <v>1105</v>
      </c>
      <c r="R488" t="s">
        <v>1097</v>
      </c>
    </row>
    <row r="489" spans="1:18" hidden="1" x14ac:dyDescent="0.3">
      <c r="A489" s="19">
        <f t="shared" si="7"/>
        <v>488</v>
      </c>
      <c r="B489" s="20" t="s">
        <v>87</v>
      </c>
      <c r="C489" s="20" t="s">
        <v>102</v>
      </c>
      <c r="D489" s="21" t="str">
        <f>IF($C489="","",IFERROR(VLOOKUP($C489,Map_Register!$A$2:$C$5,3,FALSE()),""))</f>
        <v>Toponym Labels</v>
      </c>
      <c r="E489" s="20" t="s">
        <v>15</v>
      </c>
      <c r="F489" s="22">
        <v>721831</v>
      </c>
      <c r="G489" s="19" t="s">
        <v>1136</v>
      </c>
      <c r="H489" s="19" t="s">
        <v>1958</v>
      </c>
      <c r="I489" s="19" t="s">
        <v>1959</v>
      </c>
      <c r="J489" s="19" t="s">
        <v>1104</v>
      </c>
      <c r="K489" t="s">
        <v>1100</v>
      </c>
      <c r="L489" t="s">
        <v>114</v>
      </c>
      <c r="M489" t="s">
        <v>114</v>
      </c>
      <c r="N489" s="19" t="s">
        <v>530</v>
      </c>
      <c r="O489" s="19" t="s">
        <v>116</v>
      </c>
      <c r="R489" t="s">
        <v>1097</v>
      </c>
    </row>
    <row r="490" spans="1:18" hidden="1" x14ac:dyDescent="0.3">
      <c r="A490" s="19">
        <f t="shared" si="7"/>
        <v>489</v>
      </c>
      <c r="B490" s="20" t="s">
        <v>87</v>
      </c>
      <c r="C490" s="20" t="s">
        <v>102</v>
      </c>
      <c r="D490" s="21" t="str">
        <f>IF($C490="","",IFERROR(VLOOKUP($C490,Map_Register!$A$2:$C$5,3,FALSE()),""))</f>
        <v>Toponym Labels</v>
      </c>
      <c r="E490" s="20" t="s">
        <v>15</v>
      </c>
      <c r="F490" s="22">
        <v>721832</v>
      </c>
      <c r="G490" s="19" t="s">
        <v>1163</v>
      </c>
      <c r="H490" s="19" t="s">
        <v>1960</v>
      </c>
      <c r="I490" s="19" t="s">
        <v>1961</v>
      </c>
      <c r="J490" s="19" t="s">
        <v>1104</v>
      </c>
      <c r="K490" s="19" t="s">
        <v>6</v>
      </c>
      <c r="L490" s="19" t="s">
        <v>1095</v>
      </c>
      <c r="M490" s="19" t="s">
        <v>1095</v>
      </c>
      <c r="N490" s="19" t="s">
        <v>1105</v>
      </c>
      <c r="R490" t="s">
        <v>1097</v>
      </c>
    </row>
    <row r="491" spans="1:18" hidden="1" x14ac:dyDescent="0.3">
      <c r="A491" s="19">
        <f t="shared" si="7"/>
        <v>490</v>
      </c>
      <c r="B491" s="20" t="s">
        <v>87</v>
      </c>
      <c r="C491" s="20" t="s">
        <v>102</v>
      </c>
      <c r="D491" s="21" t="str">
        <f>IF($C491="","",IFERROR(VLOOKUP($C491,Map_Register!$A$2:$C$5,3,FALSE()),""))</f>
        <v>Toponym Labels</v>
      </c>
      <c r="E491" s="20" t="s">
        <v>15</v>
      </c>
      <c r="F491" s="22">
        <v>721833</v>
      </c>
      <c r="G491" s="19" t="s">
        <v>1163</v>
      </c>
      <c r="H491" s="19" t="s">
        <v>1962</v>
      </c>
      <c r="I491" s="19" t="s">
        <v>1963</v>
      </c>
      <c r="J491" s="19" t="s">
        <v>1094</v>
      </c>
      <c r="K491" t="s">
        <v>1100</v>
      </c>
      <c r="L491" s="19" t="s">
        <v>114</v>
      </c>
      <c r="M491" s="19" t="s">
        <v>114</v>
      </c>
      <c r="N491" s="19" t="s">
        <v>1964</v>
      </c>
      <c r="O491" s="19" t="s">
        <v>116</v>
      </c>
      <c r="R491" t="s">
        <v>1097</v>
      </c>
    </row>
    <row r="492" spans="1:18" hidden="1" x14ac:dyDescent="0.3">
      <c r="A492" s="19">
        <f t="shared" si="7"/>
        <v>491</v>
      </c>
      <c r="B492" s="20" t="s">
        <v>87</v>
      </c>
      <c r="C492" s="20" t="s">
        <v>102</v>
      </c>
      <c r="D492" s="21" t="str">
        <f>IF($C492="","",IFERROR(VLOOKUP($C492,Map_Register!$A$2:$C$5,3,FALSE()),""))</f>
        <v>Toponym Labels</v>
      </c>
      <c r="E492" s="20" t="s">
        <v>15</v>
      </c>
      <c r="F492" s="22">
        <v>721834</v>
      </c>
      <c r="G492" s="19" t="s">
        <v>1163</v>
      </c>
      <c r="H492" s="19" t="s">
        <v>1965</v>
      </c>
      <c r="I492" s="19" t="s">
        <v>1966</v>
      </c>
      <c r="J492" s="19" t="s">
        <v>1094</v>
      </c>
      <c r="K492" s="19" t="s">
        <v>6</v>
      </c>
      <c r="L492" s="19" t="s">
        <v>1095</v>
      </c>
      <c r="M492" s="19" t="s">
        <v>1095</v>
      </c>
      <c r="N492" s="19" t="s">
        <v>1967</v>
      </c>
      <c r="R492" t="s">
        <v>1097</v>
      </c>
    </row>
    <row r="493" spans="1:18" hidden="1" x14ac:dyDescent="0.3">
      <c r="A493" s="19">
        <f t="shared" si="7"/>
        <v>492</v>
      </c>
      <c r="B493" s="20" t="s">
        <v>87</v>
      </c>
      <c r="C493" s="20" t="s">
        <v>102</v>
      </c>
      <c r="D493" s="21" t="str">
        <f>IF($C493="","",IFERROR(VLOOKUP($C493,Map_Register!$A$2:$C$5,3,FALSE()),""))</f>
        <v>Toponym Labels</v>
      </c>
      <c r="E493" s="20" t="s">
        <v>15</v>
      </c>
      <c r="F493" s="22">
        <v>721835</v>
      </c>
      <c r="G493" s="19" t="s">
        <v>1136</v>
      </c>
      <c r="H493" s="19" t="s">
        <v>1968</v>
      </c>
      <c r="I493" s="19" t="s">
        <v>1969</v>
      </c>
      <c r="J493" s="19" t="s">
        <v>1104</v>
      </c>
      <c r="K493" t="s">
        <v>1100</v>
      </c>
      <c r="L493" t="s">
        <v>114</v>
      </c>
      <c r="M493" t="s">
        <v>114</v>
      </c>
      <c r="N493" s="19" t="s">
        <v>530</v>
      </c>
      <c r="O493" s="19" t="s">
        <v>116</v>
      </c>
      <c r="R493" t="s">
        <v>1097</v>
      </c>
    </row>
    <row r="494" spans="1:18" hidden="1" x14ac:dyDescent="0.3">
      <c r="A494" s="19">
        <f t="shared" si="7"/>
        <v>493</v>
      </c>
      <c r="B494" s="20" t="s">
        <v>87</v>
      </c>
      <c r="C494" s="20" t="s">
        <v>102</v>
      </c>
      <c r="D494" s="21" t="str">
        <f>IF($C494="","",IFERROR(VLOOKUP($C494,Map_Register!$A$2:$C$5,3,FALSE()),""))</f>
        <v>Toponym Labels</v>
      </c>
      <c r="E494" s="20" t="s">
        <v>15</v>
      </c>
      <c r="F494" s="22">
        <v>721843</v>
      </c>
      <c r="G494" s="19" t="s">
        <v>1179</v>
      </c>
      <c r="H494" s="19" t="s">
        <v>1970</v>
      </c>
      <c r="I494" s="19" t="s">
        <v>1971</v>
      </c>
      <c r="J494" s="19" t="s">
        <v>1104</v>
      </c>
      <c r="K494" s="19" t="s">
        <v>6</v>
      </c>
      <c r="L494" s="19" t="s">
        <v>1095</v>
      </c>
      <c r="M494" s="19" t="s">
        <v>1095</v>
      </c>
      <c r="N494" s="19" t="s">
        <v>1105</v>
      </c>
      <c r="R494" t="s">
        <v>1097</v>
      </c>
    </row>
    <row r="495" spans="1:18" hidden="1" x14ac:dyDescent="0.3">
      <c r="A495" s="19">
        <f t="shared" si="7"/>
        <v>494</v>
      </c>
      <c r="B495" s="20" t="s">
        <v>87</v>
      </c>
      <c r="C495" s="20" t="s">
        <v>102</v>
      </c>
      <c r="D495" s="21" t="str">
        <f>IF($C495="","",IFERROR(VLOOKUP($C495,Map_Register!$A$2:$C$5,3,FALSE()),""))</f>
        <v>Toponym Labels</v>
      </c>
      <c r="E495" s="20" t="s">
        <v>15</v>
      </c>
      <c r="F495" s="22">
        <v>721844</v>
      </c>
      <c r="G495" s="19" t="s">
        <v>1179</v>
      </c>
      <c r="H495" s="19" t="s">
        <v>1972</v>
      </c>
      <c r="I495" s="19" t="s">
        <v>1973</v>
      </c>
      <c r="J495" s="19" t="s">
        <v>1094</v>
      </c>
      <c r="K495" s="19" t="s">
        <v>6</v>
      </c>
      <c r="L495" s="19" t="s">
        <v>1095</v>
      </c>
      <c r="M495" s="19" t="s">
        <v>1095</v>
      </c>
      <c r="N495" s="19" t="s">
        <v>1105</v>
      </c>
      <c r="R495" t="s">
        <v>1097</v>
      </c>
    </row>
    <row r="496" spans="1:18" x14ac:dyDescent="0.3">
      <c r="A496" s="19">
        <f t="shared" si="7"/>
        <v>495</v>
      </c>
      <c r="B496" s="20" t="s">
        <v>87</v>
      </c>
      <c r="C496" s="20" t="s">
        <v>102</v>
      </c>
      <c r="D496" s="21" t="str">
        <f>IF($C496="","",IFERROR(VLOOKUP($C496,Map_Register!$A$2:$C$5,3,FALSE()),""))</f>
        <v>Toponym Labels</v>
      </c>
      <c r="E496" s="20" t="s">
        <v>15</v>
      </c>
      <c r="F496" s="22">
        <v>721845</v>
      </c>
      <c r="G496" s="19" t="s">
        <v>1179</v>
      </c>
      <c r="H496" s="19" t="s">
        <v>1974</v>
      </c>
      <c r="I496" s="19" t="s">
        <v>1975</v>
      </c>
      <c r="J496" s="19" t="s">
        <v>1094</v>
      </c>
      <c r="K496" t="s">
        <v>1100</v>
      </c>
      <c r="L496" t="s">
        <v>114</v>
      </c>
      <c r="M496" t="s">
        <v>116</v>
      </c>
      <c r="N496" s="19" t="s">
        <v>1512</v>
      </c>
      <c r="O496" s="19" t="s">
        <v>116</v>
      </c>
      <c r="R496" t="s">
        <v>1097</v>
      </c>
    </row>
    <row r="497" spans="1:18" hidden="1" x14ac:dyDescent="0.3">
      <c r="A497" s="19">
        <f t="shared" si="7"/>
        <v>496</v>
      </c>
      <c r="B497" s="20" t="s">
        <v>87</v>
      </c>
      <c r="C497" s="20" t="s">
        <v>102</v>
      </c>
      <c r="D497" s="21" t="str">
        <f>IF($C497="","",IFERROR(VLOOKUP($C497,Map_Register!$A$2:$C$5,3,FALSE()),""))</f>
        <v>Toponym Labels</v>
      </c>
      <c r="E497" s="20" t="s">
        <v>15</v>
      </c>
      <c r="F497" s="22">
        <v>722548</v>
      </c>
      <c r="G497" s="19" t="s">
        <v>1136</v>
      </c>
      <c r="H497" s="19" t="s">
        <v>1976</v>
      </c>
      <c r="I497" s="19" t="s">
        <v>1977</v>
      </c>
      <c r="J497" s="19" t="s">
        <v>1104</v>
      </c>
      <c r="K497" t="s">
        <v>1100</v>
      </c>
      <c r="L497" t="s">
        <v>114</v>
      </c>
      <c r="M497" t="s">
        <v>114</v>
      </c>
      <c r="N497" s="19" t="s">
        <v>530</v>
      </c>
      <c r="O497" s="19" t="s">
        <v>116</v>
      </c>
      <c r="R497" t="s">
        <v>1097</v>
      </c>
    </row>
    <row r="498" spans="1:18" hidden="1" x14ac:dyDescent="0.3">
      <c r="A498" s="19">
        <f t="shared" si="7"/>
        <v>497</v>
      </c>
      <c r="B498" s="20" t="s">
        <v>87</v>
      </c>
      <c r="C498" s="20" t="s">
        <v>102</v>
      </c>
      <c r="D498" s="21" t="str">
        <f>IF($C498="","",IFERROR(VLOOKUP($C498,Map_Register!$A$2:$C$5,3,FALSE()),""))</f>
        <v>Toponym Labels</v>
      </c>
      <c r="E498" s="20" t="s">
        <v>15</v>
      </c>
      <c r="F498" s="22">
        <v>722549</v>
      </c>
      <c r="G498" s="19" t="s">
        <v>1145</v>
      </c>
      <c r="H498" s="19" t="s">
        <v>1978</v>
      </c>
      <c r="I498" s="19" t="s">
        <v>1979</v>
      </c>
      <c r="J498" s="19" t="s">
        <v>1104</v>
      </c>
      <c r="K498" s="19" t="s">
        <v>6</v>
      </c>
      <c r="L498" s="19" t="s">
        <v>1095</v>
      </c>
      <c r="M498" s="19" t="s">
        <v>1095</v>
      </c>
      <c r="N498" s="19" t="s">
        <v>1105</v>
      </c>
      <c r="R498" t="s">
        <v>1097</v>
      </c>
    </row>
    <row r="499" spans="1:18" hidden="1" x14ac:dyDescent="0.3">
      <c r="A499" s="19">
        <f t="shared" si="7"/>
        <v>498</v>
      </c>
      <c r="B499" s="20" t="s">
        <v>87</v>
      </c>
      <c r="C499" s="20" t="s">
        <v>102</v>
      </c>
      <c r="D499" s="21" t="str">
        <f>IF($C499="","",IFERROR(VLOOKUP($C499,Map_Register!$A$2:$C$5,3,FALSE()),""))</f>
        <v>Toponym Labels</v>
      </c>
      <c r="E499" s="20" t="s">
        <v>15</v>
      </c>
      <c r="F499" s="22">
        <v>722550</v>
      </c>
      <c r="G499" s="19" t="s">
        <v>1108</v>
      </c>
      <c r="H499" s="19" t="s">
        <v>910</v>
      </c>
      <c r="I499" s="19" t="s">
        <v>910</v>
      </c>
      <c r="J499" s="19" t="s">
        <v>1117</v>
      </c>
      <c r="K499" s="19" t="s">
        <v>6</v>
      </c>
      <c r="L499" s="19" t="s">
        <v>1095</v>
      </c>
      <c r="M499" s="19" t="s">
        <v>1095</v>
      </c>
      <c r="N499" s="19" t="s">
        <v>1111</v>
      </c>
      <c r="R499" t="s">
        <v>1097</v>
      </c>
    </row>
    <row r="500" spans="1:18" hidden="1" x14ac:dyDescent="0.3">
      <c r="A500" s="19">
        <f t="shared" si="7"/>
        <v>499</v>
      </c>
      <c r="B500" s="20" t="s">
        <v>87</v>
      </c>
      <c r="C500" s="20" t="s">
        <v>102</v>
      </c>
      <c r="D500" s="21" t="str">
        <f>IF($C500="","",IFERROR(VLOOKUP($C500,Map_Register!$A$2:$C$5,3,FALSE()),""))</f>
        <v>Toponym Labels</v>
      </c>
      <c r="E500" s="20" t="s">
        <v>15</v>
      </c>
      <c r="F500" s="22">
        <v>722551</v>
      </c>
      <c r="G500" s="19" t="s">
        <v>1091</v>
      </c>
      <c r="H500" s="19" t="s">
        <v>1980</v>
      </c>
      <c r="I500" s="19" t="s">
        <v>1980</v>
      </c>
      <c r="J500" s="19" t="s">
        <v>1110</v>
      </c>
      <c r="K500" t="s">
        <v>1100</v>
      </c>
      <c r="L500" t="s">
        <v>114</v>
      </c>
      <c r="M500" t="s">
        <v>114</v>
      </c>
      <c r="N500" s="19" t="s">
        <v>530</v>
      </c>
      <c r="O500" s="19" t="s">
        <v>116</v>
      </c>
      <c r="R500" t="s">
        <v>1097</v>
      </c>
    </row>
    <row r="501" spans="1:18" hidden="1" x14ac:dyDescent="0.3">
      <c r="A501" s="19">
        <f t="shared" si="7"/>
        <v>500</v>
      </c>
      <c r="B501" s="20" t="s">
        <v>87</v>
      </c>
      <c r="C501" s="20" t="s">
        <v>102</v>
      </c>
      <c r="D501" s="21" t="str">
        <f>IF($C501="","",IFERROR(VLOOKUP($C501,Map_Register!$A$2:$C$5,3,FALSE()),""))</f>
        <v>Toponym Labels</v>
      </c>
      <c r="E501" s="20" t="s">
        <v>15</v>
      </c>
      <c r="F501" s="22">
        <v>722552</v>
      </c>
      <c r="G501" s="19" t="s">
        <v>1145</v>
      </c>
      <c r="H501" s="19" t="s">
        <v>1981</v>
      </c>
      <c r="I501" s="19" t="s">
        <v>1982</v>
      </c>
      <c r="J501" s="19" t="s">
        <v>1094</v>
      </c>
      <c r="K501" s="19" t="s">
        <v>6</v>
      </c>
      <c r="L501" s="19" t="s">
        <v>1095</v>
      </c>
      <c r="M501" s="19" t="s">
        <v>1095</v>
      </c>
      <c r="N501" s="19" t="s">
        <v>1105</v>
      </c>
      <c r="R501" t="s">
        <v>1097</v>
      </c>
    </row>
    <row r="502" spans="1:18" hidden="1" x14ac:dyDescent="0.3">
      <c r="A502" s="19">
        <f t="shared" si="7"/>
        <v>501</v>
      </c>
      <c r="B502" s="20" t="s">
        <v>87</v>
      </c>
      <c r="C502" s="20" t="s">
        <v>102</v>
      </c>
      <c r="D502" s="21" t="str">
        <f>IF($C502="","",IFERROR(VLOOKUP($C502,Map_Register!$A$2:$C$5,3,FALSE()),""))</f>
        <v>Toponym Labels</v>
      </c>
      <c r="E502" s="20" t="s">
        <v>15</v>
      </c>
      <c r="F502" s="22">
        <v>722553</v>
      </c>
      <c r="G502" s="19" t="s">
        <v>1163</v>
      </c>
      <c r="H502" s="19" t="s">
        <v>1983</v>
      </c>
      <c r="I502" s="19" t="s">
        <v>1984</v>
      </c>
      <c r="J502" s="19" t="s">
        <v>1094</v>
      </c>
      <c r="K502" s="19" t="s">
        <v>6</v>
      </c>
      <c r="L502" s="19" t="s">
        <v>1095</v>
      </c>
      <c r="M502" s="19" t="s">
        <v>1095</v>
      </c>
      <c r="N502" s="19" t="s">
        <v>1105</v>
      </c>
      <c r="R502" t="s">
        <v>1097</v>
      </c>
    </row>
    <row r="503" spans="1:18" hidden="1" x14ac:dyDescent="0.3">
      <c r="A503" s="19">
        <f t="shared" si="7"/>
        <v>502</v>
      </c>
      <c r="B503" s="20" t="s">
        <v>87</v>
      </c>
      <c r="C503" s="20" t="s">
        <v>102</v>
      </c>
      <c r="D503" s="21" t="str">
        <f>IF($C503="","",IFERROR(VLOOKUP($C503,Map_Register!$A$2:$C$5,3,FALSE()),""))</f>
        <v>Toponym Labels</v>
      </c>
      <c r="E503" s="20" t="s">
        <v>15</v>
      </c>
      <c r="F503" s="22">
        <v>722554</v>
      </c>
      <c r="G503" s="19" t="s">
        <v>1125</v>
      </c>
      <c r="H503" s="19" t="s">
        <v>1985</v>
      </c>
      <c r="I503" s="19" t="s">
        <v>1986</v>
      </c>
      <c r="J503" s="19" t="s">
        <v>1104</v>
      </c>
      <c r="K503" s="19" t="s">
        <v>6</v>
      </c>
      <c r="L503" s="19" t="s">
        <v>1095</v>
      </c>
      <c r="M503" s="19" t="s">
        <v>1095</v>
      </c>
      <c r="N503" s="19" t="s">
        <v>1105</v>
      </c>
      <c r="R503" t="s">
        <v>1097</v>
      </c>
    </row>
    <row r="504" spans="1:18" hidden="1" x14ac:dyDescent="0.3">
      <c r="A504" s="19">
        <f t="shared" si="7"/>
        <v>503</v>
      </c>
      <c r="B504" s="20" t="s">
        <v>87</v>
      </c>
      <c r="C504" s="20" t="s">
        <v>102</v>
      </c>
      <c r="D504" s="21" t="str">
        <f>IF($C504="","",IFERROR(VLOOKUP($C504,Map_Register!$A$2:$C$5,3,FALSE()),""))</f>
        <v>Toponym Labels</v>
      </c>
      <c r="E504" s="20" t="s">
        <v>15</v>
      </c>
      <c r="F504" s="22">
        <v>722555</v>
      </c>
      <c r="G504" s="19" t="s">
        <v>1136</v>
      </c>
      <c r="H504" s="19" t="s">
        <v>1987</v>
      </c>
      <c r="I504" s="19" t="s">
        <v>1988</v>
      </c>
      <c r="J504" s="19" t="s">
        <v>1094</v>
      </c>
      <c r="K504" t="s">
        <v>1100</v>
      </c>
      <c r="L504" t="s">
        <v>114</v>
      </c>
      <c r="M504" t="s">
        <v>114</v>
      </c>
      <c r="N504" s="19" t="s">
        <v>530</v>
      </c>
      <c r="O504" s="19" t="s">
        <v>116</v>
      </c>
      <c r="R504" t="s">
        <v>1097</v>
      </c>
    </row>
    <row r="505" spans="1:18" hidden="1" x14ac:dyDescent="0.3">
      <c r="A505" s="19">
        <f t="shared" si="7"/>
        <v>504</v>
      </c>
      <c r="B505" s="20" t="s">
        <v>87</v>
      </c>
      <c r="C505" s="20" t="s">
        <v>102</v>
      </c>
      <c r="D505" s="21" t="str">
        <f>IF($C505="","",IFERROR(VLOOKUP($C505,Map_Register!$A$2:$C$5,3,FALSE()),""))</f>
        <v>Toponym Labels</v>
      </c>
      <c r="E505" s="20" t="s">
        <v>15</v>
      </c>
      <c r="F505" s="22">
        <v>722556</v>
      </c>
      <c r="G505" s="19" t="s">
        <v>1136</v>
      </c>
      <c r="H505" s="19" t="s">
        <v>1989</v>
      </c>
      <c r="I505" s="19" t="s">
        <v>1990</v>
      </c>
      <c r="J505" s="19" t="s">
        <v>1991</v>
      </c>
      <c r="K505" s="19" t="s">
        <v>6</v>
      </c>
      <c r="L505" s="19" t="s">
        <v>1095</v>
      </c>
      <c r="M505" s="19" t="s">
        <v>1095</v>
      </c>
      <c r="N505" s="19" t="s">
        <v>1992</v>
      </c>
      <c r="R505" t="s">
        <v>1097</v>
      </c>
    </row>
    <row r="506" spans="1:18" hidden="1" x14ac:dyDescent="0.3">
      <c r="A506" s="19">
        <f t="shared" si="7"/>
        <v>505</v>
      </c>
      <c r="B506" s="20" t="s">
        <v>87</v>
      </c>
      <c r="C506" s="20" t="s">
        <v>102</v>
      </c>
      <c r="D506" s="21" t="str">
        <f>IF($C506="","",IFERROR(VLOOKUP($C506,Map_Register!$A$2:$C$5,3,FALSE()),""))</f>
        <v>Toponym Labels</v>
      </c>
      <c r="E506" s="20" t="s">
        <v>15</v>
      </c>
      <c r="F506" s="22">
        <v>722557</v>
      </c>
      <c r="G506" s="19" t="s">
        <v>1136</v>
      </c>
      <c r="H506" s="19" t="s">
        <v>942</v>
      </c>
      <c r="I506" s="19" t="s">
        <v>1993</v>
      </c>
      <c r="J506" s="19" t="s">
        <v>1094</v>
      </c>
      <c r="K506" s="19" t="s">
        <v>6</v>
      </c>
      <c r="L506" s="19" t="s">
        <v>1095</v>
      </c>
      <c r="M506" s="19" t="s">
        <v>1095</v>
      </c>
      <c r="N506" s="19" t="s">
        <v>1105</v>
      </c>
      <c r="R506" t="s">
        <v>1097</v>
      </c>
    </row>
    <row r="507" spans="1:18" hidden="1" x14ac:dyDescent="0.3">
      <c r="A507" s="19">
        <f t="shared" si="7"/>
        <v>506</v>
      </c>
      <c r="B507" s="20" t="s">
        <v>87</v>
      </c>
      <c r="C507" s="20" t="s">
        <v>102</v>
      </c>
      <c r="D507" s="21" t="str">
        <f>IF($C507="","",IFERROR(VLOOKUP($C507,Map_Register!$A$2:$C$5,3,FALSE()),""))</f>
        <v>Toponym Labels</v>
      </c>
      <c r="E507" s="20" t="s">
        <v>15</v>
      </c>
      <c r="F507" s="22">
        <v>722558</v>
      </c>
      <c r="G507" s="19" t="s">
        <v>1136</v>
      </c>
      <c r="H507" s="19" t="s">
        <v>1994</v>
      </c>
      <c r="I507" s="19" t="s">
        <v>1995</v>
      </c>
      <c r="J507" s="19" t="s">
        <v>1104</v>
      </c>
      <c r="K507" s="19" t="s">
        <v>6</v>
      </c>
      <c r="L507" s="19" t="s">
        <v>1095</v>
      </c>
      <c r="M507" s="19" t="s">
        <v>1095</v>
      </c>
      <c r="N507" s="19" t="s">
        <v>1105</v>
      </c>
      <c r="R507" t="s">
        <v>1097</v>
      </c>
    </row>
    <row r="508" spans="1:18" hidden="1" x14ac:dyDescent="0.3">
      <c r="A508" s="19">
        <f t="shared" si="7"/>
        <v>507</v>
      </c>
      <c r="B508" s="20" t="s">
        <v>87</v>
      </c>
      <c r="C508" s="20" t="s">
        <v>102</v>
      </c>
      <c r="D508" s="21" t="str">
        <f>IF($C508="","",IFERROR(VLOOKUP($C508,Map_Register!$A$2:$C$5,3,FALSE()),""))</f>
        <v>Toponym Labels</v>
      </c>
      <c r="E508" s="20" t="s">
        <v>15</v>
      </c>
      <c r="F508" s="22">
        <v>722559</v>
      </c>
      <c r="G508" s="19" t="s">
        <v>1136</v>
      </c>
      <c r="H508" s="19" t="s">
        <v>1996</v>
      </c>
      <c r="I508" s="19" t="s">
        <v>1997</v>
      </c>
      <c r="J508" s="19" t="s">
        <v>1104</v>
      </c>
      <c r="K508" s="19" t="s">
        <v>6</v>
      </c>
      <c r="L508" s="19" t="s">
        <v>1095</v>
      </c>
      <c r="M508" s="19" t="s">
        <v>1095</v>
      </c>
      <c r="N508" s="19" t="s">
        <v>1105</v>
      </c>
      <c r="R508" t="s">
        <v>1097</v>
      </c>
    </row>
    <row r="509" spans="1:18" hidden="1" x14ac:dyDescent="0.3">
      <c r="A509" s="19">
        <f t="shared" si="7"/>
        <v>508</v>
      </c>
      <c r="B509" s="20" t="s">
        <v>87</v>
      </c>
      <c r="C509" s="20" t="s">
        <v>102</v>
      </c>
      <c r="D509" s="21" t="str">
        <f>IF($C509="","",IFERROR(VLOOKUP($C509,Map_Register!$A$2:$C$5,3,FALSE()),""))</f>
        <v>Toponym Labels</v>
      </c>
      <c r="E509" s="20" t="s">
        <v>15</v>
      </c>
      <c r="F509" s="22">
        <v>722560</v>
      </c>
      <c r="G509" s="19" t="s">
        <v>1136</v>
      </c>
      <c r="H509" s="19" t="s">
        <v>1998</v>
      </c>
      <c r="I509" s="19" t="s">
        <v>1999</v>
      </c>
      <c r="J509" s="19" t="s">
        <v>1094</v>
      </c>
      <c r="K509" t="s">
        <v>1100</v>
      </c>
      <c r="L509" t="s">
        <v>114</v>
      </c>
      <c r="M509" t="s">
        <v>114</v>
      </c>
      <c r="N509" s="19" t="s">
        <v>530</v>
      </c>
      <c r="O509" s="19" t="s">
        <v>116</v>
      </c>
      <c r="R509" t="s">
        <v>1097</v>
      </c>
    </row>
    <row r="510" spans="1:18" hidden="1" x14ac:dyDescent="0.3">
      <c r="A510" s="19">
        <f t="shared" si="7"/>
        <v>509</v>
      </c>
      <c r="B510" s="20" t="s">
        <v>87</v>
      </c>
      <c r="C510" s="20" t="s">
        <v>102</v>
      </c>
      <c r="D510" s="21" t="str">
        <f>IF($C510="","",IFERROR(VLOOKUP($C510,Map_Register!$A$2:$C$5,3,FALSE()),""))</f>
        <v>Toponym Labels</v>
      </c>
      <c r="E510" s="20" t="s">
        <v>15</v>
      </c>
      <c r="F510" s="22">
        <v>722561</v>
      </c>
      <c r="G510" s="19" t="s">
        <v>1125</v>
      </c>
      <c r="H510" s="19" t="s">
        <v>2000</v>
      </c>
      <c r="I510" s="19" t="s">
        <v>2001</v>
      </c>
      <c r="J510" s="19" t="s">
        <v>1094</v>
      </c>
      <c r="K510" s="19" t="s">
        <v>6</v>
      </c>
      <c r="L510" s="19" t="s">
        <v>1095</v>
      </c>
      <c r="M510" s="19" t="s">
        <v>1095</v>
      </c>
      <c r="N510" s="19" t="s">
        <v>1105</v>
      </c>
      <c r="R510" t="s">
        <v>1097</v>
      </c>
    </row>
    <row r="511" spans="1:18" hidden="1" x14ac:dyDescent="0.3">
      <c r="A511" s="19">
        <f t="shared" si="7"/>
        <v>510</v>
      </c>
      <c r="B511" s="20" t="s">
        <v>87</v>
      </c>
      <c r="C511" s="20" t="s">
        <v>102</v>
      </c>
      <c r="D511" s="21" t="str">
        <f>IF($C511="","",IFERROR(VLOOKUP($C511,Map_Register!$A$2:$C$5,3,FALSE()),""))</f>
        <v>Toponym Labels</v>
      </c>
      <c r="E511" s="20" t="s">
        <v>15</v>
      </c>
      <c r="F511" s="22">
        <v>722562</v>
      </c>
      <c r="G511" s="19" t="s">
        <v>1163</v>
      </c>
      <c r="H511" s="19" t="s">
        <v>2002</v>
      </c>
      <c r="I511" s="19" t="s">
        <v>2002</v>
      </c>
      <c r="J511" s="19" t="s">
        <v>1110</v>
      </c>
      <c r="K511" s="19" t="s">
        <v>6</v>
      </c>
      <c r="L511" s="19" t="s">
        <v>1095</v>
      </c>
      <c r="M511" s="19" t="s">
        <v>1095</v>
      </c>
      <c r="N511" s="19" t="s">
        <v>1627</v>
      </c>
      <c r="R511" t="s">
        <v>1097</v>
      </c>
    </row>
    <row r="512" spans="1:18" hidden="1" x14ac:dyDescent="0.3">
      <c r="A512" s="19">
        <f t="shared" si="7"/>
        <v>511</v>
      </c>
      <c r="B512" s="20" t="s">
        <v>87</v>
      </c>
      <c r="C512" s="20" t="s">
        <v>102</v>
      </c>
      <c r="D512" s="21" t="str">
        <f>IF($C512="","",IFERROR(VLOOKUP($C512,Map_Register!$A$2:$C$5,3,FALSE()),""))</f>
        <v>Toponym Labels</v>
      </c>
      <c r="E512" s="20" t="s">
        <v>15</v>
      </c>
      <c r="F512" s="22">
        <v>722563</v>
      </c>
      <c r="G512" s="19" t="s">
        <v>1091</v>
      </c>
      <c r="H512" s="19" t="s">
        <v>2003</v>
      </c>
      <c r="I512" s="19" t="s">
        <v>2004</v>
      </c>
      <c r="J512" s="19" t="s">
        <v>1104</v>
      </c>
      <c r="K512" s="19" t="s">
        <v>6</v>
      </c>
      <c r="L512" s="19" t="s">
        <v>1095</v>
      </c>
      <c r="M512" s="19" t="s">
        <v>1095</v>
      </c>
      <c r="N512" s="19" t="s">
        <v>1105</v>
      </c>
      <c r="R512" t="s">
        <v>1097</v>
      </c>
    </row>
    <row r="513" spans="1:18" hidden="1" x14ac:dyDescent="0.3">
      <c r="A513" s="19">
        <f t="shared" si="7"/>
        <v>512</v>
      </c>
      <c r="B513" s="20" t="s">
        <v>87</v>
      </c>
      <c r="C513" s="20" t="s">
        <v>102</v>
      </c>
      <c r="D513" s="21" t="str">
        <f>IF($C513="","",IFERROR(VLOOKUP($C513,Map_Register!$A$2:$C$5,3,FALSE()),""))</f>
        <v>Toponym Labels</v>
      </c>
      <c r="E513" s="20" t="s">
        <v>15</v>
      </c>
      <c r="F513" s="22">
        <v>722564</v>
      </c>
      <c r="G513" s="19" t="s">
        <v>1145</v>
      </c>
      <c r="H513" s="19" t="s">
        <v>2005</v>
      </c>
      <c r="I513" s="19" t="s">
        <v>2006</v>
      </c>
      <c r="J513" s="19" t="s">
        <v>1094</v>
      </c>
      <c r="K513" s="19" t="s">
        <v>6</v>
      </c>
      <c r="L513" s="19" t="s">
        <v>1095</v>
      </c>
      <c r="M513" s="19" t="s">
        <v>1095</v>
      </c>
      <c r="N513" s="19" t="s">
        <v>1105</v>
      </c>
      <c r="R513" t="s">
        <v>1097</v>
      </c>
    </row>
    <row r="514" spans="1:18" hidden="1" x14ac:dyDescent="0.3">
      <c r="A514" s="19">
        <f t="shared" ref="A514:A577" si="8">IF($B514="","",ROW()-1)</f>
        <v>513</v>
      </c>
      <c r="B514" s="20" t="s">
        <v>87</v>
      </c>
      <c r="C514" s="20" t="s">
        <v>102</v>
      </c>
      <c r="D514" s="21" t="str">
        <f>IF($C514="","",IFERROR(VLOOKUP($C514,Map_Register!$A$2:$C$5,3,FALSE()),""))</f>
        <v>Toponym Labels</v>
      </c>
      <c r="E514" s="20" t="s">
        <v>15</v>
      </c>
      <c r="F514" s="22">
        <v>722565</v>
      </c>
      <c r="G514" s="19" t="s">
        <v>1091</v>
      </c>
      <c r="H514" s="19" t="s">
        <v>2007</v>
      </c>
      <c r="I514" s="19" t="s">
        <v>2007</v>
      </c>
      <c r="J514" s="19" t="s">
        <v>1117</v>
      </c>
      <c r="K514" t="s">
        <v>1100</v>
      </c>
      <c r="L514" t="s">
        <v>114</v>
      </c>
      <c r="M514" t="s">
        <v>114</v>
      </c>
      <c r="N514" s="19" t="s">
        <v>530</v>
      </c>
      <c r="O514" s="19" t="s">
        <v>116</v>
      </c>
      <c r="R514" t="s">
        <v>1097</v>
      </c>
    </row>
    <row r="515" spans="1:18" hidden="1" x14ac:dyDescent="0.3">
      <c r="A515" s="19">
        <f t="shared" si="8"/>
        <v>514</v>
      </c>
      <c r="B515" s="20" t="s">
        <v>87</v>
      </c>
      <c r="C515" s="20" t="s">
        <v>102</v>
      </c>
      <c r="D515" s="21" t="str">
        <f>IF($C515="","",IFERROR(VLOOKUP($C515,Map_Register!$A$2:$C$5,3,FALSE()),""))</f>
        <v>Toponym Labels</v>
      </c>
      <c r="E515" s="20" t="s">
        <v>15</v>
      </c>
      <c r="F515" s="22">
        <v>722566</v>
      </c>
      <c r="G515" s="19" t="s">
        <v>1091</v>
      </c>
      <c r="H515" s="19" t="s">
        <v>2008</v>
      </c>
      <c r="I515" s="19" t="s">
        <v>2009</v>
      </c>
      <c r="J515" s="19" t="s">
        <v>1094</v>
      </c>
      <c r="K515" t="s">
        <v>1100</v>
      </c>
      <c r="L515" t="s">
        <v>114</v>
      </c>
      <c r="M515" t="s">
        <v>114</v>
      </c>
      <c r="N515" s="19" t="s">
        <v>530</v>
      </c>
      <c r="O515" s="19" t="s">
        <v>116</v>
      </c>
      <c r="R515" t="s">
        <v>1097</v>
      </c>
    </row>
    <row r="516" spans="1:18" hidden="1" x14ac:dyDescent="0.3">
      <c r="A516" s="19">
        <f t="shared" si="8"/>
        <v>515</v>
      </c>
      <c r="B516" s="20" t="s">
        <v>87</v>
      </c>
      <c r="C516" s="20" t="s">
        <v>102</v>
      </c>
      <c r="D516" s="21" t="str">
        <f>IF($C516="","",IFERROR(VLOOKUP($C516,Map_Register!$A$2:$C$5,3,FALSE()),""))</f>
        <v>Toponym Labels</v>
      </c>
      <c r="E516" s="20" t="s">
        <v>15</v>
      </c>
      <c r="F516" s="22">
        <v>722567</v>
      </c>
      <c r="G516" s="19" t="s">
        <v>1091</v>
      </c>
      <c r="H516" s="19" t="s">
        <v>2010</v>
      </c>
      <c r="I516" s="19" t="s">
        <v>2011</v>
      </c>
      <c r="J516" s="19" t="s">
        <v>1094</v>
      </c>
      <c r="K516" s="19" t="s">
        <v>6</v>
      </c>
      <c r="L516" s="19" t="s">
        <v>1095</v>
      </c>
      <c r="M516" s="19" t="s">
        <v>1095</v>
      </c>
      <c r="N516" s="19" t="s">
        <v>1105</v>
      </c>
      <c r="R516" t="s">
        <v>1097</v>
      </c>
    </row>
    <row r="517" spans="1:18" x14ac:dyDescent="0.3">
      <c r="A517" s="19">
        <f t="shared" si="8"/>
        <v>516</v>
      </c>
      <c r="B517" s="20" t="s">
        <v>87</v>
      </c>
      <c r="C517" s="20" t="s">
        <v>102</v>
      </c>
      <c r="D517" s="21" t="str">
        <f>IF($C517="","",IFERROR(VLOOKUP($C517,Map_Register!$A$2:$C$5,3,FALSE()),""))</f>
        <v>Toponym Labels</v>
      </c>
      <c r="E517" s="20" t="s">
        <v>15</v>
      </c>
      <c r="F517" s="22">
        <v>722571</v>
      </c>
      <c r="G517" s="19" t="s">
        <v>1136</v>
      </c>
      <c r="H517" s="19" t="s">
        <v>2012</v>
      </c>
      <c r="I517" s="19" t="s">
        <v>2013</v>
      </c>
      <c r="J517" s="19" t="s">
        <v>1104</v>
      </c>
      <c r="K517" t="s">
        <v>1100</v>
      </c>
      <c r="L517" t="s">
        <v>114</v>
      </c>
      <c r="M517" t="s">
        <v>116</v>
      </c>
      <c r="N517" s="19" t="s">
        <v>1268</v>
      </c>
      <c r="O517" s="19" t="s">
        <v>116</v>
      </c>
      <c r="R517" t="s">
        <v>1097</v>
      </c>
    </row>
    <row r="518" spans="1:18" hidden="1" x14ac:dyDescent="0.3">
      <c r="A518" s="19">
        <f t="shared" si="8"/>
        <v>517</v>
      </c>
      <c r="B518" s="20" t="s">
        <v>87</v>
      </c>
      <c r="C518" s="20" t="s">
        <v>102</v>
      </c>
      <c r="D518" s="21" t="str">
        <f>IF($C518="","",IFERROR(VLOOKUP($C518,Map_Register!$A$2:$C$5,3,FALSE()),""))</f>
        <v>Toponym Labels</v>
      </c>
      <c r="E518" s="20" t="s">
        <v>15</v>
      </c>
      <c r="F518" s="22">
        <v>722573</v>
      </c>
      <c r="G518" s="19" t="s">
        <v>1163</v>
      </c>
      <c r="H518" s="19" t="s">
        <v>2014</v>
      </c>
      <c r="I518" s="19" t="s">
        <v>2015</v>
      </c>
      <c r="J518" s="19" t="s">
        <v>1094</v>
      </c>
      <c r="K518" s="19" t="s">
        <v>6</v>
      </c>
      <c r="L518" s="19" t="s">
        <v>1095</v>
      </c>
      <c r="M518" s="19" t="s">
        <v>1095</v>
      </c>
      <c r="N518" s="19" t="s">
        <v>1105</v>
      </c>
      <c r="R518" t="s">
        <v>1097</v>
      </c>
    </row>
    <row r="519" spans="1:18" hidden="1" x14ac:dyDescent="0.3">
      <c r="A519" s="19">
        <f t="shared" si="8"/>
        <v>518</v>
      </c>
      <c r="B519" s="20" t="s">
        <v>87</v>
      </c>
      <c r="C519" s="20" t="s">
        <v>102</v>
      </c>
      <c r="D519" s="21" t="str">
        <f>IF($C519="","",IFERROR(VLOOKUP($C519,Map_Register!$A$2:$C$5,3,FALSE()),""))</f>
        <v>Toponym Labels</v>
      </c>
      <c r="E519" s="20" t="s">
        <v>15</v>
      </c>
      <c r="F519" s="22">
        <v>722574</v>
      </c>
      <c r="G519" s="19" t="s">
        <v>1163</v>
      </c>
      <c r="H519" s="19" t="s">
        <v>2016</v>
      </c>
      <c r="I519" s="19" t="s">
        <v>2017</v>
      </c>
      <c r="J519" s="19" t="s">
        <v>1104</v>
      </c>
      <c r="K519" s="19" t="s">
        <v>6</v>
      </c>
      <c r="L519" s="19" t="s">
        <v>1095</v>
      </c>
      <c r="M519" s="19" t="s">
        <v>1095</v>
      </c>
      <c r="N519" s="19" t="s">
        <v>1105</v>
      </c>
      <c r="R519" t="s">
        <v>1097</v>
      </c>
    </row>
    <row r="520" spans="1:18" hidden="1" x14ac:dyDescent="0.3">
      <c r="A520" s="19">
        <f t="shared" si="8"/>
        <v>519</v>
      </c>
      <c r="B520" s="20" t="s">
        <v>87</v>
      </c>
      <c r="C520" s="20" t="s">
        <v>102</v>
      </c>
      <c r="D520" s="21" t="str">
        <f>IF($C520="","",IFERROR(VLOOKUP($C520,Map_Register!$A$2:$C$5,3,FALSE()),""))</f>
        <v>Toponym Labels</v>
      </c>
      <c r="E520" s="20" t="s">
        <v>15</v>
      </c>
      <c r="F520" s="22">
        <v>722575</v>
      </c>
      <c r="G520" s="19" t="s">
        <v>1136</v>
      </c>
      <c r="H520" s="19" t="s">
        <v>2018</v>
      </c>
      <c r="I520" s="19" t="s">
        <v>2019</v>
      </c>
      <c r="J520" s="19" t="s">
        <v>1094</v>
      </c>
      <c r="K520" s="19" t="s">
        <v>6</v>
      </c>
      <c r="L520" s="19" t="s">
        <v>1095</v>
      </c>
      <c r="M520" s="19" t="s">
        <v>1095</v>
      </c>
      <c r="N520" s="19" t="s">
        <v>1105</v>
      </c>
      <c r="R520" t="s">
        <v>1097</v>
      </c>
    </row>
    <row r="521" spans="1:18" hidden="1" x14ac:dyDescent="0.3">
      <c r="A521" s="19">
        <f t="shared" si="8"/>
        <v>520</v>
      </c>
      <c r="B521" s="20" t="s">
        <v>87</v>
      </c>
      <c r="C521" s="20" t="s">
        <v>102</v>
      </c>
      <c r="D521" s="21" t="str">
        <f>IF($C521="","",IFERROR(VLOOKUP($C521,Map_Register!$A$2:$C$5,3,FALSE()),""))</f>
        <v>Toponym Labels</v>
      </c>
      <c r="E521" s="20" t="s">
        <v>15</v>
      </c>
      <c r="F521" s="22">
        <v>722576</v>
      </c>
      <c r="G521" s="19" t="s">
        <v>1136</v>
      </c>
      <c r="H521" s="19" t="s">
        <v>2020</v>
      </c>
      <c r="I521" s="19" t="s">
        <v>2021</v>
      </c>
      <c r="J521" s="19" t="s">
        <v>1104</v>
      </c>
      <c r="K521" s="19" t="s">
        <v>6</v>
      </c>
      <c r="L521" s="19" t="s">
        <v>1095</v>
      </c>
      <c r="M521" s="19" t="s">
        <v>1095</v>
      </c>
      <c r="N521" s="19" t="s">
        <v>1105</v>
      </c>
      <c r="R521" t="s">
        <v>1097</v>
      </c>
    </row>
    <row r="522" spans="1:18" hidden="1" x14ac:dyDescent="0.3">
      <c r="A522" s="19">
        <f t="shared" si="8"/>
        <v>521</v>
      </c>
      <c r="B522" s="20" t="s">
        <v>87</v>
      </c>
      <c r="C522" s="20" t="s">
        <v>102</v>
      </c>
      <c r="D522" s="21" t="str">
        <f>IF($C522="","",IFERROR(VLOOKUP($C522,Map_Register!$A$2:$C$5,3,FALSE()),""))</f>
        <v>Toponym Labels</v>
      </c>
      <c r="E522" s="20" t="s">
        <v>15</v>
      </c>
      <c r="F522" s="22">
        <v>722577</v>
      </c>
      <c r="G522" s="19" t="s">
        <v>1179</v>
      </c>
      <c r="H522" s="19" t="s">
        <v>2022</v>
      </c>
      <c r="I522" s="19" t="s">
        <v>2023</v>
      </c>
      <c r="J522" s="19" t="s">
        <v>1094</v>
      </c>
      <c r="K522" s="19" t="s">
        <v>6</v>
      </c>
      <c r="L522" s="19" t="s">
        <v>1095</v>
      </c>
      <c r="M522" s="19" t="s">
        <v>1095</v>
      </c>
      <c r="N522" s="19" t="s">
        <v>1105</v>
      </c>
      <c r="R522" t="s">
        <v>1097</v>
      </c>
    </row>
    <row r="523" spans="1:18" hidden="1" x14ac:dyDescent="0.3">
      <c r="A523" s="19">
        <f t="shared" si="8"/>
        <v>522</v>
      </c>
      <c r="B523" s="20" t="s">
        <v>87</v>
      </c>
      <c r="C523" s="20" t="s">
        <v>102</v>
      </c>
      <c r="D523" s="21" t="str">
        <f>IF($C523="","",IFERROR(VLOOKUP($C523,Map_Register!$A$2:$C$5,3,FALSE()),""))</f>
        <v>Toponym Labels</v>
      </c>
      <c r="E523" s="20" t="s">
        <v>15</v>
      </c>
      <c r="F523" s="22">
        <v>722578</v>
      </c>
      <c r="G523" s="19" t="s">
        <v>1179</v>
      </c>
      <c r="H523" s="19" t="s">
        <v>2024</v>
      </c>
      <c r="I523" s="19" t="s">
        <v>2025</v>
      </c>
      <c r="J523" s="19" t="s">
        <v>1104</v>
      </c>
      <c r="K523" s="19" t="s">
        <v>6</v>
      </c>
      <c r="L523" s="19" t="s">
        <v>1095</v>
      </c>
      <c r="M523" s="19" t="s">
        <v>1095</v>
      </c>
      <c r="N523" s="19" t="s">
        <v>1105</v>
      </c>
      <c r="R523" t="s">
        <v>1097</v>
      </c>
    </row>
    <row r="524" spans="1:18" hidden="1" x14ac:dyDescent="0.3">
      <c r="A524" s="19">
        <f t="shared" si="8"/>
        <v>523</v>
      </c>
      <c r="B524" s="20" t="s">
        <v>87</v>
      </c>
      <c r="C524" s="20" t="s">
        <v>102</v>
      </c>
      <c r="D524" s="21" t="str">
        <f>IF($C524="","",IFERROR(VLOOKUP($C524,Map_Register!$A$2:$C$5,3,FALSE()),""))</f>
        <v>Toponym Labels</v>
      </c>
      <c r="E524" s="20" t="s">
        <v>15</v>
      </c>
      <c r="F524" s="22">
        <v>722579</v>
      </c>
      <c r="G524" s="19" t="s">
        <v>1179</v>
      </c>
      <c r="H524" s="19" t="s">
        <v>2026</v>
      </c>
      <c r="I524" s="19" t="s">
        <v>2027</v>
      </c>
      <c r="J524" s="19" t="s">
        <v>1094</v>
      </c>
      <c r="K524" s="19" t="s">
        <v>6</v>
      </c>
      <c r="L524" s="19" t="s">
        <v>1095</v>
      </c>
      <c r="M524" s="19" t="s">
        <v>1095</v>
      </c>
      <c r="N524" s="19" t="s">
        <v>1105</v>
      </c>
      <c r="R524" t="s">
        <v>1097</v>
      </c>
    </row>
    <row r="525" spans="1:18" hidden="1" x14ac:dyDescent="0.3">
      <c r="A525" s="19">
        <f t="shared" si="8"/>
        <v>524</v>
      </c>
      <c r="B525" s="20" t="s">
        <v>87</v>
      </c>
      <c r="C525" s="20" t="s">
        <v>102</v>
      </c>
      <c r="D525" s="21" t="str">
        <f>IF($C525="","",IFERROR(VLOOKUP($C525,Map_Register!$A$2:$C$5,3,FALSE()),""))</f>
        <v>Toponym Labels</v>
      </c>
      <c r="E525" s="20" t="s">
        <v>15</v>
      </c>
      <c r="F525" s="22">
        <v>722580</v>
      </c>
      <c r="G525" s="19" t="s">
        <v>1179</v>
      </c>
      <c r="H525" s="19" t="s">
        <v>2028</v>
      </c>
      <c r="I525" s="19" t="s">
        <v>2029</v>
      </c>
      <c r="J525" s="19" t="s">
        <v>1094</v>
      </c>
      <c r="K525" s="19" t="s">
        <v>6</v>
      </c>
      <c r="L525" s="19" t="s">
        <v>1095</v>
      </c>
      <c r="M525" s="19" t="s">
        <v>1095</v>
      </c>
      <c r="N525" s="19" t="s">
        <v>1105</v>
      </c>
      <c r="R525" t="s">
        <v>1097</v>
      </c>
    </row>
    <row r="526" spans="1:18" x14ac:dyDescent="0.3">
      <c r="A526" s="19">
        <f t="shared" si="8"/>
        <v>525</v>
      </c>
      <c r="B526" s="20" t="s">
        <v>87</v>
      </c>
      <c r="C526" s="20" t="s">
        <v>102</v>
      </c>
      <c r="D526" s="21" t="str">
        <f>IF($C526="","",IFERROR(VLOOKUP($C526,Map_Register!$A$2:$C$5,3,FALSE()),""))</f>
        <v>Toponym Labels</v>
      </c>
      <c r="E526" s="20" t="s">
        <v>15</v>
      </c>
      <c r="F526" s="22">
        <v>722581</v>
      </c>
      <c r="G526" s="19" t="s">
        <v>1179</v>
      </c>
      <c r="H526" s="19" t="s">
        <v>2030</v>
      </c>
      <c r="I526" s="19" t="s">
        <v>2031</v>
      </c>
      <c r="J526" s="19" t="s">
        <v>1094</v>
      </c>
      <c r="K526" t="s">
        <v>1100</v>
      </c>
      <c r="L526" t="s">
        <v>114</v>
      </c>
      <c r="M526" t="s">
        <v>116</v>
      </c>
      <c r="N526" s="19" t="s">
        <v>1512</v>
      </c>
      <c r="O526" s="19" t="s">
        <v>116</v>
      </c>
      <c r="R526" t="s">
        <v>1097</v>
      </c>
    </row>
    <row r="527" spans="1:18" hidden="1" x14ac:dyDescent="0.3">
      <c r="A527" s="19">
        <f t="shared" si="8"/>
        <v>526</v>
      </c>
      <c r="B527" s="20" t="s">
        <v>87</v>
      </c>
      <c r="C527" s="20" t="s">
        <v>102</v>
      </c>
      <c r="D527" s="21" t="str">
        <f>IF($C527="","",IFERROR(VLOOKUP($C527,Map_Register!$A$2:$C$5,3,FALSE()),""))</f>
        <v>Toponym Labels</v>
      </c>
      <c r="E527" s="20" t="s">
        <v>15</v>
      </c>
      <c r="F527" s="22">
        <v>722582</v>
      </c>
      <c r="G527" s="19" t="s">
        <v>1179</v>
      </c>
      <c r="H527" s="19" t="s">
        <v>2032</v>
      </c>
      <c r="I527" s="19" t="s">
        <v>2033</v>
      </c>
      <c r="J527" s="19" t="s">
        <v>1094</v>
      </c>
      <c r="K527" t="s">
        <v>1100</v>
      </c>
      <c r="L527" t="s">
        <v>114</v>
      </c>
      <c r="M527" t="s">
        <v>114</v>
      </c>
      <c r="N527" s="19" t="s">
        <v>1184</v>
      </c>
      <c r="O527" s="19" t="s">
        <v>116</v>
      </c>
      <c r="R527" t="s">
        <v>1097</v>
      </c>
    </row>
    <row r="528" spans="1:18" hidden="1" x14ac:dyDescent="0.3">
      <c r="A528" s="19">
        <f t="shared" si="8"/>
        <v>527</v>
      </c>
      <c r="B528" s="20" t="s">
        <v>87</v>
      </c>
      <c r="C528" s="20" t="s">
        <v>102</v>
      </c>
      <c r="D528" s="21" t="str">
        <f>IF($C528="","",IFERROR(VLOOKUP($C528,Map_Register!$A$2:$C$5,3,FALSE()),""))</f>
        <v>Toponym Labels</v>
      </c>
      <c r="E528" s="20" t="s">
        <v>15</v>
      </c>
      <c r="F528" s="22">
        <v>722583</v>
      </c>
      <c r="G528" s="19" t="s">
        <v>1179</v>
      </c>
      <c r="H528" s="19" t="s">
        <v>2034</v>
      </c>
      <c r="I528" s="19" t="s">
        <v>2035</v>
      </c>
      <c r="J528" s="19" t="s">
        <v>1094</v>
      </c>
      <c r="K528" t="s">
        <v>1100</v>
      </c>
      <c r="L528" t="s">
        <v>114</v>
      </c>
      <c r="M528" t="s">
        <v>114</v>
      </c>
      <c r="N528" s="19" t="s">
        <v>1184</v>
      </c>
      <c r="O528" s="19" t="s">
        <v>116</v>
      </c>
      <c r="R528" t="s">
        <v>1097</v>
      </c>
    </row>
    <row r="529" spans="1:18" hidden="1" x14ac:dyDescent="0.3">
      <c r="A529" s="19">
        <f t="shared" si="8"/>
        <v>528</v>
      </c>
      <c r="B529" s="20" t="s">
        <v>87</v>
      </c>
      <c r="C529" s="20" t="s">
        <v>102</v>
      </c>
      <c r="D529" s="21" t="str">
        <f>IF($C529="","",IFERROR(VLOOKUP($C529,Map_Register!$A$2:$C$5,3,FALSE()),""))</f>
        <v>Toponym Labels</v>
      </c>
      <c r="E529" s="20" t="s">
        <v>15</v>
      </c>
      <c r="F529" s="22">
        <v>722584</v>
      </c>
      <c r="G529" s="19" t="s">
        <v>1179</v>
      </c>
      <c r="H529" s="19" t="s">
        <v>2036</v>
      </c>
      <c r="I529" s="19" t="s">
        <v>2037</v>
      </c>
      <c r="J529" s="19" t="s">
        <v>1104</v>
      </c>
      <c r="K529" s="19" t="s">
        <v>6</v>
      </c>
      <c r="L529" s="19" t="s">
        <v>1095</v>
      </c>
      <c r="M529" s="19" t="s">
        <v>1095</v>
      </c>
      <c r="N529" s="19" t="s">
        <v>1105</v>
      </c>
      <c r="R529" t="s">
        <v>1097</v>
      </c>
    </row>
    <row r="530" spans="1:18" hidden="1" x14ac:dyDescent="0.3">
      <c r="A530" s="19">
        <f t="shared" si="8"/>
        <v>529</v>
      </c>
      <c r="B530" s="20" t="s">
        <v>87</v>
      </c>
      <c r="C530" s="20" t="s">
        <v>102</v>
      </c>
      <c r="D530" s="21" t="str">
        <f>IF($C530="","",IFERROR(VLOOKUP($C530,Map_Register!$A$2:$C$5,3,FALSE()),""))</f>
        <v>Toponym Labels</v>
      </c>
      <c r="E530" s="20" t="s">
        <v>15</v>
      </c>
      <c r="F530" s="22">
        <v>722585</v>
      </c>
      <c r="G530" s="19" t="s">
        <v>1179</v>
      </c>
      <c r="H530" s="19" t="s">
        <v>2038</v>
      </c>
      <c r="I530" s="19" t="s">
        <v>2038</v>
      </c>
      <c r="J530" s="19" t="s">
        <v>1117</v>
      </c>
      <c r="K530" t="s">
        <v>1100</v>
      </c>
      <c r="L530" t="s">
        <v>114</v>
      </c>
      <c r="M530" t="s">
        <v>114</v>
      </c>
      <c r="N530" s="19" t="s">
        <v>1184</v>
      </c>
      <c r="O530" s="19" t="s">
        <v>116</v>
      </c>
      <c r="R530" t="s">
        <v>1097</v>
      </c>
    </row>
    <row r="531" spans="1:18" hidden="1" x14ac:dyDescent="0.3">
      <c r="A531" s="19">
        <f t="shared" si="8"/>
        <v>530</v>
      </c>
      <c r="B531" s="20" t="s">
        <v>87</v>
      </c>
      <c r="C531" s="20" t="s">
        <v>102</v>
      </c>
      <c r="D531" s="21" t="str">
        <f>IF($C531="","",IFERROR(VLOOKUP($C531,Map_Register!$A$2:$C$5,3,FALSE()),""))</f>
        <v>Toponym Labels</v>
      </c>
      <c r="E531" s="20" t="s">
        <v>15</v>
      </c>
      <c r="F531" s="22">
        <v>722590</v>
      </c>
      <c r="G531" s="19" t="s">
        <v>1179</v>
      </c>
      <c r="H531" s="19" t="s">
        <v>2039</v>
      </c>
      <c r="I531" s="19" t="s">
        <v>2040</v>
      </c>
      <c r="J531" s="19" t="s">
        <v>1094</v>
      </c>
      <c r="K531" s="19" t="s">
        <v>6</v>
      </c>
      <c r="L531" s="19" t="s">
        <v>1095</v>
      </c>
      <c r="M531" s="19" t="s">
        <v>1095</v>
      </c>
      <c r="N531" s="19" t="s">
        <v>1105</v>
      </c>
      <c r="R531" t="s">
        <v>1097</v>
      </c>
    </row>
    <row r="532" spans="1:18" hidden="1" x14ac:dyDescent="0.3">
      <c r="A532" s="19">
        <f t="shared" si="8"/>
        <v>531</v>
      </c>
      <c r="B532" s="20" t="s">
        <v>87</v>
      </c>
      <c r="C532" s="20" t="s">
        <v>102</v>
      </c>
      <c r="D532" s="21" t="str">
        <f>IF($C532="","",IFERROR(VLOOKUP($C532,Map_Register!$A$2:$C$5,3,FALSE()),""))</f>
        <v>Toponym Labels</v>
      </c>
      <c r="E532" s="20" t="s">
        <v>15</v>
      </c>
      <c r="F532" s="22">
        <v>722592</v>
      </c>
      <c r="G532" s="19" t="s">
        <v>1179</v>
      </c>
      <c r="H532" s="19" t="s">
        <v>2041</v>
      </c>
      <c r="I532" s="19" t="s">
        <v>2042</v>
      </c>
      <c r="J532" s="19" t="s">
        <v>1104</v>
      </c>
      <c r="K532" s="19" t="s">
        <v>6</v>
      </c>
      <c r="L532" s="19" t="s">
        <v>1095</v>
      </c>
      <c r="M532" s="19" t="s">
        <v>1095</v>
      </c>
      <c r="N532" s="19" t="s">
        <v>1105</v>
      </c>
      <c r="R532" t="s">
        <v>1097</v>
      </c>
    </row>
    <row r="533" spans="1:18" hidden="1" x14ac:dyDescent="0.3">
      <c r="A533" s="19">
        <f t="shared" si="8"/>
        <v>532</v>
      </c>
      <c r="B533" s="20" t="s">
        <v>87</v>
      </c>
      <c r="C533" s="20" t="s">
        <v>102</v>
      </c>
      <c r="D533" s="21" t="str">
        <f>IF($C533="","",IFERROR(VLOOKUP($C533,Map_Register!$A$2:$C$5,3,FALSE()),""))</f>
        <v>Toponym Labels</v>
      </c>
      <c r="E533" s="20" t="s">
        <v>15</v>
      </c>
      <c r="F533" s="22">
        <v>722595</v>
      </c>
      <c r="G533" s="19" t="s">
        <v>1179</v>
      </c>
      <c r="H533" s="19" t="s">
        <v>2043</v>
      </c>
      <c r="I533" s="19" t="s">
        <v>2043</v>
      </c>
      <c r="J533" s="19" t="s">
        <v>1117</v>
      </c>
      <c r="K533" s="19" t="s">
        <v>6</v>
      </c>
      <c r="L533" s="19" t="s">
        <v>1095</v>
      </c>
      <c r="M533" s="19" t="s">
        <v>1095</v>
      </c>
      <c r="N533" s="19" t="s">
        <v>2044</v>
      </c>
      <c r="R533" t="s">
        <v>1097</v>
      </c>
    </row>
    <row r="534" spans="1:18" hidden="1" x14ac:dyDescent="0.3">
      <c r="A534" s="19">
        <f t="shared" si="8"/>
        <v>533</v>
      </c>
      <c r="B534" s="20" t="s">
        <v>87</v>
      </c>
      <c r="C534" s="20" t="s">
        <v>102</v>
      </c>
      <c r="D534" s="21" t="str">
        <f>IF($C534="","",IFERROR(VLOOKUP($C534,Map_Register!$A$2:$C$5,3,FALSE()),""))</f>
        <v>Toponym Labels</v>
      </c>
      <c r="E534" s="20" t="s">
        <v>15</v>
      </c>
      <c r="F534" s="22">
        <v>722598</v>
      </c>
      <c r="G534" s="19" t="s">
        <v>1179</v>
      </c>
      <c r="H534" s="19" t="s">
        <v>2045</v>
      </c>
      <c r="I534" s="19" t="s">
        <v>2045</v>
      </c>
      <c r="J534" s="19" t="s">
        <v>1117</v>
      </c>
      <c r="K534" t="s">
        <v>1100</v>
      </c>
      <c r="L534" t="s">
        <v>114</v>
      </c>
      <c r="M534" t="s">
        <v>114</v>
      </c>
      <c r="N534" s="19" t="s">
        <v>1184</v>
      </c>
      <c r="O534" s="19" t="s">
        <v>116</v>
      </c>
      <c r="R534" t="s">
        <v>1097</v>
      </c>
    </row>
    <row r="535" spans="1:18" hidden="1" x14ac:dyDescent="0.3">
      <c r="A535" s="19">
        <f t="shared" si="8"/>
        <v>534</v>
      </c>
      <c r="B535" s="20" t="s">
        <v>87</v>
      </c>
      <c r="C535" s="20" t="s">
        <v>102</v>
      </c>
      <c r="D535" s="21" t="str">
        <f>IF($C535="","",IFERROR(VLOOKUP($C535,Map_Register!$A$2:$C$5,3,FALSE()),""))</f>
        <v>Toponym Labels</v>
      </c>
      <c r="E535" s="20" t="s">
        <v>15</v>
      </c>
      <c r="F535" s="22">
        <v>722599</v>
      </c>
      <c r="G535" s="19" t="s">
        <v>1179</v>
      </c>
      <c r="H535" s="19" t="s">
        <v>2046</v>
      </c>
      <c r="I535" s="19" t="s">
        <v>2047</v>
      </c>
      <c r="J535" s="19" t="s">
        <v>1104</v>
      </c>
      <c r="K535" t="s">
        <v>1100</v>
      </c>
      <c r="L535" t="s">
        <v>114</v>
      </c>
      <c r="M535" t="s">
        <v>114</v>
      </c>
      <c r="N535" s="19" t="s">
        <v>1184</v>
      </c>
      <c r="O535" s="19" t="s">
        <v>116</v>
      </c>
      <c r="R535" t="s">
        <v>1097</v>
      </c>
    </row>
    <row r="536" spans="1:18" hidden="1" x14ac:dyDescent="0.3">
      <c r="A536" s="19">
        <f t="shared" si="8"/>
        <v>535</v>
      </c>
      <c r="B536" s="20" t="s">
        <v>87</v>
      </c>
      <c r="C536" s="20" t="s">
        <v>102</v>
      </c>
      <c r="D536" s="21" t="str">
        <f>IF($C536="","",IFERROR(VLOOKUP($C536,Map_Register!$A$2:$C$5,3,FALSE()),""))</f>
        <v>Toponym Labels</v>
      </c>
      <c r="E536" s="20" t="s">
        <v>15</v>
      </c>
      <c r="F536" s="22">
        <v>722601</v>
      </c>
      <c r="G536" s="19" t="s">
        <v>1205</v>
      </c>
      <c r="H536" s="19" t="s">
        <v>2028</v>
      </c>
      <c r="I536" s="19" t="s">
        <v>2028</v>
      </c>
      <c r="J536" s="19" t="s">
        <v>1110</v>
      </c>
      <c r="K536" t="s">
        <v>1100</v>
      </c>
      <c r="L536" t="s">
        <v>114</v>
      </c>
      <c r="M536" t="s">
        <v>114</v>
      </c>
      <c r="N536" s="19" t="s">
        <v>1290</v>
      </c>
      <c r="O536" s="19" t="s">
        <v>116</v>
      </c>
      <c r="R536" t="s">
        <v>1097</v>
      </c>
    </row>
    <row r="537" spans="1:18" hidden="1" x14ac:dyDescent="0.3">
      <c r="A537" s="19">
        <f t="shared" si="8"/>
        <v>536</v>
      </c>
      <c r="B537" s="20" t="s">
        <v>87</v>
      </c>
      <c r="C537" s="20" t="s">
        <v>102</v>
      </c>
      <c r="D537" s="21" t="str">
        <f>IF($C537="","",IFERROR(VLOOKUP($C537,Map_Register!$A$2:$C$5,3,FALSE()),""))</f>
        <v>Toponym Labels</v>
      </c>
      <c r="E537" s="20" t="s">
        <v>15</v>
      </c>
      <c r="F537" s="22">
        <v>722602</v>
      </c>
      <c r="G537" s="19" t="s">
        <v>1163</v>
      </c>
      <c r="H537" s="19" t="s">
        <v>2048</v>
      </c>
      <c r="I537" s="19" t="s">
        <v>2049</v>
      </c>
      <c r="J537" s="19" t="s">
        <v>1104</v>
      </c>
      <c r="K537" t="s">
        <v>1100</v>
      </c>
      <c r="L537" t="s">
        <v>114</v>
      </c>
      <c r="M537" t="s">
        <v>114</v>
      </c>
      <c r="N537" s="19" t="s">
        <v>2050</v>
      </c>
      <c r="O537" s="19" t="s">
        <v>116</v>
      </c>
      <c r="R537" t="s">
        <v>1097</v>
      </c>
    </row>
    <row r="538" spans="1:18" hidden="1" x14ac:dyDescent="0.3">
      <c r="A538" s="19">
        <f t="shared" si="8"/>
        <v>537</v>
      </c>
      <c r="B538" s="20" t="s">
        <v>87</v>
      </c>
      <c r="C538" s="20" t="s">
        <v>102</v>
      </c>
      <c r="D538" s="21" t="str">
        <f>IF($C538="","",IFERROR(VLOOKUP($C538,Map_Register!$A$2:$C$5,3,FALSE()),""))</f>
        <v>Toponym Labels</v>
      </c>
      <c r="E538" s="20" t="s">
        <v>15</v>
      </c>
      <c r="F538" s="22">
        <v>722603</v>
      </c>
      <c r="G538" s="19" t="s">
        <v>2051</v>
      </c>
      <c r="H538" s="19" t="s">
        <v>2052</v>
      </c>
      <c r="I538" s="19" t="s">
        <v>2053</v>
      </c>
      <c r="J538" s="19" t="s">
        <v>1104</v>
      </c>
      <c r="K538" t="s">
        <v>1100</v>
      </c>
      <c r="L538" t="s">
        <v>114</v>
      </c>
      <c r="M538" t="s">
        <v>114</v>
      </c>
      <c r="N538" s="19" t="s">
        <v>2050</v>
      </c>
      <c r="O538" s="19" t="s">
        <v>116</v>
      </c>
      <c r="R538" t="s">
        <v>1097</v>
      </c>
    </row>
    <row r="539" spans="1:18" hidden="1" x14ac:dyDescent="0.3">
      <c r="A539" s="19">
        <f t="shared" si="8"/>
        <v>538</v>
      </c>
      <c r="B539" s="20" t="s">
        <v>87</v>
      </c>
      <c r="C539" s="20" t="s">
        <v>102</v>
      </c>
      <c r="D539" s="21" t="str">
        <f>IF($C539="","",IFERROR(VLOOKUP($C539,Map_Register!$A$2:$C$5,3,FALSE()),""))</f>
        <v>Toponym Labels</v>
      </c>
      <c r="E539" s="20" t="s">
        <v>15</v>
      </c>
      <c r="F539" s="22">
        <v>722604</v>
      </c>
      <c r="G539" s="19" t="s">
        <v>1136</v>
      </c>
      <c r="H539" s="19" t="s">
        <v>2054</v>
      </c>
      <c r="I539" s="19" t="s">
        <v>2054</v>
      </c>
      <c r="J539" s="19" t="s">
        <v>1117</v>
      </c>
      <c r="K539" s="19" t="s">
        <v>6</v>
      </c>
      <c r="L539" s="19" t="s">
        <v>1095</v>
      </c>
      <c r="M539" s="19" t="s">
        <v>1095</v>
      </c>
      <c r="N539" s="19" t="s">
        <v>1406</v>
      </c>
      <c r="R539" t="s">
        <v>1097</v>
      </c>
    </row>
    <row r="540" spans="1:18" hidden="1" x14ac:dyDescent="0.3">
      <c r="A540" s="19">
        <f t="shared" si="8"/>
        <v>539</v>
      </c>
      <c r="B540" s="20" t="s">
        <v>87</v>
      </c>
      <c r="C540" s="20" t="s">
        <v>102</v>
      </c>
      <c r="D540" s="21" t="str">
        <f>IF($C540="","",IFERROR(VLOOKUP($C540,Map_Register!$A$2:$C$5,3,FALSE()),""))</f>
        <v>Toponym Labels</v>
      </c>
      <c r="E540" s="20" t="s">
        <v>15</v>
      </c>
      <c r="F540" s="22">
        <v>722605</v>
      </c>
      <c r="G540" s="19" t="s">
        <v>1136</v>
      </c>
      <c r="H540" s="19" t="s">
        <v>2055</v>
      </c>
      <c r="I540" s="19" t="s">
        <v>2056</v>
      </c>
      <c r="J540" s="19" t="s">
        <v>1110</v>
      </c>
      <c r="K540" s="19" t="s">
        <v>6</v>
      </c>
      <c r="L540" s="19" t="s">
        <v>1095</v>
      </c>
      <c r="M540" s="19" t="s">
        <v>1095</v>
      </c>
      <c r="N540" s="19" t="s">
        <v>1105</v>
      </c>
      <c r="R540" t="s">
        <v>1097</v>
      </c>
    </row>
    <row r="541" spans="1:18" hidden="1" x14ac:dyDescent="0.3">
      <c r="A541" s="19">
        <f t="shared" si="8"/>
        <v>540</v>
      </c>
      <c r="B541" s="20" t="s">
        <v>87</v>
      </c>
      <c r="C541" s="20" t="s">
        <v>102</v>
      </c>
      <c r="D541" s="21" t="str">
        <f>IF($C541="","",IFERROR(VLOOKUP($C541,Map_Register!$A$2:$C$5,3,FALSE()),""))</f>
        <v>Toponym Labels</v>
      </c>
      <c r="E541" s="20" t="s">
        <v>15</v>
      </c>
      <c r="F541" s="22">
        <v>722606</v>
      </c>
      <c r="G541" s="19" t="s">
        <v>1136</v>
      </c>
      <c r="H541" s="19" t="s">
        <v>2057</v>
      </c>
      <c r="I541" s="19" t="s">
        <v>2058</v>
      </c>
      <c r="J541" s="19" t="s">
        <v>1104</v>
      </c>
      <c r="K541" t="s">
        <v>1100</v>
      </c>
      <c r="L541" t="s">
        <v>114</v>
      </c>
      <c r="M541" t="s">
        <v>114</v>
      </c>
      <c r="N541" s="19" t="s">
        <v>530</v>
      </c>
      <c r="O541" s="19" t="s">
        <v>116</v>
      </c>
      <c r="R541" t="s">
        <v>1097</v>
      </c>
    </row>
    <row r="542" spans="1:18" hidden="1" x14ac:dyDescent="0.3">
      <c r="A542" s="19">
        <f t="shared" si="8"/>
        <v>541</v>
      </c>
      <c r="B542" s="20" t="s">
        <v>87</v>
      </c>
      <c r="C542" s="20" t="s">
        <v>102</v>
      </c>
      <c r="D542" s="21" t="str">
        <f>IF($C542="","",IFERROR(VLOOKUP($C542,Map_Register!$A$2:$C$5,3,FALSE()),""))</f>
        <v>Toponym Labels</v>
      </c>
      <c r="E542" s="20" t="s">
        <v>15</v>
      </c>
      <c r="F542" s="22">
        <v>722607</v>
      </c>
      <c r="G542" s="19" t="s">
        <v>1136</v>
      </c>
      <c r="H542" s="19" t="s">
        <v>2059</v>
      </c>
      <c r="I542" s="19" t="s">
        <v>2060</v>
      </c>
      <c r="J542" s="19" t="s">
        <v>1104</v>
      </c>
      <c r="K542" t="s">
        <v>1100</v>
      </c>
      <c r="L542" t="s">
        <v>114</v>
      </c>
      <c r="M542" t="s">
        <v>114</v>
      </c>
      <c r="N542" s="19" t="s">
        <v>530</v>
      </c>
      <c r="O542" s="19" t="s">
        <v>116</v>
      </c>
      <c r="R542" t="s">
        <v>1097</v>
      </c>
    </row>
    <row r="543" spans="1:18" hidden="1" x14ac:dyDescent="0.3">
      <c r="A543" s="19">
        <f t="shared" si="8"/>
        <v>542</v>
      </c>
      <c r="B543" s="20" t="s">
        <v>87</v>
      </c>
      <c r="C543" s="20" t="s">
        <v>102</v>
      </c>
      <c r="D543" s="21" t="str">
        <f>IF($C543="","",IFERROR(VLOOKUP($C543,Map_Register!$A$2:$C$5,3,FALSE()),""))</f>
        <v>Toponym Labels</v>
      </c>
      <c r="E543" s="20" t="s">
        <v>15</v>
      </c>
      <c r="F543" s="22">
        <v>722608</v>
      </c>
      <c r="G543" s="19" t="s">
        <v>1136</v>
      </c>
      <c r="H543" s="19" t="s">
        <v>2061</v>
      </c>
      <c r="I543" s="19" t="s">
        <v>2061</v>
      </c>
      <c r="J543" s="19" t="s">
        <v>1117</v>
      </c>
      <c r="K543" t="s">
        <v>1100</v>
      </c>
      <c r="L543" t="s">
        <v>114</v>
      </c>
      <c r="M543" t="s">
        <v>114</v>
      </c>
      <c r="N543" s="19" t="s">
        <v>2062</v>
      </c>
      <c r="O543" s="19" t="s">
        <v>116</v>
      </c>
      <c r="R543" t="s">
        <v>1097</v>
      </c>
    </row>
    <row r="544" spans="1:18" hidden="1" x14ac:dyDescent="0.3">
      <c r="A544" s="19">
        <f t="shared" si="8"/>
        <v>543</v>
      </c>
      <c r="B544" s="20" t="s">
        <v>87</v>
      </c>
      <c r="C544" s="20" t="s">
        <v>102</v>
      </c>
      <c r="D544" s="21" t="str">
        <f>IF($C544="","",IFERROR(VLOOKUP($C544,Map_Register!$A$2:$C$5,3,FALSE()),""))</f>
        <v>Toponym Labels</v>
      </c>
      <c r="E544" s="20" t="s">
        <v>15</v>
      </c>
      <c r="F544" s="22">
        <v>722609</v>
      </c>
      <c r="G544" s="19" t="s">
        <v>1136</v>
      </c>
      <c r="H544" s="19" t="s">
        <v>2063</v>
      </c>
      <c r="I544" s="19" t="s">
        <v>2064</v>
      </c>
      <c r="J544" s="19" t="s">
        <v>1104</v>
      </c>
      <c r="K544" s="19" t="s">
        <v>6</v>
      </c>
      <c r="L544" s="19" t="s">
        <v>1095</v>
      </c>
      <c r="M544" s="19" t="s">
        <v>1095</v>
      </c>
      <c r="N544" s="19" t="s">
        <v>1105</v>
      </c>
      <c r="R544" t="s">
        <v>1097</v>
      </c>
    </row>
    <row r="545" spans="1:18" hidden="1" x14ac:dyDescent="0.3">
      <c r="A545" s="19">
        <f t="shared" si="8"/>
        <v>544</v>
      </c>
      <c r="B545" s="20" t="s">
        <v>87</v>
      </c>
      <c r="C545" s="20" t="s">
        <v>102</v>
      </c>
      <c r="D545" s="21" t="str">
        <f>IF($C545="","",IFERROR(VLOOKUP($C545,Map_Register!$A$2:$C$5,3,FALSE()),""))</f>
        <v>Toponym Labels</v>
      </c>
      <c r="E545" s="20" t="s">
        <v>15</v>
      </c>
      <c r="F545" s="22">
        <v>722623</v>
      </c>
      <c r="G545" s="19" t="s">
        <v>1163</v>
      </c>
      <c r="H545" s="19" t="s">
        <v>2065</v>
      </c>
      <c r="I545" s="19" t="s">
        <v>2066</v>
      </c>
      <c r="J545" s="19" t="s">
        <v>1094</v>
      </c>
      <c r="K545" t="s">
        <v>1100</v>
      </c>
      <c r="L545" t="s">
        <v>114</v>
      </c>
      <c r="M545" t="s">
        <v>114</v>
      </c>
      <c r="N545" s="19" t="s">
        <v>1964</v>
      </c>
      <c r="O545" s="19" t="s">
        <v>116</v>
      </c>
      <c r="R545" t="s">
        <v>1097</v>
      </c>
    </row>
    <row r="546" spans="1:18" hidden="1" x14ac:dyDescent="0.3">
      <c r="A546" s="19">
        <f t="shared" si="8"/>
        <v>545</v>
      </c>
      <c r="B546" s="20" t="s">
        <v>87</v>
      </c>
      <c r="C546" s="20" t="s">
        <v>102</v>
      </c>
      <c r="D546" s="21" t="str">
        <f>IF($C546="","",IFERROR(VLOOKUP($C546,Map_Register!$A$2:$C$5,3,FALSE()),""))</f>
        <v>Toponym Labels</v>
      </c>
      <c r="E546" s="20" t="s">
        <v>15</v>
      </c>
      <c r="F546" s="22">
        <v>722624</v>
      </c>
      <c r="G546" s="19" t="s">
        <v>1163</v>
      </c>
      <c r="H546" s="19" t="s">
        <v>2067</v>
      </c>
      <c r="I546" s="19" t="s">
        <v>2068</v>
      </c>
      <c r="J546" s="19" t="s">
        <v>1104</v>
      </c>
      <c r="K546" s="19" t="s">
        <v>6</v>
      </c>
      <c r="L546" s="19" t="s">
        <v>1095</v>
      </c>
      <c r="M546" s="19" t="s">
        <v>1095</v>
      </c>
      <c r="N546" s="19" t="s">
        <v>1105</v>
      </c>
      <c r="R546" t="s">
        <v>1097</v>
      </c>
    </row>
    <row r="547" spans="1:18" hidden="1" x14ac:dyDescent="0.3">
      <c r="A547" s="19">
        <f t="shared" si="8"/>
        <v>546</v>
      </c>
      <c r="B547" s="20" t="s">
        <v>87</v>
      </c>
      <c r="C547" s="20" t="s">
        <v>102</v>
      </c>
      <c r="D547" s="21" t="str">
        <f>IF($C547="","",IFERROR(VLOOKUP($C547,Map_Register!$A$2:$C$5,3,FALSE()),""))</f>
        <v>Toponym Labels</v>
      </c>
      <c r="E547" s="20" t="s">
        <v>15</v>
      </c>
      <c r="F547" s="22">
        <v>722625</v>
      </c>
      <c r="G547" s="19" t="s">
        <v>1136</v>
      </c>
      <c r="H547" s="19" t="s">
        <v>2069</v>
      </c>
      <c r="I547" s="19" t="s">
        <v>2069</v>
      </c>
      <c r="J547" s="19" t="s">
        <v>1117</v>
      </c>
      <c r="K547" t="s">
        <v>1100</v>
      </c>
      <c r="L547" t="s">
        <v>114</v>
      </c>
      <c r="M547" t="s">
        <v>114</v>
      </c>
      <c r="N547" s="19" t="s">
        <v>530</v>
      </c>
      <c r="O547" s="19" t="s">
        <v>116</v>
      </c>
      <c r="R547" t="s">
        <v>1097</v>
      </c>
    </row>
    <row r="548" spans="1:18" hidden="1" x14ac:dyDescent="0.3">
      <c r="A548" s="19">
        <f t="shared" si="8"/>
        <v>547</v>
      </c>
      <c r="B548" s="20" t="s">
        <v>87</v>
      </c>
      <c r="C548" s="20" t="s">
        <v>102</v>
      </c>
      <c r="D548" s="21" t="str">
        <f>IF($C548="","",IFERROR(VLOOKUP($C548,Map_Register!$A$2:$C$5,3,FALSE()),""))</f>
        <v>Toponym Labels</v>
      </c>
      <c r="E548" s="20" t="s">
        <v>15</v>
      </c>
      <c r="F548" s="22">
        <v>722626</v>
      </c>
      <c r="G548" s="19" t="s">
        <v>1136</v>
      </c>
      <c r="H548" s="19" t="s">
        <v>2070</v>
      </c>
      <c r="I548" s="19" t="s">
        <v>2071</v>
      </c>
      <c r="J548" s="19" t="s">
        <v>1094</v>
      </c>
      <c r="K548" s="19" t="s">
        <v>6</v>
      </c>
      <c r="L548" s="19" t="s">
        <v>1095</v>
      </c>
      <c r="M548" s="19" t="s">
        <v>1095</v>
      </c>
      <c r="N548" s="19" t="s">
        <v>1105</v>
      </c>
      <c r="R548" t="s">
        <v>1097</v>
      </c>
    </row>
    <row r="549" spans="1:18" hidden="1" x14ac:dyDescent="0.3">
      <c r="A549" s="19">
        <f t="shared" si="8"/>
        <v>548</v>
      </c>
      <c r="B549" s="20" t="s">
        <v>87</v>
      </c>
      <c r="C549" s="20" t="s">
        <v>102</v>
      </c>
      <c r="D549" s="21" t="str">
        <f>IF($C549="","",IFERROR(VLOOKUP($C549,Map_Register!$A$2:$C$5,3,FALSE()),""))</f>
        <v>Toponym Labels</v>
      </c>
      <c r="E549" s="20" t="s">
        <v>15</v>
      </c>
      <c r="F549" s="22">
        <v>722629</v>
      </c>
      <c r="G549" s="19" t="s">
        <v>1091</v>
      </c>
      <c r="H549" s="19" t="s">
        <v>2072</v>
      </c>
      <c r="I549" s="19" t="s">
        <v>2073</v>
      </c>
      <c r="J549" s="19" t="s">
        <v>1094</v>
      </c>
      <c r="K549" t="s">
        <v>1100</v>
      </c>
      <c r="L549" t="s">
        <v>114</v>
      </c>
      <c r="M549" t="s">
        <v>114</v>
      </c>
      <c r="N549" s="19" t="s">
        <v>530</v>
      </c>
      <c r="O549" s="19" t="s">
        <v>116</v>
      </c>
      <c r="R549" t="s">
        <v>1097</v>
      </c>
    </row>
    <row r="550" spans="1:18" hidden="1" x14ac:dyDescent="0.3">
      <c r="A550" s="19">
        <f t="shared" si="8"/>
        <v>549</v>
      </c>
      <c r="B550" s="20" t="s">
        <v>87</v>
      </c>
      <c r="C550" s="20" t="s">
        <v>102</v>
      </c>
      <c r="D550" s="21" t="str">
        <f>IF($C550="","",IFERROR(VLOOKUP($C550,Map_Register!$A$2:$C$5,3,FALSE()),""))</f>
        <v>Toponym Labels</v>
      </c>
      <c r="E550" s="20" t="s">
        <v>15</v>
      </c>
      <c r="F550" s="22">
        <v>722630</v>
      </c>
      <c r="G550" s="19" t="s">
        <v>1125</v>
      </c>
      <c r="H550" s="19" t="s">
        <v>2074</v>
      </c>
      <c r="I550" s="19" t="s">
        <v>2074</v>
      </c>
      <c r="J550" s="19" t="s">
        <v>1117</v>
      </c>
      <c r="K550" t="s">
        <v>1100</v>
      </c>
      <c r="L550" s="19" t="s">
        <v>114</v>
      </c>
      <c r="M550" s="19" t="s">
        <v>114</v>
      </c>
      <c r="N550" s="19" t="s">
        <v>2075</v>
      </c>
      <c r="O550" s="19" t="s">
        <v>116</v>
      </c>
      <c r="R550" t="s">
        <v>1097</v>
      </c>
    </row>
    <row r="551" spans="1:18" hidden="1" x14ac:dyDescent="0.3">
      <c r="A551" s="19">
        <f t="shared" si="8"/>
        <v>550</v>
      </c>
      <c r="B551" s="20" t="s">
        <v>87</v>
      </c>
      <c r="C551" s="20" t="s">
        <v>102</v>
      </c>
      <c r="D551" s="21" t="str">
        <f>IF($C551="","",IFERROR(VLOOKUP($C551,Map_Register!$A$2:$C$5,3,FALSE()),""))</f>
        <v>Toponym Labels</v>
      </c>
      <c r="E551" s="20" t="s">
        <v>15</v>
      </c>
      <c r="F551" s="22">
        <v>722631</v>
      </c>
      <c r="G551" s="19" t="s">
        <v>1136</v>
      </c>
      <c r="H551" s="19" t="s">
        <v>2076</v>
      </c>
      <c r="I551" s="19" t="s">
        <v>2077</v>
      </c>
      <c r="J551" s="19" t="s">
        <v>1104</v>
      </c>
      <c r="K551" t="s">
        <v>1100</v>
      </c>
      <c r="L551" s="19" t="s">
        <v>114</v>
      </c>
      <c r="M551" s="19" t="s">
        <v>114</v>
      </c>
      <c r="N551" s="19" t="s">
        <v>2078</v>
      </c>
      <c r="O551" s="19" t="s">
        <v>116</v>
      </c>
      <c r="R551" t="s">
        <v>1097</v>
      </c>
    </row>
    <row r="552" spans="1:18" hidden="1" x14ac:dyDescent="0.3">
      <c r="A552" s="19">
        <f t="shared" si="8"/>
        <v>551</v>
      </c>
      <c r="B552" s="20" t="s">
        <v>87</v>
      </c>
      <c r="C552" s="20" t="s">
        <v>102</v>
      </c>
      <c r="D552" s="21" t="str">
        <f>IF($C552="","",IFERROR(VLOOKUP($C552,Map_Register!$A$2:$C$5,3,FALSE()),""))</f>
        <v>Toponym Labels</v>
      </c>
      <c r="E552" s="20" t="s">
        <v>15</v>
      </c>
      <c r="F552" s="22">
        <v>722632</v>
      </c>
      <c r="G552" s="19" t="s">
        <v>1091</v>
      </c>
      <c r="H552" s="19" t="s">
        <v>2079</v>
      </c>
      <c r="I552" s="19" t="s">
        <v>2080</v>
      </c>
      <c r="J552" s="19" t="s">
        <v>1094</v>
      </c>
      <c r="K552" t="s">
        <v>1100</v>
      </c>
      <c r="L552" t="s">
        <v>114</v>
      </c>
      <c r="M552" t="s">
        <v>114</v>
      </c>
      <c r="N552" s="19" t="s">
        <v>2081</v>
      </c>
      <c r="O552" s="19" t="s">
        <v>116</v>
      </c>
      <c r="R552" t="s">
        <v>1097</v>
      </c>
    </row>
    <row r="553" spans="1:18" hidden="1" x14ac:dyDescent="0.3">
      <c r="A553" s="19">
        <f t="shared" si="8"/>
        <v>552</v>
      </c>
      <c r="B553" s="20" t="s">
        <v>87</v>
      </c>
      <c r="C553" s="20" t="s">
        <v>102</v>
      </c>
      <c r="D553" s="21" t="str">
        <f>IF($C553="","",IFERROR(VLOOKUP($C553,Map_Register!$A$2:$C$5,3,FALSE()),""))</f>
        <v>Toponym Labels</v>
      </c>
      <c r="E553" s="20" t="s">
        <v>15</v>
      </c>
      <c r="F553" s="22">
        <v>722633</v>
      </c>
      <c r="G553" s="19" t="s">
        <v>1108</v>
      </c>
      <c r="H553" s="19" t="s">
        <v>2082</v>
      </c>
      <c r="I553" s="19" t="s">
        <v>2083</v>
      </c>
      <c r="J553" s="19" t="s">
        <v>1094</v>
      </c>
      <c r="K553" s="19" t="s">
        <v>6</v>
      </c>
      <c r="L553" s="19" t="s">
        <v>1095</v>
      </c>
      <c r="M553" s="19" t="s">
        <v>1095</v>
      </c>
      <c r="N553" s="19" t="s">
        <v>1105</v>
      </c>
      <c r="R553" t="s">
        <v>1097</v>
      </c>
    </row>
    <row r="554" spans="1:18" x14ac:dyDescent="0.3">
      <c r="A554" s="19">
        <f t="shared" si="8"/>
        <v>553</v>
      </c>
      <c r="B554" s="20" t="s">
        <v>87</v>
      </c>
      <c r="C554" s="20" t="s">
        <v>102</v>
      </c>
      <c r="D554" s="21" t="str">
        <f>IF($C554="","",IFERROR(VLOOKUP($C554,Map_Register!$A$2:$C$5,3,FALSE()),""))</f>
        <v>Toponym Labels</v>
      </c>
      <c r="E554" s="20" t="s">
        <v>15</v>
      </c>
      <c r="F554" s="22">
        <v>722634</v>
      </c>
      <c r="G554" s="19" t="s">
        <v>2084</v>
      </c>
      <c r="H554" s="19" t="s">
        <v>2085</v>
      </c>
      <c r="I554" s="19" t="s">
        <v>2086</v>
      </c>
      <c r="J554" s="19" t="s">
        <v>1104</v>
      </c>
      <c r="K554" t="s">
        <v>1100</v>
      </c>
      <c r="L554" t="s">
        <v>114</v>
      </c>
      <c r="M554" t="s">
        <v>116</v>
      </c>
      <c r="N554" s="19" t="s">
        <v>1268</v>
      </c>
      <c r="O554" s="19" t="s">
        <v>116</v>
      </c>
      <c r="R554" t="s">
        <v>1097</v>
      </c>
    </row>
    <row r="555" spans="1:18" hidden="1" x14ac:dyDescent="0.3">
      <c r="A555" s="19">
        <f t="shared" si="8"/>
        <v>554</v>
      </c>
      <c r="B555" s="20" t="s">
        <v>87</v>
      </c>
      <c r="C555" s="20" t="s">
        <v>102</v>
      </c>
      <c r="D555" s="21" t="str">
        <f>IF($C555="","",IFERROR(VLOOKUP($C555,Map_Register!$A$2:$C$5,3,FALSE()),""))</f>
        <v>Toponym Labels</v>
      </c>
      <c r="E555" s="20" t="s">
        <v>15</v>
      </c>
      <c r="F555" s="22">
        <v>722640</v>
      </c>
      <c r="G555" s="19" t="s">
        <v>1118</v>
      </c>
      <c r="H555" s="19" t="s">
        <v>2087</v>
      </c>
      <c r="I555" s="19" t="s">
        <v>2088</v>
      </c>
      <c r="J555" s="19" t="s">
        <v>1094</v>
      </c>
      <c r="K555" t="s">
        <v>1100</v>
      </c>
      <c r="L555" t="s">
        <v>114</v>
      </c>
      <c r="M555" s="19" t="s">
        <v>114</v>
      </c>
      <c r="N555" s="19" t="s">
        <v>1178</v>
      </c>
      <c r="O555" s="19" t="s">
        <v>116</v>
      </c>
      <c r="R555" t="s">
        <v>1097</v>
      </c>
    </row>
    <row r="556" spans="1:18" x14ac:dyDescent="0.3">
      <c r="A556" s="19">
        <f t="shared" si="8"/>
        <v>555</v>
      </c>
      <c r="B556" s="20" t="s">
        <v>87</v>
      </c>
      <c r="C556" s="20" t="s">
        <v>102</v>
      </c>
      <c r="D556" s="21" t="str">
        <f>IF($C556="","",IFERROR(VLOOKUP($C556,Map_Register!$A$2:$C$5,3,FALSE()),""))</f>
        <v>Toponym Labels</v>
      </c>
      <c r="E556" s="20" t="s">
        <v>15</v>
      </c>
      <c r="F556" s="22">
        <v>722654</v>
      </c>
      <c r="G556" s="19" t="s">
        <v>1179</v>
      </c>
      <c r="H556" s="19" t="s">
        <v>2089</v>
      </c>
      <c r="I556" s="19" t="s">
        <v>2089</v>
      </c>
      <c r="J556" s="19" t="s">
        <v>1117</v>
      </c>
      <c r="K556" t="s">
        <v>1100</v>
      </c>
      <c r="L556" t="s">
        <v>114</v>
      </c>
      <c r="M556" t="s">
        <v>116</v>
      </c>
      <c r="N556" s="19" t="s">
        <v>1512</v>
      </c>
      <c r="O556" s="19" t="s">
        <v>116</v>
      </c>
      <c r="R556" t="s">
        <v>1097</v>
      </c>
    </row>
    <row r="557" spans="1:18" hidden="1" x14ac:dyDescent="0.3">
      <c r="A557" s="19">
        <f t="shared" si="8"/>
        <v>556</v>
      </c>
      <c r="B557" s="20" t="s">
        <v>87</v>
      </c>
      <c r="C557" s="20" t="s">
        <v>102</v>
      </c>
      <c r="D557" s="21" t="str">
        <f>IF($C557="","",IFERROR(VLOOKUP($C557,Map_Register!$A$2:$C$5,3,FALSE()),""))</f>
        <v>Toponym Labels</v>
      </c>
      <c r="E557" s="20" t="s">
        <v>15</v>
      </c>
      <c r="F557" s="22">
        <v>722655</v>
      </c>
      <c r="G557" s="19" t="s">
        <v>1179</v>
      </c>
      <c r="H557" s="19" t="s">
        <v>2090</v>
      </c>
      <c r="I557" s="19" t="s">
        <v>2091</v>
      </c>
      <c r="J557" s="19" t="s">
        <v>1094</v>
      </c>
      <c r="K557" s="19" t="s">
        <v>6</v>
      </c>
      <c r="L557" s="19" t="s">
        <v>1095</v>
      </c>
      <c r="M557" s="19" t="s">
        <v>1095</v>
      </c>
      <c r="N557" s="19" t="s">
        <v>1105</v>
      </c>
      <c r="R557" t="s">
        <v>1097</v>
      </c>
    </row>
    <row r="558" spans="1:18" hidden="1" x14ac:dyDescent="0.3">
      <c r="A558" s="19">
        <f t="shared" si="8"/>
        <v>557</v>
      </c>
      <c r="B558" s="20" t="s">
        <v>87</v>
      </c>
      <c r="C558" s="20" t="s">
        <v>102</v>
      </c>
      <c r="D558" s="21" t="str">
        <f>IF($C558="","",IFERROR(VLOOKUP($C558,Map_Register!$A$2:$C$5,3,FALSE()),""))</f>
        <v>Toponym Labels</v>
      </c>
      <c r="E558" s="20" t="s">
        <v>15</v>
      </c>
      <c r="F558" s="22">
        <v>722656</v>
      </c>
      <c r="G558" s="19" t="s">
        <v>1179</v>
      </c>
      <c r="H558" s="19" t="s">
        <v>2092</v>
      </c>
      <c r="I558" s="19" t="s">
        <v>2092</v>
      </c>
      <c r="J558" s="19" t="s">
        <v>1117</v>
      </c>
      <c r="K558" s="19" t="s">
        <v>6</v>
      </c>
      <c r="L558" s="19" t="s">
        <v>1095</v>
      </c>
      <c r="M558" s="19" t="s">
        <v>1095</v>
      </c>
      <c r="N558" s="19" t="s">
        <v>2093</v>
      </c>
      <c r="R558" t="s">
        <v>1097</v>
      </c>
    </row>
    <row r="559" spans="1:18" hidden="1" x14ac:dyDescent="0.3">
      <c r="A559" s="19">
        <f t="shared" si="8"/>
        <v>558</v>
      </c>
      <c r="B559" s="20" t="s">
        <v>87</v>
      </c>
      <c r="C559" s="20" t="s">
        <v>102</v>
      </c>
      <c r="D559" s="21" t="str">
        <f>IF($C559="","",IFERROR(VLOOKUP($C559,Map_Register!$A$2:$C$5,3,FALSE()),""))</f>
        <v>Toponym Labels</v>
      </c>
      <c r="E559" s="20" t="s">
        <v>15</v>
      </c>
      <c r="F559" s="22">
        <v>722657</v>
      </c>
      <c r="G559" s="19" t="s">
        <v>1179</v>
      </c>
      <c r="H559" s="19" t="s">
        <v>2094</v>
      </c>
      <c r="I559" s="19" t="s">
        <v>2095</v>
      </c>
      <c r="J559" s="19" t="s">
        <v>1104</v>
      </c>
      <c r="K559" t="s">
        <v>1100</v>
      </c>
      <c r="L559" t="s">
        <v>114</v>
      </c>
      <c r="M559" t="s">
        <v>114</v>
      </c>
      <c r="N559" s="19" t="s">
        <v>1184</v>
      </c>
      <c r="O559" s="19" t="s">
        <v>116</v>
      </c>
      <c r="R559" t="s">
        <v>1097</v>
      </c>
    </row>
    <row r="560" spans="1:18" hidden="1" x14ac:dyDescent="0.3">
      <c r="A560" s="19">
        <f t="shared" si="8"/>
        <v>559</v>
      </c>
      <c r="B560" s="20" t="s">
        <v>87</v>
      </c>
      <c r="C560" s="20" t="s">
        <v>102</v>
      </c>
      <c r="D560" s="21" t="str">
        <f>IF($C560="","",IFERROR(VLOOKUP($C560,Map_Register!$A$2:$C$5,3,FALSE()),""))</f>
        <v>Toponym Labels</v>
      </c>
      <c r="E560" s="20" t="s">
        <v>15</v>
      </c>
      <c r="F560" s="22">
        <v>722658</v>
      </c>
      <c r="G560" s="19" t="s">
        <v>1179</v>
      </c>
      <c r="H560" s="19" t="s">
        <v>2096</v>
      </c>
      <c r="I560" s="19" t="s">
        <v>2096</v>
      </c>
      <c r="J560" s="19" t="s">
        <v>1117</v>
      </c>
      <c r="K560" t="s">
        <v>1100</v>
      </c>
      <c r="L560" t="s">
        <v>114</v>
      </c>
      <c r="M560" t="s">
        <v>114</v>
      </c>
      <c r="N560" s="19" t="s">
        <v>1184</v>
      </c>
      <c r="O560" s="19" t="s">
        <v>116</v>
      </c>
      <c r="R560" t="s">
        <v>1097</v>
      </c>
    </row>
    <row r="561" spans="1:18" x14ac:dyDescent="0.3">
      <c r="A561" s="19">
        <f t="shared" si="8"/>
        <v>560</v>
      </c>
      <c r="B561" s="20" t="s">
        <v>87</v>
      </c>
      <c r="C561" s="20" t="s">
        <v>102</v>
      </c>
      <c r="D561" s="21" t="str">
        <f>IF($C561="","",IFERROR(VLOOKUP($C561,Map_Register!$A$2:$C$5,3,FALSE()),""))</f>
        <v>Toponym Labels</v>
      </c>
      <c r="E561" s="20" t="s">
        <v>15</v>
      </c>
      <c r="F561" s="22">
        <v>722668</v>
      </c>
      <c r="G561" s="19" t="s">
        <v>1179</v>
      </c>
      <c r="H561" s="19" t="s">
        <v>2097</v>
      </c>
      <c r="I561" s="19" t="s">
        <v>2098</v>
      </c>
      <c r="J561" s="19" t="s">
        <v>1094</v>
      </c>
      <c r="K561" t="s">
        <v>1100</v>
      </c>
      <c r="L561" t="s">
        <v>114</v>
      </c>
      <c r="M561" t="s">
        <v>116</v>
      </c>
      <c r="N561" s="19" t="s">
        <v>1512</v>
      </c>
      <c r="O561" s="19" t="s">
        <v>116</v>
      </c>
      <c r="R561" t="s">
        <v>1097</v>
      </c>
    </row>
    <row r="562" spans="1:18" x14ac:dyDescent="0.3">
      <c r="A562" s="19">
        <f t="shared" si="8"/>
        <v>561</v>
      </c>
      <c r="B562" s="20" t="s">
        <v>87</v>
      </c>
      <c r="C562" s="20" t="s">
        <v>102</v>
      </c>
      <c r="D562" s="21" t="str">
        <f>IF($C562="","",IFERROR(VLOOKUP($C562,Map_Register!$A$2:$C$5,3,FALSE()),""))</f>
        <v>Toponym Labels</v>
      </c>
      <c r="E562" s="20" t="s">
        <v>15</v>
      </c>
      <c r="F562" s="22">
        <v>722669</v>
      </c>
      <c r="G562" s="19" t="s">
        <v>1179</v>
      </c>
      <c r="H562" s="19" t="s">
        <v>2099</v>
      </c>
      <c r="I562" s="19" t="s">
        <v>2100</v>
      </c>
      <c r="J562" s="19" t="s">
        <v>1104</v>
      </c>
      <c r="K562" t="s">
        <v>1100</v>
      </c>
      <c r="L562" t="s">
        <v>114</v>
      </c>
      <c r="M562" t="s">
        <v>116</v>
      </c>
      <c r="N562" s="19" t="s">
        <v>1512</v>
      </c>
      <c r="O562" s="19" t="s">
        <v>116</v>
      </c>
      <c r="R562" t="s">
        <v>1097</v>
      </c>
    </row>
    <row r="563" spans="1:18" hidden="1" x14ac:dyDescent="0.3">
      <c r="A563" s="19">
        <f t="shared" si="8"/>
        <v>562</v>
      </c>
      <c r="B563" s="20" t="s">
        <v>87</v>
      </c>
      <c r="C563" s="20" t="s">
        <v>102</v>
      </c>
      <c r="D563" s="21" t="str">
        <f>IF($C563="","",IFERROR(VLOOKUP($C563,Map_Register!$A$2:$C$5,3,FALSE()),""))</f>
        <v>Toponym Labels</v>
      </c>
      <c r="E563" s="20" t="s">
        <v>15</v>
      </c>
      <c r="F563" s="22">
        <v>722672</v>
      </c>
      <c r="G563" s="19" t="s">
        <v>1205</v>
      </c>
      <c r="H563" s="19" t="s">
        <v>2101</v>
      </c>
      <c r="I563" s="19" t="s">
        <v>2101</v>
      </c>
      <c r="J563" s="19" t="s">
        <v>1110</v>
      </c>
      <c r="K563" t="s">
        <v>1100</v>
      </c>
      <c r="L563" t="s">
        <v>114</v>
      </c>
      <c r="M563" t="s">
        <v>114</v>
      </c>
      <c r="N563" s="19" t="s">
        <v>1290</v>
      </c>
      <c r="O563" s="19" t="s">
        <v>116</v>
      </c>
      <c r="R563" t="s">
        <v>1097</v>
      </c>
    </row>
    <row r="564" spans="1:18" hidden="1" x14ac:dyDescent="0.3">
      <c r="A564" s="19">
        <f t="shared" si="8"/>
        <v>563</v>
      </c>
      <c r="B564" s="20" t="s">
        <v>87</v>
      </c>
      <c r="C564" s="20" t="s">
        <v>102</v>
      </c>
      <c r="D564" s="21" t="str">
        <f>IF($C564="","",IFERROR(VLOOKUP($C564,Map_Register!$A$2:$C$5,3,FALSE()),""))</f>
        <v>Toponym Labels</v>
      </c>
      <c r="E564" s="20" t="s">
        <v>15</v>
      </c>
      <c r="F564" s="22">
        <v>722673</v>
      </c>
      <c r="G564" s="19" t="s">
        <v>1205</v>
      </c>
      <c r="H564" s="19" t="s">
        <v>161</v>
      </c>
      <c r="I564" s="19" t="s">
        <v>161</v>
      </c>
      <c r="J564" s="19" t="s">
        <v>1110</v>
      </c>
      <c r="K564" t="s">
        <v>1100</v>
      </c>
      <c r="L564" t="s">
        <v>114</v>
      </c>
      <c r="M564" t="s">
        <v>114</v>
      </c>
      <c r="N564" s="19" t="s">
        <v>1290</v>
      </c>
      <c r="O564" s="19" t="s">
        <v>116</v>
      </c>
      <c r="R564" t="s">
        <v>1097</v>
      </c>
    </row>
    <row r="565" spans="1:18" hidden="1" x14ac:dyDescent="0.3">
      <c r="A565" s="19">
        <f t="shared" si="8"/>
        <v>564</v>
      </c>
      <c r="B565" s="20" t="s">
        <v>87</v>
      </c>
      <c r="C565" s="20" t="s">
        <v>102</v>
      </c>
      <c r="D565" s="21" t="str">
        <f>IF($C565="","",IFERROR(VLOOKUP($C565,Map_Register!$A$2:$C$5,3,FALSE()),""))</f>
        <v>Toponym Labels</v>
      </c>
      <c r="E565" s="20" t="s">
        <v>15</v>
      </c>
      <c r="F565" s="22">
        <v>785566</v>
      </c>
      <c r="G565" s="19" t="s">
        <v>1091</v>
      </c>
      <c r="H565" s="19" t="s">
        <v>2102</v>
      </c>
      <c r="I565" s="19" t="s">
        <v>2102</v>
      </c>
      <c r="J565" s="19" t="s">
        <v>1110</v>
      </c>
      <c r="K565" s="19" t="s">
        <v>6</v>
      </c>
      <c r="L565" s="19" t="s">
        <v>1095</v>
      </c>
      <c r="M565" s="19" t="s">
        <v>1095</v>
      </c>
      <c r="N565" s="19" t="s">
        <v>1300</v>
      </c>
      <c r="R565" t="s">
        <v>1097</v>
      </c>
    </row>
    <row r="566" spans="1:18" hidden="1" x14ac:dyDescent="0.3">
      <c r="A566" s="19">
        <f t="shared" si="8"/>
        <v>565</v>
      </c>
      <c r="B566" s="20" t="s">
        <v>87</v>
      </c>
      <c r="C566" s="20" t="s">
        <v>102</v>
      </c>
      <c r="D566" s="21" t="str">
        <f>IF($C566="","",IFERROR(VLOOKUP($C566,Map_Register!$A$2:$C$5,3,FALSE()),""))</f>
        <v>Toponym Labels</v>
      </c>
      <c r="E566" s="20" t="s">
        <v>15</v>
      </c>
      <c r="F566" s="22">
        <v>785568</v>
      </c>
      <c r="G566" s="19" t="s">
        <v>1091</v>
      </c>
      <c r="H566" s="19" t="s">
        <v>2103</v>
      </c>
      <c r="I566" s="19" t="s">
        <v>2104</v>
      </c>
      <c r="J566" s="19" t="s">
        <v>1104</v>
      </c>
      <c r="K566" s="19" t="s">
        <v>6</v>
      </c>
      <c r="L566" s="19" t="s">
        <v>1095</v>
      </c>
      <c r="M566" s="19" t="s">
        <v>1095</v>
      </c>
      <c r="N566" s="19" t="s">
        <v>1105</v>
      </c>
      <c r="R566" t="s">
        <v>1097</v>
      </c>
    </row>
    <row r="567" spans="1:18" hidden="1" x14ac:dyDescent="0.3">
      <c r="A567" s="19">
        <f t="shared" si="8"/>
        <v>566</v>
      </c>
      <c r="B567" s="20" t="s">
        <v>87</v>
      </c>
      <c r="C567" s="20" t="s">
        <v>102</v>
      </c>
      <c r="D567" s="21" t="str">
        <f>IF($C567="","",IFERROR(VLOOKUP($C567,Map_Register!$A$2:$C$5,3,FALSE()),""))</f>
        <v>Toponym Labels</v>
      </c>
      <c r="E567" s="20" t="s">
        <v>15</v>
      </c>
      <c r="F567" s="22">
        <v>785571</v>
      </c>
      <c r="G567" s="19" t="s">
        <v>1309</v>
      </c>
      <c r="H567" s="19" t="s">
        <v>2105</v>
      </c>
      <c r="I567" s="19" t="s">
        <v>2105</v>
      </c>
      <c r="J567" s="19" t="s">
        <v>1110</v>
      </c>
      <c r="K567" t="s">
        <v>1100</v>
      </c>
      <c r="L567" t="s">
        <v>114</v>
      </c>
      <c r="M567" t="s">
        <v>114</v>
      </c>
      <c r="N567" s="19" t="s">
        <v>2106</v>
      </c>
      <c r="O567" s="19" t="s">
        <v>116</v>
      </c>
      <c r="R567" t="s">
        <v>1097</v>
      </c>
    </row>
    <row r="568" spans="1:18" hidden="1" x14ac:dyDescent="0.3">
      <c r="A568" s="19">
        <f t="shared" si="8"/>
        <v>567</v>
      </c>
      <c r="B568" s="20" t="s">
        <v>87</v>
      </c>
      <c r="C568" s="20" t="s">
        <v>102</v>
      </c>
      <c r="D568" s="21" t="str">
        <f>IF($C568="","",IFERROR(VLOOKUP($C568,Map_Register!$A$2:$C$5,3,FALSE()),""))</f>
        <v>Toponym Labels</v>
      </c>
      <c r="E568" s="20" t="s">
        <v>15</v>
      </c>
      <c r="F568" s="22">
        <v>785588</v>
      </c>
      <c r="G568" s="19" t="s">
        <v>1108</v>
      </c>
      <c r="H568" s="19" t="s">
        <v>2107</v>
      </c>
      <c r="I568" s="19" t="s">
        <v>2107</v>
      </c>
      <c r="J568" s="19" t="s">
        <v>1110</v>
      </c>
      <c r="K568" s="19" t="s">
        <v>6</v>
      </c>
      <c r="L568" s="19" t="s">
        <v>1095</v>
      </c>
      <c r="M568" s="19" t="s">
        <v>1095</v>
      </c>
      <c r="N568" s="19" t="s">
        <v>1111</v>
      </c>
      <c r="R568" t="s">
        <v>1097</v>
      </c>
    </row>
    <row r="569" spans="1:18" hidden="1" x14ac:dyDescent="0.3">
      <c r="A569" s="19">
        <f t="shared" si="8"/>
        <v>568</v>
      </c>
      <c r="B569" s="20" t="s">
        <v>87</v>
      </c>
      <c r="C569" s="20" t="s">
        <v>102</v>
      </c>
      <c r="D569" s="21" t="str">
        <f>IF($C569="","",IFERROR(VLOOKUP($C569,Map_Register!$A$2:$C$5,3,FALSE()),""))</f>
        <v>Toponym Labels</v>
      </c>
      <c r="E569" s="20" t="s">
        <v>15</v>
      </c>
      <c r="F569" s="22">
        <v>785591</v>
      </c>
      <c r="G569" s="19" t="s">
        <v>1108</v>
      </c>
      <c r="H569" s="19" t="s">
        <v>2108</v>
      </c>
      <c r="I569" s="19" t="s">
        <v>2108</v>
      </c>
      <c r="J569" s="19" t="s">
        <v>1110</v>
      </c>
      <c r="K569" s="19" t="s">
        <v>6</v>
      </c>
      <c r="L569" s="19" t="s">
        <v>1095</v>
      </c>
      <c r="M569" s="19" t="s">
        <v>1095</v>
      </c>
      <c r="N569" s="19" t="s">
        <v>1111</v>
      </c>
      <c r="R569" t="s">
        <v>1097</v>
      </c>
    </row>
    <row r="570" spans="1:18" hidden="1" x14ac:dyDescent="0.3">
      <c r="A570" s="19">
        <f t="shared" si="8"/>
        <v>569</v>
      </c>
      <c r="B570" s="20" t="s">
        <v>87</v>
      </c>
      <c r="C570" s="20" t="s">
        <v>102</v>
      </c>
      <c r="D570" s="21" t="str">
        <f>IF($C570="","",IFERROR(VLOOKUP($C570,Map_Register!$A$2:$C$5,3,FALSE()),""))</f>
        <v>Toponym Labels</v>
      </c>
      <c r="E570" s="20" t="s">
        <v>15</v>
      </c>
      <c r="F570" s="22">
        <v>785592</v>
      </c>
      <c r="G570" s="19" t="s">
        <v>1118</v>
      </c>
      <c r="H570" s="19" t="s">
        <v>2109</v>
      </c>
      <c r="I570" s="19" t="s">
        <v>2109</v>
      </c>
      <c r="J570" s="19" t="s">
        <v>1110</v>
      </c>
      <c r="K570" s="19" t="s">
        <v>6</v>
      </c>
      <c r="L570" s="19" t="s">
        <v>1095</v>
      </c>
      <c r="M570" s="19" t="s">
        <v>1095</v>
      </c>
      <c r="N570" s="19" t="s">
        <v>2110</v>
      </c>
      <c r="R570" t="s">
        <v>1097</v>
      </c>
    </row>
    <row r="571" spans="1:18" hidden="1" x14ac:dyDescent="0.3">
      <c r="A571" s="19">
        <f t="shared" si="8"/>
        <v>570</v>
      </c>
      <c r="B571" s="20" t="s">
        <v>87</v>
      </c>
      <c r="C571" s="20" t="s">
        <v>102</v>
      </c>
      <c r="D571" s="21" t="str">
        <f>IF($C571="","",IFERROR(VLOOKUP($C571,Map_Register!$A$2:$C$5,3,FALSE()),""))</f>
        <v>Toponym Labels</v>
      </c>
      <c r="E571" s="20" t="s">
        <v>15</v>
      </c>
      <c r="F571" s="22">
        <v>785593</v>
      </c>
      <c r="G571" s="19" t="s">
        <v>1118</v>
      </c>
      <c r="H571" s="19" t="s">
        <v>2111</v>
      </c>
      <c r="I571" s="19" t="s">
        <v>2111</v>
      </c>
      <c r="J571" s="19" t="s">
        <v>1110</v>
      </c>
      <c r="K571" t="s">
        <v>1100</v>
      </c>
      <c r="L571" t="s">
        <v>114</v>
      </c>
      <c r="M571" t="s">
        <v>114</v>
      </c>
      <c r="N571" s="19" t="s">
        <v>1178</v>
      </c>
      <c r="O571" s="19" t="s">
        <v>116</v>
      </c>
      <c r="R571" t="s">
        <v>1097</v>
      </c>
    </row>
    <row r="572" spans="1:18" hidden="1" x14ac:dyDescent="0.3">
      <c r="A572" s="19">
        <f t="shared" si="8"/>
        <v>571</v>
      </c>
      <c r="B572" s="20" t="s">
        <v>87</v>
      </c>
      <c r="C572" s="20" t="s">
        <v>102</v>
      </c>
      <c r="D572" s="21" t="str">
        <f>IF($C572="","",IFERROR(VLOOKUP($C572,Map_Register!$A$2:$C$5,3,FALSE()),""))</f>
        <v>Toponym Labels</v>
      </c>
      <c r="E572" s="20" t="s">
        <v>15</v>
      </c>
      <c r="F572" s="22">
        <v>785603</v>
      </c>
      <c r="G572" s="19" t="s">
        <v>1118</v>
      </c>
      <c r="H572" s="19" t="s">
        <v>2112</v>
      </c>
      <c r="I572" s="19" t="s">
        <v>2112</v>
      </c>
      <c r="J572" s="19" t="s">
        <v>1110</v>
      </c>
      <c r="K572" t="s">
        <v>1100</v>
      </c>
      <c r="L572" s="19" t="s">
        <v>114</v>
      </c>
      <c r="M572" s="19" t="s">
        <v>114</v>
      </c>
      <c r="N572" s="19" t="s">
        <v>1907</v>
      </c>
      <c r="O572" s="19" t="s">
        <v>116</v>
      </c>
      <c r="R572" t="s">
        <v>1097</v>
      </c>
    </row>
    <row r="573" spans="1:18" hidden="1" x14ac:dyDescent="0.3">
      <c r="A573" s="19">
        <f t="shared" si="8"/>
        <v>572</v>
      </c>
      <c r="B573" s="20" t="s">
        <v>87</v>
      </c>
      <c r="C573" s="20" t="s">
        <v>102</v>
      </c>
      <c r="D573" s="21" t="str">
        <f>IF($C573="","",IFERROR(VLOOKUP($C573,Map_Register!$A$2:$C$5,3,FALSE()),""))</f>
        <v>Toponym Labels</v>
      </c>
      <c r="E573" s="20" t="s">
        <v>15</v>
      </c>
      <c r="F573" s="22">
        <v>785604</v>
      </c>
      <c r="G573" s="19" t="s">
        <v>1118</v>
      </c>
      <c r="H573" s="19" t="s">
        <v>2113</v>
      </c>
      <c r="I573" s="19" t="s">
        <v>2113</v>
      </c>
      <c r="J573" s="19" t="s">
        <v>1110</v>
      </c>
      <c r="K573" t="s">
        <v>1100</v>
      </c>
      <c r="L573" s="19" t="s">
        <v>114</v>
      </c>
      <c r="M573" s="19" t="s">
        <v>114</v>
      </c>
      <c r="N573" s="19" t="s">
        <v>1178</v>
      </c>
      <c r="O573" s="19" t="s">
        <v>116</v>
      </c>
      <c r="R573" t="s">
        <v>1097</v>
      </c>
    </row>
    <row r="574" spans="1:18" hidden="1" x14ac:dyDescent="0.3">
      <c r="A574" s="19">
        <f t="shared" si="8"/>
        <v>573</v>
      </c>
      <c r="B574" s="20" t="s">
        <v>87</v>
      </c>
      <c r="C574" s="20" t="s">
        <v>102</v>
      </c>
      <c r="D574" s="21" t="str">
        <f>IF($C574="","",IFERROR(VLOOKUP($C574,Map_Register!$A$2:$C$5,3,FALSE()),""))</f>
        <v>Toponym Labels</v>
      </c>
      <c r="E574" s="20" t="s">
        <v>15</v>
      </c>
      <c r="F574" s="22">
        <v>785605</v>
      </c>
      <c r="G574" s="19" t="s">
        <v>1091</v>
      </c>
      <c r="H574" s="19" t="s">
        <v>2114</v>
      </c>
      <c r="I574" s="19" t="s">
        <v>2115</v>
      </c>
      <c r="J574" s="19" t="s">
        <v>1104</v>
      </c>
      <c r="K574" s="19" t="s">
        <v>6</v>
      </c>
      <c r="L574" s="19" t="s">
        <v>1095</v>
      </c>
      <c r="M574" s="19" t="s">
        <v>1095</v>
      </c>
      <c r="N574" s="19" t="s">
        <v>1105</v>
      </c>
      <c r="R574" t="s">
        <v>1097</v>
      </c>
    </row>
    <row r="575" spans="1:18" hidden="1" x14ac:dyDescent="0.3">
      <c r="A575" s="19">
        <f t="shared" si="8"/>
        <v>574</v>
      </c>
      <c r="B575" s="20" t="s">
        <v>87</v>
      </c>
      <c r="C575" s="20" t="s">
        <v>102</v>
      </c>
      <c r="D575" s="21" t="str">
        <f>IF($C575="","",IFERROR(VLOOKUP($C575,Map_Register!$A$2:$C$5,3,FALSE()),""))</f>
        <v>Toponym Labels</v>
      </c>
      <c r="E575" s="20" t="s">
        <v>15</v>
      </c>
      <c r="F575" s="22">
        <v>785606</v>
      </c>
      <c r="G575" s="19" t="s">
        <v>1108</v>
      </c>
      <c r="H575" s="19" t="s">
        <v>2116</v>
      </c>
      <c r="I575" s="19" t="s">
        <v>2116</v>
      </c>
      <c r="J575" s="19" t="s">
        <v>1110</v>
      </c>
      <c r="K575" s="19" t="s">
        <v>6</v>
      </c>
      <c r="L575" s="19" t="s">
        <v>1095</v>
      </c>
      <c r="M575" s="19" t="s">
        <v>1095</v>
      </c>
      <c r="N575" s="19" t="s">
        <v>1111</v>
      </c>
      <c r="R575" t="s">
        <v>1097</v>
      </c>
    </row>
    <row r="576" spans="1:18" hidden="1" x14ac:dyDescent="0.3">
      <c r="A576" s="19">
        <f t="shared" si="8"/>
        <v>575</v>
      </c>
      <c r="B576" s="20" t="s">
        <v>87</v>
      </c>
      <c r="C576" s="20" t="s">
        <v>102</v>
      </c>
      <c r="D576" s="21" t="str">
        <f>IF($C576="","",IFERROR(VLOOKUP($C576,Map_Register!$A$2:$C$5,3,FALSE()),""))</f>
        <v>Toponym Labels</v>
      </c>
      <c r="E576" s="20" t="s">
        <v>15</v>
      </c>
      <c r="F576" s="22">
        <v>785607</v>
      </c>
      <c r="G576" s="19" t="s">
        <v>1145</v>
      </c>
      <c r="H576" s="19" t="s">
        <v>2117</v>
      </c>
      <c r="I576" s="19" t="s">
        <v>2117</v>
      </c>
      <c r="J576" s="19" t="s">
        <v>1110</v>
      </c>
      <c r="K576" t="s">
        <v>1100</v>
      </c>
      <c r="L576" t="s">
        <v>114</v>
      </c>
      <c r="M576" t="s">
        <v>114</v>
      </c>
      <c r="N576" s="19" t="s">
        <v>2118</v>
      </c>
      <c r="O576" s="19" t="s">
        <v>116</v>
      </c>
      <c r="R576" t="s">
        <v>1097</v>
      </c>
    </row>
    <row r="577" spans="1:18" x14ac:dyDescent="0.3">
      <c r="A577" s="19">
        <f t="shared" si="8"/>
        <v>576</v>
      </c>
      <c r="B577" s="20" t="s">
        <v>87</v>
      </c>
      <c r="C577" s="20" t="s">
        <v>102</v>
      </c>
      <c r="D577" s="21" t="str">
        <f>IF($C577="","",IFERROR(VLOOKUP($C577,Map_Register!$A$2:$C$5,3,FALSE()),""))</f>
        <v>Toponym Labels</v>
      </c>
      <c r="E577" s="20" t="s">
        <v>15</v>
      </c>
      <c r="F577" s="22">
        <v>785608</v>
      </c>
      <c r="G577" s="19" t="s">
        <v>1203</v>
      </c>
      <c r="H577" s="19" t="s">
        <v>2119</v>
      </c>
      <c r="I577" s="19" t="s">
        <v>2119</v>
      </c>
      <c r="J577" s="19" t="s">
        <v>1110</v>
      </c>
      <c r="K577" t="s">
        <v>1100</v>
      </c>
      <c r="L577" t="s">
        <v>114</v>
      </c>
      <c r="M577" t="s">
        <v>116</v>
      </c>
      <c r="N577" s="19" t="s">
        <v>1268</v>
      </c>
      <c r="O577" s="19" t="s">
        <v>116</v>
      </c>
      <c r="R577" t="s">
        <v>1097</v>
      </c>
    </row>
    <row r="578" spans="1:18" x14ac:dyDescent="0.3">
      <c r="A578" s="19">
        <f t="shared" ref="A578:A641" si="9">IF($B578="","",ROW()-1)</f>
        <v>577</v>
      </c>
      <c r="B578" s="20" t="s">
        <v>87</v>
      </c>
      <c r="C578" s="20" t="s">
        <v>102</v>
      </c>
      <c r="D578" s="21" t="str">
        <f>IF($C578="","",IFERROR(VLOOKUP($C578,Map_Register!$A$2:$C$5,3,FALSE()),""))</f>
        <v>Toponym Labels</v>
      </c>
      <c r="E578" s="20" t="s">
        <v>15</v>
      </c>
      <c r="F578" s="22">
        <v>785609</v>
      </c>
      <c r="G578" s="19" t="s">
        <v>1125</v>
      </c>
      <c r="H578" s="19" t="s">
        <v>2120</v>
      </c>
      <c r="I578" s="19" t="s">
        <v>2120</v>
      </c>
      <c r="J578" s="19" t="s">
        <v>1110</v>
      </c>
      <c r="K578" t="s">
        <v>1100</v>
      </c>
      <c r="L578" t="s">
        <v>114</v>
      </c>
      <c r="M578" t="s">
        <v>116</v>
      </c>
      <c r="N578" s="19" t="s">
        <v>1268</v>
      </c>
      <c r="O578" s="19" t="s">
        <v>116</v>
      </c>
      <c r="R578" t="s">
        <v>1097</v>
      </c>
    </row>
    <row r="579" spans="1:18" hidden="1" x14ac:dyDescent="0.3">
      <c r="A579" s="19">
        <f t="shared" si="9"/>
        <v>578</v>
      </c>
      <c r="B579" s="20" t="s">
        <v>87</v>
      </c>
      <c r="C579" s="20" t="s">
        <v>102</v>
      </c>
      <c r="D579" s="21" t="str">
        <f>IF($C579="","",IFERROR(VLOOKUP($C579,Map_Register!$A$2:$C$5,3,FALSE()),""))</f>
        <v>Toponym Labels</v>
      </c>
      <c r="E579" s="20" t="s">
        <v>15</v>
      </c>
      <c r="F579" s="22">
        <v>785610</v>
      </c>
      <c r="G579" s="19" t="s">
        <v>1309</v>
      </c>
      <c r="H579" s="19" t="s">
        <v>2121</v>
      </c>
      <c r="I579" s="19" t="s">
        <v>2121</v>
      </c>
      <c r="J579" s="19" t="s">
        <v>1110</v>
      </c>
      <c r="K579" t="s">
        <v>1100</v>
      </c>
      <c r="L579" t="s">
        <v>114</v>
      </c>
      <c r="M579" t="s">
        <v>114</v>
      </c>
      <c r="N579" s="19" t="s">
        <v>1375</v>
      </c>
      <c r="O579" s="19" t="s">
        <v>116</v>
      </c>
      <c r="R579" t="s">
        <v>1097</v>
      </c>
    </row>
    <row r="580" spans="1:18" hidden="1" x14ac:dyDescent="0.3">
      <c r="A580" s="19">
        <f t="shared" si="9"/>
        <v>579</v>
      </c>
      <c r="B580" s="20" t="s">
        <v>87</v>
      </c>
      <c r="C580" s="20" t="s">
        <v>102</v>
      </c>
      <c r="D580" s="21" t="str">
        <f>IF($C580="","",IFERROR(VLOOKUP($C580,Map_Register!$A$2:$C$5,3,FALSE()),""))</f>
        <v>Toponym Labels</v>
      </c>
      <c r="E580" s="20" t="s">
        <v>15</v>
      </c>
      <c r="F580" s="22">
        <v>785611</v>
      </c>
      <c r="G580" s="19" t="s">
        <v>2122</v>
      </c>
      <c r="H580" s="19" t="s">
        <v>2123</v>
      </c>
      <c r="I580" s="19" t="s">
        <v>2123</v>
      </c>
      <c r="J580" s="19" t="s">
        <v>1110</v>
      </c>
      <c r="K580" t="s">
        <v>1100</v>
      </c>
      <c r="L580" t="s">
        <v>114</v>
      </c>
      <c r="M580" t="s">
        <v>114</v>
      </c>
      <c r="N580" s="19" t="s">
        <v>1375</v>
      </c>
      <c r="O580" s="19" t="s">
        <v>116</v>
      </c>
      <c r="R580" t="s">
        <v>1097</v>
      </c>
    </row>
    <row r="581" spans="1:18" hidden="1" x14ac:dyDescent="0.3">
      <c r="A581" s="19">
        <f t="shared" si="9"/>
        <v>580</v>
      </c>
      <c r="B581" s="20" t="s">
        <v>87</v>
      </c>
      <c r="C581" s="20" t="s">
        <v>102</v>
      </c>
      <c r="D581" s="21" t="str">
        <f>IF($C581="","",IFERROR(VLOOKUP($C581,Map_Register!$A$2:$C$5,3,FALSE()),""))</f>
        <v>Toponym Labels</v>
      </c>
      <c r="E581" s="20" t="s">
        <v>15</v>
      </c>
      <c r="F581" s="22">
        <v>785612</v>
      </c>
      <c r="G581" s="19" t="s">
        <v>1108</v>
      </c>
      <c r="H581" s="19" t="s">
        <v>2124</v>
      </c>
      <c r="I581" s="19" t="s">
        <v>2124</v>
      </c>
      <c r="J581" s="19" t="s">
        <v>1110</v>
      </c>
      <c r="K581" s="19" t="s">
        <v>6</v>
      </c>
      <c r="L581" s="19" t="s">
        <v>1095</v>
      </c>
      <c r="M581" s="19" t="s">
        <v>1095</v>
      </c>
      <c r="N581" s="19" t="s">
        <v>1111</v>
      </c>
      <c r="R581" t="s">
        <v>1097</v>
      </c>
    </row>
    <row r="582" spans="1:18" hidden="1" x14ac:dyDescent="0.3">
      <c r="A582" s="19">
        <f t="shared" si="9"/>
        <v>581</v>
      </c>
      <c r="B582" s="20" t="s">
        <v>87</v>
      </c>
      <c r="C582" s="20" t="s">
        <v>102</v>
      </c>
      <c r="D582" s="21" t="str">
        <f>IF($C582="","",IFERROR(VLOOKUP($C582,Map_Register!$A$2:$C$5,3,FALSE()),""))</f>
        <v>Toponym Labels</v>
      </c>
      <c r="E582" s="20" t="s">
        <v>15</v>
      </c>
      <c r="F582" s="22">
        <v>785613</v>
      </c>
      <c r="G582" s="19" t="s">
        <v>1145</v>
      </c>
      <c r="H582" s="19" t="s">
        <v>2125</v>
      </c>
      <c r="I582" s="19" t="s">
        <v>2125</v>
      </c>
      <c r="J582" s="19" t="s">
        <v>1110</v>
      </c>
      <c r="K582" s="19" t="s">
        <v>6</v>
      </c>
      <c r="L582" s="19" t="s">
        <v>1095</v>
      </c>
      <c r="M582" s="19" t="s">
        <v>1095</v>
      </c>
      <c r="N582" s="19" t="s">
        <v>1638</v>
      </c>
      <c r="R582" t="s">
        <v>1097</v>
      </c>
    </row>
    <row r="583" spans="1:18" hidden="1" x14ac:dyDescent="0.3">
      <c r="A583" s="19">
        <f t="shared" si="9"/>
        <v>582</v>
      </c>
      <c r="B583" s="20" t="s">
        <v>87</v>
      </c>
      <c r="C583" s="20" t="s">
        <v>102</v>
      </c>
      <c r="D583" s="21" t="str">
        <f>IF($C583="","",IFERROR(VLOOKUP($C583,Map_Register!$A$2:$C$5,3,FALSE()),""))</f>
        <v>Toponym Labels</v>
      </c>
      <c r="E583" s="20" t="s">
        <v>15</v>
      </c>
      <c r="F583" s="22">
        <v>785614</v>
      </c>
      <c r="G583" s="19" t="s">
        <v>1309</v>
      </c>
      <c r="H583" s="19" t="s">
        <v>2126</v>
      </c>
      <c r="I583" s="19" t="s">
        <v>2126</v>
      </c>
      <c r="J583" s="19" t="s">
        <v>1110</v>
      </c>
      <c r="K583" t="s">
        <v>1100</v>
      </c>
      <c r="L583" t="s">
        <v>114</v>
      </c>
      <c r="M583" t="s">
        <v>114</v>
      </c>
      <c r="N583" s="19" t="s">
        <v>530</v>
      </c>
      <c r="O583" s="19" t="s">
        <v>116</v>
      </c>
      <c r="R583" t="s">
        <v>1097</v>
      </c>
    </row>
    <row r="584" spans="1:18" hidden="1" x14ac:dyDescent="0.3">
      <c r="A584" s="19">
        <f t="shared" si="9"/>
        <v>583</v>
      </c>
      <c r="B584" s="20" t="s">
        <v>87</v>
      </c>
      <c r="C584" s="20" t="s">
        <v>102</v>
      </c>
      <c r="D584" s="21" t="str">
        <f>IF($C584="","",IFERROR(VLOOKUP($C584,Map_Register!$A$2:$C$5,3,FALSE()),""))</f>
        <v>Toponym Labels</v>
      </c>
      <c r="E584" s="20" t="s">
        <v>15</v>
      </c>
      <c r="F584" s="22">
        <v>785615</v>
      </c>
      <c r="G584" s="19" t="s">
        <v>1091</v>
      </c>
      <c r="H584" s="19" t="s">
        <v>2127</v>
      </c>
      <c r="I584" s="19" t="s">
        <v>2128</v>
      </c>
      <c r="J584" s="19" t="s">
        <v>1094</v>
      </c>
      <c r="K584" s="19" t="s">
        <v>6</v>
      </c>
      <c r="L584" s="19" t="s">
        <v>1095</v>
      </c>
      <c r="M584" s="19" t="s">
        <v>1095</v>
      </c>
      <c r="N584" s="19" t="s">
        <v>1105</v>
      </c>
      <c r="R584" t="s">
        <v>1097</v>
      </c>
    </row>
    <row r="585" spans="1:18" hidden="1" x14ac:dyDescent="0.3">
      <c r="A585" s="19">
        <f t="shared" si="9"/>
        <v>584</v>
      </c>
      <c r="B585" s="20" t="s">
        <v>87</v>
      </c>
      <c r="C585" s="20" t="s">
        <v>102</v>
      </c>
      <c r="D585" s="21" t="str">
        <f>IF($C585="","",IFERROR(VLOOKUP($C585,Map_Register!$A$2:$C$5,3,FALSE()),""))</f>
        <v>Toponym Labels</v>
      </c>
      <c r="E585" s="20" t="s">
        <v>15</v>
      </c>
      <c r="F585" s="22">
        <v>785616</v>
      </c>
      <c r="G585" s="19" t="s">
        <v>1223</v>
      </c>
      <c r="H585" s="19" t="s">
        <v>2129</v>
      </c>
      <c r="I585" s="19" t="s">
        <v>2129</v>
      </c>
      <c r="J585" s="19" t="s">
        <v>1110</v>
      </c>
      <c r="K585" s="19" t="s">
        <v>6</v>
      </c>
      <c r="L585" s="19" t="s">
        <v>1095</v>
      </c>
      <c r="M585" s="19" t="s">
        <v>1095</v>
      </c>
      <c r="N585" s="19" t="s">
        <v>1389</v>
      </c>
      <c r="R585" t="s">
        <v>1097</v>
      </c>
    </row>
    <row r="586" spans="1:18" hidden="1" x14ac:dyDescent="0.3">
      <c r="A586" s="19">
        <f t="shared" si="9"/>
        <v>585</v>
      </c>
      <c r="B586" s="20" t="s">
        <v>87</v>
      </c>
      <c r="C586" s="20" t="s">
        <v>102</v>
      </c>
      <c r="D586" s="21" t="str">
        <f>IF($C586="","",IFERROR(VLOOKUP($C586,Map_Register!$A$2:$C$5,3,FALSE()),""))</f>
        <v>Toponym Labels</v>
      </c>
      <c r="E586" s="20" t="s">
        <v>15</v>
      </c>
      <c r="F586" s="22">
        <v>785617</v>
      </c>
      <c r="G586" s="19" t="s">
        <v>1108</v>
      </c>
      <c r="H586" s="19" t="s">
        <v>2130</v>
      </c>
      <c r="I586" s="19" t="s">
        <v>2130</v>
      </c>
      <c r="J586" s="19" t="s">
        <v>1110</v>
      </c>
      <c r="K586" s="19" t="s">
        <v>6</v>
      </c>
      <c r="L586" s="19" t="s">
        <v>1095</v>
      </c>
      <c r="M586" s="19" t="s">
        <v>1095</v>
      </c>
      <c r="N586" s="19" t="s">
        <v>1111</v>
      </c>
      <c r="R586" t="s">
        <v>1097</v>
      </c>
    </row>
    <row r="587" spans="1:18" hidden="1" x14ac:dyDescent="0.3">
      <c r="A587" s="19">
        <f t="shared" si="9"/>
        <v>586</v>
      </c>
      <c r="B587" s="20" t="s">
        <v>87</v>
      </c>
      <c r="C587" s="20" t="s">
        <v>102</v>
      </c>
      <c r="D587" s="21" t="str">
        <f>IF($C587="","",IFERROR(VLOOKUP($C587,Map_Register!$A$2:$C$5,3,FALSE()),""))</f>
        <v>Toponym Labels</v>
      </c>
      <c r="E587" s="20" t="s">
        <v>15</v>
      </c>
      <c r="F587" s="22">
        <v>785618</v>
      </c>
      <c r="G587" s="19" t="s">
        <v>1118</v>
      </c>
      <c r="H587" s="19" t="s">
        <v>2131</v>
      </c>
      <c r="I587" s="19" t="s">
        <v>2132</v>
      </c>
      <c r="J587" s="19" t="s">
        <v>1104</v>
      </c>
      <c r="K587" s="19" t="s">
        <v>6</v>
      </c>
      <c r="L587" s="19" t="s">
        <v>1095</v>
      </c>
      <c r="M587" s="19" t="s">
        <v>1095</v>
      </c>
      <c r="N587" s="19" t="s">
        <v>2133</v>
      </c>
      <c r="R587" t="s">
        <v>1097</v>
      </c>
    </row>
    <row r="588" spans="1:18" hidden="1" x14ac:dyDescent="0.3">
      <c r="A588" s="19">
        <f t="shared" si="9"/>
        <v>587</v>
      </c>
      <c r="B588" s="20" t="s">
        <v>87</v>
      </c>
      <c r="C588" s="20" t="s">
        <v>102</v>
      </c>
      <c r="D588" s="21" t="str">
        <f>IF($C588="","",IFERROR(VLOOKUP($C588,Map_Register!$A$2:$C$5,3,FALSE()),""))</f>
        <v>Toponym Labels</v>
      </c>
      <c r="E588" s="20" t="s">
        <v>15</v>
      </c>
      <c r="F588" s="22">
        <v>785619</v>
      </c>
      <c r="G588" s="19" t="s">
        <v>1108</v>
      </c>
      <c r="H588" s="19" t="s">
        <v>2134</v>
      </c>
      <c r="I588" s="19" t="s">
        <v>2134</v>
      </c>
      <c r="J588" s="19" t="s">
        <v>1110</v>
      </c>
      <c r="K588" s="19" t="s">
        <v>6</v>
      </c>
      <c r="L588" s="19" t="s">
        <v>1095</v>
      </c>
      <c r="M588" s="19" t="s">
        <v>1095</v>
      </c>
      <c r="N588" s="19" t="s">
        <v>1111</v>
      </c>
      <c r="R588" t="s">
        <v>1097</v>
      </c>
    </row>
    <row r="589" spans="1:18" hidden="1" x14ac:dyDescent="0.3">
      <c r="A589" s="19">
        <f t="shared" si="9"/>
        <v>588</v>
      </c>
      <c r="B589" s="20" t="s">
        <v>87</v>
      </c>
      <c r="C589" s="20" t="s">
        <v>102</v>
      </c>
      <c r="D589" s="21" t="str">
        <f>IF($C589="","",IFERROR(VLOOKUP($C589,Map_Register!$A$2:$C$5,3,FALSE()),""))</f>
        <v>Toponym Labels</v>
      </c>
      <c r="E589" s="20" t="s">
        <v>15</v>
      </c>
      <c r="F589" s="22">
        <v>785620</v>
      </c>
      <c r="G589" s="19" t="s">
        <v>1091</v>
      </c>
      <c r="H589" s="19" t="s">
        <v>2135</v>
      </c>
      <c r="I589" s="19" t="s">
        <v>2136</v>
      </c>
      <c r="J589" s="19" t="s">
        <v>1104</v>
      </c>
      <c r="K589" s="19" t="s">
        <v>6</v>
      </c>
      <c r="L589" s="19" t="s">
        <v>1095</v>
      </c>
      <c r="M589" s="19" t="s">
        <v>1095</v>
      </c>
      <c r="N589" s="19" t="s">
        <v>1105</v>
      </c>
      <c r="R589" t="s">
        <v>1097</v>
      </c>
    </row>
    <row r="590" spans="1:18" hidden="1" x14ac:dyDescent="0.3">
      <c r="A590" s="19">
        <f t="shared" si="9"/>
        <v>589</v>
      </c>
      <c r="B590" s="20" t="s">
        <v>87</v>
      </c>
      <c r="C590" s="20" t="s">
        <v>102</v>
      </c>
      <c r="D590" s="21" t="str">
        <f>IF($C590="","",IFERROR(VLOOKUP($C590,Map_Register!$A$2:$C$5,3,FALSE()),""))</f>
        <v>Toponym Labels</v>
      </c>
      <c r="E590" s="20" t="s">
        <v>15</v>
      </c>
      <c r="F590" s="22">
        <v>785621</v>
      </c>
      <c r="G590" s="19" t="s">
        <v>1091</v>
      </c>
      <c r="H590" s="19" t="s">
        <v>2137</v>
      </c>
      <c r="I590" s="19" t="s">
        <v>2137</v>
      </c>
      <c r="J590" s="19" t="s">
        <v>1110</v>
      </c>
      <c r="K590" t="s">
        <v>1100</v>
      </c>
      <c r="L590" t="s">
        <v>114</v>
      </c>
      <c r="M590" t="s">
        <v>114</v>
      </c>
      <c r="N590" s="19" t="s">
        <v>530</v>
      </c>
      <c r="O590" s="19" t="s">
        <v>116</v>
      </c>
      <c r="R590" t="s">
        <v>1097</v>
      </c>
    </row>
    <row r="591" spans="1:18" hidden="1" x14ac:dyDescent="0.3">
      <c r="A591" s="19">
        <f t="shared" si="9"/>
        <v>590</v>
      </c>
      <c r="B591" s="20" t="s">
        <v>87</v>
      </c>
      <c r="C591" s="20" t="s">
        <v>102</v>
      </c>
      <c r="D591" s="21" t="str">
        <f>IF($C591="","",IFERROR(VLOOKUP($C591,Map_Register!$A$2:$C$5,3,FALSE()),""))</f>
        <v>Toponym Labels</v>
      </c>
      <c r="E591" s="20" t="s">
        <v>15</v>
      </c>
      <c r="F591" s="22">
        <v>785622</v>
      </c>
      <c r="G591" s="19" t="s">
        <v>1091</v>
      </c>
      <c r="H591" s="19" t="s">
        <v>2138</v>
      </c>
      <c r="I591" s="19" t="s">
        <v>2139</v>
      </c>
      <c r="J591" s="19" t="s">
        <v>1104</v>
      </c>
      <c r="K591" s="19" t="s">
        <v>6</v>
      </c>
      <c r="L591" s="19" t="s">
        <v>1095</v>
      </c>
      <c r="M591" s="19" t="s">
        <v>1095</v>
      </c>
      <c r="N591" s="19" t="s">
        <v>1105</v>
      </c>
      <c r="R591" t="s">
        <v>1097</v>
      </c>
    </row>
    <row r="592" spans="1:18" x14ac:dyDescent="0.3">
      <c r="A592" s="19">
        <f t="shared" si="9"/>
        <v>591</v>
      </c>
      <c r="B592" s="20" t="s">
        <v>87</v>
      </c>
      <c r="C592" s="20" t="s">
        <v>102</v>
      </c>
      <c r="D592" s="21" t="str">
        <f>IF($C592="","",IFERROR(VLOOKUP($C592,Map_Register!$A$2:$C$5,3,FALSE()),""))</f>
        <v>Toponym Labels</v>
      </c>
      <c r="E592" s="20" t="s">
        <v>15</v>
      </c>
      <c r="F592" s="22">
        <v>785623</v>
      </c>
      <c r="G592" s="19" t="s">
        <v>2084</v>
      </c>
      <c r="H592" s="19" t="s">
        <v>2140</v>
      </c>
      <c r="I592" s="19" t="s">
        <v>2140</v>
      </c>
      <c r="J592" s="19" t="s">
        <v>1110</v>
      </c>
      <c r="K592" t="s">
        <v>1100</v>
      </c>
      <c r="L592" t="s">
        <v>114</v>
      </c>
      <c r="M592" t="s">
        <v>116</v>
      </c>
      <c r="N592" s="19" t="s">
        <v>1268</v>
      </c>
      <c r="O592" s="19" t="s">
        <v>116</v>
      </c>
      <c r="R592" t="s">
        <v>1097</v>
      </c>
    </row>
    <row r="593" spans="1:18" x14ac:dyDescent="0.3">
      <c r="A593" s="19">
        <f t="shared" si="9"/>
        <v>592</v>
      </c>
      <c r="B593" s="20" t="s">
        <v>87</v>
      </c>
      <c r="C593" s="20" t="s">
        <v>102</v>
      </c>
      <c r="D593" s="21" t="str">
        <f>IF($C593="","",IFERROR(VLOOKUP($C593,Map_Register!$A$2:$C$5,3,FALSE()),""))</f>
        <v>Toponym Labels</v>
      </c>
      <c r="E593" s="20" t="s">
        <v>15</v>
      </c>
      <c r="F593" s="22">
        <v>785624</v>
      </c>
      <c r="G593" s="19" t="s">
        <v>1108</v>
      </c>
      <c r="H593" s="19" t="s">
        <v>2141</v>
      </c>
      <c r="I593" s="19" t="s">
        <v>2141</v>
      </c>
      <c r="J593" s="19" t="s">
        <v>1110</v>
      </c>
      <c r="K593" t="s">
        <v>1100</v>
      </c>
      <c r="L593" s="19" t="s">
        <v>114</v>
      </c>
      <c r="M593" s="19" t="s">
        <v>116</v>
      </c>
      <c r="N593" s="19" t="s">
        <v>2142</v>
      </c>
      <c r="O593" s="19" t="s">
        <v>116</v>
      </c>
      <c r="R593" t="s">
        <v>1097</v>
      </c>
    </row>
    <row r="594" spans="1:18" hidden="1" x14ac:dyDescent="0.3">
      <c r="A594" s="19">
        <f t="shared" si="9"/>
        <v>593</v>
      </c>
      <c r="B594" s="20" t="s">
        <v>87</v>
      </c>
      <c r="C594" s="20" t="s">
        <v>102</v>
      </c>
      <c r="D594" s="21" t="str">
        <f>IF($C594="","",IFERROR(VLOOKUP($C594,Map_Register!$A$2:$C$5,3,FALSE()),""))</f>
        <v>Toponym Labels</v>
      </c>
      <c r="E594" s="20" t="s">
        <v>15</v>
      </c>
      <c r="F594" s="22">
        <v>785625</v>
      </c>
      <c r="G594" s="19" t="s">
        <v>1108</v>
      </c>
      <c r="H594" s="19" t="s">
        <v>2143</v>
      </c>
      <c r="I594" s="19" t="s">
        <v>2143</v>
      </c>
      <c r="J594" s="19" t="s">
        <v>1110</v>
      </c>
      <c r="K594" s="19" t="s">
        <v>6</v>
      </c>
      <c r="L594" s="19" t="s">
        <v>1095</v>
      </c>
      <c r="M594" s="19" t="s">
        <v>1095</v>
      </c>
      <c r="N594" s="19" t="s">
        <v>1111</v>
      </c>
      <c r="R594" t="s">
        <v>1097</v>
      </c>
    </row>
    <row r="595" spans="1:18" hidden="1" x14ac:dyDescent="0.3">
      <c r="A595" s="19">
        <f t="shared" si="9"/>
        <v>594</v>
      </c>
      <c r="B595" s="20" t="s">
        <v>87</v>
      </c>
      <c r="C595" s="20" t="s">
        <v>102</v>
      </c>
      <c r="D595" s="21" t="str">
        <f>IF($C595="","",IFERROR(VLOOKUP($C595,Map_Register!$A$2:$C$5,3,FALSE()),""))</f>
        <v>Toponym Labels</v>
      </c>
      <c r="E595" s="20" t="s">
        <v>15</v>
      </c>
      <c r="F595" s="22">
        <v>785626</v>
      </c>
      <c r="G595" s="19" t="s">
        <v>1091</v>
      </c>
      <c r="H595" s="19" t="s">
        <v>2144</v>
      </c>
      <c r="I595" s="19" t="s">
        <v>2144</v>
      </c>
      <c r="J595" s="19" t="s">
        <v>1110</v>
      </c>
      <c r="K595" t="s">
        <v>1100</v>
      </c>
      <c r="L595" t="s">
        <v>114</v>
      </c>
      <c r="M595" t="s">
        <v>114</v>
      </c>
      <c r="N595" s="19" t="s">
        <v>530</v>
      </c>
      <c r="O595" s="19" t="s">
        <v>116</v>
      </c>
      <c r="R595" t="s">
        <v>1097</v>
      </c>
    </row>
    <row r="596" spans="1:18" hidden="1" x14ac:dyDescent="0.3">
      <c r="A596" s="19">
        <f t="shared" si="9"/>
        <v>595</v>
      </c>
      <c r="B596" s="20" t="s">
        <v>87</v>
      </c>
      <c r="C596" s="20" t="s">
        <v>102</v>
      </c>
      <c r="D596" s="21" t="str">
        <f>IF($C596="","",IFERROR(VLOOKUP($C596,Map_Register!$A$2:$C$5,3,FALSE()),""))</f>
        <v>Toponym Labels</v>
      </c>
      <c r="E596" s="20" t="s">
        <v>15</v>
      </c>
      <c r="F596" s="22">
        <v>785627</v>
      </c>
      <c r="G596" s="19" t="s">
        <v>1309</v>
      </c>
      <c r="H596" s="19" t="s">
        <v>2145</v>
      </c>
      <c r="I596" s="19" t="s">
        <v>2145</v>
      </c>
      <c r="J596" s="19" t="s">
        <v>1110</v>
      </c>
      <c r="K596" t="s">
        <v>1100</v>
      </c>
      <c r="L596" t="s">
        <v>114</v>
      </c>
      <c r="M596" t="s">
        <v>114</v>
      </c>
      <c r="N596" s="19" t="s">
        <v>530</v>
      </c>
      <c r="O596" s="19" t="s">
        <v>116</v>
      </c>
      <c r="R596" t="s">
        <v>1097</v>
      </c>
    </row>
    <row r="597" spans="1:18" hidden="1" x14ac:dyDescent="0.3">
      <c r="A597" s="19">
        <f t="shared" si="9"/>
        <v>596</v>
      </c>
      <c r="B597" s="20" t="s">
        <v>87</v>
      </c>
      <c r="C597" s="20" t="s">
        <v>102</v>
      </c>
      <c r="D597" s="21" t="str">
        <f>IF($C597="","",IFERROR(VLOOKUP($C597,Map_Register!$A$2:$C$5,3,FALSE()),""))</f>
        <v>Toponym Labels</v>
      </c>
      <c r="E597" s="20" t="s">
        <v>15</v>
      </c>
      <c r="F597" s="22">
        <v>785628</v>
      </c>
      <c r="G597" s="19" t="s">
        <v>1091</v>
      </c>
      <c r="H597" s="19" t="s">
        <v>2146</v>
      </c>
      <c r="I597" s="19" t="s">
        <v>2147</v>
      </c>
      <c r="J597" s="19" t="s">
        <v>1104</v>
      </c>
      <c r="K597" t="s">
        <v>1100</v>
      </c>
      <c r="L597" t="s">
        <v>114</v>
      </c>
      <c r="M597" t="s">
        <v>114</v>
      </c>
      <c r="N597" s="19" t="s">
        <v>530</v>
      </c>
      <c r="O597" s="19" t="s">
        <v>116</v>
      </c>
      <c r="R597" t="s">
        <v>1097</v>
      </c>
    </row>
    <row r="598" spans="1:18" hidden="1" x14ac:dyDescent="0.3">
      <c r="A598" s="19">
        <f t="shared" si="9"/>
        <v>597</v>
      </c>
      <c r="B598" s="20" t="s">
        <v>87</v>
      </c>
      <c r="C598" s="20" t="s">
        <v>102</v>
      </c>
      <c r="D598" s="21" t="str">
        <f>IF($C598="","",IFERROR(VLOOKUP($C598,Map_Register!$A$2:$C$5,3,FALSE()),""))</f>
        <v>Toponym Labels</v>
      </c>
      <c r="E598" s="20" t="s">
        <v>15</v>
      </c>
      <c r="F598" s="22">
        <v>785629</v>
      </c>
      <c r="G598" s="19" t="s">
        <v>1091</v>
      </c>
      <c r="H598" s="19" t="s">
        <v>2148</v>
      </c>
      <c r="I598" s="19" t="s">
        <v>2149</v>
      </c>
      <c r="J598" s="19" t="s">
        <v>1104</v>
      </c>
      <c r="K598" s="19" t="s">
        <v>6</v>
      </c>
      <c r="L598" s="19" t="s">
        <v>1095</v>
      </c>
      <c r="M598" s="19" t="s">
        <v>1095</v>
      </c>
      <c r="N598" s="19" t="s">
        <v>1105</v>
      </c>
      <c r="R598" t="s">
        <v>1097</v>
      </c>
    </row>
    <row r="599" spans="1:18" hidden="1" x14ac:dyDescent="0.3">
      <c r="A599" s="19">
        <f t="shared" si="9"/>
        <v>598</v>
      </c>
      <c r="B599" s="20" t="s">
        <v>87</v>
      </c>
      <c r="C599" s="20" t="s">
        <v>102</v>
      </c>
      <c r="D599" s="21" t="str">
        <f>IF($C599="","",IFERROR(VLOOKUP($C599,Map_Register!$A$2:$C$5,3,FALSE()),""))</f>
        <v>Toponym Labels</v>
      </c>
      <c r="E599" s="20" t="s">
        <v>15</v>
      </c>
      <c r="F599" s="22">
        <v>785630</v>
      </c>
      <c r="G599" s="19" t="s">
        <v>1223</v>
      </c>
      <c r="H599" s="19" t="s">
        <v>2150</v>
      </c>
      <c r="I599" s="19" t="s">
        <v>2150</v>
      </c>
      <c r="J599" s="19" t="s">
        <v>1110</v>
      </c>
      <c r="K599" s="19" t="s">
        <v>6</v>
      </c>
      <c r="L599" s="19" t="s">
        <v>1095</v>
      </c>
      <c r="M599" s="19" t="s">
        <v>1095</v>
      </c>
      <c r="N599" s="19" t="s">
        <v>1389</v>
      </c>
      <c r="R599" t="s">
        <v>1097</v>
      </c>
    </row>
    <row r="600" spans="1:18" hidden="1" x14ac:dyDescent="0.3">
      <c r="A600" s="19">
        <f t="shared" si="9"/>
        <v>599</v>
      </c>
      <c r="B600" s="20" t="s">
        <v>87</v>
      </c>
      <c r="C600" s="20" t="s">
        <v>102</v>
      </c>
      <c r="D600" s="21" t="str">
        <f>IF($C600="","",IFERROR(VLOOKUP($C600,Map_Register!$A$2:$C$5,3,FALSE()),""))</f>
        <v>Toponym Labels</v>
      </c>
      <c r="E600" s="20" t="s">
        <v>15</v>
      </c>
      <c r="F600" s="22">
        <v>785631</v>
      </c>
      <c r="G600" s="19" t="s">
        <v>1145</v>
      </c>
      <c r="H600" s="19" t="s">
        <v>2151</v>
      </c>
      <c r="I600" s="19" t="s">
        <v>2151</v>
      </c>
      <c r="J600" s="19" t="s">
        <v>1110</v>
      </c>
      <c r="K600" t="s">
        <v>1100</v>
      </c>
      <c r="L600" t="s">
        <v>114</v>
      </c>
      <c r="M600" t="s">
        <v>114</v>
      </c>
      <c r="N600" s="19" t="s">
        <v>530</v>
      </c>
      <c r="O600" s="19" t="s">
        <v>116</v>
      </c>
      <c r="R600" t="s">
        <v>1097</v>
      </c>
    </row>
    <row r="601" spans="1:18" hidden="1" x14ac:dyDescent="0.3">
      <c r="A601" s="19">
        <f t="shared" si="9"/>
        <v>600</v>
      </c>
      <c r="B601" s="20" t="s">
        <v>87</v>
      </c>
      <c r="C601" s="20" t="s">
        <v>102</v>
      </c>
      <c r="D601" s="21" t="str">
        <f>IF($C601="","",IFERROR(VLOOKUP($C601,Map_Register!$A$2:$C$5,3,FALSE()),""))</f>
        <v>Toponym Labels</v>
      </c>
      <c r="E601" s="20" t="s">
        <v>15</v>
      </c>
      <c r="F601" s="22">
        <v>785632</v>
      </c>
      <c r="G601" s="19" t="s">
        <v>1118</v>
      </c>
      <c r="H601" s="19" t="s">
        <v>2152</v>
      </c>
      <c r="I601" s="19" t="s">
        <v>2152</v>
      </c>
      <c r="J601" s="19" t="s">
        <v>1110</v>
      </c>
      <c r="K601" t="s">
        <v>1100</v>
      </c>
      <c r="L601" t="s">
        <v>114</v>
      </c>
      <c r="M601" t="s">
        <v>114</v>
      </c>
      <c r="N601" s="19" t="s">
        <v>1178</v>
      </c>
      <c r="O601" s="19" t="s">
        <v>116</v>
      </c>
      <c r="R601" t="s">
        <v>1097</v>
      </c>
    </row>
    <row r="602" spans="1:18" hidden="1" x14ac:dyDescent="0.3">
      <c r="A602" s="19">
        <f t="shared" si="9"/>
        <v>601</v>
      </c>
      <c r="B602" s="20" t="s">
        <v>87</v>
      </c>
      <c r="C602" s="20" t="s">
        <v>102</v>
      </c>
      <c r="D602" s="21" t="str">
        <f>IF($C602="","",IFERROR(VLOOKUP($C602,Map_Register!$A$2:$C$5,3,FALSE()),""))</f>
        <v>Toponym Labels</v>
      </c>
      <c r="E602" s="20" t="s">
        <v>15</v>
      </c>
      <c r="F602" s="22">
        <v>785633</v>
      </c>
      <c r="G602" s="19" t="s">
        <v>1118</v>
      </c>
      <c r="H602" s="19" t="s">
        <v>2153</v>
      </c>
      <c r="I602" s="19" t="s">
        <v>2153</v>
      </c>
      <c r="J602" s="19" t="s">
        <v>1110</v>
      </c>
      <c r="K602" t="s">
        <v>1100</v>
      </c>
      <c r="L602" t="s">
        <v>114</v>
      </c>
      <c r="M602" t="s">
        <v>114</v>
      </c>
      <c r="N602" s="19" t="s">
        <v>2154</v>
      </c>
      <c r="O602" s="19" t="s">
        <v>116</v>
      </c>
      <c r="R602" t="s">
        <v>1097</v>
      </c>
    </row>
    <row r="603" spans="1:18" hidden="1" x14ac:dyDescent="0.3">
      <c r="A603" s="19">
        <f t="shared" si="9"/>
        <v>602</v>
      </c>
      <c r="B603" s="20" t="s">
        <v>87</v>
      </c>
      <c r="C603" s="20" t="s">
        <v>102</v>
      </c>
      <c r="D603" s="21" t="str">
        <f>IF($C603="","",IFERROR(VLOOKUP($C603,Map_Register!$A$2:$C$5,3,FALSE()),""))</f>
        <v>Toponym Labels</v>
      </c>
      <c r="E603" s="20" t="s">
        <v>15</v>
      </c>
      <c r="F603" s="22">
        <v>785634</v>
      </c>
      <c r="G603" s="19" t="s">
        <v>1108</v>
      </c>
      <c r="H603" s="19" t="s">
        <v>2155</v>
      </c>
      <c r="I603" s="19" t="s">
        <v>2156</v>
      </c>
      <c r="J603" s="19" t="s">
        <v>1094</v>
      </c>
      <c r="K603" s="19" t="s">
        <v>6</v>
      </c>
      <c r="L603" s="19" t="s">
        <v>1095</v>
      </c>
      <c r="M603" s="19" t="s">
        <v>1095</v>
      </c>
      <c r="N603" s="19" t="s">
        <v>1105</v>
      </c>
      <c r="R603" t="s">
        <v>1097</v>
      </c>
    </row>
    <row r="604" spans="1:18" hidden="1" x14ac:dyDescent="0.3">
      <c r="A604" s="19">
        <f t="shared" si="9"/>
        <v>603</v>
      </c>
      <c r="B604" s="20" t="s">
        <v>87</v>
      </c>
      <c r="C604" s="20" t="s">
        <v>102</v>
      </c>
      <c r="D604" s="21" t="str">
        <f>IF($C604="","",IFERROR(VLOOKUP($C604,Map_Register!$A$2:$C$5,3,FALSE()),""))</f>
        <v>Toponym Labels</v>
      </c>
      <c r="E604" s="20" t="s">
        <v>15</v>
      </c>
      <c r="F604" s="22">
        <v>785635</v>
      </c>
      <c r="G604" s="19" t="s">
        <v>1108</v>
      </c>
      <c r="H604" s="19" t="s">
        <v>2157</v>
      </c>
      <c r="I604" s="19" t="s">
        <v>2158</v>
      </c>
      <c r="J604" s="19" t="s">
        <v>1104</v>
      </c>
      <c r="K604" s="19" t="s">
        <v>6</v>
      </c>
      <c r="L604" s="19" t="s">
        <v>1095</v>
      </c>
      <c r="M604" s="19" t="s">
        <v>1095</v>
      </c>
      <c r="N604" s="19" t="s">
        <v>1105</v>
      </c>
      <c r="R604" t="s">
        <v>1097</v>
      </c>
    </row>
    <row r="605" spans="1:18" hidden="1" x14ac:dyDescent="0.3">
      <c r="A605" s="19">
        <f t="shared" si="9"/>
        <v>604</v>
      </c>
      <c r="B605" s="20" t="s">
        <v>87</v>
      </c>
      <c r="C605" s="20" t="s">
        <v>102</v>
      </c>
      <c r="D605" s="21" t="str">
        <f>IF($C605="","",IFERROR(VLOOKUP($C605,Map_Register!$A$2:$C$5,3,FALSE()),""))</f>
        <v>Toponym Labels</v>
      </c>
      <c r="E605" s="20" t="s">
        <v>15</v>
      </c>
      <c r="F605" s="22">
        <v>785636</v>
      </c>
      <c r="G605" s="19" t="s">
        <v>1309</v>
      </c>
      <c r="H605" s="19" t="s">
        <v>2159</v>
      </c>
      <c r="I605" s="19" t="s">
        <v>2159</v>
      </c>
      <c r="J605" s="19" t="s">
        <v>1110</v>
      </c>
      <c r="K605" t="s">
        <v>1100</v>
      </c>
      <c r="L605" t="s">
        <v>114</v>
      </c>
      <c r="M605" t="s">
        <v>114</v>
      </c>
      <c r="N605" s="19" t="s">
        <v>530</v>
      </c>
      <c r="O605" s="19" t="s">
        <v>116</v>
      </c>
      <c r="R605" t="s">
        <v>1097</v>
      </c>
    </row>
    <row r="606" spans="1:18" hidden="1" x14ac:dyDescent="0.3">
      <c r="A606" s="19">
        <f t="shared" si="9"/>
        <v>605</v>
      </c>
      <c r="B606" s="20" t="s">
        <v>87</v>
      </c>
      <c r="C606" s="20" t="s">
        <v>102</v>
      </c>
      <c r="D606" s="21" t="str">
        <f>IF($C606="","",IFERROR(VLOOKUP($C606,Map_Register!$A$2:$C$5,3,FALSE()),""))</f>
        <v>Toponym Labels</v>
      </c>
      <c r="E606" s="20" t="s">
        <v>15</v>
      </c>
      <c r="F606" s="22">
        <v>785637</v>
      </c>
      <c r="G606" s="19" t="s">
        <v>1091</v>
      </c>
      <c r="H606" s="19" t="s">
        <v>2160</v>
      </c>
      <c r="I606" s="19" t="s">
        <v>2160</v>
      </c>
      <c r="J606" s="19" t="s">
        <v>1110</v>
      </c>
      <c r="K606" t="s">
        <v>1100</v>
      </c>
      <c r="L606" t="s">
        <v>114</v>
      </c>
      <c r="M606" t="s">
        <v>114</v>
      </c>
      <c r="N606" s="19" t="s">
        <v>530</v>
      </c>
      <c r="O606" s="19" t="s">
        <v>116</v>
      </c>
      <c r="R606" t="s">
        <v>1097</v>
      </c>
    </row>
    <row r="607" spans="1:18" hidden="1" x14ac:dyDescent="0.3">
      <c r="A607" s="19">
        <f t="shared" si="9"/>
        <v>606</v>
      </c>
      <c r="B607" s="20" t="s">
        <v>87</v>
      </c>
      <c r="C607" s="20" t="s">
        <v>102</v>
      </c>
      <c r="D607" s="21" t="str">
        <f>IF($C607="","",IFERROR(VLOOKUP($C607,Map_Register!$A$2:$C$5,3,FALSE()),""))</f>
        <v>Toponym Labels</v>
      </c>
      <c r="E607" s="20" t="s">
        <v>15</v>
      </c>
      <c r="F607" s="22">
        <v>785639</v>
      </c>
      <c r="G607" s="19" t="s">
        <v>1108</v>
      </c>
      <c r="H607" s="19" t="s">
        <v>2161</v>
      </c>
      <c r="I607" s="19" t="s">
        <v>2161</v>
      </c>
      <c r="J607" s="19" t="s">
        <v>1110</v>
      </c>
      <c r="K607" s="19" t="s">
        <v>6</v>
      </c>
      <c r="L607" s="19" t="s">
        <v>1095</v>
      </c>
      <c r="M607" s="19" t="s">
        <v>1095</v>
      </c>
      <c r="N607" s="19" t="s">
        <v>1111</v>
      </c>
      <c r="R607" t="s">
        <v>1097</v>
      </c>
    </row>
    <row r="608" spans="1:18" hidden="1" x14ac:dyDescent="0.3">
      <c r="A608" s="19">
        <f t="shared" si="9"/>
        <v>607</v>
      </c>
      <c r="B608" s="20" t="s">
        <v>87</v>
      </c>
      <c r="C608" s="20" t="s">
        <v>102</v>
      </c>
      <c r="D608" s="21" t="str">
        <f>IF($C608="","",IFERROR(VLOOKUP($C608,Map_Register!$A$2:$C$5,3,FALSE()),""))</f>
        <v>Toponym Labels</v>
      </c>
      <c r="E608" s="20" t="s">
        <v>15</v>
      </c>
      <c r="F608" s="22">
        <v>785640</v>
      </c>
      <c r="G608" s="19" t="s">
        <v>1108</v>
      </c>
      <c r="H608" s="19" t="s">
        <v>2162</v>
      </c>
      <c r="I608" s="19" t="s">
        <v>2163</v>
      </c>
      <c r="J608" s="19" t="s">
        <v>1104</v>
      </c>
      <c r="K608" s="19" t="s">
        <v>6</v>
      </c>
      <c r="L608" s="19" t="s">
        <v>1095</v>
      </c>
      <c r="M608" s="19" t="s">
        <v>1095</v>
      </c>
      <c r="N608" s="19" t="s">
        <v>1105</v>
      </c>
      <c r="R608" t="s">
        <v>1097</v>
      </c>
    </row>
    <row r="609" spans="1:18" x14ac:dyDescent="0.3">
      <c r="A609" s="19">
        <f t="shared" si="9"/>
        <v>608</v>
      </c>
      <c r="B609" s="20" t="s">
        <v>87</v>
      </c>
      <c r="C609" s="20" t="s">
        <v>102</v>
      </c>
      <c r="D609" s="21" t="str">
        <f>IF($C609="","",IFERROR(VLOOKUP($C609,Map_Register!$A$2:$C$5,3,FALSE()),""))</f>
        <v>Toponym Labels</v>
      </c>
      <c r="E609" s="20" t="s">
        <v>15</v>
      </c>
      <c r="F609" s="22">
        <v>785641</v>
      </c>
      <c r="G609" s="19" t="s">
        <v>1108</v>
      </c>
      <c r="H609" s="19" t="s">
        <v>2164</v>
      </c>
      <c r="I609" s="19" t="s">
        <v>2164</v>
      </c>
      <c r="J609" s="19" t="s">
        <v>1110</v>
      </c>
      <c r="K609" t="s">
        <v>1100</v>
      </c>
      <c r="L609" s="19" t="s">
        <v>114</v>
      </c>
      <c r="M609" s="19" t="s">
        <v>116</v>
      </c>
      <c r="N609" s="19" t="s">
        <v>2142</v>
      </c>
      <c r="O609" s="19" t="s">
        <v>116</v>
      </c>
      <c r="R609" t="s">
        <v>1097</v>
      </c>
    </row>
    <row r="610" spans="1:18" hidden="1" x14ac:dyDescent="0.3">
      <c r="A610" s="19">
        <f t="shared" si="9"/>
        <v>609</v>
      </c>
      <c r="B610" s="20" t="s">
        <v>87</v>
      </c>
      <c r="C610" s="20" t="s">
        <v>102</v>
      </c>
      <c r="D610" s="21" t="str">
        <f>IF($C610="","",IFERROR(VLOOKUP($C610,Map_Register!$A$2:$C$5,3,FALSE()),""))</f>
        <v>Toponym Labels</v>
      </c>
      <c r="E610" s="20" t="s">
        <v>15</v>
      </c>
      <c r="F610" s="22">
        <v>785642</v>
      </c>
      <c r="G610" s="19" t="s">
        <v>1108</v>
      </c>
      <c r="H610" s="19" t="s">
        <v>2165</v>
      </c>
      <c r="I610" s="19" t="s">
        <v>2165</v>
      </c>
      <c r="J610" s="19" t="s">
        <v>1110</v>
      </c>
      <c r="K610" s="19" t="s">
        <v>6</v>
      </c>
      <c r="L610" s="19" t="s">
        <v>1095</v>
      </c>
      <c r="M610" s="19" t="s">
        <v>1095</v>
      </c>
      <c r="N610" s="19" t="s">
        <v>1111</v>
      </c>
      <c r="R610" t="s">
        <v>1097</v>
      </c>
    </row>
    <row r="611" spans="1:18" x14ac:dyDescent="0.3">
      <c r="A611" s="19">
        <f t="shared" si="9"/>
        <v>610</v>
      </c>
      <c r="B611" s="20" t="s">
        <v>87</v>
      </c>
      <c r="C611" s="20" t="s">
        <v>102</v>
      </c>
      <c r="D611" s="21" t="str">
        <f>IF($C611="","",IFERROR(VLOOKUP($C611,Map_Register!$A$2:$C$5,3,FALSE()),""))</f>
        <v>Toponym Labels</v>
      </c>
      <c r="E611" s="20" t="s">
        <v>15</v>
      </c>
      <c r="F611" s="22">
        <v>785643</v>
      </c>
      <c r="G611" s="19" t="s">
        <v>1108</v>
      </c>
      <c r="H611" s="19" t="s">
        <v>2166</v>
      </c>
      <c r="I611" s="19" t="s">
        <v>2166</v>
      </c>
      <c r="J611" s="19" t="s">
        <v>1110</v>
      </c>
      <c r="K611" t="s">
        <v>1100</v>
      </c>
      <c r="L611" s="19" t="s">
        <v>114</v>
      </c>
      <c r="M611" s="19" t="s">
        <v>116</v>
      </c>
      <c r="N611" s="19" t="s">
        <v>2142</v>
      </c>
      <c r="O611" s="19" t="s">
        <v>116</v>
      </c>
      <c r="R611" t="s">
        <v>1097</v>
      </c>
    </row>
    <row r="612" spans="1:18" x14ac:dyDescent="0.3">
      <c r="A612" s="19">
        <f t="shared" si="9"/>
        <v>611</v>
      </c>
      <c r="B612" s="20" t="s">
        <v>87</v>
      </c>
      <c r="C612" s="20" t="s">
        <v>102</v>
      </c>
      <c r="D612" s="21" t="str">
        <f>IF($C612="","",IFERROR(VLOOKUP($C612,Map_Register!$A$2:$C$5,3,FALSE()),""))</f>
        <v>Toponym Labels</v>
      </c>
      <c r="E612" s="20" t="s">
        <v>15</v>
      </c>
      <c r="F612" s="22">
        <v>785644</v>
      </c>
      <c r="G612" s="19" t="s">
        <v>1108</v>
      </c>
      <c r="H612" s="19" t="s">
        <v>2167</v>
      </c>
      <c r="I612" s="19" t="s">
        <v>2167</v>
      </c>
      <c r="J612" s="19" t="s">
        <v>1110</v>
      </c>
      <c r="K612" t="s">
        <v>1100</v>
      </c>
      <c r="L612" s="19" t="s">
        <v>114</v>
      </c>
      <c r="M612" s="19" t="s">
        <v>116</v>
      </c>
      <c r="N612" s="19" t="s">
        <v>2142</v>
      </c>
      <c r="O612" s="19" t="s">
        <v>116</v>
      </c>
      <c r="R612" t="s">
        <v>1097</v>
      </c>
    </row>
    <row r="613" spans="1:18" x14ac:dyDescent="0.3">
      <c r="A613" s="19">
        <f t="shared" si="9"/>
        <v>612</v>
      </c>
      <c r="B613" s="20" t="s">
        <v>87</v>
      </c>
      <c r="C613" s="20" t="s">
        <v>102</v>
      </c>
      <c r="D613" s="21" t="str">
        <f>IF($C613="","",IFERROR(VLOOKUP($C613,Map_Register!$A$2:$C$5,3,FALSE()),""))</f>
        <v>Toponym Labels</v>
      </c>
      <c r="E613" s="20" t="s">
        <v>15</v>
      </c>
      <c r="F613" s="22">
        <v>785645</v>
      </c>
      <c r="G613" s="19" t="s">
        <v>2084</v>
      </c>
      <c r="H613" s="19" t="s">
        <v>2168</v>
      </c>
      <c r="I613" s="19" t="s">
        <v>2168</v>
      </c>
      <c r="J613" s="19" t="s">
        <v>1110</v>
      </c>
      <c r="K613" t="s">
        <v>1100</v>
      </c>
      <c r="L613" t="s">
        <v>114</v>
      </c>
      <c r="M613" t="s">
        <v>116</v>
      </c>
      <c r="N613" s="19" t="s">
        <v>1268</v>
      </c>
      <c r="O613" s="19" t="s">
        <v>116</v>
      </c>
      <c r="R613" t="s">
        <v>1097</v>
      </c>
    </row>
    <row r="614" spans="1:18" x14ac:dyDescent="0.3">
      <c r="A614" s="19">
        <f t="shared" si="9"/>
        <v>613</v>
      </c>
      <c r="B614" s="20" t="s">
        <v>87</v>
      </c>
      <c r="C614" s="20" t="s">
        <v>102</v>
      </c>
      <c r="D614" s="21" t="str">
        <f>IF($C614="","",IFERROR(VLOOKUP($C614,Map_Register!$A$2:$C$5,3,FALSE()),""))</f>
        <v>Toponym Labels</v>
      </c>
      <c r="E614" s="20" t="s">
        <v>15</v>
      </c>
      <c r="F614" s="22">
        <v>785646</v>
      </c>
      <c r="G614" s="19" t="s">
        <v>1223</v>
      </c>
      <c r="H614" s="19" t="s">
        <v>2169</v>
      </c>
      <c r="I614" s="19" t="s">
        <v>2169</v>
      </c>
      <c r="J614" s="19" t="s">
        <v>1110</v>
      </c>
      <c r="K614" t="s">
        <v>1100</v>
      </c>
      <c r="L614" t="s">
        <v>114</v>
      </c>
      <c r="M614" t="s">
        <v>116</v>
      </c>
      <c r="N614" s="19" t="s">
        <v>1268</v>
      </c>
      <c r="O614" s="19" t="s">
        <v>116</v>
      </c>
      <c r="R614" t="s">
        <v>1097</v>
      </c>
    </row>
    <row r="615" spans="1:18" hidden="1" x14ac:dyDescent="0.3">
      <c r="A615" s="19">
        <f t="shared" si="9"/>
        <v>614</v>
      </c>
      <c r="B615" s="20" t="s">
        <v>87</v>
      </c>
      <c r="C615" s="20" t="s">
        <v>102</v>
      </c>
      <c r="D615" s="21" t="str">
        <f>IF($C615="","",IFERROR(VLOOKUP($C615,Map_Register!$A$2:$C$5,3,FALSE()),""))</f>
        <v>Toponym Labels</v>
      </c>
      <c r="E615" s="20" t="s">
        <v>15</v>
      </c>
      <c r="F615" s="22">
        <v>785647</v>
      </c>
      <c r="G615" s="19" t="s">
        <v>1309</v>
      </c>
      <c r="H615" s="19" t="s">
        <v>2170</v>
      </c>
      <c r="I615" s="19" t="s">
        <v>2170</v>
      </c>
      <c r="J615" s="19" t="s">
        <v>1110</v>
      </c>
      <c r="K615" t="s">
        <v>1100</v>
      </c>
      <c r="L615" s="19" t="s">
        <v>114</v>
      </c>
      <c r="M615" s="19" t="s">
        <v>1121</v>
      </c>
      <c r="N615" s="19" t="s">
        <v>2171</v>
      </c>
      <c r="O615" s="19" t="s">
        <v>116</v>
      </c>
      <c r="R615" t="s">
        <v>1097</v>
      </c>
    </row>
    <row r="616" spans="1:18" hidden="1" x14ac:dyDescent="0.3">
      <c r="A616" s="19">
        <f t="shared" si="9"/>
        <v>615</v>
      </c>
      <c r="B616" s="20" t="s">
        <v>87</v>
      </c>
      <c r="C616" s="20" t="s">
        <v>102</v>
      </c>
      <c r="D616" s="21" t="str">
        <f>IF($C616="","",IFERROR(VLOOKUP($C616,Map_Register!$A$2:$C$5,3,FALSE()),""))</f>
        <v>Toponym Labels</v>
      </c>
      <c r="E616" s="20" t="s">
        <v>15</v>
      </c>
      <c r="F616" s="22">
        <v>785648</v>
      </c>
      <c r="G616" s="19" t="s">
        <v>1108</v>
      </c>
      <c r="H616" s="19" t="s">
        <v>2172</v>
      </c>
      <c r="I616" s="19" t="s">
        <v>2173</v>
      </c>
      <c r="J616" s="19" t="s">
        <v>1104</v>
      </c>
      <c r="K616" s="19" t="s">
        <v>6</v>
      </c>
      <c r="L616" s="19" t="s">
        <v>1095</v>
      </c>
      <c r="M616" s="19" t="s">
        <v>1095</v>
      </c>
      <c r="N616" s="19" t="s">
        <v>1105</v>
      </c>
      <c r="R616" t="s">
        <v>1097</v>
      </c>
    </row>
    <row r="617" spans="1:18" hidden="1" x14ac:dyDescent="0.3">
      <c r="A617" s="19">
        <f t="shared" si="9"/>
        <v>616</v>
      </c>
      <c r="B617" s="20" t="s">
        <v>87</v>
      </c>
      <c r="C617" s="20" t="s">
        <v>102</v>
      </c>
      <c r="D617" s="21" t="str">
        <f>IF($C617="","",IFERROR(VLOOKUP($C617,Map_Register!$A$2:$C$5,3,FALSE()),""))</f>
        <v>Toponym Labels</v>
      </c>
      <c r="E617" s="20" t="s">
        <v>15</v>
      </c>
      <c r="F617" s="22">
        <v>785649</v>
      </c>
      <c r="G617" s="19" t="s">
        <v>1091</v>
      </c>
      <c r="H617" s="19" t="s">
        <v>2174</v>
      </c>
      <c r="I617" s="19" t="s">
        <v>2175</v>
      </c>
      <c r="J617" s="19" t="s">
        <v>1094</v>
      </c>
      <c r="K617" s="19" t="s">
        <v>6</v>
      </c>
      <c r="L617" s="19" t="s">
        <v>1095</v>
      </c>
      <c r="M617" s="19" t="s">
        <v>1095</v>
      </c>
      <c r="N617" s="19" t="s">
        <v>1105</v>
      </c>
      <c r="R617" t="s">
        <v>1097</v>
      </c>
    </row>
    <row r="618" spans="1:18" hidden="1" x14ac:dyDescent="0.3">
      <c r="A618" s="19">
        <f t="shared" si="9"/>
        <v>617</v>
      </c>
      <c r="B618" s="20" t="s">
        <v>87</v>
      </c>
      <c r="C618" s="20" t="s">
        <v>102</v>
      </c>
      <c r="D618" s="21" t="str">
        <f>IF($C618="","",IFERROR(VLOOKUP($C618,Map_Register!$A$2:$C$5,3,FALSE()),""))</f>
        <v>Toponym Labels</v>
      </c>
      <c r="E618" s="20" t="s">
        <v>15</v>
      </c>
      <c r="F618" s="22">
        <v>785650</v>
      </c>
      <c r="G618" s="19" t="s">
        <v>1091</v>
      </c>
      <c r="H618" s="19" t="s">
        <v>2176</v>
      </c>
      <c r="I618" s="19" t="s">
        <v>2176</v>
      </c>
      <c r="J618" s="19" t="s">
        <v>1110</v>
      </c>
      <c r="K618" s="19" t="s">
        <v>6</v>
      </c>
      <c r="L618" s="19" t="s">
        <v>1095</v>
      </c>
      <c r="M618" s="19" t="s">
        <v>1095</v>
      </c>
      <c r="N618" s="19" t="s">
        <v>1300</v>
      </c>
      <c r="R618" t="s">
        <v>1097</v>
      </c>
    </row>
    <row r="619" spans="1:18" hidden="1" x14ac:dyDescent="0.3">
      <c r="A619" s="19">
        <f t="shared" si="9"/>
        <v>618</v>
      </c>
      <c r="B619" s="20" t="s">
        <v>87</v>
      </c>
      <c r="C619" s="20" t="s">
        <v>102</v>
      </c>
      <c r="D619" s="21" t="str">
        <f>IF($C619="","",IFERROR(VLOOKUP($C619,Map_Register!$A$2:$C$5,3,FALSE()),""))</f>
        <v>Toponym Labels</v>
      </c>
      <c r="E619" s="20" t="s">
        <v>15</v>
      </c>
      <c r="F619" s="22">
        <v>785651</v>
      </c>
      <c r="G619" s="19" t="s">
        <v>1091</v>
      </c>
      <c r="H619" s="19" t="s">
        <v>2177</v>
      </c>
      <c r="I619" s="19" t="s">
        <v>2178</v>
      </c>
      <c r="J619" s="19" t="s">
        <v>1094</v>
      </c>
      <c r="K619" s="19" t="s">
        <v>6</v>
      </c>
      <c r="L619" s="19" t="s">
        <v>1095</v>
      </c>
      <c r="M619" s="19" t="s">
        <v>1095</v>
      </c>
      <c r="N619" s="19" t="s">
        <v>1105</v>
      </c>
      <c r="R619" t="s">
        <v>1097</v>
      </c>
    </row>
    <row r="620" spans="1:18" hidden="1" x14ac:dyDescent="0.3">
      <c r="A620" s="19">
        <f t="shared" si="9"/>
        <v>619</v>
      </c>
      <c r="B620" s="20" t="s">
        <v>87</v>
      </c>
      <c r="C620" s="20" t="s">
        <v>102</v>
      </c>
      <c r="D620" s="21" t="str">
        <f>IF($C620="","",IFERROR(VLOOKUP($C620,Map_Register!$A$2:$C$5,3,FALSE()),""))</f>
        <v>Toponym Labels</v>
      </c>
      <c r="E620" s="20" t="s">
        <v>15</v>
      </c>
      <c r="F620" s="22">
        <v>785652</v>
      </c>
      <c r="G620" s="19" t="s">
        <v>1091</v>
      </c>
      <c r="H620" s="19" t="s">
        <v>2179</v>
      </c>
      <c r="I620" s="19" t="s">
        <v>2179</v>
      </c>
      <c r="J620" s="19" t="s">
        <v>1110</v>
      </c>
      <c r="K620" t="s">
        <v>1100</v>
      </c>
      <c r="L620" t="s">
        <v>114</v>
      </c>
      <c r="M620" t="s">
        <v>114</v>
      </c>
      <c r="N620" s="19" t="s">
        <v>530</v>
      </c>
      <c r="O620" s="19" t="s">
        <v>116</v>
      </c>
      <c r="R620" t="s">
        <v>1097</v>
      </c>
    </row>
    <row r="621" spans="1:18" x14ac:dyDescent="0.3">
      <c r="A621" s="19">
        <f t="shared" si="9"/>
        <v>620</v>
      </c>
      <c r="B621" s="20" t="s">
        <v>87</v>
      </c>
      <c r="C621" s="20" t="s">
        <v>102</v>
      </c>
      <c r="D621" s="21" t="str">
        <f>IF($C621="","",IFERROR(VLOOKUP($C621,Map_Register!$A$2:$C$5,3,FALSE()),""))</f>
        <v>Toponym Labels</v>
      </c>
      <c r="E621" s="20" t="s">
        <v>15</v>
      </c>
      <c r="F621" s="22">
        <v>785653</v>
      </c>
      <c r="G621" s="19" t="s">
        <v>1309</v>
      </c>
      <c r="H621" s="19" t="s">
        <v>2180</v>
      </c>
      <c r="I621" s="19" t="s">
        <v>2180</v>
      </c>
      <c r="J621" s="19" t="s">
        <v>1110</v>
      </c>
      <c r="K621" t="s">
        <v>1100</v>
      </c>
      <c r="L621" t="s">
        <v>114</v>
      </c>
      <c r="M621" t="s">
        <v>116</v>
      </c>
      <c r="N621" s="19" t="s">
        <v>1268</v>
      </c>
      <c r="O621" s="19" t="s">
        <v>116</v>
      </c>
      <c r="R621" t="s">
        <v>1097</v>
      </c>
    </row>
    <row r="622" spans="1:18" hidden="1" x14ac:dyDescent="0.3">
      <c r="A622" s="19">
        <f t="shared" si="9"/>
        <v>621</v>
      </c>
      <c r="B622" s="20" t="s">
        <v>87</v>
      </c>
      <c r="C622" s="20" t="s">
        <v>102</v>
      </c>
      <c r="D622" s="21" t="str">
        <f>IF($C622="","",IFERROR(VLOOKUP($C622,Map_Register!$A$2:$C$5,3,FALSE()),""))</f>
        <v>Toponym Labels</v>
      </c>
      <c r="E622" s="20" t="s">
        <v>15</v>
      </c>
      <c r="F622" s="22">
        <v>785654</v>
      </c>
      <c r="G622" s="19" t="s">
        <v>1309</v>
      </c>
      <c r="H622" s="19" t="s">
        <v>2181</v>
      </c>
      <c r="I622" s="19" t="s">
        <v>2181</v>
      </c>
      <c r="J622" s="19" t="s">
        <v>1110</v>
      </c>
      <c r="K622" t="s">
        <v>1100</v>
      </c>
      <c r="L622" s="19" t="s">
        <v>114</v>
      </c>
      <c r="M622" s="19" t="s">
        <v>114</v>
      </c>
      <c r="N622" s="19" t="s">
        <v>2171</v>
      </c>
      <c r="O622" s="19" t="s">
        <v>116</v>
      </c>
      <c r="R622" t="s">
        <v>1097</v>
      </c>
    </row>
    <row r="623" spans="1:18" hidden="1" x14ac:dyDescent="0.3">
      <c r="A623" s="19">
        <f t="shared" si="9"/>
        <v>622</v>
      </c>
      <c r="B623" s="20" t="s">
        <v>87</v>
      </c>
      <c r="C623" s="20" t="s">
        <v>102</v>
      </c>
      <c r="D623" s="21" t="str">
        <f>IF($C623="","",IFERROR(VLOOKUP($C623,Map_Register!$A$2:$C$5,3,FALSE()),""))</f>
        <v>Toponym Labels</v>
      </c>
      <c r="E623" s="20" t="s">
        <v>15</v>
      </c>
      <c r="F623" s="22">
        <v>785655</v>
      </c>
      <c r="G623" s="19" t="s">
        <v>1108</v>
      </c>
      <c r="H623" s="19" t="s">
        <v>2182</v>
      </c>
      <c r="I623" s="19" t="s">
        <v>2182</v>
      </c>
      <c r="J623" s="19" t="s">
        <v>1110</v>
      </c>
      <c r="K623" s="19" t="s">
        <v>6</v>
      </c>
      <c r="L623" s="19" t="s">
        <v>1095</v>
      </c>
      <c r="M623" s="19" t="s">
        <v>1095</v>
      </c>
      <c r="N623" s="19" t="s">
        <v>1111</v>
      </c>
      <c r="R623" t="s">
        <v>1097</v>
      </c>
    </row>
    <row r="624" spans="1:18" hidden="1" x14ac:dyDescent="0.3">
      <c r="A624" s="19">
        <f t="shared" si="9"/>
        <v>623</v>
      </c>
      <c r="B624" s="20" t="s">
        <v>87</v>
      </c>
      <c r="C624" s="20" t="s">
        <v>102</v>
      </c>
      <c r="D624" s="21" t="str">
        <f>IF($C624="","",IFERROR(VLOOKUP($C624,Map_Register!$A$2:$C$5,3,FALSE()),""))</f>
        <v>Toponym Labels</v>
      </c>
      <c r="E624" s="20" t="s">
        <v>15</v>
      </c>
      <c r="F624" s="22">
        <v>785656</v>
      </c>
      <c r="G624" s="19" t="s">
        <v>1091</v>
      </c>
      <c r="H624" s="19" t="s">
        <v>2183</v>
      </c>
      <c r="I624" s="19" t="s">
        <v>2183</v>
      </c>
      <c r="J624" s="19" t="s">
        <v>1110</v>
      </c>
      <c r="K624" s="19" t="s">
        <v>6</v>
      </c>
      <c r="L624" s="19" t="s">
        <v>1095</v>
      </c>
      <c r="M624" s="19" t="s">
        <v>1095</v>
      </c>
      <c r="N624" s="19" t="s">
        <v>1300</v>
      </c>
      <c r="R624" t="s">
        <v>1097</v>
      </c>
    </row>
    <row r="625" spans="1:18" hidden="1" x14ac:dyDescent="0.3">
      <c r="A625" s="19">
        <f t="shared" si="9"/>
        <v>624</v>
      </c>
      <c r="B625" s="20" t="s">
        <v>87</v>
      </c>
      <c r="C625" s="20" t="s">
        <v>102</v>
      </c>
      <c r="D625" s="21" t="str">
        <f>IF($C625="","",IFERROR(VLOOKUP($C625,Map_Register!$A$2:$C$5,3,FALSE()),""))</f>
        <v>Toponym Labels</v>
      </c>
      <c r="E625" s="20" t="s">
        <v>15</v>
      </c>
      <c r="F625" s="22">
        <v>785657</v>
      </c>
      <c r="G625" s="19" t="s">
        <v>1091</v>
      </c>
      <c r="H625" s="19" t="s">
        <v>2184</v>
      </c>
      <c r="I625" s="19" t="s">
        <v>2184</v>
      </c>
      <c r="J625" s="19" t="s">
        <v>1110</v>
      </c>
      <c r="K625" s="19" t="s">
        <v>6</v>
      </c>
      <c r="L625" s="19" t="s">
        <v>1095</v>
      </c>
      <c r="M625" s="19" t="s">
        <v>1095</v>
      </c>
      <c r="N625" s="19" t="s">
        <v>1300</v>
      </c>
      <c r="R625" t="s">
        <v>1097</v>
      </c>
    </row>
    <row r="626" spans="1:18" hidden="1" x14ac:dyDescent="0.3">
      <c r="A626" s="19">
        <f t="shared" si="9"/>
        <v>625</v>
      </c>
      <c r="B626" s="20" t="s">
        <v>87</v>
      </c>
      <c r="C626" s="20" t="s">
        <v>102</v>
      </c>
      <c r="D626" s="21" t="str">
        <f>IF($C626="","",IFERROR(VLOOKUP($C626,Map_Register!$A$2:$C$5,3,FALSE()),""))</f>
        <v>Toponym Labels</v>
      </c>
      <c r="E626" s="20" t="s">
        <v>15</v>
      </c>
      <c r="F626" s="22">
        <v>785658</v>
      </c>
      <c r="G626" s="19" t="s">
        <v>1091</v>
      </c>
      <c r="H626" s="19" t="s">
        <v>1308</v>
      </c>
      <c r="I626" s="19" t="s">
        <v>1308</v>
      </c>
      <c r="J626" s="19" t="s">
        <v>1110</v>
      </c>
      <c r="K626" t="s">
        <v>1100</v>
      </c>
      <c r="L626" t="s">
        <v>114</v>
      </c>
      <c r="M626" t="s">
        <v>114</v>
      </c>
      <c r="N626" s="19" t="s">
        <v>530</v>
      </c>
      <c r="O626" s="19" t="s">
        <v>116</v>
      </c>
      <c r="R626" t="s">
        <v>1097</v>
      </c>
    </row>
    <row r="627" spans="1:18" hidden="1" x14ac:dyDescent="0.3">
      <c r="A627" s="19">
        <f t="shared" si="9"/>
        <v>626</v>
      </c>
      <c r="B627" s="20" t="s">
        <v>87</v>
      </c>
      <c r="C627" s="20" t="s">
        <v>102</v>
      </c>
      <c r="D627" s="21" t="str">
        <f>IF($C627="","",IFERROR(VLOOKUP($C627,Map_Register!$A$2:$C$5,3,FALSE()),""))</f>
        <v>Toponym Labels</v>
      </c>
      <c r="E627" s="20" t="s">
        <v>15</v>
      </c>
      <c r="F627" s="22">
        <v>785659</v>
      </c>
      <c r="G627" s="19" t="s">
        <v>1091</v>
      </c>
      <c r="H627" s="19" t="s">
        <v>2185</v>
      </c>
      <c r="I627" s="19" t="s">
        <v>2185</v>
      </c>
      <c r="J627" s="19" t="s">
        <v>1110</v>
      </c>
      <c r="K627" s="19" t="s">
        <v>6</v>
      </c>
      <c r="L627" s="19" t="s">
        <v>1095</v>
      </c>
      <c r="M627" s="19" t="s">
        <v>1095</v>
      </c>
      <c r="N627" s="19" t="s">
        <v>1300</v>
      </c>
      <c r="R627" t="s">
        <v>1097</v>
      </c>
    </row>
    <row r="628" spans="1:18" hidden="1" x14ac:dyDescent="0.3">
      <c r="A628" s="19">
        <f t="shared" si="9"/>
        <v>627</v>
      </c>
      <c r="B628" s="20" t="s">
        <v>87</v>
      </c>
      <c r="C628" s="20" t="s">
        <v>102</v>
      </c>
      <c r="D628" s="21" t="str">
        <f>IF($C628="","",IFERROR(VLOOKUP($C628,Map_Register!$A$2:$C$5,3,FALSE()),""))</f>
        <v>Toponym Labels</v>
      </c>
      <c r="E628" s="20" t="s">
        <v>15</v>
      </c>
      <c r="F628" s="22">
        <v>785660</v>
      </c>
      <c r="G628" s="19" t="s">
        <v>1091</v>
      </c>
      <c r="H628" s="19" t="s">
        <v>2186</v>
      </c>
      <c r="I628" s="19" t="s">
        <v>2186</v>
      </c>
      <c r="J628" s="19" t="s">
        <v>1110</v>
      </c>
      <c r="K628" t="s">
        <v>1100</v>
      </c>
      <c r="L628" t="s">
        <v>114</v>
      </c>
      <c r="M628" t="s">
        <v>114</v>
      </c>
      <c r="N628" s="19" t="s">
        <v>530</v>
      </c>
      <c r="O628" s="19" t="s">
        <v>116</v>
      </c>
      <c r="R628" t="s">
        <v>1097</v>
      </c>
    </row>
    <row r="629" spans="1:18" hidden="1" x14ac:dyDescent="0.3">
      <c r="A629" s="19">
        <f t="shared" si="9"/>
        <v>628</v>
      </c>
      <c r="B629" s="20" t="s">
        <v>87</v>
      </c>
      <c r="C629" s="20" t="s">
        <v>102</v>
      </c>
      <c r="D629" s="21" t="str">
        <f>IF($C629="","",IFERROR(VLOOKUP($C629,Map_Register!$A$2:$C$5,3,FALSE()),""))</f>
        <v>Toponym Labels</v>
      </c>
      <c r="E629" s="20" t="s">
        <v>15</v>
      </c>
      <c r="F629" s="22">
        <v>785661</v>
      </c>
      <c r="G629" s="19" t="s">
        <v>1108</v>
      </c>
      <c r="H629" s="19" t="s">
        <v>2187</v>
      </c>
      <c r="I629" s="19" t="s">
        <v>2187</v>
      </c>
      <c r="J629" s="19" t="s">
        <v>1110</v>
      </c>
      <c r="K629" s="19" t="s">
        <v>6</v>
      </c>
      <c r="L629" s="19" t="s">
        <v>1095</v>
      </c>
      <c r="M629" s="19" t="s">
        <v>1095</v>
      </c>
      <c r="N629" s="19" t="s">
        <v>1111</v>
      </c>
      <c r="R629" t="s">
        <v>1097</v>
      </c>
    </row>
    <row r="630" spans="1:18" hidden="1" x14ac:dyDescent="0.3">
      <c r="A630" s="19">
        <f t="shared" si="9"/>
        <v>629</v>
      </c>
      <c r="B630" s="20" t="s">
        <v>87</v>
      </c>
      <c r="C630" s="20" t="s">
        <v>102</v>
      </c>
      <c r="D630" s="21" t="str">
        <f>IF($C630="","",IFERROR(VLOOKUP($C630,Map_Register!$A$2:$C$5,3,FALSE()),""))</f>
        <v>Toponym Labels</v>
      </c>
      <c r="E630" s="20" t="s">
        <v>15</v>
      </c>
      <c r="F630" s="22">
        <v>785662</v>
      </c>
      <c r="G630" s="19" t="s">
        <v>1108</v>
      </c>
      <c r="H630" s="19" t="s">
        <v>2188</v>
      </c>
      <c r="I630" s="19" t="s">
        <v>2189</v>
      </c>
      <c r="J630" s="19" t="s">
        <v>1094</v>
      </c>
      <c r="K630" s="19" t="s">
        <v>6</v>
      </c>
      <c r="L630" s="19" t="s">
        <v>1095</v>
      </c>
      <c r="M630" s="19" t="s">
        <v>1095</v>
      </c>
      <c r="N630" s="19" t="s">
        <v>1105</v>
      </c>
      <c r="R630" t="s">
        <v>1097</v>
      </c>
    </row>
    <row r="631" spans="1:18" hidden="1" x14ac:dyDescent="0.3">
      <c r="A631" s="19">
        <f t="shared" si="9"/>
        <v>630</v>
      </c>
      <c r="B631" s="20" t="s">
        <v>87</v>
      </c>
      <c r="C631" s="20" t="s">
        <v>102</v>
      </c>
      <c r="D631" s="21" t="str">
        <f>IF($C631="","",IFERROR(VLOOKUP($C631,Map_Register!$A$2:$C$5,3,FALSE()),""))</f>
        <v>Toponym Labels</v>
      </c>
      <c r="E631" s="20" t="s">
        <v>15</v>
      </c>
      <c r="F631" s="22">
        <v>785663</v>
      </c>
      <c r="G631" s="19" t="s">
        <v>1108</v>
      </c>
      <c r="H631" s="19" t="s">
        <v>2190</v>
      </c>
      <c r="I631" s="19" t="s">
        <v>2190</v>
      </c>
      <c r="J631" s="19" t="s">
        <v>1110</v>
      </c>
      <c r="K631" s="19" t="s">
        <v>6</v>
      </c>
      <c r="L631" s="19" t="s">
        <v>1095</v>
      </c>
      <c r="M631" s="19" t="s">
        <v>1095</v>
      </c>
      <c r="N631" s="19" t="s">
        <v>1111</v>
      </c>
      <c r="R631" t="s">
        <v>1097</v>
      </c>
    </row>
    <row r="632" spans="1:18" hidden="1" x14ac:dyDescent="0.3">
      <c r="A632" s="19">
        <f t="shared" si="9"/>
        <v>631</v>
      </c>
      <c r="B632" s="20" t="s">
        <v>87</v>
      </c>
      <c r="C632" s="20" t="s">
        <v>102</v>
      </c>
      <c r="D632" s="21" t="str">
        <f>IF($C632="","",IFERROR(VLOOKUP($C632,Map_Register!$A$2:$C$5,3,FALSE()),""))</f>
        <v>Toponym Labels</v>
      </c>
      <c r="E632" s="20" t="s">
        <v>15</v>
      </c>
      <c r="F632" s="22">
        <v>785664</v>
      </c>
      <c r="G632" s="19" t="s">
        <v>1108</v>
      </c>
      <c r="H632" s="19" t="s">
        <v>2191</v>
      </c>
      <c r="I632" s="19" t="s">
        <v>2191</v>
      </c>
      <c r="J632" s="19" t="s">
        <v>1110</v>
      </c>
      <c r="K632" s="19" t="s">
        <v>6</v>
      </c>
      <c r="L632" s="19" t="s">
        <v>1095</v>
      </c>
      <c r="M632" s="19" t="s">
        <v>1095</v>
      </c>
      <c r="N632" s="19" t="s">
        <v>1111</v>
      </c>
      <c r="R632" t="s">
        <v>1097</v>
      </c>
    </row>
    <row r="633" spans="1:18" hidden="1" x14ac:dyDescent="0.3">
      <c r="A633" s="19">
        <f t="shared" si="9"/>
        <v>632</v>
      </c>
      <c r="B633" s="20" t="s">
        <v>87</v>
      </c>
      <c r="C633" s="20" t="s">
        <v>102</v>
      </c>
      <c r="D633" s="21" t="str">
        <f>IF($C633="","",IFERROR(VLOOKUP($C633,Map_Register!$A$2:$C$5,3,FALSE()),""))</f>
        <v>Toponym Labels</v>
      </c>
      <c r="E633" s="20" t="s">
        <v>15</v>
      </c>
      <c r="F633" s="22">
        <v>785665</v>
      </c>
      <c r="G633" s="19" t="s">
        <v>2084</v>
      </c>
      <c r="H633" s="19" t="s">
        <v>2192</v>
      </c>
      <c r="I633" s="19" t="s">
        <v>2192</v>
      </c>
      <c r="J633" s="19" t="s">
        <v>1110</v>
      </c>
      <c r="K633" s="19" t="s">
        <v>6</v>
      </c>
      <c r="L633" s="19" t="s">
        <v>1095</v>
      </c>
      <c r="M633" s="19" t="s">
        <v>1095</v>
      </c>
      <c r="N633" s="19" t="s">
        <v>2193</v>
      </c>
      <c r="R633" t="s">
        <v>1097</v>
      </c>
    </row>
    <row r="634" spans="1:18" hidden="1" x14ac:dyDescent="0.3">
      <c r="A634" s="19">
        <f t="shared" si="9"/>
        <v>633</v>
      </c>
      <c r="B634" s="20" t="s">
        <v>87</v>
      </c>
      <c r="C634" s="20" t="s">
        <v>102</v>
      </c>
      <c r="D634" s="21" t="str">
        <f>IF($C634="","",IFERROR(VLOOKUP($C634,Map_Register!$A$2:$C$5,3,FALSE()),""))</f>
        <v>Toponym Labels</v>
      </c>
      <c r="E634" s="20" t="s">
        <v>15</v>
      </c>
      <c r="F634" s="22">
        <v>785666</v>
      </c>
      <c r="G634" s="19" t="s">
        <v>1108</v>
      </c>
      <c r="H634" s="19" t="s">
        <v>2194</v>
      </c>
      <c r="I634" s="19" t="s">
        <v>2194</v>
      </c>
      <c r="J634" s="19" t="s">
        <v>1110</v>
      </c>
      <c r="K634" s="19" t="s">
        <v>6</v>
      </c>
      <c r="L634" s="19" t="s">
        <v>1095</v>
      </c>
      <c r="M634" s="19" t="s">
        <v>1095</v>
      </c>
      <c r="N634" s="19" t="s">
        <v>1111</v>
      </c>
      <c r="R634" t="s">
        <v>1097</v>
      </c>
    </row>
    <row r="635" spans="1:18" hidden="1" x14ac:dyDescent="0.3">
      <c r="A635" s="19">
        <f t="shared" si="9"/>
        <v>634</v>
      </c>
      <c r="B635" s="20" t="s">
        <v>87</v>
      </c>
      <c r="C635" s="20" t="s">
        <v>102</v>
      </c>
      <c r="D635" s="21" t="str">
        <f>IF($C635="","",IFERROR(VLOOKUP($C635,Map_Register!$A$2:$C$5,3,FALSE()),""))</f>
        <v>Toponym Labels</v>
      </c>
      <c r="E635" s="20" t="s">
        <v>15</v>
      </c>
      <c r="F635" s="22">
        <v>785667</v>
      </c>
      <c r="G635" s="19" t="s">
        <v>1108</v>
      </c>
      <c r="H635" s="19" t="s">
        <v>2195</v>
      </c>
      <c r="I635" s="19" t="s">
        <v>2195</v>
      </c>
      <c r="J635" s="19" t="s">
        <v>1110</v>
      </c>
      <c r="K635" s="19" t="s">
        <v>6</v>
      </c>
      <c r="L635" s="19" t="s">
        <v>1095</v>
      </c>
      <c r="M635" s="19" t="s">
        <v>1095</v>
      </c>
      <c r="N635" s="19" t="s">
        <v>1111</v>
      </c>
      <c r="R635" t="s">
        <v>1097</v>
      </c>
    </row>
    <row r="636" spans="1:18" hidden="1" x14ac:dyDescent="0.3">
      <c r="A636" s="19">
        <f t="shared" si="9"/>
        <v>635</v>
      </c>
      <c r="B636" s="20" t="s">
        <v>87</v>
      </c>
      <c r="C636" s="20" t="s">
        <v>102</v>
      </c>
      <c r="D636" s="21" t="str">
        <f>IF($C636="","",IFERROR(VLOOKUP($C636,Map_Register!$A$2:$C$5,3,FALSE()),""))</f>
        <v>Toponym Labels</v>
      </c>
      <c r="E636" s="20" t="s">
        <v>15</v>
      </c>
      <c r="F636" s="22">
        <v>785668</v>
      </c>
      <c r="G636" s="19" t="s">
        <v>1108</v>
      </c>
      <c r="H636" s="19" t="s">
        <v>2196</v>
      </c>
      <c r="I636" s="19" t="s">
        <v>2196</v>
      </c>
      <c r="J636" s="19" t="s">
        <v>1110</v>
      </c>
      <c r="K636" s="19" t="s">
        <v>6</v>
      </c>
      <c r="L636" s="19" t="s">
        <v>1095</v>
      </c>
      <c r="M636" s="19" t="s">
        <v>1095</v>
      </c>
      <c r="N636" s="19" t="s">
        <v>1111</v>
      </c>
      <c r="R636" t="s">
        <v>1097</v>
      </c>
    </row>
    <row r="637" spans="1:18" hidden="1" x14ac:dyDescent="0.3">
      <c r="A637" s="19">
        <f t="shared" si="9"/>
        <v>636</v>
      </c>
      <c r="B637" s="20" t="s">
        <v>87</v>
      </c>
      <c r="C637" s="20" t="s">
        <v>102</v>
      </c>
      <c r="D637" s="21" t="str">
        <f>IF($C637="","",IFERROR(VLOOKUP($C637,Map_Register!$A$2:$C$5,3,FALSE()),""))</f>
        <v>Toponym Labels</v>
      </c>
      <c r="E637" s="20" t="s">
        <v>15</v>
      </c>
      <c r="F637" s="22">
        <v>785669</v>
      </c>
      <c r="G637" s="19" t="s">
        <v>1108</v>
      </c>
      <c r="H637" s="19" t="s">
        <v>1384</v>
      </c>
      <c r="I637" s="19" t="s">
        <v>1384</v>
      </c>
      <c r="J637" s="19" t="s">
        <v>1110</v>
      </c>
      <c r="K637" s="19" t="s">
        <v>6</v>
      </c>
      <c r="L637" s="19" t="s">
        <v>1095</v>
      </c>
      <c r="M637" s="19" t="s">
        <v>1095</v>
      </c>
      <c r="N637" s="19" t="s">
        <v>1111</v>
      </c>
      <c r="R637" t="s">
        <v>1097</v>
      </c>
    </row>
    <row r="638" spans="1:18" hidden="1" x14ac:dyDescent="0.3">
      <c r="A638" s="19">
        <f t="shared" si="9"/>
        <v>637</v>
      </c>
      <c r="B638" s="20" t="s">
        <v>87</v>
      </c>
      <c r="C638" s="20" t="s">
        <v>102</v>
      </c>
      <c r="D638" s="21" t="str">
        <f>IF($C638="","",IFERROR(VLOOKUP($C638,Map_Register!$A$2:$C$5,3,FALSE()),""))</f>
        <v>Toponym Labels</v>
      </c>
      <c r="E638" s="20" t="s">
        <v>15</v>
      </c>
      <c r="F638" s="22">
        <v>785670</v>
      </c>
      <c r="G638" s="19" t="s">
        <v>1091</v>
      </c>
      <c r="H638" s="19" t="s">
        <v>2197</v>
      </c>
      <c r="I638" s="19" t="s">
        <v>2197</v>
      </c>
      <c r="J638" s="19" t="s">
        <v>1110</v>
      </c>
      <c r="K638" t="s">
        <v>1100</v>
      </c>
      <c r="L638" t="s">
        <v>114</v>
      </c>
      <c r="M638" t="s">
        <v>114</v>
      </c>
      <c r="N638" s="19" t="s">
        <v>530</v>
      </c>
      <c r="O638" s="19" t="s">
        <v>116</v>
      </c>
      <c r="R638" t="s">
        <v>1097</v>
      </c>
    </row>
    <row r="639" spans="1:18" hidden="1" x14ac:dyDescent="0.3">
      <c r="A639" s="19">
        <f t="shared" si="9"/>
        <v>638</v>
      </c>
      <c r="B639" s="20" t="s">
        <v>87</v>
      </c>
      <c r="C639" s="20" t="s">
        <v>102</v>
      </c>
      <c r="D639" s="21" t="str">
        <f>IF($C639="","",IFERROR(VLOOKUP($C639,Map_Register!$A$2:$C$5,3,FALSE()),""))</f>
        <v>Toponym Labels</v>
      </c>
      <c r="E639" s="20" t="s">
        <v>15</v>
      </c>
      <c r="F639" s="22">
        <v>785671</v>
      </c>
      <c r="G639" s="19" t="s">
        <v>1091</v>
      </c>
      <c r="H639" s="19" t="s">
        <v>2198</v>
      </c>
      <c r="I639" s="19" t="s">
        <v>2198</v>
      </c>
      <c r="J639" s="19" t="s">
        <v>1110</v>
      </c>
      <c r="K639" t="s">
        <v>1100</v>
      </c>
      <c r="L639" t="s">
        <v>114</v>
      </c>
      <c r="M639" t="s">
        <v>114</v>
      </c>
      <c r="N639" s="19" t="s">
        <v>530</v>
      </c>
      <c r="O639" s="19" t="s">
        <v>116</v>
      </c>
      <c r="R639" t="s">
        <v>1097</v>
      </c>
    </row>
    <row r="640" spans="1:18" hidden="1" x14ac:dyDescent="0.3">
      <c r="A640" s="19">
        <f t="shared" si="9"/>
        <v>639</v>
      </c>
      <c r="B640" s="20" t="s">
        <v>87</v>
      </c>
      <c r="C640" s="20" t="s">
        <v>102</v>
      </c>
      <c r="D640" s="21" t="str">
        <f>IF($C640="","",IFERROR(VLOOKUP($C640,Map_Register!$A$2:$C$5,3,FALSE()),""))</f>
        <v>Toponym Labels</v>
      </c>
      <c r="E640" s="20" t="s">
        <v>15</v>
      </c>
      <c r="F640" s="22">
        <v>785672</v>
      </c>
      <c r="G640" s="19" t="s">
        <v>1118</v>
      </c>
      <c r="H640" s="19" t="s">
        <v>2199</v>
      </c>
      <c r="I640" s="19" t="s">
        <v>2200</v>
      </c>
      <c r="J640" s="19" t="s">
        <v>1104</v>
      </c>
      <c r="K640" t="s">
        <v>1100</v>
      </c>
      <c r="L640" s="19" t="s">
        <v>114</v>
      </c>
      <c r="M640" s="19" t="s">
        <v>1121</v>
      </c>
      <c r="N640" s="19" t="s">
        <v>1178</v>
      </c>
      <c r="O640" s="19" t="s">
        <v>116</v>
      </c>
      <c r="R640" t="s">
        <v>1097</v>
      </c>
    </row>
    <row r="641" spans="1:18" hidden="1" x14ac:dyDescent="0.3">
      <c r="A641" s="19">
        <f t="shared" si="9"/>
        <v>640</v>
      </c>
      <c r="B641" s="20" t="s">
        <v>87</v>
      </c>
      <c r="C641" s="20" t="s">
        <v>102</v>
      </c>
      <c r="D641" s="21" t="str">
        <f>IF($C641="","",IFERROR(VLOOKUP($C641,Map_Register!$A$2:$C$5,3,FALSE()),""))</f>
        <v>Toponym Labels</v>
      </c>
      <c r="E641" s="20" t="s">
        <v>15</v>
      </c>
      <c r="F641" s="22">
        <v>785673</v>
      </c>
      <c r="G641" s="19" t="s">
        <v>1118</v>
      </c>
      <c r="H641" s="19" t="s">
        <v>2201</v>
      </c>
      <c r="I641" s="19" t="s">
        <v>2201</v>
      </c>
      <c r="J641" s="19" t="s">
        <v>1110</v>
      </c>
      <c r="K641" t="s">
        <v>1100</v>
      </c>
      <c r="L641" s="19" t="s">
        <v>114</v>
      </c>
      <c r="M641" s="19" t="s">
        <v>1121</v>
      </c>
      <c r="N641" s="19" t="s">
        <v>1178</v>
      </c>
      <c r="O641" s="19" t="s">
        <v>116</v>
      </c>
      <c r="R641" t="s">
        <v>1097</v>
      </c>
    </row>
    <row r="642" spans="1:18" hidden="1" x14ac:dyDescent="0.3">
      <c r="A642" s="19">
        <f t="shared" ref="A642:A705" si="10">IF($B642="","",ROW()-1)</f>
        <v>641</v>
      </c>
      <c r="B642" s="20" t="s">
        <v>87</v>
      </c>
      <c r="C642" s="20" t="s">
        <v>102</v>
      </c>
      <c r="D642" s="21" t="str">
        <f>IF($C642="","",IFERROR(VLOOKUP($C642,Map_Register!$A$2:$C$5,3,FALSE()),""))</f>
        <v>Toponym Labels</v>
      </c>
      <c r="E642" s="20" t="s">
        <v>15</v>
      </c>
      <c r="F642" s="22">
        <v>785674</v>
      </c>
      <c r="G642" s="19" t="s">
        <v>1091</v>
      </c>
      <c r="H642" s="19" t="s">
        <v>2202</v>
      </c>
      <c r="I642" s="19" t="s">
        <v>2203</v>
      </c>
      <c r="J642" s="19" t="s">
        <v>1104</v>
      </c>
      <c r="K642" s="19" t="s">
        <v>6</v>
      </c>
      <c r="L642" s="19" t="s">
        <v>1095</v>
      </c>
      <c r="M642" s="19" t="s">
        <v>1095</v>
      </c>
      <c r="N642" s="19" t="s">
        <v>2204</v>
      </c>
      <c r="R642" t="s">
        <v>1097</v>
      </c>
    </row>
    <row r="643" spans="1:18" hidden="1" x14ac:dyDescent="0.3">
      <c r="A643" s="19">
        <f t="shared" si="10"/>
        <v>642</v>
      </c>
      <c r="B643" s="20" t="s">
        <v>87</v>
      </c>
      <c r="C643" s="20" t="s">
        <v>102</v>
      </c>
      <c r="D643" s="21" t="str">
        <f>IF($C643="","",IFERROR(VLOOKUP($C643,Map_Register!$A$2:$C$5,3,FALSE()),""))</f>
        <v>Toponym Labels</v>
      </c>
      <c r="E643" s="20" t="s">
        <v>15</v>
      </c>
      <c r="F643" s="22">
        <v>785675</v>
      </c>
      <c r="G643" s="19" t="s">
        <v>1118</v>
      </c>
      <c r="H643" s="19" t="s">
        <v>2205</v>
      </c>
      <c r="I643" s="19" t="s">
        <v>2205</v>
      </c>
      <c r="J643" s="19" t="s">
        <v>1110</v>
      </c>
      <c r="K643" t="s">
        <v>1100</v>
      </c>
      <c r="L643" s="19" t="s">
        <v>114</v>
      </c>
      <c r="M643" s="19" t="s">
        <v>1121</v>
      </c>
      <c r="N643" s="19" t="s">
        <v>1178</v>
      </c>
      <c r="O643" s="19" t="s">
        <v>116</v>
      </c>
      <c r="R643" t="s">
        <v>1097</v>
      </c>
    </row>
    <row r="644" spans="1:18" hidden="1" x14ac:dyDescent="0.3">
      <c r="A644" s="19">
        <f t="shared" si="10"/>
        <v>643</v>
      </c>
      <c r="B644" s="20" t="s">
        <v>87</v>
      </c>
      <c r="C644" s="20" t="s">
        <v>102</v>
      </c>
      <c r="D644" s="21" t="str">
        <f>IF($C644="","",IFERROR(VLOOKUP($C644,Map_Register!$A$2:$C$5,3,FALSE()),""))</f>
        <v>Toponym Labels</v>
      </c>
      <c r="E644" s="20" t="s">
        <v>15</v>
      </c>
      <c r="F644" s="22">
        <v>785676</v>
      </c>
      <c r="G644" s="19" t="s">
        <v>1118</v>
      </c>
      <c r="H644" s="19" t="s">
        <v>2206</v>
      </c>
      <c r="I644" s="19" t="s">
        <v>2206</v>
      </c>
      <c r="J644" s="19" t="s">
        <v>1110</v>
      </c>
      <c r="K644" s="19" t="s">
        <v>6</v>
      </c>
      <c r="L644" s="19" t="s">
        <v>1095</v>
      </c>
      <c r="M644" s="19" t="s">
        <v>1095</v>
      </c>
      <c r="N644" s="19" t="s">
        <v>1315</v>
      </c>
      <c r="R644" t="s">
        <v>1097</v>
      </c>
    </row>
    <row r="645" spans="1:18" x14ac:dyDescent="0.3">
      <c r="A645" s="19">
        <f t="shared" si="10"/>
        <v>644</v>
      </c>
      <c r="B645" s="20" t="s">
        <v>87</v>
      </c>
      <c r="C645" s="20" t="s">
        <v>102</v>
      </c>
      <c r="D645" s="21" t="str">
        <f>IF($C645="","",IFERROR(VLOOKUP($C645,Map_Register!$A$2:$C$5,3,FALSE()),""))</f>
        <v>Toponym Labels</v>
      </c>
      <c r="E645" s="20" t="s">
        <v>15</v>
      </c>
      <c r="F645" s="22">
        <v>785677</v>
      </c>
      <c r="G645" s="19" t="s">
        <v>1309</v>
      </c>
      <c r="H645" s="19" t="s">
        <v>2207</v>
      </c>
      <c r="I645" s="19" t="s">
        <v>2207</v>
      </c>
      <c r="J645" s="19" t="s">
        <v>1110</v>
      </c>
      <c r="K645" t="s">
        <v>1100</v>
      </c>
      <c r="L645" t="s">
        <v>114</v>
      </c>
      <c r="M645" t="s">
        <v>116</v>
      </c>
      <c r="N645" s="19" t="s">
        <v>1268</v>
      </c>
      <c r="O645" s="19" t="s">
        <v>116</v>
      </c>
      <c r="R645" t="s">
        <v>1097</v>
      </c>
    </row>
    <row r="646" spans="1:18" hidden="1" x14ac:dyDescent="0.3">
      <c r="A646" s="19">
        <f t="shared" si="10"/>
        <v>645</v>
      </c>
      <c r="B646" s="20" t="s">
        <v>87</v>
      </c>
      <c r="C646" s="20" t="s">
        <v>102</v>
      </c>
      <c r="D646" s="21" t="str">
        <f>IF($C646="","",IFERROR(VLOOKUP($C646,Map_Register!$A$2:$C$5,3,FALSE()),""))</f>
        <v>Toponym Labels</v>
      </c>
      <c r="E646" s="20" t="s">
        <v>15</v>
      </c>
      <c r="F646" s="22">
        <v>785678</v>
      </c>
      <c r="G646" s="19" t="s">
        <v>1118</v>
      </c>
      <c r="H646" s="19" t="s">
        <v>2208</v>
      </c>
      <c r="I646" s="19" t="s">
        <v>2208</v>
      </c>
      <c r="J646" s="19" t="s">
        <v>1110</v>
      </c>
      <c r="K646" t="s">
        <v>1100</v>
      </c>
      <c r="L646" s="19" t="s">
        <v>114</v>
      </c>
      <c r="M646" s="19" t="s">
        <v>1121</v>
      </c>
      <c r="N646" s="19" t="s">
        <v>1178</v>
      </c>
      <c r="O646" s="19" t="s">
        <v>116</v>
      </c>
      <c r="R646" t="s">
        <v>1097</v>
      </c>
    </row>
    <row r="647" spans="1:18" hidden="1" x14ac:dyDescent="0.3">
      <c r="A647" s="19">
        <f t="shared" si="10"/>
        <v>646</v>
      </c>
      <c r="B647" s="20" t="s">
        <v>87</v>
      </c>
      <c r="C647" s="20" t="s">
        <v>102</v>
      </c>
      <c r="D647" s="21" t="str">
        <f>IF($C647="","",IFERROR(VLOOKUP($C647,Map_Register!$A$2:$C$5,3,FALSE()),""))</f>
        <v>Toponym Labels</v>
      </c>
      <c r="E647" s="20" t="s">
        <v>15</v>
      </c>
      <c r="F647" s="22">
        <v>785679</v>
      </c>
      <c r="G647" s="19" t="s">
        <v>1309</v>
      </c>
      <c r="H647" s="19" t="s">
        <v>2209</v>
      </c>
      <c r="I647" s="19" t="s">
        <v>2209</v>
      </c>
      <c r="J647" s="19" t="s">
        <v>1110</v>
      </c>
      <c r="K647" t="s">
        <v>1100</v>
      </c>
      <c r="L647" t="s">
        <v>114</v>
      </c>
      <c r="M647" t="s">
        <v>114</v>
      </c>
      <c r="N647" s="19" t="s">
        <v>2210</v>
      </c>
      <c r="O647" s="19" t="s">
        <v>116</v>
      </c>
      <c r="R647" t="s">
        <v>1097</v>
      </c>
    </row>
    <row r="648" spans="1:18" hidden="1" x14ac:dyDescent="0.3">
      <c r="A648" s="19">
        <f t="shared" si="10"/>
        <v>647</v>
      </c>
      <c r="B648" s="20" t="s">
        <v>87</v>
      </c>
      <c r="C648" s="20" t="s">
        <v>102</v>
      </c>
      <c r="D648" s="21" t="str">
        <f>IF($C648="","",IFERROR(VLOOKUP($C648,Map_Register!$A$2:$C$5,3,FALSE()),""))</f>
        <v>Toponym Labels</v>
      </c>
      <c r="E648" s="20" t="s">
        <v>15</v>
      </c>
      <c r="F648" s="22">
        <v>785680</v>
      </c>
      <c r="G648" s="19" t="s">
        <v>1091</v>
      </c>
      <c r="H648" s="19" t="s">
        <v>883</v>
      </c>
      <c r="I648" s="19" t="s">
        <v>2211</v>
      </c>
      <c r="J648" s="19" t="s">
        <v>1094</v>
      </c>
      <c r="K648" s="19" t="s">
        <v>6</v>
      </c>
      <c r="L648" s="19" t="s">
        <v>1095</v>
      </c>
      <c r="M648" s="19" t="s">
        <v>1095</v>
      </c>
      <c r="N648" s="19" t="s">
        <v>1105</v>
      </c>
      <c r="R648" t="s">
        <v>1097</v>
      </c>
    </row>
    <row r="649" spans="1:18" hidden="1" x14ac:dyDescent="0.3">
      <c r="A649" s="19">
        <f t="shared" si="10"/>
        <v>648</v>
      </c>
      <c r="B649" s="20" t="s">
        <v>87</v>
      </c>
      <c r="C649" s="20" t="s">
        <v>102</v>
      </c>
      <c r="D649" s="21" t="str">
        <f>IF($C649="","",IFERROR(VLOOKUP($C649,Map_Register!$A$2:$C$5,3,FALSE()),""))</f>
        <v>Toponym Labels</v>
      </c>
      <c r="E649" s="20" t="s">
        <v>15</v>
      </c>
      <c r="F649" s="22">
        <v>785681</v>
      </c>
      <c r="G649" s="19" t="s">
        <v>1223</v>
      </c>
      <c r="H649" s="19" t="s">
        <v>2212</v>
      </c>
      <c r="I649" s="19" t="s">
        <v>2212</v>
      </c>
      <c r="J649" s="19" t="s">
        <v>1110</v>
      </c>
      <c r="K649" s="19" t="s">
        <v>6</v>
      </c>
      <c r="L649" s="19" t="s">
        <v>1095</v>
      </c>
      <c r="M649" s="19" t="s">
        <v>1095</v>
      </c>
      <c r="N649" s="19" t="s">
        <v>1389</v>
      </c>
      <c r="R649" t="s">
        <v>1097</v>
      </c>
    </row>
    <row r="650" spans="1:18" hidden="1" x14ac:dyDescent="0.3">
      <c r="A650" s="19">
        <f t="shared" si="10"/>
        <v>649</v>
      </c>
      <c r="B650" s="20" t="s">
        <v>87</v>
      </c>
      <c r="C650" s="20" t="s">
        <v>102</v>
      </c>
      <c r="D650" s="21" t="str">
        <f>IF($C650="","",IFERROR(VLOOKUP($C650,Map_Register!$A$2:$C$5,3,FALSE()),""))</f>
        <v>Toponym Labels</v>
      </c>
      <c r="E650" s="20" t="s">
        <v>15</v>
      </c>
      <c r="F650" s="22">
        <v>785682</v>
      </c>
      <c r="G650" s="19" t="s">
        <v>1091</v>
      </c>
      <c r="H650" s="19" t="s">
        <v>2213</v>
      </c>
      <c r="I650" s="19" t="s">
        <v>2213</v>
      </c>
      <c r="J650" s="19" t="s">
        <v>1110</v>
      </c>
      <c r="K650" s="19" t="s">
        <v>6</v>
      </c>
      <c r="L650" s="19" t="s">
        <v>1095</v>
      </c>
      <c r="M650" s="19" t="s">
        <v>1095</v>
      </c>
      <c r="N650" s="19" t="s">
        <v>1300</v>
      </c>
      <c r="R650" t="s">
        <v>1097</v>
      </c>
    </row>
    <row r="651" spans="1:18" hidden="1" x14ac:dyDescent="0.3">
      <c r="A651" s="19">
        <f t="shared" si="10"/>
        <v>650</v>
      </c>
      <c r="B651" s="20" t="s">
        <v>87</v>
      </c>
      <c r="C651" s="20" t="s">
        <v>102</v>
      </c>
      <c r="D651" s="21" t="str">
        <f>IF($C651="","",IFERROR(VLOOKUP($C651,Map_Register!$A$2:$C$5,3,FALSE()),""))</f>
        <v>Toponym Labels</v>
      </c>
      <c r="E651" s="20" t="s">
        <v>15</v>
      </c>
      <c r="F651" s="22">
        <v>785683</v>
      </c>
      <c r="G651" s="19" t="s">
        <v>1091</v>
      </c>
      <c r="H651" s="19" t="s">
        <v>2214</v>
      </c>
      <c r="I651" s="19" t="s">
        <v>2214</v>
      </c>
      <c r="J651" s="19" t="s">
        <v>1110</v>
      </c>
      <c r="K651" s="19" t="s">
        <v>6</v>
      </c>
      <c r="L651" s="19" t="s">
        <v>1095</v>
      </c>
      <c r="M651" s="19" t="s">
        <v>1095</v>
      </c>
      <c r="N651" s="19" t="s">
        <v>1300</v>
      </c>
      <c r="R651" t="s">
        <v>1097</v>
      </c>
    </row>
    <row r="652" spans="1:18" hidden="1" x14ac:dyDescent="0.3">
      <c r="A652" s="19">
        <f t="shared" si="10"/>
        <v>651</v>
      </c>
      <c r="B652" s="20" t="s">
        <v>87</v>
      </c>
      <c r="C652" s="20" t="s">
        <v>102</v>
      </c>
      <c r="D652" s="21" t="str">
        <f>IF($C652="","",IFERROR(VLOOKUP($C652,Map_Register!$A$2:$C$5,3,FALSE()),""))</f>
        <v>Toponym Labels</v>
      </c>
      <c r="E652" s="20" t="s">
        <v>15</v>
      </c>
      <c r="F652" s="22">
        <v>785684</v>
      </c>
      <c r="G652" s="19" t="s">
        <v>1091</v>
      </c>
      <c r="H652" s="19" t="s">
        <v>2215</v>
      </c>
      <c r="I652" s="19" t="s">
        <v>2216</v>
      </c>
      <c r="J652" s="19" t="s">
        <v>1104</v>
      </c>
      <c r="K652" s="19" t="s">
        <v>6</v>
      </c>
      <c r="L652" s="19" t="s">
        <v>1095</v>
      </c>
      <c r="M652" s="19" t="s">
        <v>1095</v>
      </c>
      <c r="N652" s="19" t="s">
        <v>1105</v>
      </c>
      <c r="R652" t="s">
        <v>1097</v>
      </c>
    </row>
    <row r="653" spans="1:18" hidden="1" x14ac:dyDescent="0.3">
      <c r="A653" s="19">
        <f t="shared" si="10"/>
        <v>652</v>
      </c>
      <c r="B653" s="20" t="s">
        <v>87</v>
      </c>
      <c r="C653" s="20" t="s">
        <v>102</v>
      </c>
      <c r="D653" s="21" t="str">
        <f>IF($C653="","",IFERROR(VLOOKUP($C653,Map_Register!$A$2:$C$5,3,FALSE()),""))</f>
        <v>Toponym Labels</v>
      </c>
      <c r="E653" s="20" t="s">
        <v>15</v>
      </c>
      <c r="F653" s="22">
        <v>785685</v>
      </c>
      <c r="G653" s="19" t="s">
        <v>1145</v>
      </c>
      <c r="H653" s="19" t="s">
        <v>2217</v>
      </c>
      <c r="I653" s="19" t="s">
        <v>2217</v>
      </c>
      <c r="J653" s="19" t="s">
        <v>1110</v>
      </c>
      <c r="K653" s="19" t="s">
        <v>6</v>
      </c>
      <c r="L653" s="19" t="s">
        <v>1095</v>
      </c>
      <c r="M653" s="19" t="s">
        <v>1095</v>
      </c>
      <c r="N653" s="19" t="s">
        <v>1638</v>
      </c>
      <c r="R653" t="s">
        <v>1097</v>
      </c>
    </row>
    <row r="654" spans="1:18" hidden="1" x14ac:dyDescent="0.3">
      <c r="A654" s="19">
        <f t="shared" si="10"/>
        <v>653</v>
      </c>
      <c r="B654" s="20" t="s">
        <v>87</v>
      </c>
      <c r="C654" s="20" t="s">
        <v>102</v>
      </c>
      <c r="D654" s="21" t="str">
        <f>IF($C654="","",IFERROR(VLOOKUP($C654,Map_Register!$A$2:$C$5,3,FALSE()),""))</f>
        <v>Toponym Labels</v>
      </c>
      <c r="E654" s="20" t="s">
        <v>15</v>
      </c>
      <c r="F654" s="22">
        <v>785686</v>
      </c>
      <c r="G654" s="19" t="s">
        <v>1091</v>
      </c>
      <c r="H654" s="19" t="s">
        <v>2218</v>
      </c>
      <c r="I654" s="19" t="s">
        <v>2218</v>
      </c>
      <c r="J654" s="19" t="s">
        <v>1110</v>
      </c>
      <c r="K654" s="19" t="s">
        <v>6</v>
      </c>
      <c r="L654" s="19" t="s">
        <v>1095</v>
      </c>
      <c r="M654" s="19" t="s">
        <v>1095</v>
      </c>
      <c r="N654" s="19" t="s">
        <v>1300</v>
      </c>
      <c r="R654" t="s">
        <v>1097</v>
      </c>
    </row>
    <row r="655" spans="1:18" hidden="1" x14ac:dyDescent="0.3">
      <c r="A655" s="19">
        <f t="shared" si="10"/>
        <v>654</v>
      </c>
      <c r="B655" s="20" t="s">
        <v>87</v>
      </c>
      <c r="C655" s="20" t="s">
        <v>102</v>
      </c>
      <c r="D655" s="21" t="str">
        <f>IF($C655="","",IFERROR(VLOOKUP($C655,Map_Register!$A$2:$C$5,3,FALSE()),""))</f>
        <v>Toponym Labels</v>
      </c>
      <c r="E655" s="20" t="s">
        <v>15</v>
      </c>
      <c r="F655" s="22">
        <v>785687</v>
      </c>
      <c r="G655" s="19" t="s">
        <v>1108</v>
      </c>
      <c r="H655" s="19" t="s">
        <v>2219</v>
      </c>
      <c r="I655" s="19" t="s">
        <v>2219</v>
      </c>
      <c r="J655" s="19" t="s">
        <v>1110</v>
      </c>
      <c r="K655" s="19" t="s">
        <v>6</v>
      </c>
      <c r="L655" s="19" t="s">
        <v>1095</v>
      </c>
      <c r="M655" s="19" t="s">
        <v>1095</v>
      </c>
      <c r="N655" s="19" t="s">
        <v>1111</v>
      </c>
      <c r="R655" t="s">
        <v>1097</v>
      </c>
    </row>
    <row r="656" spans="1:18" hidden="1" x14ac:dyDescent="0.3">
      <c r="A656" s="19">
        <f t="shared" si="10"/>
        <v>655</v>
      </c>
      <c r="B656" s="20" t="s">
        <v>87</v>
      </c>
      <c r="C656" s="20" t="s">
        <v>102</v>
      </c>
      <c r="D656" s="21" t="str">
        <f>IF($C656="","",IFERROR(VLOOKUP($C656,Map_Register!$A$2:$C$5,3,FALSE()),""))</f>
        <v>Toponym Labels</v>
      </c>
      <c r="E656" s="20" t="s">
        <v>15</v>
      </c>
      <c r="F656" s="22">
        <v>785688</v>
      </c>
      <c r="G656" s="19" t="s">
        <v>2084</v>
      </c>
      <c r="H656" s="19" t="s">
        <v>2220</v>
      </c>
      <c r="I656" s="19" t="s">
        <v>2220</v>
      </c>
      <c r="J656" s="19" t="s">
        <v>1110</v>
      </c>
      <c r="K656" s="19" t="s">
        <v>6</v>
      </c>
      <c r="L656" s="19" t="s">
        <v>1095</v>
      </c>
      <c r="M656" s="19" t="s">
        <v>1095</v>
      </c>
      <c r="N656" s="19" t="s">
        <v>2193</v>
      </c>
      <c r="R656" t="s">
        <v>1097</v>
      </c>
    </row>
    <row r="657" spans="1:18" hidden="1" x14ac:dyDescent="0.3">
      <c r="A657" s="19">
        <f t="shared" si="10"/>
        <v>656</v>
      </c>
      <c r="B657" s="20" t="s">
        <v>87</v>
      </c>
      <c r="C657" s="20" t="s">
        <v>102</v>
      </c>
      <c r="D657" s="21" t="str">
        <f>IF($C657="","",IFERROR(VLOOKUP($C657,Map_Register!$A$2:$C$5,3,FALSE()),""))</f>
        <v>Toponym Labels</v>
      </c>
      <c r="E657" s="20" t="s">
        <v>15</v>
      </c>
      <c r="F657" s="22">
        <v>785689</v>
      </c>
      <c r="G657" s="19" t="s">
        <v>1108</v>
      </c>
      <c r="H657" s="19" t="s">
        <v>2221</v>
      </c>
      <c r="I657" s="19" t="s">
        <v>2221</v>
      </c>
      <c r="J657" s="19" t="s">
        <v>1110</v>
      </c>
      <c r="K657" s="19" t="s">
        <v>6</v>
      </c>
      <c r="L657" s="19" t="s">
        <v>1095</v>
      </c>
      <c r="M657" s="19" t="s">
        <v>1095</v>
      </c>
      <c r="N657" s="19" t="s">
        <v>1111</v>
      </c>
      <c r="R657" t="s">
        <v>1097</v>
      </c>
    </row>
    <row r="658" spans="1:18" hidden="1" x14ac:dyDescent="0.3">
      <c r="A658" s="19">
        <f t="shared" si="10"/>
        <v>657</v>
      </c>
      <c r="B658" s="20" t="s">
        <v>87</v>
      </c>
      <c r="C658" s="20" t="s">
        <v>102</v>
      </c>
      <c r="D658" s="21" t="str">
        <f>IF($C658="","",IFERROR(VLOOKUP($C658,Map_Register!$A$2:$C$5,3,FALSE()),""))</f>
        <v>Toponym Labels</v>
      </c>
      <c r="E658" s="20" t="s">
        <v>15</v>
      </c>
      <c r="F658" s="22">
        <v>785690</v>
      </c>
      <c r="G658" s="19" t="s">
        <v>1108</v>
      </c>
      <c r="H658" s="19" t="s">
        <v>2222</v>
      </c>
      <c r="I658" s="19" t="s">
        <v>2222</v>
      </c>
      <c r="J658" s="19" t="s">
        <v>1110</v>
      </c>
      <c r="K658" s="19" t="s">
        <v>6</v>
      </c>
      <c r="L658" s="19" t="s">
        <v>1095</v>
      </c>
      <c r="M658" s="19" t="s">
        <v>1095</v>
      </c>
      <c r="N658" s="19" t="s">
        <v>1111</v>
      </c>
      <c r="R658" t="s">
        <v>1097</v>
      </c>
    </row>
    <row r="659" spans="1:18" hidden="1" x14ac:dyDescent="0.3">
      <c r="A659" s="19">
        <f t="shared" si="10"/>
        <v>658</v>
      </c>
      <c r="B659" s="20" t="s">
        <v>87</v>
      </c>
      <c r="C659" s="20" t="s">
        <v>102</v>
      </c>
      <c r="D659" s="21" t="str">
        <f>IF($C659="","",IFERROR(VLOOKUP($C659,Map_Register!$A$2:$C$5,3,FALSE()),""))</f>
        <v>Toponym Labels</v>
      </c>
      <c r="E659" s="20" t="s">
        <v>15</v>
      </c>
      <c r="F659" s="22">
        <v>785691</v>
      </c>
      <c r="G659" s="19" t="s">
        <v>1091</v>
      </c>
      <c r="H659" s="19" t="s">
        <v>2223</v>
      </c>
      <c r="I659" s="19" t="s">
        <v>2223</v>
      </c>
      <c r="J659" s="19" t="s">
        <v>1110</v>
      </c>
      <c r="K659" t="s">
        <v>1100</v>
      </c>
      <c r="L659" t="s">
        <v>114</v>
      </c>
      <c r="M659" t="s">
        <v>114</v>
      </c>
      <c r="N659" s="19" t="s">
        <v>530</v>
      </c>
      <c r="O659" s="19" t="s">
        <v>116</v>
      </c>
      <c r="R659" t="s">
        <v>1097</v>
      </c>
    </row>
    <row r="660" spans="1:18" hidden="1" x14ac:dyDescent="0.3">
      <c r="A660" s="19">
        <f t="shared" si="10"/>
        <v>659</v>
      </c>
      <c r="B660" s="20" t="s">
        <v>87</v>
      </c>
      <c r="C660" s="20" t="s">
        <v>102</v>
      </c>
      <c r="D660" s="21" t="str">
        <f>IF($C660="","",IFERROR(VLOOKUP($C660,Map_Register!$A$2:$C$5,3,FALSE()),""))</f>
        <v>Toponym Labels</v>
      </c>
      <c r="E660" s="20" t="s">
        <v>15</v>
      </c>
      <c r="F660" s="22">
        <v>785692</v>
      </c>
      <c r="G660" s="19" t="s">
        <v>1091</v>
      </c>
      <c r="H660" s="19" t="s">
        <v>2224</v>
      </c>
      <c r="I660" s="19" t="s">
        <v>2224</v>
      </c>
      <c r="J660" s="19" t="s">
        <v>1110</v>
      </c>
      <c r="K660" s="19" t="s">
        <v>6</v>
      </c>
      <c r="L660" s="19" t="s">
        <v>1095</v>
      </c>
      <c r="M660" s="19" t="s">
        <v>1095</v>
      </c>
      <c r="N660" s="19" t="s">
        <v>1300</v>
      </c>
      <c r="R660" t="s">
        <v>1097</v>
      </c>
    </row>
    <row r="661" spans="1:18" hidden="1" x14ac:dyDescent="0.3">
      <c r="A661" s="19">
        <f t="shared" si="10"/>
        <v>660</v>
      </c>
      <c r="B661" s="20" t="s">
        <v>87</v>
      </c>
      <c r="C661" s="20" t="s">
        <v>102</v>
      </c>
      <c r="D661" s="21" t="str">
        <f>IF($C661="","",IFERROR(VLOOKUP($C661,Map_Register!$A$2:$C$5,3,FALSE()),""))</f>
        <v>Toponym Labels</v>
      </c>
      <c r="E661" s="20" t="s">
        <v>15</v>
      </c>
      <c r="F661" s="22">
        <v>785693</v>
      </c>
      <c r="G661" s="19" t="s">
        <v>1091</v>
      </c>
      <c r="H661" s="19" t="s">
        <v>2225</v>
      </c>
      <c r="I661" s="19" t="s">
        <v>2225</v>
      </c>
      <c r="J661" s="19" t="s">
        <v>1110</v>
      </c>
      <c r="K661" s="19" t="s">
        <v>6</v>
      </c>
      <c r="L661" s="19" t="s">
        <v>1095</v>
      </c>
      <c r="M661" s="19" t="s">
        <v>1095</v>
      </c>
      <c r="N661" s="19" t="s">
        <v>1300</v>
      </c>
      <c r="R661" t="s">
        <v>1097</v>
      </c>
    </row>
    <row r="662" spans="1:18" hidden="1" x14ac:dyDescent="0.3">
      <c r="A662" s="19">
        <f t="shared" si="10"/>
        <v>661</v>
      </c>
      <c r="B662" s="20" t="s">
        <v>87</v>
      </c>
      <c r="C662" s="20" t="s">
        <v>102</v>
      </c>
      <c r="D662" s="21" t="str">
        <f>IF($C662="","",IFERROR(VLOOKUP($C662,Map_Register!$A$2:$C$5,3,FALSE()),""))</f>
        <v>Toponym Labels</v>
      </c>
      <c r="E662" s="20" t="s">
        <v>15</v>
      </c>
      <c r="F662" s="22">
        <v>785694</v>
      </c>
      <c r="G662" s="19" t="s">
        <v>1091</v>
      </c>
      <c r="H662" s="19" t="s">
        <v>2226</v>
      </c>
      <c r="I662" s="19" t="s">
        <v>2226</v>
      </c>
      <c r="J662" s="19" t="s">
        <v>1110</v>
      </c>
      <c r="K662" t="s">
        <v>1100</v>
      </c>
      <c r="L662" t="s">
        <v>114</v>
      </c>
      <c r="M662" t="s">
        <v>114</v>
      </c>
      <c r="N662" s="19" t="s">
        <v>530</v>
      </c>
      <c r="O662" s="19" t="s">
        <v>116</v>
      </c>
      <c r="R662" t="s">
        <v>1097</v>
      </c>
    </row>
    <row r="663" spans="1:18" hidden="1" x14ac:dyDescent="0.3">
      <c r="A663" s="19">
        <f t="shared" si="10"/>
        <v>662</v>
      </c>
      <c r="B663" s="20" t="s">
        <v>87</v>
      </c>
      <c r="C663" s="20" t="s">
        <v>102</v>
      </c>
      <c r="D663" s="21" t="str">
        <f>IF($C663="","",IFERROR(VLOOKUP($C663,Map_Register!$A$2:$C$5,3,FALSE()),""))</f>
        <v>Toponym Labels</v>
      </c>
      <c r="E663" s="20" t="s">
        <v>15</v>
      </c>
      <c r="F663" s="22">
        <v>785695</v>
      </c>
      <c r="G663" s="19" t="s">
        <v>1091</v>
      </c>
      <c r="H663" s="19" t="s">
        <v>2227</v>
      </c>
      <c r="I663" s="19" t="s">
        <v>2227</v>
      </c>
      <c r="J663" s="19" t="s">
        <v>1110</v>
      </c>
      <c r="K663" s="19" t="s">
        <v>6</v>
      </c>
      <c r="L663" s="19" t="s">
        <v>1095</v>
      </c>
      <c r="M663" s="19" t="s">
        <v>1095</v>
      </c>
      <c r="N663" s="19" t="s">
        <v>1300</v>
      </c>
      <c r="R663" t="s">
        <v>1097</v>
      </c>
    </row>
    <row r="664" spans="1:18" hidden="1" x14ac:dyDescent="0.3">
      <c r="A664" s="19">
        <f t="shared" si="10"/>
        <v>663</v>
      </c>
      <c r="B664" s="20" t="s">
        <v>87</v>
      </c>
      <c r="C664" s="20" t="s">
        <v>102</v>
      </c>
      <c r="D664" s="21" t="str">
        <f>IF($C664="","",IFERROR(VLOOKUP($C664,Map_Register!$A$2:$C$5,3,FALSE()),""))</f>
        <v>Toponym Labels</v>
      </c>
      <c r="E664" s="20" t="s">
        <v>15</v>
      </c>
      <c r="F664" s="22">
        <v>785696</v>
      </c>
      <c r="G664" s="19" t="s">
        <v>1108</v>
      </c>
      <c r="H664" s="19" t="s">
        <v>2228</v>
      </c>
      <c r="I664" s="19" t="s">
        <v>2229</v>
      </c>
      <c r="J664" s="19" t="s">
        <v>1104</v>
      </c>
      <c r="K664" s="19" t="s">
        <v>6</v>
      </c>
      <c r="L664" s="19" t="s">
        <v>1095</v>
      </c>
      <c r="M664" s="19" t="s">
        <v>1095</v>
      </c>
      <c r="N664" s="19" t="s">
        <v>2230</v>
      </c>
      <c r="R664" t="s">
        <v>1097</v>
      </c>
    </row>
    <row r="665" spans="1:18" hidden="1" x14ac:dyDescent="0.3">
      <c r="A665" s="19">
        <f t="shared" si="10"/>
        <v>664</v>
      </c>
      <c r="B665" s="20" t="s">
        <v>87</v>
      </c>
      <c r="C665" s="20" t="s">
        <v>102</v>
      </c>
      <c r="D665" s="21" t="str">
        <f>IF($C665="","",IFERROR(VLOOKUP($C665,Map_Register!$A$2:$C$5,3,FALSE()),""))</f>
        <v>Toponym Labels</v>
      </c>
      <c r="E665" s="20" t="s">
        <v>15</v>
      </c>
      <c r="F665" s="22">
        <v>785697</v>
      </c>
      <c r="G665" s="19" t="s">
        <v>1108</v>
      </c>
      <c r="H665" s="19" t="s">
        <v>2231</v>
      </c>
      <c r="I665" s="19" t="s">
        <v>2231</v>
      </c>
      <c r="J665" s="19" t="s">
        <v>1110</v>
      </c>
      <c r="K665" s="19" t="s">
        <v>6</v>
      </c>
      <c r="L665" s="19" t="s">
        <v>1095</v>
      </c>
      <c r="M665" s="19" t="s">
        <v>1095</v>
      </c>
      <c r="N665" s="19" t="s">
        <v>1111</v>
      </c>
      <c r="R665" t="s">
        <v>1097</v>
      </c>
    </row>
    <row r="666" spans="1:18" x14ac:dyDescent="0.3">
      <c r="A666" s="19">
        <f t="shared" si="10"/>
        <v>665</v>
      </c>
      <c r="B666" s="20" t="s">
        <v>87</v>
      </c>
      <c r="C666" s="20" t="s">
        <v>102</v>
      </c>
      <c r="D666" s="21" t="str">
        <f>IF($C666="","",IFERROR(VLOOKUP($C666,Map_Register!$A$2:$C$5,3,FALSE()),""))</f>
        <v>Toponym Labels</v>
      </c>
      <c r="E666" s="20" t="s">
        <v>15</v>
      </c>
      <c r="F666" s="22">
        <v>785698</v>
      </c>
      <c r="G666" s="19" t="s">
        <v>1309</v>
      </c>
      <c r="H666" s="19" t="s">
        <v>2232</v>
      </c>
      <c r="I666" s="19" t="s">
        <v>2232</v>
      </c>
      <c r="J666" s="19" t="s">
        <v>1110</v>
      </c>
      <c r="K666" t="s">
        <v>1100</v>
      </c>
      <c r="L666" t="s">
        <v>114</v>
      </c>
      <c r="M666" t="s">
        <v>116</v>
      </c>
      <c r="N666" s="19" t="s">
        <v>1268</v>
      </c>
      <c r="O666" s="19" t="s">
        <v>116</v>
      </c>
      <c r="R666" t="s">
        <v>1097</v>
      </c>
    </row>
    <row r="667" spans="1:18" hidden="1" x14ac:dyDescent="0.3">
      <c r="A667" s="19">
        <f t="shared" si="10"/>
        <v>666</v>
      </c>
      <c r="B667" s="20" t="s">
        <v>87</v>
      </c>
      <c r="C667" s="20" t="s">
        <v>102</v>
      </c>
      <c r="D667" s="21" t="str">
        <f>IF($C667="","",IFERROR(VLOOKUP($C667,Map_Register!$A$2:$C$5,3,FALSE()),""))</f>
        <v>Toponym Labels</v>
      </c>
      <c r="E667" s="20" t="s">
        <v>15</v>
      </c>
      <c r="F667" s="22">
        <v>785699</v>
      </c>
      <c r="G667" s="19" t="s">
        <v>1108</v>
      </c>
      <c r="H667" s="19" t="s">
        <v>2233</v>
      </c>
      <c r="I667" s="19" t="s">
        <v>2233</v>
      </c>
      <c r="J667" s="19" t="s">
        <v>1110</v>
      </c>
      <c r="K667" s="19" t="s">
        <v>6</v>
      </c>
      <c r="L667" s="19" t="s">
        <v>1095</v>
      </c>
      <c r="M667" s="19" t="s">
        <v>1095</v>
      </c>
      <c r="N667" s="19" t="s">
        <v>1111</v>
      </c>
      <c r="R667" t="s">
        <v>1097</v>
      </c>
    </row>
    <row r="668" spans="1:18" hidden="1" x14ac:dyDescent="0.3">
      <c r="A668" s="19">
        <f t="shared" si="10"/>
        <v>667</v>
      </c>
      <c r="B668" s="20" t="s">
        <v>87</v>
      </c>
      <c r="C668" s="20" t="s">
        <v>102</v>
      </c>
      <c r="D668" s="21" t="str">
        <f>IF($C668="","",IFERROR(VLOOKUP($C668,Map_Register!$A$2:$C$5,3,FALSE()),""))</f>
        <v>Toponym Labels</v>
      </c>
      <c r="E668" s="20" t="s">
        <v>15</v>
      </c>
      <c r="F668" s="22">
        <v>785700</v>
      </c>
      <c r="G668" s="19" t="s">
        <v>1091</v>
      </c>
      <c r="H668" s="19" t="s">
        <v>2234</v>
      </c>
      <c r="I668" s="19" t="s">
        <v>2234</v>
      </c>
      <c r="J668" s="19" t="s">
        <v>1110</v>
      </c>
      <c r="K668" s="19" t="s">
        <v>6</v>
      </c>
      <c r="L668" s="19" t="s">
        <v>1095</v>
      </c>
      <c r="M668" s="19" t="s">
        <v>1095</v>
      </c>
      <c r="N668" s="19" t="s">
        <v>1300</v>
      </c>
      <c r="R668" t="s">
        <v>1097</v>
      </c>
    </row>
    <row r="669" spans="1:18" hidden="1" x14ac:dyDescent="0.3">
      <c r="A669" s="19">
        <f t="shared" si="10"/>
        <v>668</v>
      </c>
      <c r="B669" s="20" t="s">
        <v>87</v>
      </c>
      <c r="C669" s="20" t="s">
        <v>102</v>
      </c>
      <c r="D669" s="21" t="str">
        <f>IF($C669="","",IFERROR(VLOOKUP($C669,Map_Register!$A$2:$C$5,3,FALSE()),""))</f>
        <v>Toponym Labels</v>
      </c>
      <c r="E669" s="20" t="s">
        <v>15</v>
      </c>
      <c r="F669" s="22">
        <v>785701</v>
      </c>
      <c r="G669" s="19" t="s">
        <v>1091</v>
      </c>
      <c r="H669" s="19" t="s">
        <v>2235</v>
      </c>
      <c r="I669" s="19" t="s">
        <v>2235</v>
      </c>
      <c r="J669" s="19" t="s">
        <v>1110</v>
      </c>
      <c r="K669" s="19" t="s">
        <v>6</v>
      </c>
      <c r="L669" s="19" t="s">
        <v>1095</v>
      </c>
      <c r="M669" s="19" t="s">
        <v>1095</v>
      </c>
      <c r="N669" s="19" t="s">
        <v>1300</v>
      </c>
      <c r="R669" t="s">
        <v>1097</v>
      </c>
    </row>
    <row r="670" spans="1:18" hidden="1" x14ac:dyDescent="0.3">
      <c r="A670" s="19">
        <f t="shared" si="10"/>
        <v>669</v>
      </c>
      <c r="B670" s="20" t="s">
        <v>87</v>
      </c>
      <c r="C670" s="20" t="s">
        <v>102</v>
      </c>
      <c r="D670" s="21" t="str">
        <f>IF($C670="","",IFERROR(VLOOKUP($C670,Map_Register!$A$2:$C$5,3,FALSE()),""))</f>
        <v>Toponym Labels</v>
      </c>
      <c r="E670" s="20" t="s">
        <v>15</v>
      </c>
      <c r="F670" s="22">
        <v>785702</v>
      </c>
      <c r="G670" s="19" t="s">
        <v>1091</v>
      </c>
      <c r="H670" s="19" t="s">
        <v>2236</v>
      </c>
      <c r="I670" s="19" t="s">
        <v>2237</v>
      </c>
      <c r="J670" s="19" t="s">
        <v>1094</v>
      </c>
      <c r="K670" s="19" t="s">
        <v>6</v>
      </c>
      <c r="L670" s="19" t="s">
        <v>1095</v>
      </c>
      <c r="M670" s="19" t="s">
        <v>1095</v>
      </c>
      <c r="N670" s="19" t="s">
        <v>2238</v>
      </c>
      <c r="R670" t="s">
        <v>1097</v>
      </c>
    </row>
    <row r="671" spans="1:18" hidden="1" x14ac:dyDescent="0.3">
      <c r="A671" s="19">
        <f t="shared" si="10"/>
        <v>670</v>
      </c>
      <c r="B671" s="20" t="s">
        <v>87</v>
      </c>
      <c r="C671" s="20" t="s">
        <v>102</v>
      </c>
      <c r="D671" s="21" t="str">
        <f>IF($C671="","",IFERROR(VLOOKUP($C671,Map_Register!$A$2:$C$5,3,FALSE()),""))</f>
        <v>Toponym Labels</v>
      </c>
      <c r="E671" s="20" t="s">
        <v>15</v>
      </c>
      <c r="F671" s="22">
        <v>785703</v>
      </c>
      <c r="G671" s="19" t="s">
        <v>1108</v>
      </c>
      <c r="H671" s="19" t="s">
        <v>2239</v>
      </c>
      <c r="I671" s="19" t="s">
        <v>2239</v>
      </c>
      <c r="J671" s="19" t="s">
        <v>1110</v>
      </c>
      <c r="K671" s="19" t="s">
        <v>6</v>
      </c>
      <c r="L671" s="19" t="s">
        <v>1095</v>
      </c>
      <c r="M671" s="19" t="s">
        <v>1095</v>
      </c>
      <c r="N671" s="19" t="s">
        <v>1111</v>
      </c>
      <c r="R671" t="s">
        <v>1097</v>
      </c>
    </row>
    <row r="672" spans="1:18" hidden="1" x14ac:dyDescent="0.3">
      <c r="A672" s="19">
        <f t="shared" si="10"/>
        <v>671</v>
      </c>
      <c r="B672" s="20" t="s">
        <v>87</v>
      </c>
      <c r="C672" s="20" t="s">
        <v>102</v>
      </c>
      <c r="D672" s="21" t="str">
        <f>IF($C672="","",IFERROR(VLOOKUP($C672,Map_Register!$A$2:$C$5,3,FALSE()),""))</f>
        <v>Toponym Labels</v>
      </c>
      <c r="E672" s="20" t="s">
        <v>15</v>
      </c>
      <c r="F672" s="22">
        <v>785704</v>
      </c>
      <c r="G672" s="19" t="s">
        <v>1108</v>
      </c>
      <c r="H672" s="19" t="s">
        <v>2240</v>
      </c>
      <c r="I672" s="19" t="s">
        <v>2240</v>
      </c>
      <c r="J672" s="19" t="s">
        <v>1110</v>
      </c>
      <c r="K672" s="19" t="s">
        <v>6</v>
      </c>
      <c r="L672" s="19" t="s">
        <v>1095</v>
      </c>
      <c r="M672" s="19" t="s">
        <v>1095</v>
      </c>
      <c r="N672" s="19" t="s">
        <v>1111</v>
      </c>
      <c r="R672" t="s">
        <v>1097</v>
      </c>
    </row>
    <row r="673" spans="1:18" hidden="1" x14ac:dyDescent="0.3">
      <c r="A673" s="19">
        <f t="shared" si="10"/>
        <v>672</v>
      </c>
      <c r="B673" s="20" t="s">
        <v>87</v>
      </c>
      <c r="C673" s="20" t="s">
        <v>102</v>
      </c>
      <c r="D673" s="21" t="str">
        <f>IF($C673="","",IFERROR(VLOOKUP($C673,Map_Register!$A$2:$C$5,3,FALSE()),""))</f>
        <v>Toponym Labels</v>
      </c>
      <c r="E673" s="20" t="s">
        <v>15</v>
      </c>
      <c r="F673" s="22">
        <v>785705</v>
      </c>
      <c r="G673" s="19" t="s">
        <v>1118</v>
      </c>
      <c r="H673" s="19" t="s">
        <v>2241</v>
      </c>
      <c r="I673" s="19" t="s">
        <v>2241</v>
      </c>
      <c r="J673" s="19" t="s">
        <v>1110</v>
      </c>
      <c r="K673" s="19" t="s">
        <v>6</v>
      </c>
      <c r="L673" s="19" t="s">
        <v>1095</v>
      </c>
      <c r="M673" s="19" t="s">
        <v>1095</v>
      </c>
      <c r="N673" s="19" t="s">
        <v>1315</v>
      </c>
      <c r="R673" t="s">
        <v>1097</v>
      </c>
    </row>
    <row r="674" spans="1:18" hidden="1" x14ac:dyDescent="0.3">
      <c r="A674" s="19">
        <f t="shared" si="10"/>
        <v>673</v>
      </c>
      <c r="B674" s="20" t="s">
        <v>87</v>
      </c>
      <c r="C674" s="20" t="s">
        <v>102</v>
      </c>
      <c r="D674" s="21" t="str">
        <f>IF($C674="","",IFERROR(VLOOKUP($C674,Map_Register!$A$2:$C$5,3,FALSE()),""))</f>
        <v>Toponym Labels</v>
      </c>
      <c r="E674" s="20" t="s">
        <v>15</v>
      </c>
      <c r="F674" s="22">
        <v>785706</v>
      </c>
      <c r="G674" s="19" t="s">
        <v>1118</v>
      </c>
      <c r="H674" s="19" t="s">
        <v>2242</v>
      </c>
      <c r="I674" s="19" t="s">
        <v>2242</v>
      </c>
      <c r="J674" s="19" t="s">
        <v>1110</v>
      </c>
      <c r="K674" s="19" t="s">
        <v>6</v>
      </c>
      <c r="L674" s="19" t="s">
        <v>1095</v>
      </c>
      <c r="M674" s="19" t="s">
        <v>1095</v>
      </c>
      <c r="N674" s="19" t="s">
        <v>1315</v>
      </c>
      <c r="R674" t="s">
        <v>1097</v>
      </c>
    </row>
    <row r="675" spans="1:18" hidden="1" x14ac:dyDescent="0.3">
      <c r="A675" s="19">
        <f t="shared" si="10"/>
        <v>674</v>
      </c>
      <c r="B675" s="20" t="s">
        <v>87</v>
      </c>
      <c r="C675" s="20" t="s">
        <v>102</v>
      </c>
      <c r="D675" s="21" t="str">
        <f>IF($C675="","",IFERROR(VLOOKUP($C675,Map_Register!$A$2:$C$5,3,FALSE()),""))</f>
        <v>Toponym Labels</v>
      </c>
      <c r="E675" s="20" t="s">
        <v>15</v>
      </c>
      <c r="F675" s="22">
        <v>785707</v>
      </c>
      <c r="G675" s="19" t="s">
        <v>1091</v>
      </c>
      <c r="H675" s="19" t="s">
        <v>2243</v>
      </c>
      <c r="I675" s="19" t="s">
        <v>2243</v>
      </c>
      <c r="J675" s="19" t="s">
        <v>1110</v>
      </c>
      <c r="K675" s="19" t="s">
        <v>6</v>
      </c>
      <c r="L675" s="19" t="s">
        <v>1095</v>
      </c>
      <c r="M675" s="19" t="s">
        <v>1095</v>
      </c>
      <c r="N675" s="19" t="s">
        <v>1300</v>
      </c>
      <c r="R675" t="s">
        <v>1097</v>
      </c>
    </row>
    <row r="676" spans="1:18" hidden="1" x14ac:dyDescent="0.3">
      <c r="A676" s="19">
        <f t="shared" si="10"/>
        <v>675</v>
      </c>
      <c r="B676" s="20" t="s">
        <v>87</v>
      </c>
      <c r="C676" s="20" t="s">
        <v>102</v>
      </c>
      <c r="D676" s="21" t="str">
        <f>IF($C676="","",IFERROR(VLOOKUP($C676,Map_Register!$A$2:$C$5,3,FALSE()),""))</f>
        <v>Toponym Labels</v>
      </c>
      <c r="E676" s="20" t="s">
        <v>15</v>
      </c>
      <c r="F676" s="22">
        <v>785708</v>
      </c>
      <c r="G676" s="19" t="s">
        <v>1187</v>
      </c>
      <c r="H676" s="19" t="s">
        <v>2244</v>
      </c>
      <c r="I676" s="19" t="s">
        <v>2244</v>
      </c>
      <c r="J676" s="19" t="s">
        <v>1110</v>
      </c>
      <c r="K676" s="19" t="s">
        <v>6</v>
      </c>
      <c r="L676" s="19" t="s">
        <v>1095</v>
      </c>
      <c r="M676" s="19" t="s">
        <v>1095</v>
      </c>
      <c r="N676" s="19" t="s">
        <v>2245</v>
      </c>
      <c r="R676" t="s">
        <v>1097</v>
      </c>
    </row>
    <row r="677" spans="1:18" hidden="1" x14ac:dyDescent="0.3">
      <c r="A677" s="19">
        <f t="shared" si="10"/>
        <v>676</v>
      </c>
      <c r="B677" s="20" t="s">
        <v>87</v>
      </c>
      <c r="C677" s="20" t="s">
        <v>102</v>
      </c>
      <c r="D677" s="21" t="str">
        <f>IF($C677="","",IFERROR(VLOOKUP($C677,Map_Register!$A$2:$C$5,3,FALSE()),""))</f>
        <v>Toponym Labels</v>
      </c>
      <c r="E677" s="20" t="s">
        <v>15</v>
      </c>
      <c r="F677" s="22">
        <v>785709</v>
      </c>
      <c r="G677" s="19" t="s">
        <v>1179</v>
      </c>
      <c r="H677" s="19" t="s">
        <v>2246</v>
      </c>
      <c r="I677" s="19" t="s">
        <v>2246</v>
      </c>
      <c r="J677" s="19" t="s">
        <v>1110</v>
      </c>
      <c r="K677" t="s">
        <v>1100</v>
      </c>
      <c r="L677" t="s">
        <v>114</v>
      </c>
      <c r="M677" t="s">
        <v>114</v>
      </c>
      <c r="N677" s="19" t="s">
        <v>1184</v>
      </c>
      <c r="O677" s="19" t="s">
        <v>116</v>
      </c>
      <c r="R677" t="s">
        <v>1097</v>
      </c>
    </row>
    <row r="678" spans="1:18" hidden="1" x14ac:dyDescent="0.3">
      <c r="A678" s="19">
        <f t="shared" si="10"/>
        <v>677</v>
      </c>
      <c r="B678" s="20" t="s">
        <v>87</v>
      </c>
      <c r="C678" s="20" t="s">
        <v>102</v>
      </c>
      <c r="D678" s="21" t="str">
        <f>IF($C678="","",IFERROR(VLOOKUP($C678,Map_Register!$A$2:$C$5,3,FALSE()),""))</f>
        <v>Toponym Labels</v>
      </c>
      <c r="E678" s="20" t="s">
        <v>15</v>
      </c>
      <c r="F678" s="22">
        <v>785710</v>
      </c>
      <c r="G678" s="19" t="s">
        <v>1179</v>
      </c>
      <c r="H678" s="19" t="s">
        <v>2247</v>
      </c>
      <c r="I678" s="19" t="s">
        <v>2247</v>
      </c>
      <c r="J678" s="19" t="s">
        <v>1110</v>
      </c>
      <c r="K678" t="s">
        <v>1100</v>
      </c>
      <c r="L678" t="s">
        <v>114</v>
      </c>
      <c r="M678" t="s">
        <v>114</v>
      </c>
      <c r="N678" s="19" t="s">
        <v>1184</v>
      </c>
      <c r="O678" s="19" t="s">
        <v>116</v>
      </c>
      <c r="R678" t="s">
        <v>1097</v>
      </c>
    </row>
    <row r="679" spans="1:18" hidden="1" x14ac:dyDescent="0.3">
      <c r="A679" s="19">
        <f t="shared" si="10"/>
        <v>678</v>
      </c>
      <c r="B679" s="20" t="s">
        <v>87</v>
      </c>
      <c r="C679" s="20" t="s">
        <v>102</v>
      </c>
      <c r="D679" s="21" t="str">
        <f>IF($C679="","",IFERROR(VLOOKUP($C679,Map_Register!$A$2:$C$5,3,FALSE()),""))</f>
        <v>Toponym Labels</v>
      </c>
      <c r="E679" s="20" t="s">
        <v>15</v>
      </c>
      <c r="F679" s="22">
        <v>785711</v>
      </c>
      <c r="G679" s="19" t="s">
        <v>1091</v>
      </c>
      <c r="H679" s="19" t="s">
        <v>2248</v>
      </c>
      <c r="I679" s="19" t="s">
        <v>2248</v>
      </c>
      <c r="J679" s="19" t="s">
        <v>1110</v>
      </c>
      <c r="K679" t="s">
        <v>1100</v>
      </c>
      <c r="L679" t="s">
        <v>114</v>
      </c>
      <c r="M679" t="s">
        <v>114</v>
      </c>
      <c r="N679" s="19" t="s">
        <v>530</v>
      </c>
      <c r="O679" s="19" t="s">
        <v>116</v>
      </c>
      <c r="R679" t="s">
        <v>1097</v>
      </c>
    </row>
    <row r="680" spans="1:18" hidden="1" x14ac:dyDescent="0.3">
      <c r="A680" s="19">
        <f t="shared" si="10"/>
        <v>679</v>
      </c>
      <c r="B680" s="20" t="s">
        <v>87</v>
      </c>
      <c r="C680" s="20" t="s">
        <v>102</v>
      </c>
      <c r="D680" s="21" t="str">
        <f>IF($C680="","",IFERROR(VLOOKUP($C680,Map_Register!$A$2:$C$5,3,FALSE()),""))</f>
        <v>Toponym Labels</v>
      </c>
      <c r="E680" s="20" t="s">
        <v>15</v>
      </c>
      <c r="F680" s="22">
        <v>785712</v>
      </c>
      <c r="G680" s="19" t="s">
        <v>2249</v>
      </c>
      <c r="H680" s="19" t="s">
        <v>2250</v>
      </c>
      <c r="I680" s="19" t="s">
        <v>2251</v>
      </c>
      <c r="J680" s="19" t="s">
        <v>1104</v>
      </c>
      <c r="K680" s="19" t="s">
        <v>6</v>
      </c>
      <c r="L680" s="19" t="s">
        <v>1095</v>
      </c>
      <c r="M680" s="19" t="s">
        <v>1095</v>
      </c>
      <c r="N680" s="19" t="s">
        <v>1105</v>
      </c>
      <c r="R680" t="s">
        <v>1097</v>
      </c>
    </row>
    <row r="681" spans="1:18" hidden="1" x14ac:dyDescent="0.3">
      <c r="A681" s="19">
        <f t="shared" si="10"/>
        <v>680</v>
      </c>
      <c r="B681" s="20" t="s">
        <v>87</v>
      </c>
      <c r="C681" s="20" t="s">
        <v>102</v>
      </c>
      <c r="D681" s="21" t="str">
        <f>IF($C681="","",IFERROR(VLOOKUP($C681,Map_Register!$A$2:$C$5,3,FALSE()),""))</f>
        <v>Toponym Labels</v>
      </c>
      <c r="E681" s="20" t="s">
        <v>15</v>
      </c>
      <c r="F681" s="22">
        <v>785713</v>
      </c>
      <c r="G681" s="19" t="s">
        <v>2249</v>
      </c>
      <c r="H681" s="19" t="s">
        <v>2252</v>
      </c>
      <c r="I681" s="19" t="s">
        <v>2253</v>
      </c>
      <c r="J681" s="19" t="s">
        <v>1094</v>
      </c>
      <c r="K681" s="19" t="s">
        <v>6</v>
      </c>
      <c r="L681" s="19" t="s">
        <v>1095</v>
      </c>
      <c r="M681" s="19" t="s">
        <v>1095</v>
      </c>
      <c r="N681" s="19" t="s">
        <v>1105</v>
      </c>
      <c r="R681" t="s">
        <v>1097</v>
      </c>
    </row>
    <row r="682" spans="1:18" hidden="1" x14ac:dyDescent="0.3">
      <c r="A682" s="19">
        <f t="shared" si="10"/>
        <v>681</v>
      </c>
      <c r="B682" s="20" t="s">
        <v>87</v>
      </c>
      <c r="C682" s="20" t="s">
        <v>102</v>
      </c>
      <c r="D682" s="21" t="str">
        <f>IF($C682="","",IFERROR(VLOOKUP($C682,Map_Register!$A$2:$C$5,3,FALSE()),""))</f>
        <v>Toponym Labels</v>
      </c>
      <c r="E682" s="20" t="s">
        <v>15</v>
      </c>
      <c r="F682" s="22">
        <v>785714</v>
      </c>
      <c r="G682" s="19" t="s">
        <v>1205</v>
      </c>
      <c r="H682" s="19" t="s">
        <v>882</v>
      </c>
      <c r="I682" s="19" t="s">
        <v>882</v>
      </c>
      <c r="J682" s="19" t="s">
        <v>1110</v>
      </c>
      <c r="K682" s="19" t="s">
        <v>6</v>
      </c>
      <c r="L682" s="19" t="s">
        <v>1095</v>
      </c>
      <c r="M682" s="19" t="s">
        <v>1095</v>
      </c>
      <c r="N682" s="19" t="s">
        <v>1294</v>
      </c>
      <c r="R682" t="s">
        <v>1097</v>
      </c>
    </row>
    <row r="683" spans="1:18" hidden="1" x14ac:dyDescent="0.3">
      <c r="A683" s="19">
        <f t="shared" si="10"/>
        <v>682</v>
      </c>
      <c r="B683" s="20" t="s">
        <v>87</v>
      </c>
      <c r="C683" s="20" t="s">
        <v>102</v>
      </c>
      <c r="D683" s="21" t="str">
        <f>IF($C683="","",IFERROR(VLOOKUP($C683,Map_Register!$A$2:$C$5,3,FALSE()),""))</f>
        <v>Toponym Labels</v>
      </c>
      <c r="E683" s="20" t="s">
        <v>15</v>
      </c>
      <c r="F683" s="22">
        <v>785832</v>
      </c>
      <c r="G683" s="19" t="s">
        <v>1118</v>
      </c>
      <c r="H683" s="19" t="s">
        <v>2254</v>
      </c>
      <c r="I683" s="19" t="s">
        <v>2254</v>
      </c>
      <c r="J683" s="19" t="s">
        <v>1110</v>
      </c>
      <c r="K683" t="s">
        <v>1100</v>
      </c>
      <c r="L683" s="19" t="s">
        <v>114</v>
      </c>
      <c r="M683" s="19" t="s">
        <v>1121</v>
      </c>
      <c r="N683" s="19" t="s">
        <v>1178</v>
      </c>
      <c r="O683" s="19" t="s">
        <v>116</v>
      </c>
      <c r="R683" t="s">
        <v>1097</v>
      </c>
    </row>
    <row r="684" spans="1:18" hidden="1" x14ac:dyDescent="0.3">
      <c r="A684" s="19">
        <f t="shared" si="10"/>
        <v>683</v>
      </c>
      <c r="B684" s="20" t="s">
        <v>87</v>
      </c>
      <c r="C684" s="20" t="s">
        <v>102</v>
      </c>
      <c r="D684" s="21" t="str">
        <f>IF($C684="","",IFERROR(VLOOKUP($C684,Map_Register!$A$2:$C$5,3,FALSE()),""))</f>
        <v>Toponym Labels</v>
      </c>
      <c r="E684" s="20" t="s">
        <v>15</v>
      </c>
      <c r="F684" s="22">
        <v>785859</v>
      </c>
      <c r="G684" s="19" t="s">
        <v>1136</v>
      </c>
      <c r="H684" s="19" t="s">
        <v>949</v>
      </c>
      <c r="I684" s="19" t="s">
        <v>949</v>
      </c>
      <c r="J684" s="19" t="s">
        <v>1110</v>
      </c>
      <c r="K684" s="19" t="s">
        <v>6</v>
      </c>
      <c r="L684" s="19" t="s">
        <v>1095</v>
      </c>
      <c r="M684" s="19" t="s">
        <v>1095</v>
      </c>
      <c r="N684" s="19" t="s">
        <v>1406</v>
      </c>
      <c r="R684" t="s">
        <v>1097</v>
      </c>
    </row>
    <row r="685" spans="1:18" hidden="1" x14ac:dyDescent="0.3">
      <c r="A685" s="19">
        <f t="shared" si="10"/>
        <v>684</v>
      </c>
      <c r="B685" s="20" t="s">
        <v>87</v>
      </c>
      <c r="C685" s="20" t="s">
        <v>102</v>
      </c>
      <c r="D685" s="21" t="str">
        <f>IF($C685="","",IFERROR(VLOOKUP($C685,Map_Register!$A$2:$C$5,3,FALSE()),""))</f>
        <v>Toponym Labels</v>
      </c>
      <c r="E685" s="20" t="s">
        <v>15</v>
      </c>
      <c r="F685" s="22">
        <v>785862</v>
      </c>
      <c r="G685" s="19" t="s">
        <v>1179</v>
      </c>
      <c r="H685" s="19" t="s">
        <v>2255</v>
      </c>
      <c r="I685" s="19" t="s">
        <v>2255</v>
      </c>
      <c r="J685" s="19" t="s">
        <v>1110</v>
      </c>
      <c r="K685" s="19" t="s">
        <v>6</v>
      </c>
      <c r="L685" s="19" t="s">
        <v>1095</v>
      </c>
      <c r="M685" s="19" t="s">
        <v>1095</v>
      </c>
      <c r="N685" s="19" t="s">
        <v>1502</v>
      </c>
      <c r="R685" t="s">
        <v>1097</v>
      </c>
    </row>
    <row r="686" spans="1:18" hidden="1" x14ac:dyDescent="0.3">
      <c r="A686" s="19">
        <f t="shared" si="10"/>
        <v>685</v>
      </c>
      <c r="B686" s="20" t="s">
        <v>87</v>
      </c>
      <c r="C686" s="20" t="s">
        <v>102</v>
      </c>
      <c r="D686" s="21" t="str">
        <f>IF($C686="","",IFERROR(VLOOKUP($C686,Map_Register!$A$2:$C$5,3,FALSE()),""))</f>
        <v>Toponym Labels</v>
      </c>
      <c r="E686" s="20" t="s">
        <v>15</v>
      </c>
      <c r="F686" s="22">
        <v>785864</v>
      </c>
      <c r="G686" s="19" t="s">
        <v>1179</v>
      </c>
      <c r="H686" s="19" t="s">
        <v>2256</v>
      </c>
      <c r="I686" s="19" t="s">
        <v>2256</v>
      </c>
      <c r="J686" s="19" t="s">
        <v>1110</v>
      </c>
      <c r="K686" s="19" t="s">
        <v>1100</v>
      </c>
      <c r="L686" s="19" t="s">
        <v>1121</v>
      </c>
      <c r="M686" s="19" t="s">
        <v>114</v>
      </c>
      <c r="N686" s="19" t="s">
        <v>2257</v>
      </c>
      <c r="O686" s="19" t="s">
        <v>116</v>
      </c>
      <c r="R686" t="s">
        <v>1097</v>
      </c>
    </row>
    <row r="687" spans="1:18" hidden="1" x14ac:dyDescent="0.3">
      <c r="A687" s="19">
        <f t="shared" si="10"/>
        <v>686</v>
      </c>
      <c r="B687" s="20" t="s">
        <v>87</v>
      </c>
      <c r="C687" s="20" t="s">
        <v>102</v>
      </c>
      <c r="D687" s="21" t="str">
        <f>IF($C687="","",IFERROR(VLOOKUP($C687,Map_Register!$A$2:$C$5,3,FALSE()),""))</f>
        <v>Toponym Labels</v>
      </c>
      <c r="E687" s="20" t="s">
        <v>15</v>
      </c>
      <c r="F687" s="22">
        <v>785865</v>
      </c>
      <c r="G687" s="19" t="s">
        <v>1125</v>
      </c>
      <c r="H687" s="19" t="s">
        <v>1156</v>
      </c>
      <c r="I687" s="19" t="s">
        <v>1156</v>
      </c>
      <c r="J687" s="19" t="s">
        <v>1110</v>
      </c>
      <c r="K687" s="19" t="s">
        <v>6</v>
      </c>
      <c r="L687" s="19" t="s">
        <v>1095</v>
      </c>
      <c r="M687" s="19" t="s">
        <v>1095</v>
      </c>
      <c r="N687" s="19" t="s">
        <v>1155</v>
      </c>
      <c r="R687" t="s">
        <v>1097</v>
      </c>
    </row>
    <row r="688" spans="1:18" hidden="1" x14ac:dyDescent="0.3">
      <c r="A688" s="19">
        <f t="shared" si="10"/>
        <v>687</v>
      </c>
      <c r="B688" s="20" t="s">
        <v>87</v>
      </c>
      <c r="C688" s="20" t="s">
        <v>102</v>
      </c>
      <c r="D688" s="21" t="str">
        <f>IF($C688="","",IFERROR(VLOOKUP($C688,Map_Register!$A$2:$C$5,3,FALSE()),""))</f>
        <v>Toponym Labels</v>
      </c>
      <c r="E688" s="20" t="s">
        <v>15</v>
      </c>
      <c r="F688" s="22">
        <v>785866</v>
      </c>
      <c r="G688" s="19" t="s">
        <v>1136</v>
      </c>
      <c r="H688" s="19" t="s">
        <v>2258</v>
      </c>
      <c r="I688" s="19" t="s">
        <v>2258</v>
      </c>
      <c r="J688" s="19" t="s">
        <v>1110</v>
      </c>
      <c r="K688" s="19" t="s">
        <v>6</v>
      </c>
      <c r="L688" s="19" t="s">
        <v>1095</v>
      </c>
      <c r="M688" s="19" t="s">
        <v>1095</v>
      </c>
      <c r="N688" s="19" t="s">
        <v>1406</v>
      </c>
      <c r="R688" t="s">
        <v>1097</v>
      </c>
    </row>
    <row r="689" spans="1:18" hidden="1" x14ac:dyDescent="0.3">
      <c r="A689" s="19">
        <f t="shared" si="10"/>
        <v>688</v>
      </c>
      <c r="B689" s="20" t="s">
        <v>87</v>
      </c>
      <c r="C689" s="20" t="s">
        <v>102</v>
      </c>
      <c r="D689" s="21" t="str">
        <f>IF($C689="","",IFERROR(VLOOKUP($C689,Map_Register!$A$2:$C$5,3,FALSE()),""))</f>
        <v>Toponym Labels</v>
      </c>
      <c r="E689" s="20" t="s">
        <v>15</v>
      </c>
      <c r="F689" s="22">
        <v>785867</v>
      </c>
      <c r="G689" s="19" t="s">
        <v>1091</v>
      </c>
      <c r="H689" s="19" t="s">
        <v>2259</v>
      </c>
      <c r="I689" s="19" t="s">
        <v>2260</v>
      </c>
      <c r="J689" s="19" t="s">
        <v>1094</v>
      </c>
      <c r="K689" s="19" t="s">
        <v>6</v>
      </c>
      <c r="L689" s="19" t="s">
        <v>1095</v>
      </c>
      <c r="M689" s="19" t="s">
        <v>1095</v>
      </c>
      <c r="N689" s="19" t="s">
        <v>1105</v>
      </c>
      <c r="R689" t="s">
        <v>1097</v>
      </c>
    </row>
    <row r="690" spans="1:18" hidden="1" x14ac:dyDescent="0.3">
      <c r="A690" s="19">
        <f t="shared" si="10"/>
        <v>689</v>
      </c>
      <c r="B690" s="20" t="s">
        <v>87</v>
      </c>
      <c r="C690" s="20" t="s">
        <v>102</v>
      </c>
      <c r="D690" s="21" t="str">
        <f>IF($C690="","",IFERROR(VLOOKUP($C690,Map_Register!$A$2:$C$5,3,FALSE()),""))</f>
        <v>Toponym Labels</v>
      </c>
      <c r="E690" s="20" t="s">
        <v>15</v>
      </c>
      <c r="F690" s="22">
        <v>785868</v>
      </c>
      <c r="G690" s="19" t="s">
        <v>1136</v>
      </c>
      <c r="H690" s="19" t="s">
        <v>1688</v>
      </c>
      <c r="I690" s="19" t="s">
        <v>1688</v>
      </c>
      <c r="J690" s="19" t="s">
        <v>1110</v>
      </c>
      <c r="K690" t="s">
        <v>1100</v>
      </c>
      <c r="L690" t="s">
        <v>114</v>
      </c>
      <c r="M690" t="s">
        <v>114</v>
      </c>
      <c r="N690" s="19" t="s">
        <v>530</v>
      </c>
      <c r="O690" s="19" t="s">
        <v>116</v>
      </c>
      <c r="R690" t="s">
        <v>1097</v>
      </c>
    </row>
    <row r="691" spans="1:18" hidden="1" x14ac:dyDescent="0.3">
      <c r="A691" s="19">
        <f t="shared" si="10"/>
        <v>690</v>
      </c>
      <c r="B691" s="20" t="s">
        <v>87</v>
      </c>
      <c r="C691" s="20" t="s">
        <v>102</v>
      </c>
      <c r="D691" s="21" t="str">
        <f>IF($C691="","",IFERROR(VLOOKUP($C691,Map_Register!$A$2:$C$5,3,FALSE()),""))</f>
        <v>Toponym Labels</v>
      </c>
      <c r="E691" s="20" t="s">
        <v>15</v>
      </c>
      <c r="F691" s="22">
        <v>785869</v>
      </c>
      <c r="G691" s="19" t="s">
        <v>1223</v>
      </c>
      <c r="H691" s="19" t="s">
        <v>2261</v>
      </c>
      <c r="I691" s="19" t="s">
        <v>2262</v>
      </c>
      <c r="J691" s="19" t="s">
        <v>1094</v>
      </c>
      <c r="K691" s="19" t="s">
        <v>6</v>
      </c>
      <c r="L691" s="19" t="s">
        <v>1095</v>
      </c>
      <c r="M691" s="19" t="s">
        <v>1095</v>
      </c>
      <c r="N691" s="19" t="s">
        <v>1105</v>
      </c>
      <c r="R691" t="s">
        <v>1097</v>
      </c>
    </row>
    <row r="692" spans="1:18" hidden="1" x14ac:dyDescent="0.3">
      <c r="A692" s="19">
        <f t="shared" si="10"/>
        <v>691</v>
      </c>
      <c r="B692" s="20" t="s">
        <v>87</v>
      </c>
      <c r="C692" s="20" t="s">
        <v>102</v>
      </c>
      <c r="D692" s="21" t="str">
        <f>IF($C692="","",IFERROR(VLOOKUP($C692,Map_Register!$A$2:$C$5,3,FALSE()),""))</f>
        <v>Toponym Labels</v>
      </c>
      <c r="E692" s="20" t="s">
        <v>15</v>
      </c>
      <c r="F692" s="22">
        <v>785870</v>
      </c>
      <c r="G692" s="19" t="s">
        <v>1223</v>
      </c>
      <c r="H692" s="19" t="s">
        <v>2263</v>
      </c>
      <c r="I692" s="19" t="s">
        <v>2264</v>
      </c>
      <c r="J692" s="19" t="s">
        <v>1104</v>
      </c>
      <c r="K692" s="19" t="s">
        <v>6</v>
      </c>
      <c r="L692" s="19" t="s">
        <v>1095</v>
      </c>
      <c r="M692" s="19" t="s">
        <v>1095</v>
      </c>
      <c r="N692" s="19" t="s">
        <v>1105</v>
      </c>
      <c r="R692" t="s">
        <v>1097</v>
      </c>
    </row>
    <row r="693" spans="1:18" hidden="1" x14ac:dyDescent="0.3">
      <c r="A693" s="19">
        <f t="shared" si="10"/>
        <v>692</v>
      </c>
      <c r="B693" s="20" t="s">
        <v>87</v>
      </c>
      <c r="C693" s="20" t="s">
        <v>102</v>
      </c>
      <c r="D693" s="21" t="str">
        <f>IF($C693="","",IFERROR(VLOOKUP($C693,Map_Register!$A$2:$C$5,3,FALSE()),""))</f>
        <v>Toponym Labels</v>
      </c>
      <c r="E693" s="20" t="s">
        <v>15</v>
      </c>
      <c r="F693" s="22">
        <v>785871</v>
      </c>
      <c r="G693" s="19" t="s">
        <v>1145</v>
      </c>
      <c r="H693" s="19" t="s">
        <v>2265</v>
      </c>
      <c r="I693" s="19" t="s">
        <v>2265</v>
      </c>
      <c r="J693" s="19" t="s">
        <v>1110</v>
      </c>
      <c r="K693" s="19" t="s">
        <v>6</v>
      </c>
      <c r="L693" s="19" t="s">
        <v>1095</v>
      </c>
      <c r="M693" s="19" t="s">
        <v>1095</v>
      </c>
      <c r="N693" s="19" t="s">
        <v>1638</v>
      </c>
      <c r="R693" t="s">
        <v>1097</v>
      </c>
    </row>
    <row r="694" spans="1:18" hidden="1" x14ac:dyDescent="0.3">
      <c r="A694" s="19">
        <f t="shared" si="10"/>
        <v>693</v>
      </c>
      <c r="B694" s="20" t="s">
        <v>87</v>
      </c>
      <c r="C694" s="20" t="s">
        <v>102</v>
      </c>
      <c r="D694" s="21" t="str">
        <f>IF($C694="","",IFERROR(VLOOKUP($C694,Map_Register!$A$2:$C$5,3,FALSE()),""))</f>
        <v>Toponym Labels</v>
      </c>
      <c r="E694" s="20" t="s">
        <v>15</v>
      </c>
      <c r="F694" s="22">
        <v>785872</v>
      </c>
      <c r="G694" s="19" t="s">
        <v>1091</v>
      </c>
      <c r="H694" s="19" t="s">
        <v>1311</v>
      </c>
      <c r="I694" s="19" t="s">
        <v>1312</v>
      </c>
      <c r="J694" s="19" t="s">
        <v>1094</v>
      </c>
      <c r="K694" s="19" t="s">
        <v>6</v>
      </c>
      <c r="L694" s="19" t="s">
        <v>1095</v>
      </c>
      <c r="M694" s="19" t="s">
        <v>1095</v>
      </c>
      <c r="N694" s="19" t="s">
        <v>1105</v>
      </c>
      <c r="R694" t="s">
        <v>1097</v>
      </c>
    </row>
    <row r="695" spans="1:18" hidden="1" x14ac:dyDescent="0.3">
      <c r="A695" s="19">
        <f t="shared" si="10"/>
        <v>694</v>
      </c>
      <c r="B695" s="20" t="s">
        <v>87</v>
      </c>
      <c r="C695" s="20" t="s">
        <v>102</v>
      </c>
      <c r="D695" s="21" t="str">
        <f>IF($C695="","",IFERROR(VLOOKUP($C695,Map_Register!$A$2:$C$5,3,FALSE()),""))</f>
        <v>Toponym Labels</v>
      </c>
      <c r="E695" s="20" t="s">
        <v>15</v>
      </c>
      <c r="F695" s="22">
        <v>785873</v>
      </c>
      <c r="G695" s="19" t="s">
        <v>1145</v>
      </c>
      <c r="H695" s="19" t="s">
        <v>2266</v>
      </c>
      <c r="I695" s="19" t="s">
        <v>2266</v>
      </c>
      <c r="J695" s="19" t="s">
        <v>1110</v>
      </c>
      <c r="K695" s="19" t="s">
        <v>6</v>
      </c>
      <c r="L695" s="19" t="s">
        <v>1095</v>
      </c>
      <c r="M695" s="19" t="s">
        <v>1095</v>
      </c>
      <c r="N695" s="19" t="s">
        <v>1638</v>
      </c>
      <c r="R695" t="s">
        <v>1097</v>
      </c>
    </row>
    <row r="696" spans="1:18" hidden="1" x14ac:dyDescent="0.3">
      <c r="A696" s="19">
        <f t="shared" si="10"/>
        <v>695</v>
      </c>
      <c r="B696" s="20" t="s">
        <v>87</v>
      </c>
      <c r="C696" s="20" t="s">
        <v>102</v>
      </c>
      <c r="D696" s="21" t="str">
        <f>IF($C696="","",IFERROR(VLOOKUP($C696,Map_Register!$A$2:$C$5,3,FALSE()),""))</f>
        <v>Toponym Labels</v>
      </c>
      <c r="E696" s="20" t="s">
        <v>15</v>
      </c>
      <c r="F696" s="22">
        <v>785874</v>
      </c>
      <c r="G696" s="19" t="s">
        <v>1108</v>
      </c>
      <c r="H696" s="19" t="s">
        <v>2267</v>
      </c>
      <c r="I696" s="19" t="s">
        <v>2268</v>
      </c>
      <c r="J696" s="19" t="s">
        <v>1094</v>
      </c>
      <c r="K696" s="19" t="s">
        <v>6</v>
      </c>
      <c r="L696" s="19" t="s">
        <v>1095</v>
      </c>
      <c r="M696" s="19" t="s">
        <v>1095</v>
      </c>
      <c r="N696" s="19" t="s">
        <v>1105</v>
      </c>
      <c r="R696" t="s">
        <v>1097</v>
      </c>
    </row>
    <row r="697" spans="1:18" hidden="1" x14ac:dyDescent="0.3">
      <c r="A697" s="19">
        <f t="shared" si="10"/>
        <v>696</v>
      </c>
      <c r="B697" s="20" t="s">
        <v>87</v>
      </c>
      <c r="C697" s="20" t="s">
        <v>102</v>
      </c>
      <c r="D697" s="21" t="str">
        <f>IF($C697="","",IFERROR(VLOOKUP($C697,Map_Register!$A$2:$C$5,3,FALSE()),""))</f>
        <v>Toponym Labels</v>
      </c>
      <c r="E697" s="20" t="s">
        <v>15</v>
      </c>
      <c r="F697" s="22">
        <v>785875</v>
      </c>
      <c r="G697" s="19" t="s">
        <v>1108</v>
      </c>
      <c r="H697" s="19" t="s">
        <v>2269</v>
      </c>
      <c r="I697" s="19" t="s">
        <v>2270</v>
      </c>
      <c r="J697" s="19" t="s">
        <v>1094</v>
      </c>
      <c r="K697" s="19" t="s">
        <v>6</v>
      </c>
      <c r="L697" s="19" t="s">
        <v>1095</v>
      </c>
      <c r="M697" s="19" t="s">
        <v>1095</v>
      </c>
      <c r="N697" s="19" t="s">
        <v>1105</v>
      </c>
      <c r="R697" t="s">
        <v>1097</v>
      </c>
    </row>
    <row r="698" spans="1:18" hidden="1" x14ac:dyDescent="0.3">
      <c r="A698" s="19">
        <f t="shared" si="10"/>
        <v>697</v>
      </c>
      <c r="B698" s="20" t="s">
        <v>87</v>
      </c>
      <c r="C698" s="20" t="s">
        <v>102</v>
      </c>
      <c r="D698" s="21" t="str">
        <f>IF($C698="","",IFERROR(VLOOKUP($C698,Map_Register!$A$2:$C$5,3,FALSE()),""))</f>
        <v>Toponym Labels</v>
      </c>
      <c r="E698" s="20" t="s">
        <v>15</v>
      </c>
      <c r="F698" s="22">
        <v>785876</v>
      </c>
      <c r="G698" s="19" t="s">
        <v>1108</v>
      </c>
      <c r="H698" s="19" t="s">
        <v>2271</v>
      </c>
      <c r="I698" s="19" t="s">
        <v>2271</v>
      </c>
      <c r="J698" s="19" t="s">
        <v>1110</v>
      </c>
      <c r="K698" s="19" t="s">
        <v>6</v>
      </c>
      <c r="L698" s="19" t="s">
        <v>1095</v>
      </c>
      <c r="M698" s="19" t="s">
        <v>1095</v>
      </c>
      <c r="N698" s="19" t="s">
        <v>1111</v>
      </c>
      <c r="R698" t="s">
        <v>1097</v>
      </c>
    </row>
    <row r="699" spans="1:18" hidden="1" x14ac:dyDescent="0.3">
      <c r="A699" s="19">
        <f t="shared" si="10"/>
        <v>698</v>
      </c>
      <c r="B699" s="20" t="s">
        <v>87</v>
      </c>
      <c r="C699" s="20" t="s">
        <v>102</v>
      </c>
      <c r="D699" s="21" t="str">
        <f>IF($C699="","",IFERROR(VLOOKUP($C699,Map_Register!$A$2:$C$5,3,FALSE()),""))</f>
        <v>Toponym Labels</v>
      </c>
      <c r="E699" s="20" t="s">
        <v>15</v>
      </c>
      <c r="F699" s="22">
        <v>785877</v>
      </c>
      <c r="G699" s="19" t="s">
        <v>1091</v>
      </c>
      <c r="H699" s="19" t="s">
        <v>2272</v>
      </c>
      <c r="I699" s="19" t="s">
        <v>2273</v>
      </c>
      <c r="J699" s="19" t="s">
        <v>1104</v>
      </c>
      <c r="K699" t="s">
        <v>1100</v>
      </c>
      <c r="L699" t="s">
        <v>114</v>
      </c>
      <c r="M699" t="s">
        <v>114</v>
      </c>
      <c r="N699" s="19" t="s">
        <v>530</v>
      </c>
      <c r="O699" s="19" t="s">
        <v>116</v>
      </c>
      <c r="R699" t="s">
        <v>1097</v>
      </c>
    </row>
    <row r="700" spans="1:18" hidden="1" x14ac:dyDescent="0.3">
      <c r="A700" s="19">
        <f t="shared" si="10"/>
        <v>699</v>
      </c>
      <c r="B700" s="20" t="s">
        <v>87</v>
      </c>
      <c r="C700" s="20" t="s">
        <v>102</v>
      </c>
      <c r="D700" s="21" t="str">
        <f>IF($C700="","",IFERROR(VLOOKUP($C700,Map_Register!$A$2:$C$5,3,FALSE()),""))</f>
        <v>Toponym Labels</v>
      </c>
      <c r="E700" s="20" t="s">
        <v>15</v>
      </c>
      <c r="F700" s="22">
        <v>785878</v>
      </c>
      <c r="G700" s="19" t="s">
        <v>1091</v>
      </c>
      <c r="H700" s="19" t="s">
        <v>2274</v>
      </c>
      <c r="I700" s="19" t="s">
        <v>2275</v>
      </c>
      <c r="J700" s="19" t="s">
        <v>1104</v>
      </c>
      <c r="K700" s="19" t="s">
        <v>6</v>
      </c>
      <c r="L700" s="19" t="s">
        <v>1095</v>
      </c>
      <c r="M700" s="19" t="s">
        <v>1095</v>
      </c>
      <c r="N700" s="19" t="s">
        <v>1105</v>
      </c>
      <c r="R700" t="s">
        <v>1097</v>
      </c>
    </row>
    <row r="701" spans="1:18" hidden="1" x14ac:dyDescent="0.3">
      <c r="A701" s="19">
        <f t="shared" si="10"/>
        <v>700</v>
      </c>
      <c r="B701" s="20" t="s">
        <v>87</v>
      </c>
      <c r="C701" s="20" t="s">
        <v>102</v>
      </c>
      <c r="D701" s="21" t="str">
        <f>IF($C701="","",IFERROR(VLOOKUP($C701,Map_Register!$A$2:$C$5,3,FALSE()),""))</f>
        <v>Toponym Labels</v>
      </c>
      <c r="E701" s="20" t="s">
        <v>15</v>
      </c>
      <c r="F701" s="22">
        <v>785879</v>
      </c>
      <c r="G701" s="19" t="s">
        <v>1091</v>
      </c>
      <c r="H701" s="19" t="s">
        <v>2276</v>
      </c>
      <c r="I701" s="19" t="s">
        <v>2276</v>
      </c>
      <c r="J701" s="19" t="s">
        <v>1110</v>
      </c>
      <c r="K701" t="s">
        <v>1100</v>
      </c>
      <c r="L701" t="s">
        <v>114</v>
      </c>
      <c r="M701" t="s">
        <v>114</v>
      </c>
      <c r="N701" s="19" t="s">
        <v>530</v>
      </c>
      <c r="O701" s="19" t="s">
        <v>116</v>
      </c>
      <c r="R701" t="s">
        <v>1097</v>
      </c>
    </row>
    <row r="702" spans="1:18" hidden="1" x14ac:dyDescent="0.3">
      <c r="A702" s="19">
        <f t="shared" si="10"/>
        <v>701</v>
      </c>
      <c r="B702" s="20" t="s">
        <v>87</v>
      </c>
      <c r="C702" s="20" t="s">
        <v>102</v>
      </c>
      <c r="D702" s="21" t="str">
        <f>IF($C702="","",IFERROR(VLOOKUP($C702,Map_Register!$A$2:$C$5,3,FALSE()),""))</f>
        <v>Toponym Labels</v>
      </c>
      <c r="E702" s="20" t="s">
        <v>15</v>
      </c>
      <c r="F702" s="22">
        <v>785880</v>
      </c>
      <c r="G702" s="19" t="s">
        <v>1091</v>
      </c>
      <c r="H702" s="19" t="s">
        <v>2277</v>
      </c>
      <c r="I702" s="19" t="s">
        <v>2278</v>
      </c>
      <c r="J702" s="19" t="s">
        <v>1094</v>
      </c>
      <c r="K702" s="19" t="s">
        <v>6</v>
      </c>
      <c r="L702" s="19" t="s">
        <v>1095</v>
      </c>
      <c r="M702" s="19" t="s">
        <v>1095</v>
      </c>
      <c r="N702" s="19" t="s">
        <v>1105</v>
      </c>
      <c r="R702" t="s">
        <v>1097</v>
      </c>
    </row>
    <row r="703" spans="1:18" x14ac:dyDescent="0.3">
      <c r="A703" s="19">
        <f t="shared" si="10"/>
        <v>702</v>
      </c>
      <c r="B703" s="20" t="s">
        <v>87</v>
      </c>
      <c r="C703" s="20" t="s">
        <v>102</v>
      </c>
      <c r="D703" s="21" t="str">
        <f>IF($C703="","",IFERROR(VLOOKUP($C703,Map_Register!$A$2:$C$5,3,FALSE()),""))</f>
        <v>Toponym Labels</v>
      </c>
      <c r="E703" s="20" t="s">
        <v>15</v>
      </c>
      <c r="F703" s="22">
        <v>785881</v>
      </c>
      <c r="G703" s="19" t="s">
        <v>1125</v>
      </c>
      <c r="H703" s="19" t="s">
        <v>2279</v>
      </c>
      <c r="I703" s="19" t="s">
        <v>2279</v>
      </c>
      <c r="J703" s="19" t="s">
        <v>1110</v>
      </c>
      <c r="K703" t="s">
        <v>1100</v>
      </c>
      <c r="L703" t="s">
        <v>114</v>
      </c>
      <c r="M703" t="s">
        <v>116</v>
      </c>
      <c r="N703" s="19" t="s">
        <v>2280</v>
      </c>
      <c r="O703" s="19" t="s">
        <v>116</v>
      </c>
      <c r="R703" t="s">
        <v>1097</v>
      </c>
    </row>
    <row r="704" spans="1:18" hidden="1" x14ac:dyDescent="0.3">
      <c r="A704" s="19">
        <f t="shared" si="10"/>
        <v>703</v>
      </c>
      <c r="B704" s="20" t="s">
        <v>87</v>
      </c>
      <c r="C704" s="20" t="s">
        <v>102</v>
      </c>
      <c r="D704" s="21" t="str">
        <f>IF($C704="","",IFERROR(VLOOKUP($C704,Map_Register!$A$2:$C$5,3,FALSE()),""))</f>
        <v>Toponym Labels</v>
      </c>
      <c r="E704" s="20" t="s">
        <v>15</v>
      </c>
      <c r="F704" s="22">
        <v>785882</v>
      </c>
      <c r="G704" s="19" t="s">
        <v>1309</v>
      </c>
      <c r="H704" s="19" t="s">
        <v>2281</v>
      </c>
      <c r="I704" s="19" t="s">
        <v>2281</v>
      </c>
      <c r="J704" s="19" t="s">
        <v>1110</v>
      </c>
      <c r="K704" t="s">
        <v>1100</v>
      </c>
      <c r="L704" t="s">
        <v>114</v>
      </c>
      <c r="M704" t="s">
        <v>114</v>
      </c>
      <c r="N704" s="19" t="s">
        <v>2210</v>
      </c>
      <c r="O704" s="19" t="s">
        <v>116</v>
      </c>
      <c r="R704" t="s">
        <v>1097</v>
      </c>
    </row>
    <row r="705" spans="1:18" hidden="1" x14ac:dyDescent="0.3">
      <c r="A705" s="19">
        <f t="shared" si="10"/>
        <v>704</v>
      </c>
      <c r="B705" s="20" t="s">
        <v>87</v>
      </c>
      <c r="C705" s="20" t="s">
        <v>102</v>
      </c>
      <c r="D705" s="21" t="str">
        <f>IF($C705="","",IFERROR(VLOOKUP($C705,Map_Register!$A$2:$C$5,3,FALSE()),""))</f>
        <v>Toponym Labels</v>
      </c>
      <c r="E705" s="20" t="s">
        <v>15</v>
      </c>
      <c r="F705" s="22">
        <v>785883</v>
      </c>
      <c r="G705" s="19" t="s">
        <v>1108</v>
      </c>
      <c r="H705" s="19" t="s">
        <v>2282</v>
      </c>
      <c r="I705" s="19" t="s">
        <v>2282</v>
      </c>
      <c r="J705" s="19" t="s">
        <v>1110</v>
      </c>
      <c r="K705" s="19" t="s">
        <v>6</v>
      </c>
      <c r="L705" s="19" t="s">
        <v>1095</v>
      </c>
      <c r="M705" s="19" t="s">
        <v>1095</v>
      </c>
      <c r="N705" s="19" t="s">
        <v>1111</v>
      </c>
      <c r="R705" t="s">
        <v>1097</v>
      </c>
    </row>
    <row r="706" spans="1:18" hidden="1" x14ac:dyDescent="0.3">
      <c r="A706" s="19">
        <f t="shared" ref="A706:A769" si="11">IF($B706="","",ROW()-1)</f>
        <v>705</v>
      </c>
      <c r="B706" s="20" t="s">
        <v>87</v>
      </c>
      <c r="C706" s="20" t="s">
        <v>102</v>
      </c>
      <c r="D706" s="21" t="str">
        <f>IF($C706="","",IFERROR(VLOOKUP($C706,Map_Register!$A$2:$C$5,3,FALSE()),""))</f>
        <v>Toponym Labels</v>
      </c>
      <c r="E706" s="20" t="s">
        <v>15</v>
      </c>
      <c r="F706" s="22">
        <v>785884</v>
      </c>
      <c r="G706" s="19" t="s">
        <v>1091</v>
      </c>
      <c r="H706" s="19" t="s">
        <v>2283</v>
      </c>
      <c r="I706" s="19" t="s">
        <v>2284</v>
      </c>
      <c r="J706" s="19" t="s">
        <v>1094</v>
      </c>
      <c r="K706" s="19" t="s">
        <v>6</v>
      </c>
      <c r="L706" s="19" t="s">
        <v>1095</v>
      </c>
      <c r="M706" s="19" t="s">
        <v>1095</v>
      </c>
      <c r="N706" s="19" t="s">
        <v>1105</v>
      </c>
      <c r="R706" t="s">
        <v>1097</v>
      </c>
    </row>
    <row r="707" spans="1:18" hidden="1" x14ac:dyDescent="0.3">
      <c r="A707" s="19">
        <f t="shared" si="11"/>
        <v>706</v>
      </c>
      <c r="B707" s="20" t="s">
        <v>87</v>
      </c>
      <c r="C707" s="20" t="s">
        <v>102</v>
      </c>
      <c r="D707" s="21" t="str">
        <f>IF($C707="","",IFERROR(VLOOKUP($C707,Map_Register!$A$2:$C$5,3,FALSE()),""))</f>
        <v>Toponym Labels</v>
      </c>
      <c r="E707" s="20" t="s">
        <v>15</v>
      </c>
      <c r="F707" s="22">
        <v>785885</v>
      </c>
      <c r="G707" s="19" t="s">
        <v>1108</v>
      </c>
      <c r="H707" s="19" t="s">
        <v>2285</v>
      </c>
      <c r="I707" s="19" t="s">
        <v>2286</v>
      </c>
      <c r="J707" s="19" t="s">
        <v>1104</v>
      </c>
      <c r="K707" s="19" t="s">
        <v>6</v>
      </c>
      <c r="L707" s="19" t="s">
        <v>1095</v>
      </c>
      <c r="M707" s="19" t="s">
        <v>1095</v>
      </c>
      <c r="N707" s="19" t="s">
        <v>1105</v>
      </c>
      <c r="R707" t="s">
        <v>1097</v>
      </c>
    </row>
    <row r="708" spans="1:18" hidden="1" x14ac:dyDescent="0.3">
      <c r="A708" s="19">
        <f t="shared" si="11"/>
        <v>707</v>
      </c>
      <c r="B708" s="20" t="s">
        <v>87</v>
      </c>
      <c r="C708" s="20" t="s">
        <v>102</v>
      </c>
      <c r="D708" s="21" t="str">
        <f>IF($C708="","",IFERROR(VLOOKUP($C708,Map_Register!$A$2:$C$5,3,FALSE()),""))</f>
        <v>Toponym Labels</v>
      </c>
      <c r="E708" s="20" t="s">
        <v>15</v>
      </c>
      <c r="F708" s="22">
        <v>785886</v>
      </c>
      <c r="G708" s="19" t="s">
        <v>1108</v>
      </c>
      <c r="H708" s="19" t="s">
        <v>2287</v>
      </c>
      <c r="I708" s="19" t="s">
        <v>2288</v>
      </c>
      <c r="J708" s="19" t="s">
        <v>1094</v>
      </c>
      <c r="K708" s="19" t="s">
        <v>6</v>
      </c>
      <c r="L708" s="19" t="s">
        <v>1095</v>
      </c>
      <c r="M708" s="19" t="s">
        <v>1095</v>
      </c>
      <c r="N708" s="19" t="s">
        <v>1105</v>
      </c>
      <c r="R708" t="s">
        <v>1097</v>
      </c>
    </row>
    <row r="709" spans="1:18" hidden="1" x14ac:dyDescent="0.3">
      <c r="A709" s="19">
        <f t="shared" si="11"/>
        <v>708</v>
      </c>
      <c r="B709" s="20" t="s">
        <v>87</v>
      </c>
      <c r="C709" s="20" t="s">
        <v>102</v>
      </c>
      <c r="D709" s="21" t="str">
        <f>IF($C709="","",IFERROR(VLOOKUP($C709,Map_Register!$A$2:$C$5,3,FALSE()),""))</f>
        <v>Toponym Labels</v>
      </c>
      <c r="E709" s="20" t="s">
        <v>15</v>
      </c>
      <c r="F709" s="22">
        <v>785887</v>
      </c>
      <c r="G709" s="19" t="s">
        <v>1108</v>
      </c>
      <c r="H709" s="19" t="s">
        <v>2289</v>
      </c>
      <c r="I709" s="19" t="s">
        <v>2290</v>
      </c>
      <c r="J709" s="19" t="s">
        <v>1094</v>
      </c>
      <c r="K709" s="19" t="s">
        <v>6</v>
      </c>
      <c r="L709" s="19" t="s">
        <v>1095</v>
      </c>
      <c r="M709" s="19" t="s">
        <v>1095</v>
      </c>
      <c r="N709" s="19" t="s">
        <v>1105</v>
      </c>
      <c r="R709" t="s">
        <v>1097</v>
      </c>
    </row>
    <row r="710" spans="1:18" hidden="1" x14ac:dyDescent="0.3">
      <c r="A710" s="19">
        <f t="shared" si="11"/>
        <v>709</v>
      </c>
      <c r="B710" s="20" t="s">
        <v>87</v>
      </c>
      <c r="C710" s="20" t="s">
        <v>102</v>
      </c>
      <c r="D710" s="21" t="str">
        <f>IF($C710="","",IFERROR(VLOOKUP($C710,Map_Register!$A$2:$C$5,3,FALSE()),""))</f>
        <v>Toponym Labels</v>
      </c>
      <c r="E710" s="20" t="s">
        <v>15</v>
      </c>
      <c r="F710" s="22">
        <v>785888</v>
      </c>
      <c r="G710" s="19" t="s">
        <v>1091</v>
      </c>
      <c r="H710" s="19" t="s">
        <v>2291</v>
      </c>
      <c r="I710" s="19" t="s">
        <v>2291</v>
      </c>
      <c r="J710" s="19" t="s">
        <v>1110</v>
      </c>
      <c r="K710" s="19" t="s">
        <v>6</v>
      </c>
      <c r="L710" s="19" t="s">
        <v>1095</v>
      </c>
      <c r="M710" s="19" t="s">
        <v>1095</v>
      </c>
      <c r="N710" s="19" t="s">
        <v>1300</v>
      </c>
      <c r="R710" t="s">
        <v>1097</v>
      </c>
    </row>
    <row r="711" spans="1:18" hidden="1" x14ac:dyDescent="0.3">
      <c r="A711" s="19">
        <f t="shared" si="11"/>
        <v>710</v>
      </c>
      <c r="B711" s="20" t="s">
        <v>87</v>
      </c>
      <c r="C711" s="20" t="s">
        <v>102</v>
      </c>
      <c r="D711" s="21" t="str">
        <f>IF($C711="","",IFERROR(VLOOKUP($C711,Map_Register!$A$2:$C$5,3,FALSE()),""))</f>
        <v>Toponym Labels</v>
      </c>
      <c r="E711" s="20" t="s">
        <v>15</v>
      </c>
      <c r="F711" s="22">
        <v>785889</v>
      </c>
      <c r="G711" s="19" t="s">
        <v>1091</v>
      </c>
      <c r="H711" s="19" t="s">
        <v>2292</v>
      </c>
      <c r="I711" s="19" t="s">
        <v>2293</v>
      </c>
      <c r="J711" s="19" t="s">
        <v>1104</v>
      </c>
      <c r="K711" s="19" t="s">
        <v>6</v>
      </c>
      <c r="L711" s="19" t="s">
        <v>1095</v>
      </c>
      <c r="M711" s="19" t="s">
        <v>1095</v>
      </c>
      <c r="N711" s="19" t="s">
        <v>1105</v>
      </c>
      <c r="R711" t="s">
        <v>1097</v>
      </c>
    </row>
    <row r="712" spans="1:18" hidden="1" x14ac:dyDescent="0.3">
      <c r="A712" s="19">
        <f t="shared" si="11"/>
        <v>711</v>
      </c>
      <c r="B712" s="20" t="s">
        <v>87</v>
      </c>
      <c r="C712" s="20" t="s">
        <v>102</v>
      </c>
      <c r="D712" s="21" t="str">
        <f>IF($C712="","",IFERROR(VLOOKUP($C712,Map_Register!$A$2:$C$5,3,FALSE()),""))</f>
        <v>Toponym Labels</v>
      </c>
      <c r="E712" s="20" t="s">
        <v>15</v>
      </c>
      <c r="F712" s="22">
        <v>785890</v>
      </c>
      <c r="G712" s="19" t="s">
        <v>1091</v>
      </c>
      <c r="H712" s="19" t="s">
        <v>2294</v>
      </c>
      <c r="I712" s="19" t="s">
        <v>2295</v>
      </c>
      <c r="J712" s="19" t="s">
        <v>1094</v>
      </c>
      <c r="K712" s="19" t="s">
        <v>6</v>
      </c>
      <c r="L712" s="19" t="s">
        <v>1095</v>
      </c>
      <c r="M712" s="19" t="s">
        <v>1095</v>
      </c>
      <c r="N712" s="19" t="s">
        <v>1105</v>
      </c>
      <c r="R712" t="s">
        <v>1097</v>
      </c>
    </row>
    <row r="713" spans="1:18" hidden="1" x14ac:dyDescent="0.3">
      <c r="A713" s="19">
        <f t="shared" si="11"/>
        <v>712</v>
      </c>
      <c r="B713" s="20" t="s">
        <v>87</v>
      </c>
      <c r="C713" s="20" t="s">
        <v>102</v>
      </c>
      <c r="D713" s="21" t="str">
        <f>IF($C713="","",IFERROR(VLOOKUP($C713,Map_Register!$A$2:$C$5,3,FALSE()),""))</f>
        <v>Toponym Labels</v>
      </c>
      <c r="E713" s="20" t="s">
        <v>15</v>
      </c>
      <c r="F713" s="22">
        <v>785891</v>
      </c>
      <c r="G713" s="19" t="s">
        <v>1145</v>
      </c>
      <c r="H713" s="19" t="s">
        <v>2296</v>
      </c>
      <c r="I713" s="19" t="s">
        <v>2297</v>
      </c>
      <c r="J713" s="19" t="s">
        <v>1094</v>
      </c>
      <c r="K713" s="19" t="s">
        <v>6</v>
      </c>
      <c r="L713" s="19" t="s">
        <v>1095</v>
      </c>
      <c r="M713" s="19" t="s">
        <v>1095</v>
      </c>
      <c r="N713" s="19" t="s">
        <v>1105</v>
      </c>
      <c r="R713" t="s">
        <v>1097</v>
      </c>
    </row>
    <row r="714" spans="1:18" hidden="1" x14ac:dyDescent="0.3">
      <c r="A714" s="19">
        <f t="shared" si="11"/>
        <v>713</v>
      </c>
      <c r="B714" s="20" t="s">
        <v>87</v>
      </c>
      <c r="C714" s="20" t="s">
        <v>102</v>
      </c>
      <c r="D714" s="21" t="str">
        <f>IF($C714="","",IFERROR(VLOOKUP($C714,Map_Register!$A$2:$C$5,3,FALSE()),""))</f>
        <v>Toponym Labels</v>
      </c>
      <c r="E714" s="20" t="s">
        <v>15</v>
      </c>
      <c r="F714" s="22">
        <v>785892</v>
      </c>
      <c r="G714" s="19" t="s">
        <v>1091</v>
      </c>
      <c r="H714" s="19" t="s">
        <v>2298</v>
      </c>
      <c r="I714" s="19" t="s">
        <v>2299</v>
      </c>
      <c r="J714" s="19" t="s">
        <v>1094</v>
      </c>
      <c r="K714" s="19" t="s">
        <v>6</v>
      </c>
      <c r="L714" s="19" t="s">
        <v>1095</v>
      </c>
      <c r="M714" s="19" t="s">
        <v>1095</v>
      </c>
      <c r="N714" s="19" t="s">
        <v>2300</v>
      </c>
      <c r="R714" t="s">
        <v>1097</v>
      </c>
    </row>
    <row r="715" spans="1:18" hidden="1" x14ac:dyDescent="0.3">
      <c r="A715" s="19">
        <f t="shared" si="11"/>
        <v>714</v>
      </c>
      <c r="B715" s="20" t="s">
        <v>87</v>
      </c>
      <c r="C715" s="20" t="s">
        <v>102</v>
      </c>
      <c r="D715" s="21" t="str">
        <f>IF($C715="","",IFERROR(VLOOKUP($C715,Map_Register!$A$2:$C$5,3,FALSE()),""))</f>
        <v>Toponym Labels</v>
      </c>
      <c r="E715" s="20" t="s">
        <v>15</v>
      </c>
      <c r="F715" s="22">
        <v>785893</v>
      </c>
      <c r="G715" s="19" t="s">
        <v>1125</v>
      </c>
      <c r="H715" s="19" t="s">
        <v>1578</v>
      </c>
      <c r="I715" s="19" t="s">
        <v>1578</v>
      </c>
      <c r="J715" s="19" t="s">
        <v>1110</v>
      </c>
      <c r="K715" t="s">
        <v>1100</v>
      </c>
      <c r="L715" s="19" t="s">
        <v>114</v>
      </c>
      <c r="M715" s="19" t="s">
        <v>114</v>
      </c>
      <c r="N715" s="19" t="s">
        <v>1751</v>
      </c>
      <c r="O715" s="19" t="s">
        <v>116</v>
      </c>
      <c r="R715" t="s">
        <v>1097</v>
      </c>
    </row>
    <row r="716" spans="1:18" hidden="1" x14ac:dyDescent="0.3">
      <c r="A716" s="19">
        <f t="shared" si="11"/>
        <v>715</v>
      </c>
      <c r="B716" s="20" t="s">
        <v>87</v>
      </c>
      <c r="C716" s="20" t="s">
        <v>102</v>
      </c>
      <c r="D716" s="21" t="str">
        <f>IF($C716="","",IFERROR(VLOOKUP($C716,Map_Register!$A$2:$C$5,3,FALSE()),""))</f>
        <v>Toponym Labels</v>
      </c>
      <c r="E716" s="20" t="s">
        <v>15</v>
      </c>
      <c r="F716" s="22">
        <v>785894</v>
      </c>
      <c r="G716" s="19" t="s">
        <v>1108</v>
      </c>
      <c r="H716" s="19" t="s">
        <v>2301</v>
      </c>
      <c r="I716" s="19" t="s">
        <v>2302</v>
      </c>
      <c r="J716" s="19" t="s">
        <v>1094</v>
      </c>
      <c r="K716" s="19" t="s">
        <v>6</v>
      </c>
      <c r="L716" s="19" t="s">
        <v>1095</v>
      </c>
      <c r="M716" s="19" t="s">
        <v>1095</v>
      </c>
      <c r="N716" s="19" t="s">
        <v>1105</v>
      </c>
      <c r="R716" t="s">
        <v>1097</v>
      </c>
    </row>
    <row r="717" spans="1:18" hidden="1" x14ac:dyDescent="0.3">
      <c r="A717" s="19">
        <f t="shared" si="11"/>
        <v>716</v>
      </c>
      <c r="B717" s="20" t="s">
        <v>87</v>
      </c>
      <c r="C717" s="20" t="s">
        <v>102</v>
      </c>
      <c r="D717" s="21" t="str">
        <f>IF($C717="","",IFERROR(VLOOKUP($C717,Map_Register!$A$2:$C$5,3,FALSE()),""))</f>
        <v>Toponym Labels</v>
      </c>
      <c r="E717" s="20" t="s">
        <v>15</v>
      </c>
      <c r="F717" s="22">
        <v>785895</v>
      </c>
      <c r="G717" s="19" t="s">
        <v>1108</v>
      </c>
      <c r="H717" s="19" t="s">
        <v>2303</v>
      </c>
      <c r="I717" s="19" t="s">
        <v>2304</v>
      </c>
      <c r="J717" s="19" t="s">
        <v>1094</v>
      </c>
      <c r="K717" s="19" t="s">
        <v>6</v>
      </c>
      <c r="L717" s="19" t="s">
        <v>1095</v>
      </c>
      <c r="M717" s="19" t="s">
        <v>1095</v>
      </c>
      <c r="N717" s="19" t="s">
        <v>1105</v>
      </c>
      <c r="R717" t="s">
        <v>1097</v>
      </c>
    </row>
    <row r="718" spans="1:18" hidden="1" x14ac:dyDescent="0.3">
      <c r="A718" s="19">
        <f t="shared" si="11"/>
        <v>717</v>
      </c>
      <c r="B718" s="20" t="s">
        <v>87</v>
      </c>
      <c r="C718" s="20" t="s">
        <v>102</v>
      </c>
      <c r="D718" s="21" t="str">
        <f>IF($C718="","",IFERROR(VLOOKUP($C718,Map_Register!$A$2:$C$5,3,FALSE()),""))</f>
        <v>Toponym Labels</v>
      </c>
      <c r="E718" s="20" t="s">
        <v>15</v>
      </c>
      <c r="F718" s="22">
        <v>785896</v>
      </c>
      <c r="G718" s="19" t="s">
        <v>1118</v>
      </c>
      <c r="H718" s="19" t="s">
        <v>2305</v>
      </c>
      <c r="I718" s="19" t="s">
        <v>2305</v>
      </c>
      <c r="J718" s="19" t="s">
        <v>1110</v>
      </c>
      <c r="K718" t="s">
        <v>1100</v>
      </c>
      <c r="L718" s="19" t="s">
        <v>114</v>
      </c>
      <c r="M718" s="19" t="s">
        <v>1121</v>
      </c>
      <c r="N718" s="19" t="s">
        <v>1178</v>
      </c>
      <c r="O718" s="19" t="s">
        <v>116</v>
      </c>
      <c r="R718" t="s">
        <v>1097</v>
      </c>
    </row>
    <row r="719" spans="1:18" hidden="1" x14ac:dyDescent="0.3">
      <c r="A719" s="19">
        <f t="shared" si="11"/>
        <v>718</v>
      </c>
      <c r="B719" s="20" t="s">
        <v>87</v>
      </c>
      <c r="C719" s="20" t="s">
        <v>102</v>
      </c>
      <c r="D719" s="21" t="str">
        <f>IF($C719="","",IFERROR(VLOOKUP($C719,Map_Register!$A$2:$C$5,3,FALSE()),""))</f>
        <v>Toponym Labels</v>
      </c>
      <c r="E719" s="20" t="s">
        <v>15</v>
      </c>
      <c r="F719" s="22">
        <v>785897</v>
      </c>
      <c r="G719" s="19" t="s">
        <v>2306</v>
      </c>
      <c r="H719" s="19" t="s">
        <v>2307</v>
      </c>
      <c r="I719" s="19" t="s">
        <v>2307</v>
      </c>
      <c r="J719" s="19" t="s">
        <v>1110</v>
      </c>
      <c r="K719" s="19" t="s">
        <v>6</v>
      </c>
      <c r="L719" s="19" t="s">
        <v>1095</v>
      </c>
      <c r="M719" s="19" t="s">
        <v>1095</v>
      </c>
      <c r="N719" s="19" t="s">
        <v>2308</v>
      </c>
      <c r="R719" t="s">
        <v>1097</v>
      </c>
    </row>
    <row r="720" spans="1:18" hidden="1" x14ac:dyDescent="0.3">
      <c r="A720" s="19">
        <f t="shared" si="11"/>
        <v>719</v>
      </c>
      <c r="B720" s="20" t="s">
        <v>87</v>
      </c>
      <c r="C720" s="20" t="s">
        <v>102</v>
      </c>
      <c r="D720" s="21" t="str">
        <f>IF($C720="","",IFERROR(VLOOKUP($C720,Map_Register!$A$2:$C$5,3,FALSE()),""))</f>
        <v>Toponym Labels</v>
      </c>
      <c r="E720" s="20" t="s">
        <v>15</v>
      </c>
      <c r="F720" s="22">
        <v>785898</v>
      </c>
      <c r="G720" s="19" t="s">
        <v>1108</v>
      </c>
      <c r="H720" s="19" t="s">
        <v>2309</v>
      </c>
      <c r="I720" s="19" t="s">
        <v>2309</v>
      </c>
      <c r="J720" s="19" t="s">
        <v>1110</v>
      </c>
      <c r="K720" s="19" t="s">
        <v>6</v>
      </c>
      <c r="L720" s="19" t="s">
        <v>1095</v>
      </c>
      <c r="M720" s="19" t="s">
        <v>1095</v>
      </c>
      <c r="N720" s="19" t="s">
        <v>1111</v>
      </c>
      <c r="R720" t="s">
        <v>1097</v>
      </c>
    </row>
    <row r="721" spans="1:18" hidden="1" x14ac:dyDescent="0.3">
      <c r="A721" s="19">
        <f t="shared" si="11"/>
        <v>720</v>
      </c>
      <c r="B721" s="20" t="s">
        <v>87</v>
      </c>
      <c r="C721" s="20" t="s">
        <v>102</v>
      </c>
      <c r="D721" s="21" t="str">
        <f>IF($C721="","",IFERROR(VLOOKUP($C721,Map_Register!$A$2:$C$5,3,FALSE()),""))</f>
        <v>Toponym Labels</v>
      </c>
      <c r="E721" s="20" t="s">
        <v>15</v>
      </c>
      <c r="F721" s="22">
        <v>785899</v>
      </c>
      <c r="G721" s="19" t="s">
        <v>1091</v>
      </c>
      <c r="H721" s="19" t="s">
        <v>2310</v>
      </c>
      <c r="I721" s="19" t="s">
        <v>2311</v>
      </c>
      <c r="J721" s="19" t="s">
        <v>1094</v>
      </c>
      <c r="K721" s="19" t="s">
        <v>6</v>
      </c>
      <c r="L721" s="19" t="s">
        <v>1095</v>
      </c>
      <c r="M721" s="19" t="s">
        <v>1095</v>
      </c>
      <c r="N721" s="19" t="s">
        <v>1105</v>
      </c>
      <c r="R721" t="s">
        <v>1097</v>
      </c>
    </row>
    <row r="722" spans="1:18" hidden="1" x14ac:dyDescent="0.3">
      <c r="A722" s="19">
        <f t="shared" si="11"/>
        <v>721</v>
      </c>
      <c r="B722" s="20" t="s">
        <v>87</v>
      </c>
      <c r="C722" s="20" t="s">
        <v>102</v>
      </c>
      <c r="D722" s="21" t="str">
        <f>IF($C722="","",IFERROR(VLOOKUP($C722,Map_Register!$A$2:$C$5,3,FALSE()),""))</f>
        <v>Toponym Labels</v>
      </c>
      <c r="E722" s="20" t="s">
        <v>15</v>
      </c>
      <c r="F722" s="22">
        <v>785900</v>
      </c>
      <c r="G722" s="19" t="s">
        <v>1223</v>
      </c>
      <c r="H722" s="19" t="s">
        <v>979</v>
      </c>
      <c r="I722" s="19" t="s">
        <v>2312</v>
      </c>
      <c r="J722" s="19" t="s">
        <v>1094</v>
      </c>
      <c r="K722" s="19" t="s">
        <v>6</v>
      </c>
      <c r="L722" s="19" t="s">
        <v>1095</v>
      </c>
      <c r="M722" s="19" t="s">
        <v>1095</v>
      </c>
      <c r="N722" s="19" t="s">
        <v>1105</v>
      </c>
      <c r="R722" t="s">
        <v>1097</v>
      </c>
    </row>
    <row r="723" spans="1:18" hidden="1" x14ac:dyDescent="0.3">
      <c r="A723" s="19">
        <f t="shared" si="11"/>
        <v>722</v>
      </c>
      <c r="B723" s="20" t="s">
        <v>87</v>
      </c>
      <c r="C723" s="20" t="s">
        <v>102</v>
      </c>
      <c r="D723" s="21" t="str">
        <f>IF($C723="","",IFERROR(VLOOKUP($C723,Map_Register!$A$2:$C$5,3,FALSE()),""))</f>
        <v>Toponym Labels</v>
      </c>
      <c r="E723" s="20" t="s">
        <v>15</v>
      </c>
      <c r="F723" s="22">
        <v>785901</v>
      </c>
      <c r="G723" s="19" t="s">
        <v>1108</v>
      </c>
      <c r="H723" s="19" t="s">
        <v>2313</v>
      </c>
      <c r="I723" s="19" t="s">
        <v>2314</v>
      </c>
      <c r="J723" s="19" t="s">
        <v>1094</v>
      </c>
      <c r="K723" s="19" t="s">
        <v>6</v>
      </c>
      <c r="L723" s="19" t="s">
        <v>1095</v>
      </c>
      <c r="M723" s="19" t="s">
        <v>1095</v>
      </c>
      <c r="N723" s="19" t="s">
        <v>1105</v>
      </c>
      <c r="R723" t="s">
        <v>1097</v>
      </c>
    </row>
    <row r="724" spans="1:18" hidden="1" x14ac:dyDescent="0.3">
      <c r="A724" s="19">
        <f t="shared" si="11"/>
        <v>723</v>
      </c>
      <c r="B724" s="20" t="s">
        <v>87</v>
      </c>
      <c r="C724" s="20" t="s">
        <v>102</v>
      </c>
      <c r="D724" s="21" t="str">
        <f>IF($C724="","",IFERROR(VLOOKUP($C724,Map_Register!$A$2:$C$5,3,FALSE()),""))</f>
        <v>Toponym Labels</v>
      </c>
      <c r="E724" s="20" t="s">
        <v>15</v>
      </c>
      <c r="F724" s="22">
        <v>785902</v>
      </c>
      <c r="G724" s="19" t="s">
        <v>1108</v>
      </c>
      <c r="H724" s="19" t="s">
        <v>2315</v>
      </c>
      <c r="I724" s="19" t="s">
        <v>2316</v>
      </c>
      <c r="J724" s="19" t="s">
        <v>1104</v>
      </c>
      <c r="K724" s="19" t="s">
        <v>6</v>
      </c>
      <c r="L724" s="19" t="s">
        <v>1095</v>
      </c>
      <c r="M724" s="19" t="s">
        <v>1095</v>
      </c>
      <c r="N724" s="19" t="s">
        <v>1105</v>
      </c>
      <c r="R724" t="s">
        <v>1097</v>
      </c>
    </row>
    <row r="725" spans="1:18" hidden="1" x14ac:dyDescent="0.3">
      <c r="A725" s="19">
        <f t="shared" si="11"/>
        <v>724</v>
      </c>
      <c r="B725" s="20" t="s">
        <v>87</v>
      </c>
      <c r="C725" s="20" t="s">
        <v>102</v>
      </c>
      <c r="D725" s="21" t="str">
        <f>IF($C725="","",IFERROR(VLOOKUP($C725,Map_Register!$A$2:$C$5,3,FALSE()),""))</f>
        <v>Toponym Labels</v>
      </c>
      <c r="E725" s="20" t="s">
        <v>15</v>
      </c>
      <c r="F725" s="22">
        <v>785903</v>
      </c>
      <c r="G725" s="19" t="s">
        <v>1091</v>
      </c>
      <c r="H725" s="19" t="s">
        <v>2317</v>
      </c>
      <c r="I725" s="19" t="s">
        <v>2318</v>
      </c>
      <c r="J725" s="19" t="s">
        <v>1094</v>
      </c>
      <c r="K725" s="19" t="s">
        <v>6</v>
      </c>
      <c r="L725" s="19" t="s">
        <v>1095</v>
      </c>
      <c r="M725" s="19" t="s">
        <v>1095</v>
      </c>
      <c r="N725" s="19" t="s">
        <v>1105</v>
      </c>
      <c r="R725" t="s">
        <v>1097</v>
      </c>
    </row>
    <row r="726" spans="1:18" hidden="1" x14ac:dyDescent="0.3">
      <c r="A726" s="19">
        <f t="shared" si="11"/>
        <v>725</v>
      </c>
      <c r="B726" s="20" t="s">
        <v>87</v>
      </c>
      <c r="C726" s="20" t="s">
        <v>102</v>
      </c>
      <c r="D726" s="21" t="str">
        <f>IF($C726="","",IFERROR(VLOOKUP($C726,Map_Register!$A$2:$C$5,3,FALSE()),""))</f>
        <v>Toponym Labels</v>
      </c>
      <c r="E726" s="20" t="s">
        <v>15</v>
      </c>
      <c r="F726" s="22">
        <v>785904</v>
      </c>
      <c r="G726" s="19" t="s">
        <v>1125</v>
      </c>
      <c r="H726" s="19" t="s">
        <v>2319</v>
      </c>
      <c r="I726" s="19" t="s">
        <v>2320</v>
      </c>
      <c r="J726" s="19" t="s">
        <v>1094</v>
      </c>
      <c r="K726" s="19" t="s">
        <v>6</v>
      </c>
      <c r="L726" s="19" t="s">
        <v>1095</v>
      </c>
      <c r="M726" s="19" t="s">
        <v>1095</v>
      </c>
      <c r="N726" s="19" t="s">
        <v>1105</v>
      </c>
      <c r="R726" t="s">
        <v>1097</v>
      </c>
    </row>
    <row r="727" spans="1:18" hidden="1" x14ac:dyDescent="0.3">
      <c r="A727" s="19">
        <f t="shared" si="11"/>
        <v>726</v>
      </c>
      <c r="B727" s="20" t="s">
        <v>87</v>
      </c>
      <c r="C727" s="20" t="s">
        <v>102</v>
      </c>
      <c r="D727" s="21" t="str">
        <f>IF($C727="","",IFERROR(VLOOKUP($C727,Map_Register!$A$2:$C$5,3,FALSE()),""))</f>
        <v>Toponym Labels</v>
      </c>
      <c r="E727" s="20" t="s">
        <v>15</v>
      </c>
      <c r="F727" s="22">
        <v>785905</v>
      </c>
      <c r="G727" s="19" t="s">
        <v>1108</v>
      </c>
      <c r="H727" s="19" t="s">
        <v>2321</v>
      </c>
      <c r="I727" s="19" t="s">
        <v>2322</v>
      </c>
      <c r="J727" s="19" t="s">
        <v>1104</v>
      </c>
      <c r="K727" s="19" t="s">
        <v>6</v>
      </c>
      <c r="L727" s="19" t="s">
        <v>1095</v>
      </c>
      <c r="M727" s="19" t="s">
        <v>1095</v>
      </c>
      <c r="N727" s="19" t="s">
        <v>1105</v>
      </c>
      <c r="R727" t="s">
        <v>1097</v>
      </c>
    </row>
    <row r="728" spans="1:18" hidden="1" x14ac:dyDescent="0.3">
      <c r="A728" s="19">
        <f t="shared" si="11"/>
        <v>727</v>
      </c>
      <c r="B728" s="20" t="s">
        <v>87</v>
      </c>
      <c r="C728" s="20" t="s">
        <v>102</v>
      </c>
      <c r="D728" s="21" t="str">
        <f>IF($C728="","",IFERROR(VLOOKUP($C728,Map_Register!$A$2:$C$5,3,FALSE()),""))</f>
        <v>Toponym Labels</v>
      </c>
      <c r="E728" s="20" t="s">
        <v>15</v>
      </c>
      <c r="F728" s="22">
        <v>785906</v>
      </c>
      <c r="G728" s="19" t="s">
        <v>1091</v>
      </c>
      <c r="H728" s="19" t="s">
        <v>2323</v>
      </c>
      <c r="I728" s="19" t="s">
        <v>2324</v>
      </c>
      <c r="J728" s="19" t="s">
        <v>1104</v>
      </c>
      <c r="K728" s="19" t="s">
        <v>6</v>
      </c>
      <c r="L728" s="19" t="s">
        <v>1095</v>
      </c>
      <c r="M728" s="19" t="s">
        <v>1095</v>
      </c>
      <c r="N728" s="19" t="s">
        <v>1105</v>
      </c>
      <c r="R728" t="s">
        <v>1097</v>
      </c>
    </row>
    <row r="729" spans="1:18" hidden="1" x14ac:dyDescent="0.3">
      <c r="A729" s="19">
        <f t="shared" si="11"/>
        <v>728</v>
      </c>
      <c r="B729" s="20" t="s">
        <v>87</v>
      </c>
      <c r="C729" s="20" t="s">
        <v>102</v>
      </c>
      <c r="D729" s="21" t="str">
        <f>IF($C729="","",IFERROR(VLOOKUP($C729,Map_Register!$A$2:$C$5,3,FALSE()),""))</f>
        <v>Toponym Labels</v>
      </c>
      <c r="E729" s="20" t="s">
        <v>15</v>
      </c>
      <c r="F729" s="22">
        <v>785907</v>
      </c>
      <c r="G729" s="19" t="s">
        <v>1091</v>
      </c>
      <c r="H729" s="19" t="s">
        <v>2325</v>
      </c>
      <c r="I729" s="19" t="s">
        <v>2326</v>
      </c>
      <c r="J729" s="19" t="s">
        <v>1104</v>
      </c>
      <c r="K729" s="19" t="s">
        <v>6</v>
      </c>
      <c r="L729" s="19" t="s">
        <v>1095</v>
      </c>
      <c r="M729" s="19" t="s">
        <v>1095</v>
      </c>
      <c r="N729" s="19" t="s">
        <v>1105</v>
      </c>
      <c r="R729" t="s">
        <v>1097</v>
      </c>
    </row>
    <row r="730" spans="1:18" hidden="1" x14ac:dyDescent="0.3">
      <c r="A730" s="19">
        <f t="shared" si="11"/>
        <v>729</v>
      </c>
      <c r="B730" s="20" t="s">
        <v>87</v>
      </c>
      <c r="C730" s="20" t="s">
        <v>102</v>
      </c>
      <c r="D730" s="21" t="str">
        <f>IF($C730="","",IFERROR(VLOOKUP($C730,Map_Register!$A$2:$C$5,3,FALSE()),""))</f>
        <v>Toponym Labels</v>
      </c>
      <c r="E730" s="20" t="s">
        <v>15</v>
      </c>
      <c r="F730" s="22">
        <v>785908</v>
      </c>
      <c r="G730" s="19" t="s">
        <v>1145</v>
      </c>
      <c r="H730" s="19" t="s">
        <v>2327</v>
      </c>
      <c r="I730" s="19" t="s">
        <v>2328</v>
      </c>
      <c r="J730" s="19" t="s">
        <v>1094</v>
      </c>
      <c r="K730" s="19" t="s">
        <v>6</v>
      </c>
      <c r="L730" s="19" t="s">
        <v>1095</v>
      </c>
      <c r="M730" s="19" t="s">
        <v>1095</v>
      </c>
      <c r="N730" s="19" t="s">
        <v>1105</v>
      </c>
      <c r="R730" t="s">
        <v>1097</v>
      </c>
    </row>
    <row r="731" spans="1:18" hidden="1" x14ac:dyDescent="0.3">
      <c r="A731" s="19">
        <f t="shared" si="11"/>
        <v>730</v>
      </c>
      <c r="B731" s="20" t="s">
        <v>87</v>
      </c>
      <c r="C731" s="20" t="s">
        <v>102</v>
      </c>
      <c r="D731" s="21" t="str">
        <f>IF($C731="","",IFERROR(VLOOKUP($C731,Map_Register!$A$2:$C$5,3,FALSE()),""))</f>
        <v>Toponym Labels</v>
      </c>
      <c r="E731" s="20" t="s">
        <v>15</v>
      </c>
      <c r="F731" s="22">
        <v>785909</v>
      </c>
      <c r="G731" s="19" t="s">
        <v>1108</v>
      </c>
      <c r="H731" s="19" t="s">
        <v>2329</v>
      </c>
      <c r="I731" s="19" t="s">
        <v>2330</v>
      </c>
      <c r="J731" s="19" t="s">
        <v>1104</v>
      </c>
      <c r="K731" s="19" t="s">
        <v>6</v>
      </c>
      <c r="L731" s="19" t="s">
        <v>1095</v>
      </c>
      <c r="M731" s="19" t="s">
        <v>1095</v>
      </c>
      <c r="N731" s="19" t="s">
        <v>1105</v>
      </c>
      <c r="R731" t="s">
        <v>1097</v>
      </c>
    </row>
    <row r="732" spans="1:18" hidden="1" x14ac:dyDescent="0.3">
      <c r="A732" s="19">
        <f t="shared" si="11"/>
        <v>731</v>
      </c>
      <c r="B732" s="20" t="s">
        <v>87</v>
      </c>
      <c r="C732" s="20" t="s">
        <v>102</v>
      </c>
      <c r="D732" s="21" t="str">
        <f>IF($C732="","",IFERROR(VLOOKUP($C732,Map_Register!$A$2:$C$5,3,FALSE()),""))</f>
        <v>Toponym Labels</v>
      </c>
      <c r="E732" s="20" t="s">
        <v>15</v>
      </c>
      <c r="F732" s="22">
        <v>785910</v>
      </c>
      <c r="G732" s="19" t="s">
        <v>1108</v>
      </c>
      <c r="H732" s="19" t="s">
        <v>2331</v>
      </c>
      <c r="I732" s="19" t="s">
        <v>2332</v>
      </c>
      <c r="J732" s="19" t="s">
        <v>1094</v>
      </c>
      <c r="K732" s="19" t="s">
        <v>6</v>
      </c>
      <c r="L732" s="19" t="s">
        <v>1095</v>
      </c>
      <c r="M732" s="19" t="s">
        <v>1095</v>
      </c>
      <c r="N732" s="19" t="s">
        <v>1105</v>
      </c>
      <c r="R732" t="s">
        <v>1097</v>
      </c>
    </row>
    <row r="733" spans="1:18" hidden="1" x14ac:dyDescent="0.3">
      <c r="A733" s="19">
        <f t="shared" si="11"/>
        <v>732</v>
      </c>
      <c r="B733" s="20" t="s">
        <v>87</v>
      </c>
      <c r="C733" s="20" t="s">
        <v>102</v>
      </c>
      <c r="D733" s="21" t="str">
        <f>IF($C733="","",IFERROR(VLOOKUP($C733,Map_Register!$A$2:$C$5,3,FALSE()),""))</f>
        <v>Toponym Labels</v>
      </c>
      <c r="E733" s="20" t="s">
        <v>15</v>
      </c>
      <c r="F733" s="22">
        <v>785911</v>
      </c>
      <c r="G733" s="19" t="s">
        <v>1091</v>
      </c>
      <c r="H733" s="19" t="s">
        <v>2333</v>
      </c>
      <c r="I733" s="19" t="s">
        <v>2334</v>
      </c>
      <c r="J733" s="19" t="s">
        <v>1104</v>
      </c>
      <c r="K733" s="19" t="s">
        <v>6</v>
      </c>
      <c r="L733" s="19" t="s">
        <v>1095</v>
      </c>
      <c r="M733" s="19" t="s">
        <v>1095</v>
      </c>
      <c r="N733" s="19" t="s">
        <v>2335</v>
      </c>
      <c r="R733" t="s">
        <v>1097</v>
      </c>
    </row>
    <row r="734" spans="1:18" hidden="1" x14ac:dyDescent="0.3">
      <c r="A734" s="19">
        <f t="shared" si="11"/>
        <v>733</v>
      </c>
      <c r="B734" s="20" t="s">
        <v>87</v>
      </c>
      <c r="C734" s="20" t="s">
        <v>102</v>
      </c>
      <c r="D734" s="21" t="str">
        <f>IF($C734="","",IFERROR(VLOOKUP($C734,Map_Register!$A$2:$C$5,3,FALSE()),""))</f>
        <v>Toponym Labels</v>
      </c>
      <c r="E734" s="20" t="s">
        <v>15</v>
      </c>
      <c r="F734" s="22">
        <v>785912</v>
      </c>
      <c r="G734" s="19" t="s">
        <v>1309</v>
      </c>
      <c r="H734" s="19" t="s">
        <v>2336</v>
      </c>
      <c r="I734" s="19" t="s">
        <v>2336</v>
      </c>
      <c r="J734" s="19" t="s">
        <v>1110</v>
      </c>
      <c r="K734" t="s">
        <v>1100</v>
      </c>
      <c r="L734" t="s">
        <v>114</v>
      </c>
      <c r="M734" t="s">
        <v>114</v>
      </c>
      <c r="N734" s="19" t="s">
        <v>530</v>
      </c>
      <c r="O734" s="19" t="s">
        <v>116</v>
      </c>
      <c r="R734" t="s">
        <v>1097</v>
      </c>
    </row>
    <row r="735" spans="1:18" hidden="1" x14ac:dyDescent="0.3">
      <c r="A735" s="19">
        <f t="shared" si="11"/>
        <v>734</v>
      </c>
      <c r="B735" s="20" t="s">
        <v>87</v>
      </c>
      <c r="C735" s="20" t="s">
        <v>102</v>
      </c>
      <c r="D735" s="21" t="str">
        <f>IF($C735="","",IFERROR(VLOOKUP($C735,Map_Register!$A$2:$C$5,3,FALSE()),""))</f>
        <v>Toponym Labels</v>
      </c>
      <c r="E735" s="20" t="s">
        <v>15</v>
      </c>
      <c r="F735" s="22">
        <v>785913</v>
      </c>
      <c r="G735" s="19" t="s">
        <v>1125</v>
      </c>
      <c r="H735" s="19" t="s">
        <v>2337</v>
      </c>
      <c r="I735" s="19" t="s">
        <v>2337</v>
      </c>
      <c r="J735" s="19" t="s">
        <v>1110</v>
      </c>
      <c r="K735" t="s">
        <v>1100</v>
      </c>
      <c r="L735" s="19" t="s">
        <v>114</v>
      </c>
      <c r="M735" s="19" t="s">
        <v>114</v>
      </c>
      <c r="N735" s="19" t="s">
        <v>2338</v>
      </c>
      <c r="O735" s="19" t="s">
        <v>116</v>
      </c>
      <c r="R735" t="s">
        <v>1097</v>
      </c>
    </row>
    <row r="736" spans="1:18" x14ac:dyDescent="0.3">
      <c r="A736" s="19">
        <f t="shared" si="11"/>
        <v>735</v>
      </c>
      <c r="B736" s="20" t="s">
        <v>87</v>
      </c>
      <c r="C736" s="20" t="s">
        <v>102</v>
      </c>
      <c r="D736" s="21" t="str">
        <f>IF($C736="","",IFERROR(VLOOKUP($C736,Map_Register!$A$2:$C$5,3,FALSE()),""))</f>
        <v>Toponym Labels</v>
      </c>
      <c r="E736" s="20" t="s">
        <v>15</v>
      </c>
      <c r="F736" s="22">
        <v>785914</v>
      </c>
      <c r="G736" s="19" t="s">
        <v>1125</v>
      </c>
      <c r="H736" s="19" t="s">
        <v>2339</v>
      </c>
      <c r="I736" s="19" t="s">
        <v>2339</v>
      </c>
      <c r="J736" s="19" t="s">
        <v>1110</v>
      </c>
      <c r="K736" t="s">
        <v>1100</v>
      </c>
      <c r="L736" t="s">
        <v>114</v>
      </c>
      <c r="M736" t="s">
        <v>116</v>
      </c>
      <c r="N736" s="19" t="s">
        <v>1415</v>
      </c>
      <c r="O736" s="19" t="s">
        <v>116</v>
      </c>
      <c r="R736" t="s">
        <v>1097</v>
      </c>
    </row>
    <row r="737" spans="1:18" hidden="1" x14ac:dyDescent="0.3">
      <c r="A737" s="19">
        <f t="shared" si="11"/>
        <v>736</v>
      </c>
      <c r="B737" s="20" t="s">
        <v>87</v>
      </c>
      <c r="C737" s="20" t="s">
        <v>102</v>
      </c>
      <c r="D737" s="21" t="str">
        <f>IF($C737="","",IFERROR(VLOOKUP($C737,Map_Register!$A$2:$C$5,3,FALSE()),""))</f>
        <v>Toponym Labels</v>
      </c>
      <c r="E737" s="20" t="s">
        <v>15</v>
      </c>
      <c r="F737" s="22">
        <v>785915</v>
      </c>
      <c r="G737" s="19" t="s">
        <v>1091</v>
      </c>
      <c r="H737" s="19" t="s">
        <v>2340</v>
      </c>
      <c r="I737" s="19" t="s">
        <v>2341</v>
      </c>
      <c r="J737" s="19" t="s">
        <v>1094</v>
      </c>
      <c r="K737" s="19" t="s">
        <v>6</v>
      </c>
      <c r="L737" s="19" t="s">
        <v>1095</v>
      </c>
      <c r="M737" s="19" t="s">
        <v>1095</v>
      </c>
      <c r="N737" s="19" t="s">
        <v>2342</v>
      </c>
      <c r="R737" t="s">
        <v>1097</v>
      </c>
    </row>
    <row r="738" spans="1:18" hidden="1" x14ac:dyDescent="0.3">
      <c r="A738" s="19">
        <f t="shared" si="11"/>
        <v>737</v>
      </c>
      <c r="B738" s="20" t="s">
        <v>87</v>
      </c>
      <c r="C738" s="20" t="s">
        <v>102</v>
      </c>
      <c r="D738" s="21" t="str">
        <f>IF($C738="","",IFERROR(VLOOKUP($C738,Map_Register!$A$2:$C$5,3,FALSE()),""))</f>
        <v>Toponym Labels</v>
      </c>
      <c r="E738" s="20" t="s">
        <v>15</v>
      </c>
      <c r="F738" s="22">
        <v>785916</v>
      </c>
      <c r="G738" s="19" t="s">
        <v>1091</v>
      </c>
      <c r="H738" s="19" t="s">
        <v>2218</v>
      </c>
      <c r="I738" s="19" t="s">
        <v>2343</v>
      </c>
      <c r="J738" s="19" t="s">
        <v>1094</v>
      </c>
      <c r="K738" t="s">
        <v>1100</v>
      </c>
      <c r="L738" s="19" t="s">
        <v>114</v>
      </c>
      <c r="M738" s="19" t="s">
        <v>1121</v>
      </c>
      <c r="N738" s="19" t="s">
        <v>1751</v>
      </c>
      <c r="O738" s="19" t="s">
        <v>116</v>
      </c>
      <c r="R738" t="s">
        <v>1097</v>
      </c>
    </row>
    <row r="739" spans="1:18" hidden="1" x14ac:dyDescent="0.3">
      <c r="A739" s="19">
        <f t="shared" si="11"/>
        <v>738</v>
      </c>
      <c r="B739" s="20" t="s">
        <v>87</v>
      </c>
      <c r="C739" s="20" t="s">
        <v>102</v>
      </c>
      <c r="D739" s="21" t="str">
        <f>IF($C739="","",IFERROR(VLOOKUP($C739,Map_Register!$A$2:$C$5,3,FALSE()),""))</f>
        <v>Toponym Labels</v>
      </c>
      <c r="E739" s="20" t="s">
        <v>15</v>
      </c>
      <c r="F739" s="22">
        <v>785917</v>
      </c>
      <c r="G739" s="19" t="s">
        <v>1091</v>
      </c>
      <c r="H739" s="19" t="s">
        <v>1629</v>
      </c>
      <c r="I739" s="19" t="s">
        <v>1629</v>
      </c>
      <c r="J739" s="19" t="s">
        <v>1110</v>
      </c>
      <c r="K739" t="s">
        <v>1100</v>
      </c>
      <c r="L739" t="s">
        <v>114</v>
      </c>
      <c r="M739" t="s">
        <v>114</v>
      </c>
      <c r="N739" s="19" t="s">
        <v>2344</v>
      </c>
      <c r="O739" s="19" t="s">
        <v>116</v>
      </c>
      <c r="R739" t="s">
        <v>1097</v>
      </c>
    </row>
    <row r="740" spans="1:18" hidden="1" x14ac:dyDescent="0.3">
      <c r="A740" s="19">
        <f t="shared" si="11"/>
        <v>739</v>
      </c>
      <c r="B740" s="20" t="s">
        <v>87</v>
      </c>
      <c r="C740" s="20" t="s">
        <v>102</v>
      </c>
      <c r="D740" s="21" t="str">
        <f>IF($C740="","",IFERROR(VLOOKUP($C740,Map_Register!$A$2:$C$5,3,FALSE()),""))</f>
        <v>Toponym Labels</v>
      </c>
      <c r="E740" s="20" t="s">
        <v>15</v>
      </c>
      <c r="F740" s="22">
        <v>785918</v>
      </c>
      <c r="G740" s="19" t="s">
        <v>1108</v>
      </c>
      <c r="H740" s="19" t="s">
        <v>2345</v>
      </c>
      <c r="I740" s="19" t="s">
        <v>2346</v>
      </c>
      <c r="J740" s="19" t="s">
        <v>1104</v>
      </c>
      <c r="K740" s="19" t="s">
        <v>6</v>
      </c>
      <c r="L740" s="19" t="s">
        <v>1095</v>
      </c>
      <c r="M740" s="19" t="s">
        <v>1095</v>
      </c>
      <c r="N740" s="19" t="s">
        <v>1105</v>
      </c>
      <c r="R740" t="s">
        <v>1097</v>
      </c>
    </row>
    <row r="741" spans="1:18" hidden="1" x14ac:dyDescent="0.3">
      <c r="A741" s="19">
        <f t="shared" si="11"/>
        <v>740</v>
      </c>
      <c r="B741" s="20" t="s">
        <v>87</v>
      </c>
      <c r="C741" s="20" t="s">
        <v>102</v>
      </c>
      <c r="D741" s="21" t="str">
        <f>IF($C741="","",IFERROR(VLOOKUP($C741,Map_Register!$A$2:$C$5,3,FALSE()),""))</f>
        <v>Toponym Labels</v>
      </c>
      <c r="E741" s="20" t="s">
        <v>15</v>
      </c>
      <c r="F741" s="22">
        <v>785919</v>
      </c>
      <c r="G741" s="19" t="s">
        <v>1108</v>
      </c>
      <c r="H741" s="19" t="s">
        <v>2347</v>
      </c>
      <c r="I741" s="19" t="s">
        <v>2348</v>
      </c>
      <c r="J741" s="19" t="s">
        <v>1104</v>
      </c>
      <c r="K741" s="19" t="s">
        <v>6</v>
      </c>
      <c r="L741" s="19" t="s">
        <v>1095</v>
      </c>
      <c r="M741" s="19" t="s">
        <v>1095</v>
      </c>
      <c r="N741" s="19" t="s">
        <v>1105</v>
      </c>
      <c r="R741" t="s">
        <v>1097</v>
      </c>
    </row>
    <row r="742" spans="1:18" hidden="1" x14ac:dyDescent="0.3">
      <c r="A742" s="19">
        <f t="shared" si="11"/>
        <v>741</v>
      </c>
      <c r="B742" s="20" t="s">
        <v>87</v>
      </c>
      <c r="C742" s="20" t="s">
        <v>102</v>
      </c>
      <c r="D742" s="21" t="str">
        <f>IF($C742="","",IFERROR(VLOOKUP($C742,Map_Register!$A$2:$C$5,3,FALSE()),""))</f>
        <v>Toponym Labels</v>
      </c>
      <c r="E742" s="20" t="s">
        <v>15</v>
      </c>
      <c r="F742" s="22">
        <v>785920</v>
      </c>
      <c r="G742" s="19" t="s">
        <v>2084</v>
      </c>
      <c r="H742" s="19" t="s">
        <v>2349</v>
      </c>
      <c r="I742" s="19" t="s">
        <v>2350</v>
      </c>
      <c r="J742" s="19" t="s">
        <v>1094</v>
      </c>
      <c r="K742" s="19" t="s">
        <v>6</v>
      </c>
      <c r="L742" s="19" t="s">
        <v>1095</v>
      </c>
      <c r="M742" s="19" t="s">
        <v>1095</v>
      </c>
      <c r="N742" s="19" t="s">
        <v>1105</v>
      </c>
      <c r="R742" t="s">
        <v>1097</v>
      </c>
    </row>
    <row r="743" spans="1:18" hidden="1" x14ac:dyDescent="0.3">
      <c r="A743" s="19">
        <f t="shared" si="11"/>
        <v>742</v>
      </c>
      <c r="B743" s="20" t="s">
        <v>87</v>
      </c>
      <c r="C743" s="20" t="s">
        <v>102</v>
      </c>
      <c r="D743" s="21" t="str">
        <f>IF($C743="","",IFERROR(VLOOKUP($C743,Map_Register!$A$2:$C$5,3,FALSE()),""))</f>
        <v>Toponym Labels</v>
      </c>
      <c r="E743" s="20" t="s">
        <v>15</v>
      </c>
      <c r="F743" s="22">
        <v>785921</v>
      </c>
      <c r="G743" s="19" t="s">
        <v>1091</v>
      </c>
      <c r="H743" s="19" t="s">
        <v>2351</v>
      </c>
      <c r="I743" s="19" t="s">
        <v>2352</v>
      </c>
      <c r="J743" s="19" t="s">
        <v>1104</v>
      </c>
      <c r="K743" s="19" t="s">
        <v>6</v>
      </c>
      <c r="L743" s="19" t="s">
        <v>1095</v>
      </c>
      <c r="M743" s="19" t="s">
        <v>1095</v>
      </c>
      <c r="N743" s="19" t="s">
        <v>1105</v>
      </c>
      <c r="R743" t="s">
        <v>1097</v>
      </c>
    </row>
    <row r="744" spans="1:18" hidden="1" x14ac:dyDescent="0.3">
      <c r="A744" s="19">
        <f t="shared" si="11"/>
        <v>743</v>
      </c>
      <c r="B744" s="20" t="s">
        <v>87</v>
      </c>
      <c r="C744" s="20" t="s">
        <v>102</v>
      </c>
      <c r="D744" s="21" t="str">
        <f>IF($C744="","",IFERROR(VLOOKUP($C744,Map_Register!$A$2:$C$5,3,FALSE()),""))</f>
        <v>Toponym Labels</v>
      </c>
      <c r="E744" s="20" t="s">
        <v>15</v>
      </c>
      <c r="F744" s="22">
        <v>785922</v>
      </c>
      <c r="G744" s="19" t="s">
        <v>1108</v>
      </c>
      <c r="H744" s="19" t="s">
        <v>2353</v>
      </c>
      <c r="I744" s="19" t="s">
        <v>2353</v>
      </c>
      <c r="J744" s="19" t="s">
        <v>1110</v>
      </c>
      <c r="K744" s="19" t="s">
        <v>6</v>
      </c>
      <c r="L744" s="19" t="s">
        <v>1095</v>
      </c>
      <c r="M744" s="19" t="s">
        <v>1095</v>
      </c>
      <c r="N744" s="19" t="s">
        <v>1111</v>
      </c>
      <c r="R744" t="s">
        <v>1097</v>
      </c>
    </row>
    <row r="745" spans="1:18" x14ac:dyDescent="0.3">
      <c r="A745" s="19">
        <f t="shared" si="11"/>
        <v>744</v>
      </c>
      <c r="B745" s="20" t="s">
        <v>87</v>
      </c>
      <c r="C745" s="20" t="s">
        <v>102</v>
      </c>
      <c r="D745" s="21" t="str">
        <f>IF($C745="","",IFERROR(VLOOKUP($C745,Map_Register!$A$2:$C$5,3,FALSE()),""))</f>
        <v>Toponym Labels</v>
      </c>
      <c r="E745" s="20" t="s">
        <v>15</v>
      </c>
      <c r="F745" s="22">
        <v>785923</v>
      </c>
      <c r="G745" s="19" t="s">
        <v>1125</v>
      </c>
      <c r="H745" s="19" t="s">
        <v>2354</v>
      </c>
      <c r="I745" s="19" t="s">
        <v>2354</v>
      </c>
      <c r="J745" s="19" t="s">
        <v>1110</v>
      </c>
      <c r="K745" t="s">
        <v>1100</v>
      </c>
      <c r="L745" t="s">
        <v>114</v>
      </c>
      <c r="M745" t="s">
        <v>116</v>
      </c>
      <c r="N745" s="19" t="s">
        <v>1268</v>
      </c>
      <c r="O745" s="19" t="s">
        <v>116</v>
      </c>
      <c r="R745" t="s">
        <v>1097</v>
      </c>
    </row>
    <row r="746" spans="1:18" hidden="1" x14ac:dyDescent="0.3">
      <c r="A746" s="19">
        <f t="shared" si="11"/>
        <v>745</v>
      </c>
      <c r="B746" s="20" t="s">
        <v>87</v>
      </c>
      <c r="C746" s="20" t="s">
        <v>102</v>
      </c>
      <c r="D746" s="21" t="str">
        <f>IF($C746="","",IFERROR(VLOOKUP($C746,Map_Register!$A$2:$C$5,3,FALSE()),""))</f>
        <v>Toponym Labels</v>
      </c>
      <c r="E746" s="20" t="s">
        <v>15</v>
      </c>
      <c r="F746" s="22">
        <v>785924</v>
      </c>
      <c r="G746" s="19" t="s">
        <v>1309</v>
      </c>
      <c r="H746" s="19" t="s">
        <v>2355</v>
      </c>
      <c r="I746" s="19" t="s">
        <v>2356</v>
      </c>
      <c r="J746" s="19" t="s">
        <v>1104</v>
      </c>
      <c r="K746" t="s">
        <v>1100</v>
      </c>
      <c r="L746" t="s">
        <v>114</v>
      </c>
      <c r="M746" t="s">
        <v>114</v>
      </c>
      <c r="N746" s="19" t="s">
        <v>530</v>
      </c>
      <c r="O746" s="19" t="s">
        <v>116</v>
      </c>
      <c r="R746" t="s">
        <v>1097</v>
      </c>
    </row>
    <row r="747" spans="1:18" hidden="1" x14ac:dyDescent="0.3">
      <c r="A747" s="19">
        <f t="shared" si="11"/>
        <v>746</v>
      </c>
      <c r="B747" s="20" t="s">
        <v>87</v>
      </c>
      <c r="C747" s="20" t="s">
        <v>102</v>
      </c>
      <c r="D747" s="21" t="str">
        <f>IF($C747="","",IFERROR(VLOOKUP($C747,Map_Register!$A$2:$C$5,3,FALSE()),""))</f>
        <v>Toponym Labels</v>
      </c>
      <c r="E747" s="20" t="s">
        <v>15</v>
      </c>
      <c r="F747" s="22">
        <v>785925</v>
      </c>
      <c r="G747" s="19" t="s">
        <v>1309</v>
      </c>
      <c r="H747" s="19" t="s">
        <v>2357</v>
      </c>
      <c r="I747" s="19" t="s">
        <v>2358</v>
      </c>
      <c r="J747" s="19" t="s">
        <v>1094</v>
      </c>
      <c r="K747" t="s">
        <v>1100</v>
      </c>
      <c r="L747" t="s">
        <v>114</v>
      </c>
      <c r="M747" t="s">
        <v>114</v>
      </c>
      <c r="N747" s="19" t="s">
        <v>1190</v>
      </c>
      <c r="O747" s="19" t="s">
        <v>116</v>
      </c>
      <c r="R747" t="s">
        <v>1097</v>
      </c>
    </row>
    <row r="748" spans="1:18" hidden="1" x14ac:dyDescent="0.3">
      <c r="A748" s="19">
        <f t="shared" si="11"/>
        <v>747</v>
      </c>
      <c r="B748" s="20" t="s">
        <v>87</v>
      </c>
      <c r="C748" s="20" t="s">
        <v>102</v>
      </c>
      <c r="D748" s="21" t="str">
        <f>IF($C748="","",IFERROR(VLOOKUP($C748,Map_Register!$A$2:$C$5,3,FALSE()),""))</f>
        <v>Toponym Labels</v>
      </c>
      <c r="E748" s="20" t="s">
        <v>15</v>
      </c>
      <c r="F748" s="22">
        <v>785926</v>
      </c>
      <c r="G748" s="19" t="s">
        <v>1179</v>
      </c>
      <c r="H748" s="19" t="s">
        <v>2359</v>
      </c>
      <c r="I748" s="19" t="s">
        <v>2359</v>
      </c>
      <c r="J748" s="19" t="s">
        <v>1110</v>
      </c>
      <c r="K748" t="s">
        <v>1100</v>
      </c>
      <c r="L748" t="s">
        <v>114</v>
      </c>
      <c r="M748" t="s">
        <v>114</v>
      </c>
      <c r="N748" s="19" t="s">
        <v>1184</v>
      </c>
      <c r="O748" s="19" t="s">
        <v>116</v>
      </c>
      <c r="R748" t="s">
        <v>1097</v>
      </c>
    </row>
    <row r="749" spans="1:18" hidden="1" x14ac:dyDescent="0.3">
      <c r="A749" s="19">
        <f t="shared" si="11"/>
        <v>748</v>
      </c>
      <c r="B749" s="20" t="s">
        <v>87</v>
      </c>
      <c r="C749" s="20" t="s">
        <v>102</v>
      </c>
      <c r="D749" s="21" t="str">
        <f>IF($C749="","",IFERROR(VLOOKUP($C749,Map_Register!$A$2:$C$5,3,FALSE()),""))</f>
        <v>Toponym Labels</v>
      </c>
      <c r="E749" s="20" t="s">
        <v>15</v>
      </c>
      <c r="F749" s="22">
        <v>785927</v>
      </c>
      <c r="G749" s="19" t="s">
        <v>1179</v>
      </c>
      <c r="H749" s="19" t="s">
        <v>1003</v>
      </c>
      <c r="I749" s="19" t="s">
        <v>1003</v>
      </c>
      <c r="J749" s="19" t="s">
        <v>1110</v>
      </c>
      <c r="K749" s="19" t="s">
        <v>6</v>
      </c>
      <c r="L749" s="19" t="s">
        <v>1095</v>
      </c>
      <c r="M749" s="19" t="s">
        <v>1095</v>
      </c>
      <c r="N749" s="19" t="s">
        <v>1502</v>
      </c>
      <c r="R749" t="s">
        <v>1097</v>
      </c>
    </row>
    <row r="750" spans="1:18" x14ac:dyDescent="0.3">
      <c r="A750" s="19">
        <f t="shared" si="11"/>
        <v>749</v>
      </c>
      <c r="B750" s="20" t="s">
        <v>87</v>
      </c>
      <c r="C750" s="20" t="s">
        <v>102</v>
      </c>
      <c r="D750" s="21" t="str">
        <f>IF($C750="","",IFERROR(VLOOKUP($C750,Map_Register!$A$2:$C$5,3,FALSE()),""))</f>
        <v>Toponym Labels</v>
      </c>
      <c r="E750" s="20" t="s">
        <v>15</v>
      </c>
      <c r="F750" s="22">
        <v>785928</v>
      </c>
      <c r="G750" s="19" t="s">
        <v>1179</v>
      </c>
      <c r="H750" s="19" t="s">
        <v>2360</v>
      </c>
      <c r="I750" s="19" t="s">
        <v>2360</v>
      </c>
      <c r="J750" s="19" t="s">
        <v>1110</v>
      </c>
      <c r="K750" t="s">
        <v>1100</v>
      </c>
      <c r="L750" t="s">
        <v>114</v>
      </c>
      <c r="M750" t="s">
        <v>116</v>
      </c>
      <c r="N750" s="19" t="s">
        <v>2361</v>
      </c>
      <c r="O750" s="19" t="s">
        <v>116</v>
      </c>
      <c r="R750" t="s">
        <v>1097</v>
      </c>
    </row>
    <row r="751" spans="1:18" hidden="1" x14ac:dyDescent="0.3">
      <c r="A751" s="19">
        <f t="shared" si="11"/>
        <v>750</v>
      </c>
      <c r="B751" s="20" t="s">
        <v>87</v>
      </c>
      <c r="C751" s="20" t="s">
        <v>102</v>
      </c>
      <c r="D751" s="21" t="str">
        <f>IF($C751="","",IFERROR(VLOOKUP($C751,Map_Register!$A$2:$C$5,3,FALSE()),""))</f>
        <v>Toponym Labels</v>
      </c>
      <c r="E751" s="20" t="s">
        <v>15</v>
      </c>
      <c r="F751" s="22">
        <v>785929</v>
      </c>
      <c r="G751" s="19" t="s">
        <v>1179</v>
      </c>
      <c r="H751" s="19" t="s">
        <v>2362</v>
      </c>
      <c r="I751" s="19" t="s">
        <v>2362</v>
      </c>
      <c r="J751" s="19" t="s">
        <v>1110</v>
      </c>
      <c r="K751" s="19" t="s">
        <v>6</v>
      </c>
      <c r="L751" s="19" t="s">
        <v>1095</v>
      </c>
      <c r="M751" s="19" t="s">
        <v>1095</v>
      </c>
      <c r="N751" s="19" t="s">
        <v>1502</v>
      </c>
      <c r="R751" t="s">
        <v>1097</v>
      </c>
    </row>
    <row r="752" spans="1:18" hidden="1" x14ac:dyDescent="0.3">
      <c r="A752" s="19">
        <f t="shared" si="11"/>
        <v>751</v>
      </c>
      <c r="B752" s="20" t="s">
        <v>87</v>
      </c>
      <c r="C752" s="20" t="s">
        <v>102</v>
      </c>
      <c r="D752" s="21" t="str">
        <f>IF($C752="","",IFERROR(VLOOKUP($C752,Map_Register!$A$2:$C$5,3,FALSE()),""))</f>
        <v>Toponym Labels</v>
      </c>
      <c r="E752" s="20" t="s">
        <v>15</v>
      </c>
      <c r="F752" s="22">
        <v>785930</v>
      </c>
      <c r="G752" s="19" t="s">
        <v>1179</v>
      </c>
      <c r="H752" s="19" t="s">
        <v>2363</v>
      </c>
      <c r="I752" s="19" t="s">
        <v>2363</v>
      </c>
      <c r="J752" s="19" t="s">
        <v>1110</v>
      </c>
      <c r="K752" s="19" t="s">
        <v>6</v>
      </c>
      <c r="L752" s="19" t="s">
        <v>1095</v>
      </c>
      <c r="M752" s="19" t="s">
        <v>1095</v>
      </c>
      <c r="N752" s="19" t="s">
        <v>1502</v>
      </c>
      <c r="R752" t="s">
        <v>1097</v>
      </c>
    </row>
    <row r="753" spans="1:18" hidden="1" x14ac:dyDescent="0.3">
      <c r="A753" s="19">
        <f t="shared" si="11"/>
        <v>752</v>
      </c>
      <c r="B753" s="20" t="s">
        <v>87</v>
      </c>
      <c r="C753" s="20" t="s">
        <v>102</v>
      </c>
      <c r="D753" s="21" t="str">
        <f>IF($C753="","",IFERROR(VLOOKUP($C753,Map_Register!$A$2:$C$5,3,FALSE()),""))</f>
        <v>Toponym Labels</v>
      </c>
      <c r="E753" s="20" t="s">
        <v>15</v>
      </c>
      <c r="F753" s="22">
        <v>785931</v>
      </c>
      <c r="G753" s="19" t="s">
        <v>1179</v>
      </c>
      <c r="H753" s="19" t="s">
        <v>2364</v>
      </c>
      <c r="I753" s="19" t="s">
        <v>2364</v>
      </c>
      <c r="J753" s="19" t="s">
        <v>1110</v>
      </c>
      <c r="K753" t="s">
        <v>1100</v>
      </c>
      <c r="L753" t="s">
        <v>114</v>
      </c>
      <c r="M753" t="s">
        <v>114</v>
      </c>
      <c r="N753" s="19" t="s">
        <v>1184</v>
      </c>
      <c r="O753" s="19" t="s">
        <v>116</v>
      </c>
      <c r="R753" t="s">
        <v>1097</v>
      </c>
    </row>
    <row r="754" spans="1:18" hidden="1" x14ac:dyDescent="0.3">
      <c r="A754" s="19">
        <f t="shared" si="11"/>
        <v>753</v>
      </c>
      <c r="B754" s="20" t="s">
        <v>87</v>
      </c>
      <c r="C754" s="20" t="s">
        <v>102</v>
      </c>
      <c r="D754" s="21" t="str">
        <f>IF($C754="","",IFERROR(VLOOKUP($C754,Map_Register!$A$2:$C$5,3,FALSE()),""))</f>
        <v>Toponym Labels</v>
      </c>
      <c r="E754" s="20" t="s">
        <v>15</v>
      </c>
      <c r="F754" s="22">
        <v>785932</v>
      </c>
      <c r="G754" s="19" t="s">
        <v>1187</v>
      </c>
      <c r="H754" s="19" t="s">
        <v>2365</v>
      </c>
      <c r="I754" s="19" t="s">
        <v>2366</v>
      </c>
      <c r="J754" s="19" t="s">
        <v>1104</v>
      </c>
      <c r="K754" s="19" t="s">
        <v>6</v>
      </c>
      <c r="L754" s="19" t="s">
        <v>1095</v>
      </c>
      <c r="M754" s="19" t="s">
        <v>1095</v>
      </c>
      <c r="N754" s="19" t="s">
        <v>1105</v>
      </c>
      <c r="R754" t="s">
        <v>1097</v>
      </c>
    </row>
    <row r="755" spans="1:18" hidden="1" x14ac:dyDescent="0.3">
      <c r="A755" s="19">
        <f t="shared" si="11"/>
        <v>754</v>
      </c>
      <c r="B755" s="20" t="s">
        <v>87</v>
      </c>
      <c r="C755" s="20" t="s">
        <v>102</v>
      </c>
      <c r="D755" s="21" t="str">
        <f>IF($C755="","",IFERROR(VLOOKUP($C755,Map_Register!$A$2:$C$5,3,FALSE()),""))</f>
        <v>Toponym Labels</v>
      </c>
      <c r="E755" s="20" t="s">
        <v>15</v>
      </c>
      <c r="F755" s="22">
        <v>785933</v>
      </c>
      <c r="G755" s="19" t="s">
        <v>1179</v>
      </c>
      <c r="H755" s="19" t="s">
        <v>1605</v>
      </c>
      <c r="I755" s="19" t="s">
        <v>1605</v>
      </c>
      <c r="J755" s="19" t="s">
        <v>1110</v>
      </c>
      <c r="K755" t="s">
        <v>1100</v>
      </c>
      <c r="L755" t="s">
        <v>114</v>
      </c>
      <c r="M755" t="s">
        <v>114</v>
      </c>
      <c r="N755" s="19" t="s">
        <v>1184</v>
      </c>
      <c r="O755" s="19" t="s">
        <v>116</v>
      </c>
      <c r="R755" t="s">
        <v>1097</v>
      </c>
    </row>
    <row r="756" spans="1:18" hidden="1" x14ac:dyDescent="0.3">
      <c r="A756" s="19">
        <f t="shared" si="11"/>
        <v>755</v>
      </c>
      <c r="B756" s="20" t="s">
        <v>87</v>
      </c>
      <c r="C756" s="20" t="s">
        <v>102</v>
      </c>
      <c r="D756" s="21" t="str">
        <f>IF($C756="","",IFERROR(VLOOKUP($C756,Map_Register!$A$2:$C$5,3,FALSE()),""))</f>
        <v>Toponym Labels</v>
      </c>
      <c r="E756" s="20" t="s">
        <v>15</v>
      </c>
      <c r="F756" s="22">
        <v>785934</v>
      </c>
      <c r="G756" s="19" t="s">
        <v>1179</v>
      </c>
      <c r="H756" s="19" t="s">
        <v>2367</v>
      </c>
      <c r="I756" s="19" t="s">
        <v>2367</v>
      </c>
      <c r="J756" s="19" t="s">
        <v>1110</v>
      </c>
      <c r="K756" t="s">
        <v>1100</v>
      </c>
      <c r="L756" s="19" t="s">
        <v>114</v>
      </c>
      <c r="M756" s="19" t="s">
        <v>1121</v>
      </c>
      <c r="N756" s="19" t="s">
        <v>1751</v>
      </c>
      <c r="O756" s="19" t="s">
        <v>116</v>
      </c>
      <c r="R756" t="s">
        <v>1097</v>
      </c>
    </row>
    <row r="757" spans="1:18" hidden="1" x14ac:dyDescent="0.3">
      <c r="A757" s="19">
        <f t="shared" si="11"/>
        <v>756</v>
      </c>
      <c r="B757" s="20" t="s">
        <v>87</v>
      </c>
      <c r="C757" s="20" t="s">
        <v>102</v>
      </c>
      <c r="D757" s="21" t="str">
        <f>IF($C757="","",IFERROR(VLOOKUP($C757,Map_Register!$A$2:$C$5,3,FALSE()),""))</f>
        <v>Toponym Labels</v>
      </c>
      <c r="E757" s="20" t="s">
        <v>15</v>
      </c>
      <c r="F757" s="22">
        <v>785935</v>
      </c>
      <c r="G757" s="19" t="s">
        <v>1179</v>
      </c>
      <c r="H757" s="19" t="s">
        <v>2368</v>
      </c>
      <c r="I757" s="19" t="s">
        <v>2368</v>
      </c>
      <c r="J757" s="19" t="s">
        <v>1110</v>
      </c>
      <c r="K757" t="s">
        <v>1100</v>
      </c>
      <c r="L757" t="s">
        <v>114</v>
      </c>
      <c r="M757" t="s">
        <v>114</v>
      </c>
      <c r="N757" s="19" t="s">
        <v>2369</v>
      </c>
      <c r="O757" s="19" t="s">
        <v>116</v>
      </c>
      <c r="R757" t="s">
        <v>1097</v>
      </c>
    </row>
    <row r="758" spans="1:18" hidden="1" x14ac:dyDescent="0.3">
      <c r="A758" s="19">
        <f t="shared" si="11"/>
        <v>757</v>
      </c>
      <c r="B758" s="20" t="s">
        <v>87</v>
      </c>
      <c r="C758" s="20" t="s">
        <v>102</v>
      </c>
      <c r="D758" s="21" t="str">
        <f>IF($C758="","",IFERROR(VLOOKUP($C758,Map_Register!$A$2:$C$5,3,FALSE()),""))</f>
        <v>Toponym Labels</v>
      </c>
      <c r="E758" s="20" t="s">
        <v>15</v>
      </c>
      <c r="F758" s="22">
        <v>785936</v>
      </c>
      <c r="G758" s="19" t="s">
        <v>1179</v>
      </c>
      <c r="H758" s="19" t="s">
        <v>2370</v>
      </c>
      <c r="I758" s="19" t="s">
        <v>2370</v>
      </c>
      <c r="J758" s="19" t="s">
        <v>1110</v>
      </c>
      <c r="K758" t="s">
        <v>1100</v>
      </c>
      <c r="L758" s="19" t="s">
        <v>114</v>
      </c>
      <c r="M758" s="19" t="s">
        <v>1121</v>
      </c>
      <c r="N758" s="19" t="s">
        <v>1751</v>
      </c>
      <c r="O758" s="19" t="s">
        <v>116</v>
      </c>
      <c r="R758" t="s">
        <v>1097</v>
      </c>
    </row>
    <row r="759" spans="1:18" hidden="1" x14ac:dyDescent="0.3">
      <c r="A759" s="19">
        <f t="shared" si="11"/>
        <v>758</v>
      </c>
      <c r="B759" s="20" t="s">
        <v>87</v>
      </c>
      <c r="C759" s="20" t="s">
        <v>102</v>
      </c>
      <c r="D759" s="21" t="str">
        <f>IF($C759="","",IFERROR(VLOOKUP($C759,Map_Register!$A$2:$C$5,3,FALSE()),""))</f>
        <v>Toponym Labels</v>
      </c>
      <c r="E759" s="20" t="s">
        <v>15</v>
      </c>
      <c r="F759" s="22">
        <v>785937</v>
      </c>
      <c r="G759" s="19" t="s">
        <v>1179</v>
      </c>
      <c r="H759" s="19" t="s">
        <v>2371</v>
      </c>
      <c r="I759" s="19" t="s">
        <v>2371</v>
      </c>
      <c r="J759" s="19" t="s">
        <v>1110</v>
      </c>
      <c r="K759" t="s">
        <v>1100</v>
      </c>
      <c r="L759" s="19" t="s">
        <v>114</v>
      </c>
      <c r="M759" s="19" t="s">
        <v>1121</v>
      </c>
      <c r="N759" s="19" t="s">
        <v>1751</v>
      </c>
      <c r="O759" s="19" t="s">
        <v>116</v>
      </c>
      <c r="R759" t="s">
        <v>1097</v>
      </c>
    </row>
    <row r="760" spans="1:18" hidden="1" x14ac:dyDescent="0.3">
      <c r="A760" s="19">
        <f t="shared" si="11"/>
        <v>759</v>
      </c>
      <c r="B760" s="20" t="s">
        <v>87</v>
      </c>
      <c r="C760" s="20" t="s">
        <v>102</v>
      </c>
      <c r="D760" s="21" t="str">
        <f>IF($C760="","",IFERROR(VLOOKUP($C760,Map_Register!$A$2:$C$5,3,FALSE()),""))</f>
        <v>Toponym Labels</v>
      </c>
      <c r="E760" s="20" t="s">
        <v>15</v>
      </c>
      <c r="F760" s="22">
        <v>785938</v>
      </c>
      <c r="G760" s="19" t="s">
        <v>1179</v>
      </c>
      <c r="H760" s="19" t="s">
        <v>2372</v>
      </c>
      <c r="I760" s="19" t="s">
        <v>2372</v>
      </c>
      <c r="J760" s="19" t="s">
        <v>1110</v>
      </c>
      <c r="K760" t="s">
        <v>1100</v>
      </c>
      <c r="L760" s="19" t="s">
        <v>114</v>
      </c>
      <c r="M760" s="19" t="s">
        <v>114</v>
      </c>
      <c r="N760" s="19" t="s">
        <v>2373</v>
      </c>
      <c r="O760" s="19" t="s">
        <v>116</v>
      </c>
      <c r="R760" t="s">
        <v>1097</v>
      </c>
    </row>
    <row r="761" spans="1:18" hidden="1" x14ac:dyDescent="0.3">
      <c r="A761" s="19">
        <f t="shared" si="11"/>
        <v>760</v>
      </c>
      <c r="B761" s="20" t="s">
        <v>87</v>
      </c>
      <c r="C761" s="20" t="s">
        <v>102</v>
      </c>
      <c r="D761" s="21" t="str">
        <f>IF($C761="","",IFERROR(VLOOKUP($C761,Map_Register!$A$2:$C$5,3,FALSE()),""))</f>
        <v>Toponym Labels</v>
      </c>
      <c r="E761" s="20" t="s">
        <v>15</v>
      </c>
      <c r="F761" s="22">
        <v>785939</v>
      </c>
      <c r="G761" s="19" t="s">
        <v>1205</v>
      </c>
      <c r="H761" s="19" t="s">
        <v>2340</v>
      </c>
      <c r="I761" s="19" t="s">
        <v>2340</v>
      </c>
      <c r="J761" s="19" t="s">
        <v>1110</v>
      </c>
      <c r="K761" s="19" t="s">
        <v>6</v>
      </c>
      <c r="L761" s="19" t="s">
        <v>1095</v>
      </c>
      <c r="M761" s="19" t="s">
        <v>1095</v>
      </c>
      <c r="N761" s="19" t="s">
        <v>1292</v>
      </c>
      <c r="R761" t="s">
        <v>1097</v>
      </c>
    </row>
    <row r="762" spans="1:18" hidden="1" x14ac:dyDescent="0.3">
      <c r="A762" s="19">
        <f t="shared" si="11"/>
        <v>761</v>
      </c>
      <c r="B762" s="20" t="s">
        <v>87</v>
      </c>
      <c r="C762" s="20" t="s">
        <v>102</v>
      </c>
      <c r="D762" s="21" t="str">
        <f>IF($C762="","",IFERROR(VLOOKUP($C762,Map_Register!$A$2:$C$5,3,FALSE()),""))</f>
        <v>Toponym Labels</v>
      </c>
      <c r="E762" s="20" t="s">
        <v>15</v>
      </c>
      <c r="F762" s="22">
        <v>786113</v>
      </c>
      <c r="G762" s="19" t="s">
        <v>1108</v>
      </c>
      <c r="H762" s="19" t="s">
        <v>2374</v>
      </c>
      <c r="I762" s="19" t="s">
        <v>2374</v>
      </c>
      <c r="J762" s="19" t="s">
        <v>1110</v>
      </c>
      <c r="K762" s="19" t="s">
        <v>6</v>
      </c>
      <c r="L762" s="19" t="s">
        <v>1095</v>
      </c>
      <c r="M762" s="19" t="s">
        <v>1095</v>
      </c>
      <c r="N762" s="19" t="s">
        <v>1111</v>
      </c>
      <c r="R762" t="s">
        <v>1097</v>
      </c>
    </row>
    <row r="763" spans="1:18" hidden="1" x14ac:dyDescent="0.3">
      <c r="A763" s="19">
        <f t="shared" si="11"/>
        <v>762</v>
      </c>
      <c r="B763" s="20" t="s">
        <v>87</v>
      </c>
      <c r="C763" s="20" t="s">
        <v>102</v>
      </c>
      <c r="D763" s="21" t="str">
        <f>IF($C763="","",IFERROR(VLOOKUP($C763,Map_Register!$A$2:$C$5,3,FALSE()),""))</f>
        <v>Toponym Labels</v>
      </c>
      <c r="E763" s="20" t="s">
        <v>15</v>
      </c>
      <c r="F763" s="22">
        <v>786114</v>
      </c>
      <c r="G763" s="19" t="s">
        <v>1309</v>
      </c>
      <c r="H763" s="19" t="s">
        <v>2375</v>
      </c>
      <c r="I763" s="19" t="s">
        <v>2375</v>
      </c>
      <c r="J763" s="19" t="s">
        <v>1110</v>
      </c>
      <c r="K763" t="s">
        <v>1100</v>
      </c>
      <c r="L763" t="s">
        <v>114</v>
      </c>
      <c r="M763" t="s">
        <v>114</v>
      </c>
      <c r="N763" s="19" t="s">
        <v>2376</v>
      </c>
      <c r="O763" s="19" t="s">
        <v>116</v>
      </c>
      <c r="R763" t="s">
        <v>1097</v>
      </c>
    </row>
    <row r="764" spans="1:18" x14ac:dyDescent="0.3">
      <c r="A764" s="19">
        <f t="shared" si="11"/>
        <v>763</v>
      </c>
      <c r="B764" s="20" t="s">
        <v>87</v>
      </c>
      <c r="C764" s="20" t="s">
        <v>102</v>
      </c>
      <c r="D764" s="21" t="str">
        <f>IF($C764="","",IFERROR(VLOOKUP($C764,Map_Register!$A$2:$C$5,3,FALSE()),""))</f>
        <v>Toponym Labels</v>
      </c>
      <c r="E764" s="20" t="s">
        <v>15</v>
      </c>
      <c r="F764" s="22">
        <v>786115</v>
      </c>
      <c r="G764" s="19" t="s">
        <v>1108</v>
      </c>
      <c r="H764" s="19" t="s">
        <v>2377</v>
      </c>
      <c r="I764" s="19" t="s">
        <v>2377</v>
      </c>
      <c r="J764" s="19" t="s">
        <v>1110</v>
      </c>
      <c r="K764" t="s">
        <v>1100</v>
      </c>
      <c r="L764" t="s">
        <v>114</v>
      </c>
      <c r="M764" t="s">
        <v>116</v>
      </c>
      <c r="N764" s="19" t="s">
        <v>2378</v>
      </c>
      <c r="O764" s="19" t="s">
        <v>116</v>
      </c>
      <c r="R764" t="s">
        <v>1097</v>
      </c>
    </row>
    <row r="765" spans="1:18" hidden="1" x14ac:dyDescent="0.3">
      <c r="A765" s="19">
        <f t="shared" si="11"/>
        <v>764</v>
      </c>
      <c r="B765" s="20" t="s">
        <v>87</v>
      </c>
      <c r="C765" s="20" t="s">
        <v>102</v>
      </c>
      <c r="D765" s="21" t="str">
        <f>IF($C765="","",IFERROR(VLOOKUP($C765,Map_Register!$A$2:$C$5,3,FALSE()),""))</f>
        <v>Toponym Labels</v>
      </c>
      <c r="E765" s="20" t="s">
        <v>15</v>
      </c>
      <c r="F765" s="22">
        <v>786116</v>
      </c>
      <c r="G765" s="19" t="s">
        <v>1091</v>
      </c>
      <c r="H765" s="19" t="s">
        <v>2379</v>
      </c>
      <c r="I765" s="19" t="s">
        <v>2379</v>
      </c>
      <c r="J765" s="19" t="s">
        <v>1110</v>
      </c>
      <c r="K765" s="19" t="s">
        <v>6</v>
      </c>
      <c r="L765" s="19" t="s">
        <v>1095</v>
      </c>
      <c r="M765" s="19" t="s">
        <v>1095</v>
      </c>
      <c r="N765" s="19" t="s">
        <v>1300</v>
      </c>
      <c r="R765" t="s">
        <v>1097</v>
      </c>
    </row>
    <row r="766" spans="1:18" x14ac:dyDescent="0.3">
      <c r="A766" s="19">
        <f t="shared" si="11"/>
        <v>765</v>
      </c>
      <c r="B766" s="20" t="s">
        <v>87</v>
      </c>
      <c r="C766" s="20" t="s">
        <v>102</v>
      </c>
      <c r="D766" s="21" t="str">
        <f>IF($C766="","",IFERROR(VLOOKUP($C766,Map_Register!$A$2:$C$5,3,FALSE()),""))</f>
        <v>Toponym Labels</v>
      </c>
      <c r="E766" s="20" t="s">
        <v>15</v>
      </c>
      <c r="F766" s="22">
        <v>786117</v>
      </c>
      <c r="G766" s="19" t="s">
        <v>1223</v>
      </c>
      <c r="H766" s="19" t="s">
        <v>951</v>
      </c>
      <c r="I766" s="19" t="s">
        <v>951</v>
      </c>
      <c r="J766" s="19" t="s">
        <v>1110</v>
      </c>
      <c r="K766" t="s">
        <v>1100</v>
      </c>
      <c r="L766" t="s">
        <v>114</v>
      </c>
      <c r="M766" t="s">
        <v>116</v>
      </c>
      <c r="N766" s="19" t="s">
        <v>2380</v>
      </c>
      <c r="O766" s="19" t="s">
        <v>116</v>
      </c>
      <c r="R766" t="s">
        <v>1097</v>
      </c>
    </row>
    <row r="767" spans="1:18" x14ac:dyDescent="0.3">
      <c r="A767" s="19">
        <f t="shared" si="11"/>
        <v>766</v>
      </c>
      <c r="B767" s="20" t="s">
        <v>87</v>
      </c>
      <c r="C767" s="20" t="s">
        <v>102</v>
      </c>
      <c r="D767" s="21" t="str">
        <f>IF($C767="","",IFERROR(VLOOKUP($C767,Map_Register!$A$2:$C$5,3,FALSE()),""))</f>
        <v>Toponym Labels</v>
      </c>
      <c r="E767" s="20" t="s">
        <v>15</v>
      </c>
      <c r="F767" s="22">
        <v>786118</v>
      </c>
      <c r="G767" s="19" t="s">
        <v>1125</v>
      </c>
      <c r="H767" s="19" t="s">
        <v>2381</v>
      </c>
      <c r="I767" s="19" t="s">
        <v>2381</v>
      </c>
      <c r="J767" s="19" t="s">
        <v>1110</v>
      </c>
      <c r="K767" t="s">
        <v>1100</v>
      </c>
      <c r="L767" t="s">
        <v>114</v>
      </c>
      <c r="M767" t="s">
        <v>116</v>
      </c>
      <c r="N767" s="19" t="s">
        <v>1268</v>
      </c>
      <c r="O767" s="19" t="s">
        <v>116</v>
      </c>
      <c r="R767" t="s">
        <v>1097</v>
      </c>
    </row>
    <row r="768" spans="1:18" x14ac:dyDescent="0.3">
      <c r="A768" s="19">
        <f t="shared" si="11"/>
        <v>767</v>
      </c>
      <c r="B768" s="20" t="s">
        <v>87</v>
      </c>
      <c r="C768" s="20" t="s">
        <v>102</v>
      </c>
      <c r="D768" s="21" t="str">
        <f>IF($C768="","",IFERROR(VLOOKUP($C768,Map_Register!$A$2:$C$5,3,FALSE()),""))</f>
        <v>Toponym Labels</v>
      </c>
      <c r="E768" s="20" t="s">
        <v>15</v>
      </c>
      <c r="F768" s="22">
        <v>786119</v>
      </c>
      <c r="G768" s="19" t="s">
        <v>1125</v>
      </c>
      <c r="H768" s="19" t="s">
        <v>2382</v>
      </c>
      <c r="I768" s="19" t="s">
        <v>2382</v>
      </c>
      <c r="J768" s="19" t="s">
        <v>1110</v>
      </c>
      <c r="K768" t="s">
        <v>1100</v>
      </c>
      <c r="L768" t="s">
        <v>114</v>
      </c>
      <c r="M768" t="s">
        <v>116</v>
      </c>
      <c r="N768" s="19" t="s">
        <v>1268</v>
      </c>
      <c r="O768" s="19" t="s">
        <v>116</v>
      </c>
      <c r="R768" t="s">
        <v>1097</v>
      </c>
    </row>
    <row r="769" spans="1:18" hidden="1" x14ac:dyDescent="0.3">
      <c r="A769" s="19">
        <f t="shared" si="11"/>
        <v>768</v>
      </c>
      <c r="B769" s="20" t="s">
        <v>87</v>
      </c>
      <c r="C769" s="20" t="s">
        <v>102</v>
      </c>
      <c r="D769" s="21" t="str">
        <f>IF($C769="","",IFERROR(VLOOKUP($C769,Map_Register!$A$2:$C$5,3,FALSE()),""))</f>
        <v>Toponym Labels</v>
      </c>
      <c r="E769" s="20" t="s">
        <v>15</v>
      </c>
      <c r="F769" s="22">
        <v>786202</v>
      </c>
      <c r="G769" s="19" t="s">
        <v>1118</v>
      </c>
      <c r="H769" s="19" t="s">
        <v>2383</v>
      </c>
      <c r="I769" s="19" t="s">
        <v>2384</v>
      </c>
      <c r="J769" s="19" t="s">
        <v>1094</v>
      </c>
      <c r="K769" s="19" t="s">
        <v>6</v>
      </c>
      <c r="L769" s="19" t="s">
        <v>1095</v>
      </c>
      <c r="M769" s="19" t="s">
        <v>1095</v>
      </c>
      <c r="N769" s="19" t="s">
        <v>1105</v>
      </c>
      <c r="R769" t="s">
        <v>1097</v>
      </c>
    </row>
    <row r="770" spans="1:18" x14ac:dyDescent="0.3">
      <c r="A770" s="19">
        <f t="shared" ref="A770:A833" si="12">IF($B770="","",ROW()-1)</f>
        <v>769</v>
      </c>
      <c r="B770" s="20" t="s">
        <v>87</v>
      </c>
      <c r="C770" s="20" t="s">
        <v>102</v>
      </c>
      <c r="D770" s="21" t="str">
        <f>IF($C770="","",IFERROR(VLOOKUP($C770,Map_Register!$A$2:$C$5,3,FALSE()),""))</f>
        <v>Toponym Labels</v>
      </c>
      <c r="E770" s="20" t="s">
        <v>15</v>
      </c>
      <c r="F770" s="22">
        <v>786206</v>
      </c>
      <c r="G770" s="19" t="s">
        <v>1108</v>
      </c>
      <c r="H770" s="19" t="s">
        <v>2385</v>
      </c>
      <c r="I770" s="19" t="s">
        <v>2385</v>
      </c>
      <c r="J770" s="19" t="s">
        <v>1110</v>
      </c>
      <c r="K770" t="s">
        <v>1100</v>
      </c>
      <c r="L770" t="s">
        <v>114</v>
      </c>
      <c r="M770" t="s">
        <v>116</v>
      </c>
      <c r="N770" s="19" t="s">
        <v>1268</v>
      </c>
      <c r="O770" s="19" t="s">
        <v>116</v>
      </c>
      <c r="R770" t="s">
        <v>1097</v>
      </c>
    </row>
    <row r="771" spans="1:18" hidden="1" x14ac:dyDescent="0.3">
      <c r="A771" s="19">
        <f t="shared" si="12"/>
        <v>770</v>
      </c>
      <c r="B771" s="20" t="s">
        <v>87</v>
      </c>
      <c r="C771" s="20" t="s">
        <v>102</v>
      </c>
      <c r="D771" s="21" t="str">
        <f>IF($C771="","",IFERROR(VLOOKUP($C771,Map_Register!$A$2:$C$5,3,FALSE()),""))</f>
        <v>Toponym Labels</v>
      </c>
      <c r="E771" s="20" t="s">
        <v>15</v>
      </c>
      <c r="F771" s="22">
        <v>786208</v>
      </c>
      <c r="G771" s="19" t="s">
        <v>1108</v>
      </c>
      <c r="H771" s="19" t="s">
        <v>2386</v>
      </c>
      <c r="I771" s="19" t="s">
        <v>2386</v>
      </c>
      <c r="J771" s="19" t="s">
        <v>1110</v>
      </c>
      <c r="K771" s="19" t="s">
        <v>6</v>
      </c>
      <c r="L771" s="19" t="s">
        <v>1095</v>
      </c>
      <c r="M771" s="19" t="s">
        <v>1095</v>
      </c>
      <c r="N771" s="19" t="s">
        <v>1111</v>
      </c>
      <c r="R771" t="s">
        <v>1097</v>
      </c>
    </row>
    <row r="772" spans="1:18" hidden="1" x14ac:dyDescent="0.3">
      <c r="A772" s="19">
        <f t="shared" si="12"/>
        <v>771</v>
      </c>
      <c r="B772" s="20" t="s">
        <v>87</v>
      </c>
      <c r="C772" s="20" t="s">
        <v>102</v>
      </c>
      <c r="D772" s="21" t="str">
        <f>IF($C772="","",IFERROR(VLOOKUP($C772,Map_Register!$A$2:$C$5,3,FALSE()),""))</f>
        <v>Toponym Labels</v>
      </c>
      <c r="E772" s="20" t="s">
        <v>15</v>
      </c>
      <c r="F772" s="22">
        <v>786209</v>
      </c>
      <c r="G772" s="19" t="s">
        <v>1091</v>
      </c>
      <c r="H772" s="19" t="s">
        <v>2387</v>
      </c>
      <c r="I772" s="19" t="s">
        <v>2387</v>
      </c>
      <c r="J772" s="19" t="s">
        <v>1110</v>
      </c>
      <c r="K772" s="19" t="s">
        <v>6</v>
      </c>
      <c r="L772" s="19" t="s">
        <v>1095</v>
      </c>
      <c r="M772" s="19" t="s">
        <v>1095</v>
      </c>
      <c r="N772" s="19" t="s">
        <v>1300</v>
      </c>
      <c r="R772" t="s">
        <v>1097</v>
      </c>
    </row>
    <row r="773" spans="1:18" hidden="1" x14ac:dyDescent="0.3">
      <c r="A773" s="19">
        <f t="shared" si="12"/>
        <v>772</v>
      </c>
      <c r="B773" s="20" t="s">
        <v>87</v>
      </c>
      <c r="C773" s="20" t="s">
        <v>102</v>
      </c>
      <c r="D773" s="21" t="str">
        <f>IF($C773="","",IFERROR(VLOOKUP($C773,Map_Register!$A$2:$C$5,3,FALSE()),""))</f>
        <v>Toponym Labels</v>
      </c>
      <c r="E773" s="20" t="s">
        <v>15</v>
      </c>
      <c r="F773" s="22">
        <v>786220</v>
      </c>
      <c r="G773" s="19" t="s">
        <v>1179</v>
      </c>
      <c r="H773" s="19" t="s">
        <v>2026</v>
      </c>
      <c r="I773" s="19" t="s">
        <v>2026</v>
      </c>
      <c r="J773" s="19" t="s">
        <v>1110</v>
      </c>
      <c r="K773" s="19" t="s">
        <v>6</v>
      </c>
      <c r="L773" s="19" t="s">
        <v>1095</v>
      </c>
      <c r="M773" s="19" t="s">
        <v>1095</v>
      </c>
      <c r="N773" s="19" t="s">
        <v>1502</v>
      </c>
      <c r="R773" t="s">
        <v>1097</v>
      </c>
    </row>
    <row r="774" spans="1:18" x14ac:dyDescent="0.3">
      <c r="A774" s="19">
        <f t="shared" si="12"/>
        <v>773</v>
      </c>
      <c r="B774" s="20" t="s">
        <v>87</v>
      </c>
      <c r="C774" s="20" t="s">
        <v>102</v>
      </c>
      <c r="D774" s="21" t="str">
        <f>IF($C774="","",IFERROR(VLOOKUP($C774,Map_Register!$A$2:$C$5,3,FALSE()),""))</f>
        <v>Toponym Labels</v>
      </c>
      <c r="E774" s="20" t="s">
        <v>15</v>
      </c>
      <c r="F774" s="22">
        <v>786221</v>
      </c>
      <c r="G774" s="19" t="s">
        <v>1179</v>
      </c>
      <c r="H774" s="19" t="s">
        <v>2388</v>
      </c>
      <c r="I774" s="19" t="s">
        <v>2388</v>
      </c>
      <c r="J774" s="19" t="s">
        <v>1110</v>
      </c>
      <c r="K774" t="s">
        <v>1100</v>
      </c>
      <c r="L774" t="s">
        <v>114</v>
      </c>
      <c r="M774" t="s">
        <v>116</v>
      </c>
      <c r="N774" s="19" t="s">
        <v>1512</v>
      </c>
      <c r="O774" s="19" t="s">
        <v>116</v>
      </c>
      <c r="R774" t="s">
        <v>1097</v>
      </c>
    </row>
    <row r="775" spans="1:18" x14ac:dyDescent="0.3">
      <c r="A775" s="19">
        <f t="shared" si="12"/>
        <v>774</v>
      </c>
      <c r="B775" s="20" t="s">
        <v>87</v>
      </c>
      <c r="C775" s="20" t="s">
        <v>102</v>
      </c>
      <c r="D775" s="21" t="str">
        <f>IF($C775="","",IFERROR(VLOOKUP($C775,Map_Register!$A$2:$C$5,3,FALSE()),""))</f>
        <v>Toponym Labels</v>
      </c>
      <c r="E775" s="20" t="s">
        <v>15</v>
      </c>
      <c r="F775" s="22">
        <v>786234</v>
      </c>
      <c r="G775" s="19" t="s">
        <v>1495</v>
      </c>
      <c r="H775" s="19" t="s">
        <v>2389</v>
      </c>
      <c r="I775" s="19" t="s">
        <v>2389</v>
      </c>
      <c r="J775" s="19" t="s">
        <v>1110</v>
      </c>
      <c r="K775" t="s">
        <v>1100</v>
      </c>
      <c r="L775" t="s">
        <v>114</v>
      </c>
      <c r="M775" t="s">
        <v>116</v>
      </c>
      <c r="N775" s="19" t="s">
        <v>1268</v>
      </c>
      <c r="O775" s="19" t="s">
        <v>116</v>
      </c>
      <c r="R775" t="s">
        <v>1097</v>
      </c>
    </row>
    <row r="776" spans="1:18" x14ac:dyDescent="0.3">
      <c r="A776" s="19">
        <f t="shared" si="12"/>
        <v>775</v>
      </c>
      <c r="B776" s="20" t="s">
        <v>87</v>
      </c>
      <c r="C776" s="20" t="s">
        <v>102</v>
      </c>
      <c r="D776" s="21" t="str">
        <f>IF($C776="","",IFERROR(VLOOKUP($C776,Map_Register!$A$2:$C$5,3,FALSE()),""))</f>
        <v>Toponym Labels</v>
      </c>
      <c r="E776" s="20" t="s">
        <v>15</v>
      </c>
      <c r="F776" s="22">
        <v>786235</v>
      </c>
      <c r="G776" s="19" t="s">
        <v>1495</v>
      </c>
      <c r="H776" s="19" t="s">
        <v>2390</v>
      </c>
      <c r="I776" s="19" t="s">
        <v>2390</v>
      </c>
      <c r="J776" s="19" t="s">
        <v>1110</v>
      </c>
      <c r="K776" t="s">
        <v>1100</v>
      </c>
      <c r="L776" t="s">
        <v>114</v>
      </c>
      <c r="M776" t="s">
        <v>116</v>
      </c>
      <c r="N776" s="19" t="s">
        <v>1268</v>
      </c>
      <c r="O776" s="19" t="s">
        <v>116</v>
      </c>
      <c r="R776" t="s">
        <v>1097</v>
      </c>
    </row>
    <row r="777" spans="1:18" hidden="1" x14ac:dyDescent="0.3">
      <c r="A777" s="19">
        <f t="shared" si="12"/>
        <v>776</v>
      </c>
      <c r="B777" s="20" t="s">
        <v>87</v>
      </c>
      <c r="C777" s="20" t="s">
        <v>102</v>
      </c>
      <c r="D777" s="21" t="str">
        <f>IF($C777="","",IFERROR(VLOOKUP($C777,Map_Register!$A$2:$C$5,3,FALSE()),""))</f>
        <v>Toponym Labels</v>
      </c>
      <c r="E777" s="20" t="s">
        <v>15</v>
      </c>
      <c r="F777" s="22">
        <v>786292</v>
      </c>
      <c r="G777" s="19" t="s">
        <v>1205</v>
      </c>
      <c r="H777" s="19" t="s">
        <v>2391</v>
      </c>
      <c r="I777" s="19" t="s">
        <v>2391</v>
      </c>
      <c r="J777" s="19" t="s">
        <v>1110</v>
      </c>
      <c r="K777" s="19" t="s">
        <v>6</v>
      </c>
      <c r="L777" s="19" t="s">
        <v>1095</v>
      </c>
      <c r="M777" s="19" t="s">
        <v>1095</v>
      </c>
      <c r="N777" s="19" t="s">
        <v>1292</v>
      </c>
      <c r="R777" t="s">
        <v>1097</v>
      </c>
    </row>
    <row r="778" spans="1:18" x14ac:dyDescent="0.3">
      <c r="A778" s="19">
        <f t="shared" si="12"/>
        <v>777</v>
      </c>
      <c r="B778" s="20" t="s">
        <v>87</v>
      </c>
      <c r="C778" s="20" t="s">
        <v>102</v>
      </c>
      <c r="D778" s="21" t="str">
        <f>IF($C778="","",IFERROR(VLOOKUP($C778,Map_Register!$A$2:$C$5,3,FALSE()),""))</f>
        <v>Toponym Labels</v>
      </c>
      <c r="E778" s="20" t="s">
        <v>15</v>
      </c>
      <c r="F778" s="22">
        <v>786293</v>
      </c>
      <c r="G778" s="19" t="s">
        <v>1205</v>
      </c>
      <c r="H778" s="19" t="s">
        <v>2392</v>
      </c>
      <c r="I778" s="19" t="s">
        <v>2392</v>
      </c>
      <c r="J778" s="19" t="s">
        <v>1110</v>
      </c>
      <c r="K778" t="s">
        <v>1100</v>
      </c>
      <c r="L778" t="s">
        <v>114</v>
      </c>
      <c r="M778" t="s">
        <v>116</v>
      </c>
      <c r="N778" s="19" t="s">
        <v>1268</v>
      </c>
      <c r="O778" s="19" t="s">
        <v>116</v>
      </c>
      <c r="R778" t="s">
        <v>1097</v>
      </c>
    </row>
    <row r="779" spans="1:18" x14ac:dyDescent="0.3">
      <c r="A779" s="19">
        <f t="shared" si="12"/>
        <v>778</v>
      </c>
      <c r="B779" s="20" t="s">
        <v>87</v>
      </c>
      <c r="C779" s="20" t="s">
        <v>102</v>
      </c>
      <c r="D779" s="21" t="str">
        <f>IF($C779="","",IFERROR(VLOOKUP($C779,Map_Register!$A$2:$C$5,3,FALSE()),""))</f>
        <v>Toponym Labels</v>
      </c>
      <c r="E779" s="20" t="s">
        <v>15</v>
      </c>
      <c r="F779" s="22">
        <v>786294</v>
      </c>
      <c r="G779" s="19" t="s">
        <v>1205</v>
      </c>
      <c r="H779" s="19" t="s">
        <v>2387</v>
      </c>
      <c r="I779" s="19" t="s">
        <v>2387</v>
      </c>
      <c r="J779" s="19" t="s">
        <v>1110</v>
      </c>
      <c r="K779" t="s">
        <v>1100</v>
      </c>
      <c r="L779" t="s">
        <v>114</v>
      </c>
      <c r="M779" t="s">
        <v>116</v>
      </c>
      <c r="N779" s="19" t="s">
        <v>1268</v>
      </c>
      <c r="O779" s="19" t="s">
        <v>116</v>
      </c>
      <c r="R779" t="s">
        <v>1097</v>
      </c>
    </row>
    <row r="780" spans="1:18" x14ac:dyDescent="0.3">
      <c r="A780" s="19">
        <f t="shared" si="12"/>
        <v>779</v>
      </c>
      <c r="B780" s="20" t="s">
        <v>87</v>
      </c>
      <c r="C780" s="20" t="s">
        <v>102</v>
      </c>
      <c r="D780" s="21" t="str">
        <f>IF($C780="","",IFERROR(VLOOKUP($C780,Map_Register!$A$2:$C$5,3,FALSE()),""))</f>
        <v>Toponym Labels</v>
      </c>
      <c r="E780" s="20" t="s">
        <v>15</v>
      </c>
      <c r="F780" s="22">
        <v>786295</v>
      </c>
      <c r="G780" s="19" t="s">
        <v>1205</v>
      </c>
      <c r="H780" s="19" t="s">
        <v>2393</v>
      </c>
      <c r="I780" s="19" t="s">
        <v>2393</v>
      </c>
      <c r="J780" s="19" t="s">
        <v>1110</v>
      </c>
      <c r="K780" t="s">
        <v>1100</v>
      </c>
      <c r="L780" t="s">
        <v>114</v>
      </c>
      <c r="M780" t="s">
        <v>116</v>
      </c>
      <c r="N780" s="19" t="s">
        <v>1268</v>
      </c>
      <c r="O780" s="19" t="s">
        <v>116</v>
      </c>
      <c r="R780" t="s">
        <v>1097</v>
      </c>
    </row>
    <row r="781" spans="1:18" hidden="1" x14ac:dyDescent="0.3">
      <c r="A781" s="19">
        <f t="shared" si="12"/>
        <v>780</v>
      </c>
      <c r="B781" s="20" t="s">
        <v>87</v>
      </c>
      <c r="C781" s="20" t="s">
        <v>102</v>
      </c>
      <c r="D781" s="21" t="str">
        <f>IF($C781="","",IFERROR(VLOOKUP($C781,Map_Register!$A$2:$C$5,3,FALSE()),""))</f>
        <v>Toponym Labels</v>
      </c>
      <c r="E781" s="20" t="s">
        <v>15</v>
      </c>
      <c r="F781" s="22">
        <v>786297</v>
      </c>
      <c r="G781" s="19" t="s">
        <v>1205</v>
      </c>
      <c r="H781" s="19" t="s">
        <v>2394</v>
      </c>
      <c r="I781" s="19" t="s">
        <v>2394</v>
      </c>
      <c r="J781" s="19" t="s">
        <v>1110</v>
      </c>
      <c r="K781" s="19" t="s">
        <v>6</v>
      </c>
      <c r="L781" s="19" t="s">
        <v>1095</v>
      </c>
      <c r="M781" s="19" t="s">
        <v>1095</v>
      </c>
      <c r="N781" s="19" t="s">
        <v>1292</v>
      </c>
      <c r="R781" t="s">
        <v>1097</v>
      </c>
    </row>
    <row r="782" spans="1:18" hidden="1" x14ac:dyDescent="0.3">
      <c r="A782" s="19">
        <f t="shared" si="12"/>
        <v>781</v>
      </c>
      <c r="B782" s="20" t="s">
        <v>87</v>
      </c>
      <c r="C782" s="20" t="s">
        <v>102</v>
      </c>
      <c r="D782" s="21" t="str">
        <f>IF($C782="","",IFERROR(VLOOKUP($C782,Map_Register!$A$2:$C$5,3,FALSE()),""))</f>
        <v>Toponym Labels</v>
      </c>
      <c r="E782" s="20" t="s">
        <v>15</v>
      </c>
      <c r="F782" s="22">
        <v>786300</v>
      </c>
      <c r="G782" s="19" t="s">
        <v>1136</v>
      </c>
      <c r="H782" s="19" t="s">
        <v>2395</v>
      </c>
      <c r="I782" s="19" t="s">
        <v>2395</v>
      </c>
      <c r="J782" s="19" t="s">
        <v>1110</v>
      </c>
      <c r="K782" s="19" t="s">
        <v>6</v>
      </c>
      <c r="L782" s="19" t="s">
        <v>1095</v>
      </c>
      <c r="M782" s="19" t="s">
        <v>1095</v>
      </c>
      <c r="N782" s="19" t="s">
        <v>1406</v>
      </c>
      <c r="R782" t="s">
        <v>1097</v>
      </c>
    </row>
    <row r="783" spans="1:18" hidden="1" x14ac:dyDescent="0.3">
      <c r="A783" s="19">
        <f t="shared" si="12"/>
        <v>782</v>
      </c>
      <c r="B783" s="20" t="s">
        <v>87</v>
      </c>
      <c r="C783" s="20" t="s">
        <v>102</v>
      </c>
      <c r="D783" s="21" t="str">
        <f>IF($C783="","",IFERROR(VLOOKUP($C783,Map_Register!$A$2:$C$5,3,FALSE()),""))</f>
        <v>Toponym Labels</v>
      </c>
      <c r="E783" s="20" t="s">
        <v>15</v>
      </c>
      <c r="F783" s="22">
        <v>786301</v>
      </c>
      <c r="G783" s="19" t="s">
        <v>1136</v>
      </c>
      <c r="H783" s="19" t="s">
        <v>2396</v>
      </c>
      <c r="I783" s="19" t="s">
        <v>2397</v>
      </c>
      <c r="J783" s="19" t="s">
        <v>1104</v>
      </c>
      <c r="K783" s="19" t="s">
        <v>6</v>
      </c>
      <c r="L783" s="19" t="s">
        <v>1095</v>
      </c>
      <c r="M783" s="19" t="s">
        <v>1095</v>
      </c>
      <c r="N783" s="19" t="s">
        <v>1105</v>
      </c>
      <c r="R783" t="s">
        <v>1097</v>
      </c>
    </row>
    <row r="784" spans="1:18" hidden="1" x14ac:dyDescent="0.3">
      <c r="A784" s="19">
        <f t="shared" si="12"/>
        <v>783</v>
      </c>
      <c r="B784" s="20" t="s">
        <v>87</v>
      </c>
      <c r="C784" s="20" t="s">
        <v>102</v>
      </c>
      <c r="D784" s="21" t="str">
        <f>IF($C784="","",IFERROR(VLOOKUP($C784,Map_Register!$A$2:$C$5,3,FALSE()),""))</f>
        <v>Toponym Labels</v>
      </c>
      <c r="E784" s="20" t="s">
        <v>15</v>
      </c>
      <c r="F784" s="22">
        <v>786302</v>
      </c>
      <c r="G784" s="19" t="s">
        <v>1108</v>
      </c>
      <c r="H784" s="19" t="s">
        <v>2398</v>
      </c>
      <c r="I784" s="19" t="s">
        <v>2398</v>
      </c>
      <c r="J784" s="19" t="s">
        <v>1110</v>
      </c>
      <c r="K784" s="19" t="s">
        <v>6</v>
      </c>
      <c r="L784" s="19" t="s">
        <v>1095</v>
      </c>
      <c r="M784" s="19" t="s">
        <v>1095</v>
      </c>
      <c r="N784" s="19" t="s">
        <v>1111</v>
      </c>
      <c r="R784" t="s">
        <v>1097</v>
      </c>
    </row>
    <row r="785" spans="1:18" hidden="1" x14ac:dyDescent="0.3">
      <c r="A785" s="19">
        <f t="shared" si="12"/>
        <v>784</v>
      </c>
      <c r="B785" s="20" t="s">
        <v>87</v>
      </c>
      <c r="C785" s="20" t="s">
        <v>102</v>
      </c>
      <c r="D785" s="21" t="str">
        <f>IF($C785="","",IFERROR(VLOOKUP($C785,Map_Register!$A$2:$C$5,3,FALSE()),""))</f>
        <v>Toponym Labels</v>
      </c>
      <c r="E785" s="20" t="s">
        <v>15</v>
      </c>
      <c r="F785" s="22">
        <v>786303</v>
      </c>
      <c r="G785" s="19" t="s">
        <v>1125</v>
      </c>
      <c r="H785" s="19" t="s">
        <v>2399</v>
      </c>
      <c r="I785" s="19" t="s">
        <v>2400</v>
      </c>
      <c r="J785" s="19" t="s">
        <v>1094</v>
      </c>
      <c r="K785" s="19" t="s">
        <v>6</v>
      </c>
      <c r="L785" s="19" t="s">
        <v>1095</v>
      </c>
      <c r="M785" s="19" t="s">
        <v>1095</v>
      </c>
      <c r="N785" s="19" t="s">
        <v>1105</v>
      </c>
      <c r="R785" t="s">
        <v>1097</v>
      </c>
    </row>
    <row r="786" spans="1:18" hidden="1" x14ac:dyDescent="0.3">
      <c r="A786" s="19">
        <f t="shared" si="12"/>
        <v>785</v>
      </c>
      <c r="B786" s="20" t="s">
        <v>87</v>
      </c>
      <c r="C786" s="20" t="s">
        <v>102</v>
      </c>
      <c r="D786" s="21" t="str">
        <f>IF($C786="","",IFERROR(VLOOKUP($C786,Map_Register!$A$2:$C$5,3,FALSE()),""))</f>
        <v>Toponym Labels</v>
      </c>
      <c r="E786" s="20" t="s">
        <v>15</v>
      </c>
      <c r="F786" s="22">
        <v>786304</v>
      </c>
      <c r="G786" s="19" t="s">
        <v>1091</v>
      </c>
      <c r="H786" s="19" t="s">
        <v>2401</v>
      </c>
      <c r="I786" s="19" t="s">
        <v>2401</v>
      </c>
      <c r="J786" s="19" t="s">
        <v>1110</v>
      </c>
      <c r="K786" t="s">
        <v>1100</v>
      </c>
      <c r="L786" t="s">
        <v>114</v>
      </c>
      <c r="M786" t="s">
        <v>114</v>
      </c>
      <c r="N786" s="19" t="s">
        <v>530</v>
      </c>
      <c r="O786" s="19" t="s">
        <v>116</v>
      </c>
      <c r="R786" t="s">
        <v>1097</v>
      </c>
    </row>
    <row r="787" spans="1:18" hidden="1" x14ac:dyDescent="0.3">
      <c r="A787" s="19">
        <f t="shared" si="12"/>
        <v>786</v>
      </c>
      <c r="B787" s="20" t="s">
        <v>87</v>
      </c>
      <c r="C787" s="20" t="s">
        <v>102</v>
      </c>
      <c r="D787" s="21" t="str">
        <f>IF($C787="","",IFERROR(VLOOKUP($C787,Map_Register!$A$2:$C$5,3,FALSE()),""))</f>
        <v>Toponym Labels</v>
      </c>
      <c r="E787" s="20" t="s">
        <v>15</v>
      </c>
      <c r="F787" s="22">
        <v>786305</v>
      </c>
      <c r="G787" s="19" t="s">
        <v>1136</v>
      </c>
      <c r="H787" s="19" t="s">
        <v>2402</v>
      </c>
      <c r="I787" s="19" t="s">
        <v>2402</v>
      </c>
      <c r="J787" s="19" t="s">
        <v>1110</v>
      </c>
      <c r="K787" t="s">
        <v>1100</v>
      </c>
      <c r="L787" t="s">
        <v>114</v>
      </c>
      <c r="M787" t="s">
        <v>114</v>
      </c>
      <c r="N787" s="19" t="s">
        <v>530</v>
      </c>
      <c r="O787" s="19" t="s">
        <v>116</v>
      </c>
      <c r="R787" t="s">
        <v>1097</v>
      </c>
    </row>
    <row r="788" spans="1:18" hidden="1" x14ac:dyDescent="0.3">
      <c r="A788" s="19">
        <f t="shared" si="12"/>
        <v>787</v>
      </c>
      <c r="B788" s="20" t="s">
        <v>87</v>
      </c>
      <c r="C788" s="20" t="s">
        <v>102</v>
      </c>
      <c r="D788" s="21" t="str">
        <f>IF($C788="","",IFERROR(VLOOKUP($C788,Map_Register!$A$2:$C$5,3,FALSE()),""))</f>
        <v>Toponym Labels</v>
      </c>
      <c r="E788" s="20" t="s">
        <v>15</v>
      </c>
      <c r="F788" s="22">
        <v>786306</v>
      </c>
      <c r="G788" s="19" t="s">
        <v>1136</v>
      </c>
      <c r="H788" s="19" t="s">
        <v>2403</v>
      </c>
      <c r="I788" s="19" t="s">
        <v>2403</v>
      </c>
      <c r="J788" s="19" t="s">
        <v>1110</v>
      </c>
      <c r="K788" t="s">
        <v>1100</v>
      </c>
      <c r="L788" t="s">
        <v>114</v>
      </c>
      <c r="M788" t="s">
        <v>114</v>
      </c>
      <c r="N788" s="19" t="s">
        <v>530</v>
      </c>
      <c r="O788" s="19" t="s">
        <v>116</v>
      </c>
      <c r="R788" t="s">
        <v>1097</v>
      </c>
    </row>
    <row r="789" spans="1:18" hidden="1" x14ac:dyDescent="0.3">
      <c r="A789" s="19">
        <f t="shared" si="12"/>
        <v>788</v>
      </c>
      <c r="B789" s="20" t="s">
        <v>87</v>
      </c>
      <c r="C789" s="20" t="s">
        <v>102</v>
      </c>
      <c r="D789" s="21" t="str">
        <f>IF($C789="","",IFERROR(VLOOKUP($C789,Map_Register!$A$2:$C$5,3,FALSE()),""))</f>
        <v>Toponym Labels</v>
      </c>
      <c r="E789" s="20" t="s">
        <v>15</v>
      </c>
      <c r="F789" s="22">
        <v>786307</v>
      </c>
      <c r="G789" s="19" t="s">
        <v>1136</v>
      </c>
      <c r="H789" s="19" t="s">
        <v>2404</v>
      </c>
      <c r="I789" s="19" t="s">
        <v>2404</v>
      </c>
      <c r="J789" s="19" t="s">
        <v>1110</v>
      </c>
      <c r="K789" t="s">
        <v>1100</v>
      </c>
      <c r="L789" t="s">
        <v>114</v>
      </c>
      <c r="M789" t="s">
        <v>114</v>
      </c>
      <c r="N789" s="19" t="s">
        <v>530</v>
      </c>
      <c r="O789" s="19" t="s">
        <v>116</v>
      </c>
      <c r="R789" t="s">
        <v>1097</v>
      </c>
    </row>
    <row r="790" spans="1:18" hidden="1" x14ac:dyDescent="0.3">
      <c r="A790" s="19">
        <f t="shared" si="12"/>
        <v>789</v>
      </c>
      <c r="B790" s="20" t="s">
        <v>87</v>
      </c>
      <c r="C790" s="20" t="s">
        <v>102</v>
      </c>
      <c r="D790" s="21" t="str">
        <f>IF($C790="","",IFERROR(VLOOKUP($C790,Map_Register!$A$2:$C$5,3,FALSE()),""))</f>
        <v>Toponym Labels</v>
      </c>
      <c r="E790" s="20" t="s">
        <v>15</v>
      </c>
      <c r="F790" s="22">
        <v>786308</v>
      </c>
      <c r="G790" s="19" t="s">
        <v>1136</v>
      </c>
      <c r="H790" s="19" t="s">
        <v>2405</v>
      </c>
      <c r="I790" s="19" t="s">
        <v>2405</v>
      </c>
      <c r="J790" s="19" t="s">
        <v>1110</v>
      </c>
      <c r="K790" s="19" t="s">
        <v>6</v>
      </c>
      <c r="L790" s="19" t="s">
        <v>1095</v>
      </c>
      <c r="M790" s="19" t="s">
        <v>1095</v>
      </c>
      <c r="N790" s="19" t="s">
        <v>1406</v>
      </c>
      <c r="R790" t="s">
        <v>1097</v>
      </c>
    </row>
    <row r="791" spans="1:18" hidden="1" x14ac:dyDescent="0.3">
      <c r="A791" s="19">
        <f t="shared" si="12"/>
        <v>790</v>
      </c>
      <c r="B791" s="20" t="s">
        <v>87</v>
      </c>
      <c r="C791" s="20" t="s">
        <v>102</v>
      </c>
      <c r="D791" s="21" t="str">
        <f>IF($C791="","",IFERROR(VLOOKUP($C791,Map_Register!$A$2:$C$5,3,FALSE()),""))</f>
        <v>Toponym Labels</v>
      </c>
      <c r="E791" s="20" t="s">
        <v>15</v>
      </c>
      <c r="F791" s="22">
        <v>786309</v>
      </c>
      <c r="G791" s="19" t="s">
        <v>1125</v>
      </c>
      <c r="H791" s="19" t="s">
        <v>2406</v>
      </c>
      <c r="I791" s="19" t="s">
        <v>2407</v>
      </c>
      <c r="J791" s="19" t="s">
        <v>1104</v>
      </c>
      <c r="K791" s="19" t="s">
        <v>6</v>
      </c>
      <c r="L791" s="19" t="s">
        <v>1095</v>
      </c>
      <c r="M791" s="19" t="s">
        <v>1095</v>
      </c>
      <c r="N791" s="19" t="s">
        <v>1105</v>
      </c>
      <c r="R791" t="s">
        <v>1097</v>
      </c>
    </row>
    <row r="792" spans="1:18" hidden="1" x14ac:dyDescent="0.3">
      <c r="A792" s="19">
        <f t="shared" si="12"/>
        <v>791</v>
      </c>
      <c r="B792" s="20" t="s">
        <v>87</v>
      </c>
      <c r="C792" s="20" t="s">
        <v>102</v>
      </c>
      <c r="D792" s="21" t="str">
        <f>IF($C792="","",IFERROR(VLOOKUP($C792,Map_Register!$A$2:$C$5,3,FALSE()),""))</f>
        <v>Toponym Labels</v>
      </c>
      <c r="E792" s="20" t="s">
        <v>15</v>
      </c>
      <c r="F792" s="22">
        <v>786310</v>
      </c>
      <c r="G792" s="19" t="s">
        <v>1136</v>
      </c>
      <c r="H792" s="19" t="s">
        <v>2408</v>
      </c>
      <c r="I792" s="19" t="s">
        <v>2408</v>
      </c>
      <c r="J792" s="19" t="s">
        <v>1110</v>
      </c>
      <c r="K792" s="19" t="s">
        <v>6</v>
      </c>
      <c r="L792" s="19" t="s">
        <v>1095</v>
      </c>
      <c r="M792" s="19" t="s">
        <v>1095</v>
      </c>
      <c r="N792" s="19" t="s">
        <v>1406</v>
      </c>
      <c r="R792" t="s">
        <v>1097</v>
      </c>
    </row>
    <row r="793" spans="1:18" hidden="1" x14ac:dyDescent="0.3">
      <c r="A793" s="19">
        <f t="shared" si="12"/>
        <v>792</v>
      </c>
      <c r="B793" s="20" t="s">
        <v>87</v>
      </c>
      <c r="C793" s="20" t="s">
        <v>102</v>
      </c>
      <c r="D793" s="21" t="str">
        <f>IF($C793="","",IFERROR(VLOOKUP($C793,Map_Register!$A$2:$C$5,3,FALSE()),""))</f>
        <v>Toponym Labels</v>
      </c>
      <c r="E793" s="20" t="s">
        <v>15</v>
      </c>
      <c r="F793" s="22">
        <v>786311</v>
      </c>
      <c r="G793" s="19" t="s">
        <v>1163</v>
      </c>
      <c r="H793" s="19" t="s">
        <v>2409</v>
      </c>
      <c r="I793" s="19" t="s">
        <v>2410</v>
      </c>
      <c r="J793" s="19" t="s">
        <v>1104</v>
      </c>
      <c r="K793" s="19" t="s">
        <v>6</v>
      </c>
      <c r="L793" s="19" t="s">
        <v>1095</v>
      </c>
      <c r="M793" s="19" t="s">
        <v>1095</v>
      </c>
      <c r="N793" s="19" t="s">
        <v>1105</v>
      </c>
      <c r="R793" t="s">
        <v>1097</v>
      </c>
    </row>
    <row r="794" spans="1:18" hidden="1" x14ac:dyDescent="0.3">
      <c r="A794" s="19">
        <f t="shared" si="12"/>
        <v>793</v>
      </c>
      <c r="B794" s="20" t="s">
        <v>87</v>
      </c>
      <c r="C794" s="20" t="s">
        <v>102</v>
      </c>
      <c r="D794" s="21" t="str">
        <f>IF($C794="","",IFERROR(VLOOKUP($C794,Map_Register!$A$2:$C$5,3,FALSE()),""))</f>
        <v>Toponym Labels</v>
      </c>
      <c r="E794" s="20" t="s">
        <v>15</v>
      </c>
      <c r="F794" s="22">
        <v>786312</v>
      </c>
      <c r="G794" s="19" t="s">
        <v>1136</v>
      </c>
      <c r="H794" s="19" t="s">
        <v>2411</v>
      </c>
      <c r="I794" s="19" t="s">
        <v>2412</v>
      </c>
      <c r="J794" s="19" t="s">
        <v>1104</v>
      </c>
      <c r="K794" s="19" t="s">
        <v>6</v>
      </c>
      <c r="L794" s="19" t="s">
        <v>1095</v>
      </c>
      <c r="M794" s="19" t="s">
        <v>1095</v>
      </c>
      <c r="N794" s="19" t="s">
        <v>1105</v>
      </c>
      <c r="R794" t="s">
        <v>1097</v>
      </c>
    </row>
    <row r="795" spans="1:18" hidden="1" x14ac:dyDescent="0.3">
      <c r="A795" s="19">
        <f t="shared" si="12"/>
        <v>794</v>
      </c>
      <c r="B795" s="20" t="s">
        <v>87</v>
      </c>
      <c r="C795" s="20" t="s">
        <v>102</v>
      </c>
      <c r="D795" s="21" t="str">
        <f>IF($C795="","",IFERROR(VLOOKUP($C795,Map_Register!$A$2:$C$5,3,FALSE()),""))</f>
        <v>Toponym Labels</v>
      </c>
      <c r="E795" s="20" t="s">
        <v>15</v>
      </c>
      <c r="F795" s="22">
        <v>786313</v>
      </c>
      <c r="G795" s="19" t="s">
        <v>1136</v>
      </c>
      <c r="H795" s="19" t="s">
        <v>2413</v>
      </c>
      <c r="I795" s="19" t="s">
        <v>2413</v>
      </c>
      <c r="J795" s="19" t="s">
        <v>1110</v>
      </c>
      <c r="K795" t="s">
        <v>1100</v>
      </c>
      <c r="L795" t="s">
        <v>114</v>
      </c>
      <c r="M795" t="s">
        <v>114</v>
      </c>
      <c r="N795" s="19" t="s">
        <v>530</v>
      </c>
      <c r="O795" s="19" t="s">
        <v>116</v>
      </c>
      <c r="R795" t="s">
        <v>1097</v>
      </c>
    </row>
    <row r="796" spans="1:18" hidden="1" x14ac:dyDescent="0.3">
      <c r="A796" s="19">
        <f t="shared" si="12"/>
        <v>795</v>
      </c>
      <c r="B796" s="20" t="s">
        <v>87</v>
      </c>
      <c r="C796" s="20" t="s">
        <v>102</v>
      </c>
      <c r="D796" s="21" t="str">
        <f>IF($C796="","",IFERROR(VLOOKUP($C796,Map_Register!$A$2:$C$5,3,FALSE()),""))</f>
        <v>Toponym Labels</v>
      </c>
      <c r="E796" s="20" t="s">
        <v>15</v>
      </c>
      <c r="F796" s="22">
        <v>786314</v>
      </c>
      <c r="G796" s="19" t="s">
        <v>1136</v>
      </c>
      <c r="H796" s="19" t="s">
        <v>2414</v>
      </c>
      <c r="I796" s="19" t="s">
        <v>2414</v>
      </c>
      <c r="J796" s="19" t="s">
        <v>1110</v>
      </c>
      <c r="K796" t="s">
        <v>1100</v>
      </c>
      <c r="L796" t="s">
        <v>114</v>
      </c>
      <c r="M796" t="s">
        <v>114</v>
      </c>
      <c r="N796" s="19" t="s">
        <v>530</v>
      </c>
      <c r="O796" s="19" t="s">
        <v>116</v>
      </c>
      <c r="R796" t="s">
        <v>1097</v>
      </c>
    </row>
    <row r="797" spans="1:18" hidden="1" x14ac:dyDescent="0.3">
      <c r="A797" s="19">
        <f t="shared" si="12"/>
        <v>796</v>
      </c>
      <c r="B797" s="20" t="s">
        <v>87</v>
      </c>
      <c r="C797" s="20" t="s">
        <v>102</v>
      </c>
      <c r="D797" s="21" t="str">
        <f>IF($C797="","",IFERROR(VLOOKUP($C797,Map_Register!$A$2:$C$5,3,FALSE()),""))</f>
        <v>Toponym Labels</v>
      </c>
      <c r="E797" s="20" t="s">
        <v>15</v>
      </c>
      <c r="F797" s="22">
        <v>786315</v>
      </c>
      <c r="G797" s="19" t="s">
        <v>1125</v>
      </c>
      <c r="H797" s="19" t="s">
        <v>972</v>
      </c>
      <c r="I797" s="19" t="s">
        <v>2415</v>
      </c>
      <c r="J797" s="19" t="s">
        <v>1094</v>
      </c>
      <c r="K797" s="19" t="s">
        <v>6</v>
      </c>
      <c r="L797" s="19" t="s">
        <v>1095</v>
      </c>
      <c r="M797" s="19" t="s">
        <v>1095</v>
      </c>
      <c r="N797" s="19" t="s">
        <v>1105</v>
      </c>
      <c r="R797" t="s">
        <v>1097</v>
      </c>
    </row>
    <row r="798" spans="1:18" x14ac:dyDescent="0.3">
      <c r="A798" s="19">
        <f t="shared" si="12"/>
        <v>797</v>
      </c>
      <c r="B798" s="20" t="s">
        <v>87</v>
      </c>
      <c r="C798" s="20" t="s">
        <v>102</v>
      </c>
      <c r="D798" s="21" t="str">
        <f>IF($C798="","",IFERROR(VLOOKUP($C798,Map_Register!$A$2:$C$5,3,FALSE()),""))</f>
        <v>Toponym Labels</v>
      </c>
      <c r="E798" s="20" t="s">
        <v>15</v>
      </c>
      <c r="F798" s="22">
        <v>786316</v>
      </c>
      <c r="G798" s="19" t="s">
        <v>1125</v>
      </c>
      <c r="H798" s="19" t="s">
        <v>2416</v>
      </c>
      <c r="I798" s="19" t="s">
        <v>2416</v>
      </c>
      <c r="J798" s="19" t="s">
        <v>1110</v>
      </c>
      <c r="K798" t="s">
        <v>1100</v>
      </c>
      <c r="L798" t="s">
        <v>114</v>
      </c>
      <c r="M798" t="s">
        <v>116</v>
      </c>
      <c r="N798" s="19" t="s">
        <v>1268</v>
      </c>
      <c r="O798" s="19" t="s">
        <v>116</v>
      </c>
      <c r="R798" t="s">
        <v>1097</v>
      </c>
    </row>
    <row r="799" spans="1:18" hidden="1" x14ac:dyDescent="0.3">
      <c r="A799" s="19">
        <f t="shared" si="12"/>
        <v>798</v>
      </c>
      <c r="B799" s="20" t="s">
        <v>87</v>
      </c>
      <c r="C799" s="20" t="s">
        <v>102</v>
      </c>
      <c r="D799" s="21" t="str">
        <f>IF($C799="","",IFERROR(VLOOKUP($C799,Map_Register!$A$2:$C$5,3,FALSE()),""))</f>
        <v>Toponym Labels</v>
      </c>
      <c r="E799" s="20" t="s">
        <v>15</v>
      </c>
      <c r="F799" s="22">
        <v>786317</v>
      </c>
      <c r="G799" s="19" t="s">
        <v>1108</v>
      </c>
      <c r="H799" s="19" t="s">
        <v>2417</v>
      </c>
      <c r="I799" s="19" t="s">
        <v>2418</v>
      </c>
      <c r="J799" s="19" t="s">
        <v>1094</v>
      </c>
      <c r="K799" s="19" t="s">
        <v>6</v>
      </c>
      <c r="L799" s="19" t="s">
        <v>1095</v>
      </c>
      <c r="M799" s="19" t="s">
        <v>1095</v>
      </c>
      <c r="N799" s="19" t="s">
        <v>1105</v>
      </c>
      <c r="R799" t="s">
        <v>1097</v>
      </c>
    </row>
    <row r="800" spans="1:18" hidden="1" x14ac:dyDescent="0.3">
      <c r="A800" s="19">
        <f t="shared" si="12"/>
        <v>799</v>
      </c>
      <c r="B800" s="20" t="s">
        <v>87</v>
      </c>
      <c r="C800" s="20" t="s">
        <v>102</v>
      </c>
      <c r="D800" s="21" t="str">
        <f>IF($C800="","",IFERROR(VLOOKUP($C800,Map_Register!$A$2:$C$5,3,FALSE()),""))</f>
        <v>Toponym Labels</v>
      </c>
      <c r="E800" s="20" t="s">
        <v>15</v>
      </c>
      <c r="F800" s="22">
        <v>786318</v>
      </c>
      <c r="G800" s="19" t="s">
        <v>1108</v>
      </c>
      <c r="H800" s="19" t="s">
        <v>2419</v>
      </c>
      <c r="I800" s="19" t="s">
        <v>2420</v>
      </c>
      <c r="J800" s="19" t="s">
        <v>1104</v>
      </c>
      <c r="K800" s="19" t="s">
        <v>6</v>
      </c>
      <c r="L800" s="19" t="s">
        <v>1095</v>
      </c>
      <c r="M800" s="19" t="s">
        <v>1095</v>
      </c>
      <c r="N800" s="19" t="s">
        <v>1105</v>
      </c>
      <c r="R800" t="s">
        <v>1097</v>
      </c>
    </row>
    <row r="801" spans="1:18" hidden="1" x14ac:dyDescent="0.3">
      <c r="A801" s="19">
        <f t="shared" si="12"/>
        <v>800</v>
      </c>
      <c r="B801" s="20" t="s">
        <v>87</v>
      </c>
      <c r="C801" s="20" t="s">
        <v>102</v>
      </c>
      <c r="D801" s="21" t="str">
        <f>IF($C801="","",IFERROR(VLOOKUP($C801,Map_Register!$A$2:$C$5,3,FALSE()),""))</f>
        <v>Toponym Labels</v>
      </c>
      <c r="E801" s="20" t="s">
        <v>15</v>
      </c>
      <c r="F801" s="22">
        <v>786319</v>
      </c>
      <c r="G801" s="19" t="s">
        <v>1125</v>
      </c>
      <c r="H801" s="19" t="s">
        <v>2421</v>
      </c>
      <c r="I801" s="19" t="s">
        <v>2422</v>
      </c>
      <c r="J801" s="19" t="s">
        <v>1104</v>
      </c>
      <c r="K801" s="19" t="s">
        <v>6</v>
      </c>
      <c r="L801" s="19" t="s">
        <v>1095</v>
      </c>
      <c r="M801" s="19" t="s">
        <v>1095</v>
      </c>
      <c r="N801" s="19" t="s">
        <v>1105</v>
      </c>
      <c r="R801" t="s">
        <v>1097</v>
      </c>
    </row>
    <row r="802" spans="1:18" hidden="1" x14ac:dyDescent="0.3">
      <c r="A802" s="19">
        <f t="shared" si="12"/>
        <v>801</v>
      </c>
      <c r="B802" s="20" t="s">
        <v>87</v>
      </c>
      <c r="C802" s="20" t="s">
        <v>102</v>
      </c>
      <c r="D802" s="21" t="str">
        <f>IF($C802="","",IFERROR(VLOOKUP($C802,Map_Register!$A$2:$C$5,3,FALSE()),""))</f>
        <v>Toponym Labels</v>
      </c>
      <c r="E802" s="20" t="s">
        <v>15</v>
      </c>
      <c r="F802" s="22">
        <v>786320</v>
      </c>
      <c r="G802" s="19" t="s">
        <v>1136</v>
      </c>
      <c r="H802" s="19" t="s">
        <v>2423</v>
      </c>
      <c r="I802" s="19" t="s">
        <v>2423</v>
      </c>
      <c r="J802" s="19" t="s">
        <v>1110</v>
      </c>
      <c r="K802" t="s">
        <v>1100</v>
      </c>
      <c r="L802" t="s">
        <v>114</v>
      </c>
      <c r="M802" t="s">
        <v>114</v>
      </c>
      <c r="N802" s="19" t="s">
        <v>530</v>
      </c>
      <c r="O802" s="19" t="s">
        <v>116</v>
      </c>
      <c r="R802" t="s">
        <v>1097</v>
      </c>
    </row>
    <row r="803" spans="1:18" hidden="1" x14ac:dyDescent="0.3">
      <c r="A803" s="19">
        <f t="shared" si="12"/>
        <v>802</v>
      </c>
      <c r="B803" s="20" t="s">
        <v>87</v>
      </c>
      <c r="C803" s="20" t="s">
        <v>102</v>
      </c>
      <c r="D803" s="21" t="str">
        <f>IF($C803="","",IFERROR(VLOOKUP($C803,Map_Register!$A$2:$C$5,3,FALSE()),""))</f>
        <v>Toponym Labels</v>
      </c>
      <c r="E803" s="20" t="s">
        <v>15</v>
      </c>
      <c r="F803" s="22">
        <v>786321</v>
      </c>
      <c r="G803" s="19" t="s">
        <v>1108</v>
      </c>
      <c r="H803" s="19" t="s">
        <v>2424</v>
      </c>
      <c r="I803" s="19" t="s">
        <v>2424</v>
      </c>
      <c r="J803" s="19" t="s">
        <v>1110</v>
      </c>
      <c r="K803" s="19" t="s">
        <v>6</v>
      </c>
      <c r="L803" s="19" t="s">
        <v>1095</v>
      </c>
      <c r="M803" s="19" t="s">
        <v>1095</v>
      </c>
      <c r="N803" s="19" t="s">
        <v>1111</v>
      </c>
      <c r="R803" t="s">
        <v>1097</v>
      </c>
    </row>
    <row r="804" spans="1:18" hidden="1" x14ac:dyDescent="0.3">
      <c r="A804" s="19">
        <f t="shared" si="12"/>
        <v>803</v>
      </c>
      <c r="B804" s="20" t="s">
        <v>87</v>
      </c>
      <c r="C804" s="20" t="s">
        <v>102</v>
      </c>
      <c r="D804" s="21" t="str">
        <f>IF($C804="","",IFERROR(VLOOKUP($C804,Map_Register!$A$2:$C$5,3,FALSE()),""))</f>
        <v>Toponym Labels</v>
      </c>
      <c r="E804" s="20" t="s">
        <v>15</v>
      </c>
      <c r="F804" s="22">
        <v>786322</v>
      </c>
      <c r="G804" s="19" t="s">
        <v>1145</v>
      </c>
      <c r="H804" s="19" t="s">
        <v>2425</v>
      </c>
      <c r="I804" s="19" t="s">
        <v>2425</v>
      </c>
      <c r="J804" s="19" t="s">
        <v>1110</v>
      </c>
      <c r="K804" s="19" t="s">
        <v>6</v>
      </c>
      <c r="L804" s="19" t="s">
        <v>1095</v>
      </c>
      <c r="M804" s="19" t="s">
        <v>1095</v>
      </c>
      <c r="N804" s="19" t="s">
        <v>1638</v>
      </c>
      <c r="R804" t="s">
        <v>1097</v>
      </c>
    </row>
    <row r="805" spans="1:18" hidden="1" x14ac:dyDescent="0.3">
      <c r="A805" s="19">
        <f t="shared" si="12"/>
        <v>804</v>
      </c>
      <c r="B805" s="20" t="s">
        <v>87</v>
      </c>
      <c r="C805" s="20" t="s">
        <v>102</v>
      </c>
      <c r="D805" s="21" t="str">
        <f>IF($C805="","",IFERROR(VLOOKUP($C805,Map_Register!$A$2:$C$5,3,FALSE()),""))</f>
        <v>Toponym Labels</v>
      </c>
      <c r="E805" s="20" t="s">
        <v>15</v>
      </c>
      <c r="F805" s="22">
        <v>786323</v>
      </c>
      <c r="G805" s="19" t="s">
        <v>1309</v>
      </c>
      <c r="H805" s="19" t="s">
        <v>1310</v>
      </c>
      <c r="I805" s="19" t="s">
        <v>1310</v>
      </c>
      <c r="J805" s="19" t="s">
        <v>1110</v>
      </c>
      <c r="K805" t="s">
        <v>1100</v>
      </c>
      <c r="L805" t="s">
        <v>114</v>
      </c>
      <c r="M805" t="s">
        <v>114</v>
      </c>
      <c r="N805" s="19" t="s">
        <v>1101</v>
      </c>
      <c r="O805" s="19" t="s">
        <v>116</v>
      </c>
      <c r="R805" t="s">
        <v>1097</v>
      </c>
    </row>
    <row r="806" spans="1:18" hidden="1" x14ac:dyDescent="0.3">
      <c r="A806" s="19">
        <f t="shared" si="12"/>
        <v>805</v>
      </c>
      <c r="B806" s="20" t="s">
        <v>87</v>
      </c>
      <c r="C806" s="20" t="s">
        <v>102</v>
      </c>
      <c r="D806" s="21" t="str">
        <f>IF($C806="","",IFERROR(VLOOKUP($C806,Map_Register!$A$2:$C$5,3,FALSE()),""))</f>
        <v>Toponym Labels</v>
      </c>
      <c r="E806" s="20" t="s">
        <v>15</v>
      </c>
      <c r="F806" s="22">
        <v>786324</v>
      </c>
      <c r="G806" s="19" t="s">
        <v>1136</v>
      </c>
      <c r="H806" s="19" t="s">
        <v>2426</v>
      </c>
      <c r="I806" s="19" t="s">
        <v>2427</v>
      </c>
      <c r="J806" s="19" t="s">
        <v>1104</v>
      </c>
      <c r="K806" t="s">
        <v>1100</v>
      </c>
      <c r="L806" t="s">
        <v>114</v>
      </c>
      <c r="M806" t="s">
        <v>114</v>
      </c>
      <c r="N806" s="19" t="s">
        <v>530</v>
      </c>
      <c r="O806" s="19" t="s">
        <v>116</v>
      </c>
      <c r="R806" t="s">
        <v>1097</v>
      </c>
    </row>
    <row r="807" spans="1:18" hidden="1" x14ac:dyDescent="0.3">
      <c r="A807" s="19">
        <f t="shared" si="12"/>
        <v>806</v>
      </c>
      <c r="B807" s="20" t="s">
        <v>87</v>
      </c>
      <c r="C807" s="20" t="s">
        <v>102</v>
      </c>
      <c r="D807" s="21" t="str">
        <f>IF($C807="","",IFERROR(VLOOKUP($C807,Map_Register!$A$2:$C$5,3,FALSE()),""))</f>
        <v>Toponym Labels</v>
      </c>
      <c r="E807" s="20" t="s">
        <v>15</v>
      </c>
      <c r="F807" s="22">
        <v>786325</v>
      </c>
      <c r="G807" s="19" t="s">
        <v>1136</v>
      </c>
      <c r="H807" s="19" t="s">
        <v>2428</v>
      </c>
      <c r="I807" s="19" t="s">
        <v>2429</v>
      </c>
      <c r="J807" s="19" t="s">
        <v>1104</v>
      </c>
      <c r="K807" s="19" t="s">
        <v>6</v>
      </c>
      <c r="L807" s="19" t="s">
        <v>1095</v>
      </c>
      <c r="M807" s="19" t="s">
        <v>1095</v>
      </c>
      <c r="N807" s="19" t="s">
        <v>1105</v>
      </c>
      <c r="R807" t="s">
        <v>1097</v>
      </c>
    </row>
    <row r="808" spans="1:18" hidden="1" x14ac:dyDescent="0.3">
      <c r="A808" s="19">
        <f t="shared" si="12"/>
        <v>807</v>
      </c>
      <c r="B808" s="20" t="s">
        <v>87</v>
      </c>
      <c r="C808" s="20" t="s">
        <v>102</v>
      </c>
      <c r="D808" s="21" t="str">
        <f>IF($C808="","",IFERROR(VLOOKUP($C808,Map_Register!$A$2:$C$5,3,FALSE()),""))</f>
        <v>Toponym Labels</v>
      </c>
      <c r="E808" s="20" t="s">
        <v>15</v>
      </c>
      <c r="F808" s="22">
        <v>786326</v>
      </c>
      <c r="G808" s="19" t="s">
        <v>1108</v>
      </c>
      <c r="H808" s="19" t="s">
        <v>2430</v>
      </c>
      <c r="I808" s="19" t="s">
        <v>2430</v>
      </c>
      <c r="J808" s="19" t="s">
        <v>1110</v>
      </c>
      <c r="K808" s="19" t="s">
        <v>6</v>
      </c>
      <c r="L808" s="19" t="s">
        <v>1095</v>
      </c>
      <c r="M808" s="19" t="s">
        <v>1095</v>
      </c>
      <c r="N808" s="19" t="s">
        <v>1111</v>
      </c>
      <c r="R808" t="s">
        <v>1097</v>
      </c>
    </row>
    <row r="809" spans="1:18" hidden="1" x14ac:dyDescent="0.3">
      <c r="A809" s="19">
        <f t="shared" si="12"/>
        <v>808</v>
      </c>
      <c r="B809" s="20" t="s">
        <v>87</v>
      </c>
      <c r="C809" s="20" t="s">
        <v>102</v>
      </c>
      <c r="D809" s="21" t="str">
        <f>IF($C809="","",IFERROR(VLOOKUP($C809,Map_Register!$A$2:$C$5,3,FALSE()),""))</f>
        <v>Toponym Labels</v>
      </c>
      <c r="E809" s="20" t="s">
        <v>15</v>
      </c>
      <c r="F809" s="22">
        <v>786327</v>
      </c>
      <c r="G809" s="19" t="s">
        <v>1163</v>
      </c>
      <c r="H809" s="19" t="s">
        <v>2431</v>
      </c>
      <c r="I809" s="19" t="s">
        <v>2431</v>
      </c>
      <c r="J809" s="19" t="s">
        <v>1110</v>
      </c>
      <c r="K809" s="19" t="s">
        <v>6</v>
      </c>
      <c r="L809" s="19" t="s">
        <v>1095</v>
      </c>
      <c r="M809" s="19" t="s">
        <v>1095</v>
      </c>
      <c r="N809" s="19" t="s">
        <v>1627</v>
      </c>
      <c r="R809" t="s">
        <v>1097</v>
      </c>
    </row>
    <row r="810" spans="1:18" hidden="1" x14ac:dyDescent="0.3">
      <c r="A810" s="19">
        <f t="shared" si="12"/>
        <v>809</v>
      </c>
      <c r="B810" s="20" t="s">
        <v>87</v>
      </c>
      <c r="C810" s="20" t="s">
        <v>102</v>
      </c>
      <c r="D810" s="21" t="str">
        <f>IF($C810="","",IFERROR(VLOOKUP($C810,Map_Register!$A$2:$C$5,3,FALSE()),""))</f>
        <v>Toponym Labels</v>
      </c>
      <c r="E810" s="20" t="s">
        <v>15</v>
      </c>
      <c r="F810" s="22">
        <v>786328</v>
      </c>
      <c r="G810" s="19" t="s">
        <v>1163</v>
      </c>
      <c r="H810" s="19" t="s">
        <v>2432</v>
      </c>
      <c r="I810" s="19" t="s">
        <v>2432</v>
      </c>
      <c r="J810" s="19" t="s">
        <v>1110</v>
      </c>
      <c r="K810" s="19" t="s">
        <v>6</v>
      </c>
      <c r="L810" s="19" t="s">
        <v>1095</v>
      </c>
      <c r="M810" s="19" t="s">
        <v>1095</v>
      </c>
      <c r="N810" s="19" t="s">
        <v>1627</v>
      </c>
      <c r="R810" t="s">
        <v>1097</v>
      </c>
    </row>
    <row r="811" spans="1:18" hidden="1" x14ac:dyDescent="0.3">
      <c r="A811" s="19">
        <f t="shared" si="12"/>
        <v>810</v>
      </c>
      <c r="B811" s="20" t="s">
        <v>87</v>
      </c>
      <c r="C811" s="20" t="s">
        <v>102</v>
      </c>
      <c r="D811" s="21" t="str">
        <f>IF($C811="","",IFERROR(VLOOKUP($C811,Map_Register!$A$2:$C$5,3,FALSE()),""))</f>
        <v>Toponym Labels</v>
      </c>
      <c r="E811" s="20" t="s">
        <v>15</v>
      </c>
      <c r="F811" s="22">
        <v>786329</v>
      </c>
      <c r="G811" s="19" t="s">
        <v>1091</v>
      </c>
      <c r="H811" s="19" t="s">
        <v>2433</v>
      </c>
      <c r="I811" s="19" t="s">
        <v>2433</v>
      </c>
      <c r="J811" s="19" t="s">
        <v>1110</v>
      </c>
      <c r="K811" t="s">
        <v>1100</v>
      </c>
      <c r="L811" t="s">
        <v>114</v>
      </c>
      <c r="M811" t="s">
        <v>114</v>
      </c>
      <c r="N811" s="19" t="s">
        <v>530</v>
      </c>
      <c r="O811" s="19" t="s">
        <v>116</v>
      </c>
      <c r="R811" t="s">
        <v>1097</v>
      </c>
    </row>
    <row r="812" spans="1:18" hidden="1" x14ac:dyDescent="0.3">
      <c r="A812" s="19">
        <f t="shared" si="12"/>
        <v>811</v>
      </c>
      <c r="B812" s="20" t="s">
        <v>87</v>
      </c>
      <c r="C812" s="20" t="s">
        <v>102</v>
      </c>
      <c r="D812" s="21" t="str">
        <f>IF($C812="","",IFERROR(VLOOKUP($C812,Map_Register!$A$2:$C$5,3,FALSE()),""))</f>
        <v>Toponym Labels</v>
      </c>
      <c r="E812" s="20" t="s">
        <v>15</v>
      </c>
      <c r="F812" s="22">
        <v>786330</v>
      </c>
      <c r="G812" s="19" t="s">
        <v>1108</v>
      </c>
      <c r="H812" s="19" t="s">
        <v>2434</v>
      </c>
      <c r="I812" s="19" t="s">
        <v>2435</v>
      </c>
      <c r="J812" s="19" t="s">
        <v>1094</v>
      </c>
      <c r="K812" s="19" t="s">
        <v>6</v>
      </c>
      <c r="L812" s="19" t="s">
        <v>1095</v>
      </c>
      <c r="M812" s="19" t="s">
        <v>1095</v>
      </c>
      <c r="N812" s="19" t="s">
        <v>1105</v>
      </c>
      <c r="R812" t="s">
        <v>1097</v>
      </c>
    </row>
    <row r="813" spans="1:18" hidden="1" x14ac:dyDescent="0.3">
      <c r="A813" s="19">
        <f t="shared" si="12"/>
        <v>812</v>
      </c>
      <c r="B813" s="20" t="s">
        <v>87</v>
      </c>
      <c r="C813" s="20" t="s">
        <v>102</v>
      </c>
      <c r="D813" s="21" t="str">
        <f>IF($C813="","",IFERROR(VLOOKUP($C813,Map_Register!$A$2:$C$5,3,FALSE()),""))</f>
        <v>Toponym Labels</v>
      </c>
      <c r="E813" s="20" t="s">
        <v>15</v>
      </c>
      <c r="F813" s="22">
        <v>786331</v>
      </c>
      <c r="G813" s="19" t="s">
        <v>1091</v>
      </c>
      <c r="H813" s="19" t="s">
        <v>2436</v>
      </c>
      <c r="I813" s="19" t="s">
        <v>2436</v>
      </c>
      <c r="J813" s="19" t="s">
        <v>1110</v>
      </c>
      <c r="K813" t="s">
        <v>1100</v>
      </c>
      <c r="L813" t="s">
        <v>114</v>
      </c>
      <c r="M813" t="s">
        <v>114</v>
      </c>
      <c r="N813" s="19" t="s">
        <v>530</v>
      </c>
      <c r="O813" s="19" t="s">
        <v>116</v>
      </c>
      <c r="R813" t="s">
        <v>1097</v>
      </c>
    </row>
    <row r="814" spans="1:18" hidden="1" x14ac:dyDescent="0.3">
      <c r="A814" s="19">
        <f t="shared" si="12"/>
        <v>813</v>
      </c>
      <c r="B814" s="20" t="s">
        <v>87</v>
      </c>
      <c r="C814" s="20" t="s">
        <v>102</v>
      </c>
      <c r="D814" s="21" t="str">
        <f>IF($C814="","",IFERROR(VLOOKUP($C814,Map_Register!$A$2:$C$5,3,FALSE()),""))</f>
        <v>Toponym Labels</v>
      </c>
      <c r="E814" s="20" t="s">
        <v>15</v>
      </c>
      <c r="F814" s="22">
        <v>786332</v>
      </c>
      <c r="G814" s="19" t="s">
        <v>1136</v>
      </c>
      <c r="H814" s="19" t="s">
        <v>2437</v>
      </c>
      <c r="I814" s="19" t="s">
        <v>2437</v>
      </c>
      <c r="J814" s="19" t="s">
        <v>1110</v>
      </c>
      <c r="K814" s="19" t="s">
        <v>6</v>
      </c>
      <c r="L814" s="19" t="s">
        <v>1095</v>
      </c>
      <c r="M814" s="19" t="s">
        <v>1095</v>
      </c>
      <c r="N814" s="19" t="s">
        <v>1406</v>
      </c>
      <c r="R814" t="s">
        <v>1097</v>
      </c>
    </row>
    <row r="815" spans="1:18" hidden="1" x14ac:dyDescent="0.3">
      <c r="A815" s="19">
        <f t="shared" si="12"/>
        <v>814</v>
      </c>
      <c r="B815" s="20" t="s">
        <v>87</v>
      </c>
      <c r="C815" s="20" t="s">
        <v>102</v>
      </c>
      <c r="D815" s="21" t="str">
        <f>IF($C815="","",IFERROR(VLOOKUP($C815,Map_Register!$A$2:$C$5,3,FALSE()),""))</f>
        <v>Toponym Labels</v>
      </c>
      <c r="E815" s="20" t="s">
        <v>15</v>
      </c>
      <c r="F815" s="22">
        <v>786333</v>
      </c>
      <c r="G815" s="19" t="s">
        <v>1136</v>
      </c>
      <c r="H815" s="19" t="s">
        <v>2438</v>
      </c>
      <c r="I815" s="19" t="s">
        <v>2438</v>
      </c>
      <c r="J815" s="19" t="s">
        <v>1110</v>
      </c>
      <c r="K815" s="19" t="s">
        <v>6</v>
      </c>
      <c r="L815" s="19" t="s">
        <v>1095</v>
      </c>
      <c r="M815" s="19" t="s">
        <v>1095</v>
      </c>
      <c r="N815" s="19" t="s">
        <v>1406</v>
      </c>
      <c r="R815" t="s">
        <v>1097</v>
      </c>
    </row>
    <row r="816" spans="1:18" hidden="1" x14ac:dyDescent="0.3">
      <c r="A816" s="19">
        <f t="shared" si="12"/>
        <v>815</v>
      </c>
      <c r="B816" s="20" t="s">
        <v>87</v>
      </c>
      <c r="C816" s="20" t="s">
        <v>102</v>
      </c>
      <c r="D816" s="21" t="str">
        <f>IF($C816="","",IFERROR(VLOOKUP($C816,Map_Register!$A$2:$C$5,3,FALSE()),""))</f>
        <v>Toponym Labels</v>
      </c>
      <c r="E816" s="20" t="s">
        <v>15</v>
      </c>
      <c r="F816" s="22">
        <v>786334</v>
      </c>
      <c r="G816" s="19" t="s">
        <v>1108</v>
      </c>
      <c r="H816" s="19" t="s">
        <v>2439</v>
      </c>
      <c r="I816" s="19" t="s">
        <v>2439</v>
      </c>
      <c r="J816" s="19" t="s">
        <v>1110</v>
      </c>
      <c r="K816" s="19" t="s">
        <v>6</v>
      </c>
      <c r="L816" s="19" t="s">
        <v>1095</v>
      </c>
      <c r="M816" s="19" t="s">
        <v>1095</v>
      </c>
      <c r="N816" s="19" t="s">
        <v>1111</v>
      </c>
      <c r="R816" t="s">
        <v>1097</v>
      </c>
    </row>
    <row r="817" spans="1:18" hidden="1" x14ac:dyDescent="0.3">
      <c r="A817" s="19">
        <f t="shared" si="12"/>
        <v>816</v>
      </c>
      <c r="B817" s="20" t="s">
        <v>87</v>
      </c>
      <c r="C817" s="20" t="s">
        <v>102</v>
      </c>
      <c r="D817" s="21" t="str">
        <f>IF($C817="","",IFERROR(VLOOKUP($C817,Map_Register!$A$2:$C$5,3,FALSE()),""))</f>
        <v>Toponym Labels</v>
      </c>
      <c r="E817" s="20" t="s">
        <v>15</v>
      </c>
      <c r="F817" s="22">
        <v>786335</v>
      </c>
      <c r="G817" s="19" t="s">
        <v>1091</v>
      </c>
      <c r="H817" s="19" t="s">
        <v>2440</v>
      </c>
      <c r="I817" s="19" t="s">
        <v>2441</v>
      </c>
      <c r="J817" s="19" t="s">
        <v>1104</v>
      </c>
      <c r="K817" s="19" t="s">
        <v>6</v>
      </c>
      <c r="L817" s="19" t="s">
        <v>1095</v>
      </c>
      <c r="M817" s="19" t="s">
        <v>1095</v>
      </c>
      <c r="N817" s="19" t="s">
        <v>1105</v>
      </c>
      <c r="R817" t="s">
        <v>1097</v>
      </c>
    </row>
    <row r="818" spans="1:18" hidden="1" x14ac:dyDescent="0.3">
      <c r="A818" s="19">
        <f t="shared" si="12"/>
        <v>817</v>
      </c>
      <c r="B818" s="20" t="s">
        <v>87</v>
      </c>
      <c r="C818" s="20" t="s">
        <v>102</v>
      </c>
      <c r="D818" s="21" t="str">
        <f>IF($C818="","",IFERROR(VLOOKUP($C818,Map_Register!$A$2:$C$5,3,FALSE()),""))</f>
        <v>Toponym Labels</v>
      </c>
      <c r="E818" s="20" t="s">
        <v>15</v>
      </c>
      <c r="F818" s="22">
        <v>786336</v>
      </c>
      <c r="G818" s="19" t="s">
        <v>1108</v>
      </c>
      <c r="H818" s="19" t="s">
        <v>1376</v>
      </c>
      <c r="I818" s="19" t="s">
        <v>1377</v>
      </c>
      <c r="J818" s="19" t="s">
        <v>1104</v>
      </c>
      <c r="K818" s="19" t="s">
        <v>6</v>
      </c>
      <c r="L818" s="19" t="s">
        <v>1095</v>
      </c>
      <c r="M818" s="19" t="s">
        <v>1095</v>
      </c>
      <c r="N818" s="19" t="s">
        <v>1105</v>
      </c>
      <c r="R818" t="s">
        <v>1097</v>
      </c>
    </row>
    <row r="819" spans="1:18" hidden="1" x14ac:dyDescent="0.3">
      <c r="A819" s="19">
        <f t="shared" si="12"/>
        <v>818</v>
      </c>
      <c r="B819" s="20" t="s">
        <v>87</v>
      </c>
      <c r="C819" s="20" t="s">
        <v>102</v>
      </c>
      <c r="D819" s="21" t="str">
        <f>IF($C819="","",IFERROR(VLOOKUP($C819,Map_Register!$A$2:$C$5,3,FALSE()),""))</f>
        <v>Toponym Labels</v>
      </c>
      <c r="E819" s="20" t="s">
        <v>15</v>
      </c>
      <c r="F819" s="22">
        <v>786337</v>
      </c>
      <c r="G819" s="19" t="s">
        <v>1136</v>
      </c>
      <c r="H819" s="19" t="s">
        <v>2442</v>
      </c>
      <c r="I819" s="19" t="s">
        <v>2443</v>
      </c>
      <c r="J819" s="19" t="s">
        <v>1094</v>
      </c>
      <c r="K819" s="19" t="s">
        <v>6</v>
      </c>
      <c r="L819" s="19" t="s">
        <v>1095</v>
      </c>
      <c r="M819" s="19" t="s">
        <v>1095</v>
      </c>
      <c r="N819" s="19" t="s">
        <v>1105</v>
      </c>
      <c r="R819" t="s">
        <v>1097</v>
      </c>
    </row>
    <row r="820" spans="1:18" hidden="1" x14ac:dyDescent="0.3">
      <c r="A820" s="19">
        <f t="shared" si="12"/>
        <v>819</v>
      </c>
      <c r="B820" s="20" t="s">
        <v>87</v>
      </c>
      <c r="C820" s="20" t="s">
        <v>102</v>
      </c>
      <c r="D820" s="21" t="str">
        <f>IF($C820="","",IFERROR(VLOOKUP($C820,Map_Register!$A$2:$C$5,3,FALSE()),""))</f>
        <v>Toponym Labels</v>
      </c>
      <c r="E820" s="20" t="s">
        <v>15</v>
      </c>
      <c r="F820" s="22">
        <v>786338</v>
      </c>
      <c r="G820" s="19" t="s">
        <v>1136</v>
      </c>
      <c r="H820" s="19" t="s">
        <v>2444</v>
      </c>
      <c r="I820" s="19" t="s">
        <v>2444</v>
      </c>
      <c r="J820" s="19" t="s">
        <v>1110</v>
      </c>
      <c r="K820" t="s">
        <v>1100</v>
      </c>
      <c r="L820" t="s">
        <v>114</v>
      </c>
      <c r="M820" t="s">
        <v>114</v>
      </c>
      <c r="N820" s="19" t="s">
        <v>530</v>
      </c>
      <c r="O820" s="19" t="s">
        <v>116</v>
      </c>
      <c r="R820" t="s">
        <v>1097</v>
      </c>
    </row>
    <row r="821" spans="1:18" hidden="1" x14ac:dyDescent="0.3">
      <c r="A821" s="19">
        <f t="shared" si="12"/>
        <v>820</v>
      </c>
      <c r="B821" s="20" t="s">
        <v>87</v>
      </c>
      <c r="C821" s="20" t="s">
        <v>102</v>
      </c>
      <c r="D821" s="21" t="str">
        <f>IF($C821="","",IFERROR(VLOOKUP($C821,Map_Register!$A$2:$C$5,3,FALSE()),""))</f>
        <v>Toponym Labels</v>
      </c>
      <c r="E821" s="20" t="s">
        <v>15</v>
      </c>
      <c r="F821" s="22">
        <v>786339</v>
      </c>
      <c r="G821" s="19" t="s">
        <v>1136</v>
      </c>
      <c r="H821" s="19" t="s">
        <v>869</v>
      </c>
      <c r="I821" s="19" t="s">
        <v>869</v>
      </c>
      <c r="J821" s="19" t="s">
        <v>1110</v>
      </c>
      <c r="K821" t="s">
        <v>1100</v>
      </c>
      <c r="L821" t="s">
        <v>114</v>
      </c>
      <c r="M821" t="s">
        <v>114</v>
      </c>
      <c r="N821" s="19" t="s">
        <v>530</v>
      </c>
      <c r="O821" s="19" t="s">
        <v>116</v>
      </c>
      <c r="R821" t="s">
        <v>1097</v>
      </c>
    </row>
    <row r="822" spans="1:18" hidden="1" x14ac:dyDescent="0.3">
      <c r="A822" s="19">
        <f t="shared" si="12"/>
        <v>821</v>
      </c>
      <c r="B822" s="20" t="s">
        <v>87</v>
      </c>
      <c r="C822" s="20" t="s">
        <v>102</v>
      </c>
      <c r="D822" s="21" t="str">
        <f>IF($C822="","",IFERROR(VLOOKUP($C822,Map_Register!$A$2:$C$5,3,FALSE()),""))</f>
        <v>Toponym Labels</v>
      </c>
      <c r="E822" s="20" t="s">
        <v>15</v>
      </c>
      <c r="F822" s="22">
        <v>786340</v>
      </c>
      <c r="G822" s="19" t="s">
        <v>1091</v>
      </c>
      <c r="H822" s="19" t="s">
        <v>2445</v>
      </c>
      <c r="I822" s="19" t="s">
        <v>2445</v>
      </c>
      <c r="J822" s="19" t="s">
        <v>1110</v>
      </c>
      <c r="K822" t="s">
        <v>1100</v>
      </c>
      <c r="L822" t="s">
        <v>114</v>
      </c>
      <c r="M822" t="s">
        <v>114</v>
      </c>
      <c r="N822" s="19" t="s">
        <v>530</v>
      </c>
      <c r="O822" s="19" t="s">
        <v>116</v>
      </c>
      <c r="R822" t="s">
        <v>1097</v>
      </c>
    </row>
    <row r="823" spans="1:18" hidden="1" x14ac:dyDescent="0.3">
      <c r="A823" s="19">
        <f t="shared" si="12"/>
        <v>822</v>
      </c>
      <c r="B823" s="20" t="s">
        <v>87</v>
      </c>
      <c r="C823" s="20" t="s">
        <v>102</v>
      </c>
      <c r="D823" s="21" t="str">
        <f>IF($C823="","",IFERROR(VLOOKUP($C823,Map_Register!$A$2:$C$5,3,FALSE()),""))</f>
        <v>Toponym Labels</v>
      </c>
      <c r="E823" s="20" t="s">
        <v>15</v>
      </c>
      <c r="F823" s="22">
        <v>786341</v>
      </c>
      <c r="G823" s="19" t="s">
        <v>1091</v>
      </c>
      <c r="H823" s="19" t="s">
        <v>2446</v>
      </c>
      <c r="I823" s="19" t="s">
        <v>2446</v>
      </c>
      <c r="J823" s="19" t="s">
        <v>1110</v>
      </c>
      <c r="K823" t="s">
        <v>1100</v>
      </c>
      <c r="L823" t="s">
        <v>114</v>
      </c>
      <c r="M823" t="s">
        <v>114</v>
      </c>
      <c r="N823" s="19" t="s">
        <v>530</v>
      </c>
      <c r="O823" s="19" t="s">
        <v>116</v>
      </c>
      <c r="R823" t="s">
        <v>1097</v>
      </c>
    </row>
    <row r="824" spans="1:18" x14ac:dyDescent="0.3">
      <c r="A824" s="19">
        <f t="shared" si="12"/>
        <v>823</v>
      </c>
      <c r="B824" s="20" t="s">
        <v>87</v>
      </c>
      <c r="C824" s="20" t="s">
        <v>102</v>
      </c>
      <c r="D824" s="21" t="str">
        <f>IF($C824="","",IFERROR(VLOOKUP($C824,Map_Register!$A$2:$C$5,3,FALSE()),""))</f>
        <v>Toponym Labels</v>
      </c>
      <c r="E824" s="20" t="s">
        <v>15</v>
      </c>
      <c r="F824" s="22">
        <v>786342</v>
      </c>
      <c r="G824" s="19" t="s">
        <v>1108</v>
      </c>
      <c r="H824" s="19" t="s">
        <v>2424</v>
      </c>
      <c r="I824" s="19" t="s">
        <v>2424</v>
      </c>
      <c r="J824" s="19" t="s">
        <v>1110</v>
      </c>
      <c r="K824" t="s">
        <v>1100</v>
      </c>
      <c r="L824" t="s">
        <v>114</v>
      </c>
      <c r="M824" t="s">
        <v>116</v>
      </c>
      <c r="N824" s="19" t="s">
        <v>1415</v>
      </c>
      <c r="O824" s="19" t="s">
        <v>116</v>
      </c>
      <c r="R824" t="s">
        <v>1097</v>
      </c>
    </row>
    <row r="825" spans="1:18" hidden="1" x14ac:dyDescent="0.3">
      <c r="A825" s="19">
        <f t="shared" si="12"/>
        <v>824</v>
      </c>
      <c r="B825" s="20" t="s">
        <v>87</v>
      </c>
      <c r="C825" s="20" t="s">
        <v>102</v>
      </c>
      <c r="D825" s="21" t="str">
        <f>IF($C825="","",IFERROR(VLOOKUP($C825,Map_Register!$A$2:$C$5,3,FALSE()),""))</f>
        <v>Toponym Labels</v>
      </c>
      <c r="E825" s="20" t="s">
        <v>15</v>
      </c>
      <c r="F825" s="22">
        <v>786343</v>
      </c>
      <c r="G825" s="19" t="s">
        <v>1108</v>
      </c>
      <c r="H825" s="19" t="s">
        <v>2447</v>
      </c>
      <c r="I825" s="19" t="s">
        <v>2447</v>
      </c>
      <c r="J825" s="19" t="s">
        <v>1110</v>
      </c>
      <c r="K825" s="19" t="s">
        <v>6</v>
      </c>
      <c r="L825" s="19" t="s">
        <v>1095</v>
      </c>
      <c r="M825" s="19" t="s">
        <v>1095</v>
      </c>
      <c r="N825" s="19" t="s">
        <v>1111</v>
      </c>
      <c r="R825" t="s">
        <v>1097</v>
      </c>
    </row>
    <row r="826" spans="1:18" hidden="1" x14ac:dyDescent="0.3">
      <c r="A826" s="19">
        <f t="shared" si="12"/>
        <v>825</v>
      </c>
      <c r="B826" s="20" t="s">
        <v>87</v>
      </c>
      <c r="C826" s="20" t="s">
        <v>102</v>
      </c>
      <c r="D826" s="21" t="str">
        <f>IF($C826="","",IFERROR(VLOOKUP($C826,Map_Register!$A$2:$C$5,3,FALSE()),""))</f>
        <v>Toponym Labels</v>
      </c>
      <c r="E826" s="20" t="s">
        <v>15</v>
      </c>
      <c r="F826" s="22">
        <v>786344</v>
      </c>
      <c r="G826" s="19" t="s">
        <v>1091</v>
      </c>
      <c r="H826" s="19" t="s">
        <v>2448</v>
      </c>
      <c r="I826" s="19" t="s">
        <v>2448</v>
      </c>
      <c r="J826" s="19" t="s">
        <v>1110</v>
      </c>
      <c r="K826" s="19" t="s">
        <v>6</v>
      </c>
      <c r="L826" s="19" t="s">
        <v>1095</v>
      </c>
      <c r="M826" s="19" t="s">
        <v>1095</v>
      </c>
      <c r="N826" s="19" t="s">
        <v>1300</v>
      </c>
      <c r="R826" t="s">
        <v>1097</v>
      </c>
    </row>
    <row r="827" spans="1:18" hidden="1" x14ac:dyDescent="0.3">
      <c r="A827" s="19">
        <f t="shared" si="12"/>
        <v>826</v>
      </c>
      <c r="B827" s="20" t="s">
        <v>87</v>
      </c>
      <c r="C827" s="20" t="s">
        <v>102</v>
      </c>
      <c r="D827" s="21" t="str">
        <f>IF($C827="","",IFERROR(VLOOKUP($C827,Map_Register!$A$2:$C$5,3,FALSE()),""))</f>
        <v>Toponym Labels</v>
      </c>
      <c r="E827" s="20" t="s">
        <v>15</v>
      </c>
      <c r="F827" s="22">
        <v>786345</v>
      </c>
      <c r="G827" s="19" t="s">
        <v>1091</v>
      </c>
      <c r="H827" s="19" t="s">
        <v>2449</v>
      </c>
      <c r="I827" s="19" t="s">
        <v>2449</v>
      </c>
      <c r="J827" s="19" t="s">
        <v>1110</v>
      </c>
      <c r="K827" s="19" t="s">
        <v>6</v>
      </c>
      <c r="L827" s="19" t="s">
        <v>1095</v>
      </c>
      <c r="M827" s="19" t="s">
        <v>1095</v>
      </c>
      <c r="N827" s="19" t="s">
        <v>1300</v>
      </c>
      <c r="R827" t="s">
        <v>1097</v>
      </c>
    </row>
    <row r="828" spans="1:18" hidden="1" x14ac:dyDescent="0.3">
      <c r="A828" s="19">
        <f t="shared" si="12"/>
        <v>827</v>
      </c>
      <c r="B828" s="20" t="s">
        <v>87</v>
      </c>
      <c r="C828" s="20" t="s">
        <v>102</v>
      </c>
      <c r="D828" s="21" t="str">
        <f>IF($C828="","",IFERROR(VLOOKUP($C828,Map_Register!$A$2:$C$5,3,FALSE()),""))</f>
        <v>Toponym Labels</v>
      </c>
      <c r="E828" s="20" t="s">
        <v>15</v>
      </c>
      <c r="F828" s="22">
        <v>786346</v>
      </c>
      <c r="G828" s="19" t="s">
        <v>1136</v>
      </c>
      <c r="H828" s="19" t="s">
        <v>949</v>
      </c>
      <c r="I828" s="19" t="s">
        <v>949</v>
      </c>
      <c r="J828" s="19" t="s">
        <v>1110</v>
      </c>
      <c r="K828" s="19" t="s">
        <v>6</v>
      </c>
      <c r="L828" s="19" t="s">
        <v>1095</v>
      </c>
      <c r="M828" s="19" t="s">
        <v>1095</v>
      </c>
      <c r="N828" s="19" t="s">
        <v>1406</v>
      </c>
      <c r="R828" t="s">
        <v>1097</v>
      </c>
    </row>
    <row r="829" spans="1:18" hidden="1" x14ac:dyDescent="0.3">
      <c r="A829" s="19">
        <f t="shared" si="12"/>
        <v>828</v>
      </c>
      <c r="B829" s="20" t="s">
        <v>87</v>
      </c>
      <c r="C829" s="20" t="s">
        <v>102</v>
      </c>
      <c r="D829" s="21" t="str">
        <f>IF($C829="","",IFERROR(VLOOKUP($C829,Map_Register!$A$2:$C$5,3,FALSE()),""))</f>
        <v>Toponym Labels</v>
      </c>
      <c r="E829" s="20" t="s">
        <v>15</v>
      </c>
      <c r="F829" s="22">
        <v>786347</v>
      </c>
      <c r="G829" s="19" t="s">
        <v>1136</v>
      </c>
      <c r="H829" s="19" t="s">
        <v>2450</v>
      </c>
      <c r="I829" s="19" t="s">
        <v>2450</v>
      </c>
      <c r="J829" s="19" t="s">
        <v>1110</v>
      </c>
      <c r="K829" t="s">
        <v>1100</v>
      </c>
      <c r="L829" t="s">
        <v>114</v>
      </c>
      <c r="M829" t="s">
        <v>114</v>
      </c>
      <c r="N829" s="19" t="s">
        <v>530</v>
      </c>
      <c r="O829" s="19" t="s">
        <v>116</v>
      </c>
      <c r="R829" t="s">
        <v>1097</v>
      </c>
    </row>
    <row r="830" spans="1:18" hidden="1" x14ac:dyDescent="0.3">
      <c r="A830" s="19">
        <f t="shared" si="12"/>
        <v>829</v>
      </c>
      <c r="B830" s="20" t="s">
        <v>87</v>
      </c>
      <c r="C830" s="20" t="s">
        <v>102</v>
      </c>
      <c r="D830" s="21" t="str">
        <f>IF($C830="","",IFERROR(VLOOKUP($C830,Map_Register!$A$2:$C$5,3,FALSE()),""))</f>
        <v>Toponym Labels</v>
      </c>
      <c r="E830" s="20" t="s">
        <v>15</v>
      </c>
      <c r="F830" s="22">
        <v>786348</v>
      </c>
      <c r="G830" s="19" t="s">
        <v>1163</v>
      </c>
      <c r="H830" s="19" t="s">
        <v>2451</v>
      </c>
      <c r="I830" s="19" t="s">
        <v>2451</v>
      </c>
      <c r="J830" s="19" t="s">
        <v>1110</v>
      </c>
      <c r="K830" t="s">
        <v>1100</v>
      </c>
      <c r="L830" t="s">
        <v>114</v>
      </c>
      <c r="M830" t="s">
        <v>114</v>
      </c>
      <c r="N830" s="19" t="s">
        <v>1101</v>
      </c>
      <c r="O830" s="19" t="s">
        <v>116</v>
      </c>
      <c r="R830" t="s">
        <v>1097</v>
      </c>
    </row>
    <row r="831" spans="1:18" hidden="1" x14ac:dyDescent="0.3">
      <c r="A831" s="19">
        <f t="shared" si="12"/>
        <v>830</v>
      </c>
      <c r="B831" s="20" t="s">
        <v>87</v>
      </c>
      <c r="C831" s="20" t="s">
        <v>102</v>
      </c>
      <c r="D831" s="21" t="str">
        <f>IF($C831="","",IFERROR(VLOOKUP($C831,Map_Register!$A$2:$C$5,3,FALSE()),""))</f>
        <v>Toponym Labels</v>
      </c>
      <c r="E831" s="20" t="s">
        <v>15</v>
      </c>
      <c r="F831" s="22">
        <v>786349</v>
      </c>
      <c r="G831" s="19" t="s">
        <v>1108</v>
      </c>
      <c r="H831" s="19" t="s">
        <v>2452</v>
      </c>
      <c r="I831" s="19" t="s">
        <v>2452</v>
      </c>
      <c r="J831" s="19" t="s">
        <v>1110</v>
      </c>
      <c r="K831" s="19" t="s">
        <v>6</v>
      </c>
      <c r="L831" s="19" t="s">
        <v>1095</v>
      </c>
      <c r="M831" s="19" t="s">
        <v>1095</v>
      </c>
      <c r="N831" s="19" t="s">
        <v>1111</v>
      </c>
      <c r="R831" t="s">
        <v>1097</v>
      </c>
    </row>
    <row r="832" spans="1:18" x14ac:dyDescent="0.3">
      <c r="A832" s="19">
        <f t="shared" si="12"/>
        <v>831</v>
      </c>
      <c r="B832" s="20" t="s">
        <v>87</v>
      </c>
      <c r="C832" s="20" t="s">
        <v>102</v>
      </c>
      <c r="D832" s="21" t="str">
        <f>IF($C832="","",IFERROR(VLOOKUP($C832,Map_Register!$A$2:$C$5,3,FALSE()),""))</f>
        <v>Toponym Labels</v>
      </c>
      <c r="E832" s="20" t="s">
        <v>15</v>
      </c>
      <c r="F832" s="22">
        <v>786350</v>
      </c>
      <c r="G832" s="19" t="s">
        <v>1309</v>
      </c>
      <c r="H832" s="19" t="s">
        <v>2453</v>
      </c>
      <c r="I832" s="19" t="s">
        <v>2453</v>
      </c>
      <c r="J832" s="19" t="s">
        <v>1110</v>
      </c>
      <c r="K832" t="s">
        <v>1100</v>
      </c>
      <c r="L832" t="s">
        <v>114</v>
      </c>
      <c r="M832" t="s">
        <v>116</v>
      </c>
      <c r="N832" s="19" t="s">
        <v>1268</v>
      </c>
      <c r="O832" s="19" t="s">
        <v>116</v>
      </c>
      <c r="R832" t="s">
        <v>1097</v>
      </c>
    </row>
    <row r="833" spans="1:18" hidden="1" x14ac:dyDescent="0.3">
      <c r="A833" s="19">
        <f t="shared" si="12"/>
        <v>832</v>
      </c>
      <c r="B833" s="20" t="s">
        <v>87</v>
      </c>
      <c r="C833" s="20" t="s">
        <v>102</v>
      </c>
      <c r="D833" s="21" t="str">
        <f>IF($C833="","",IFERROR(VLOOKUP($C833,Map_Register!$A$2:$C$5,3,FALSE()),""))</f>
        <v>Toponym Labels</v>
      </c>
      <c r="E833" s="20" t="s">
        <v>15</v>
      </c>
      <c r="F833" s="22">
        <v>786351</v>
      </c>
      <c r="G833" s="19" t="s">
        <v>1136</v>
      </c>
      <c r="H833" s="19" t="s">
        <v>2454</v>
      </c>
      <c r="I833" s="19" t="s">
        <v>2454</v>
      </c>
      <c r="J833" s="19" t="s">
        <v>1110</v>
      </c>
      <c r="K833" s="19" t="s">
        <v>6</v>
      </c>
      <c r="L833" s="19" t="s">
        <v>1095</v>
      </c>
      <c r="M833" s="19" t="s">
        <v>1095</v>
      </c>
      <c r="N833" s="19" t="s">
        <v>1406</v>
      </c>
      <c r="R833" t="s">
        <v>1097</v>
      </c>
    </row>
    <row r="834" spans="1:18" hidden="1" x14ac:dyDescent="0.3">
      <c r="A834" s="19">
        <f t="shared" ref="A834:A897" si="13">IF($B834="","",ROW()-1)</f>
        <v>833</v>
      </c>
      <c r="B834" s="20" t="s">
        <v>87</v>
      </c>
      <c r="C834" s="20" t="s">
        <v>102</v>
      </c>
      <c r="D834" s="21" t="str">
        <f>IF($C834="","",IFERROR(VLOOKUP($C834,Map_Register!$A$2:$C$5,3,FALSE()),""))</f>
        <v>Toponym Labels</v>
      </c>
      <c r="E834" s="20" t="s">
        <v>15</v>
      </c>
      <c r="F834" s="22">
        <v>786352</v>
      </c>
      <c r="G834" s="19" t="s">
        <v>1118</v>
      </c>
      <c r="H834" s="19" t="s">
        <v>2455</v>
      </c>
      <c r="I834" s="19" t="s">
        <v>2455</v>
      </c>
      <c r="J834" s="19" t="s">
        <v>1110</v>
      </c>
      <c r="K834" t="s">
        <v>1100</v>
      </c>
      <c r="L834" s="19" t="s">
        <v>114</v>
      </c>
      <c r="M834" s="19" t="s">
        <v>114</v>
      </c>
      <c r="N834" s="19" t="s">
        <v>1178</v>
      </c>
      <c r="O834" s="19" t="s">
        <v>116</v>
      </c>
      <c r="R834" t="s">
        <v>1097</v>
      </c>
    </row>
    <row r="835" spans="1:18" hidden="1" x14ac:dyDescent="0.3">
      <c r="A835" s="19">
        <f t="shared" si="13"/>
        <v>834</v>
      </c>
      <c r="B835" s="20" t="s">
        <v>87</v>
      </c>
      <c r="C835" s="20" t="s">
        <v>102</v>
      </c>
      <c r="D835" s="21" t="str">
        <f>IF($C835="","",IFERROR(VLOOKUP($C835,Map_Register!$A$2:$C$5,3,FALSE()),""))</f>
        <v>Toponym Labels</v>
      </c>
      <c r="E835" s="20" t="s">
        <v>15</v>
      </c>
      <c r="F835" s="22">
        <v>786353</v>
      </c>
      <c r="G835" s="19" t="s">
        <v>1145</v>
      </c>
      <c r="H835" s="19" t="s">
        <v>2456</v>
      </c>
      <c r="I835" s="19" t="s">
        <v>2457</v>
      </c>
      <c r="J835" s="19" t="s">
        <v>1104</v>
      </c>
      <c r="K835" s="19" t="s">
        <v>6</v>
      </c>
      <c r="L835" s="19" t="s">
        <v>1095</v>
      </c>
      <c r="M835" s="19" t="s">
        <v>1095</v>
      </c>
      <c r="N835" s="19" t="s">
        <v>1105</v>
      </c>
      <c r="R835" t="s">
        <v>1097</v>
      </c>
    </row>
    <row r="836" spans="1:18" hidden="1" x14ac:dyDescent="0.3">
      <c r="A836" s="19">
        <f t="shared" si="13"/>
        <v>835</v>
      </c>
      <c r="B836" s="20" t="s">
        <v>87</v>
      </c>
      <c r="C836" s="20" t="s">
        <v>102</v>
      </c>
      <c r="D836" s="21" t="str">
        <f>IF($C836="","",IFERROR(VLOOKUP($C836,Map_Register!$A$2:$C$5,3,FALSE()),""))</f>
        <v>Toponym Labels</v>
      </c>
      <c r="E836" s="20" t="s">
        <v>15</v>
      </c>
      <c r="F836" s="22">
        <v>786354</v>
      </c>
      <c r="G836" s="19" t="s">
        <v>1091</v>
      </c>
      <c r="H836" s="19" t="s">
        <v>2458</v>
      </c>
      <c r="I836" s="19" t="s">
        <v>2459</v>
      </c>
      <c r="J836" s="19" t="s">
        <v>1094</v>
      </c>
      <c r="K836" s="19" t="s">
        <v>6</v>
      </c>
      <c r="L836" s="19" t="s">
        <v>1095</v>
      </c>
      <c r="M836" s="19" t="s">
        <v>1095</v>
      </c>
      <c r="N836" s="19" t="s">
        <v>1105</v>
      </c>
      <c r="R836" t="s">
        <v>1097</v>
      </c>
    </row>
    <row r="837" spans="1:18" hidden="1" x14ac:dyDescent="0.3">
      <c r="A837" s="19">
        <f t="shared" si="13"/>
        <v>836</v>
      </c>
      <c r="B837" s="20" t="s">
        <v>87</v>
      </c>
      <c r="C837" s="20" t="s">
        <v>102</v>
      </c>
      <c r="D837" s="21" t="str">
        <f>IF($C837="","",IFERROR(VLOOKUP($C837,Map_Register!$A$2:$C$5,3,FALSE()),""))</f>
        <v>Toponym Labels</v>
      </c>
      <c r="E837" s="20" t="s">
        <v>15</v>
      </c>
      <c r="F837" s="22">
        <v>786355</v>
      </c>
      <c r="G837" s="19" t="s">
        <v>1091</v>
      </c>
      <c r="H837" s="19" t="s">
        <v>2460</v>
      </c>
      <c r="I837" s="19" t="s">
        <v>2460</v>
      </c>
      <c r="J837" s="19" t="s">
        <v>1110</v>
      </c>
      <c r="K837" t="s">
        <v>1100</v>
      </c>
      <c r="L837" t="s">
        <v>114</v>
      </c>
      <c r="M837" t="s">
        <v>114</v>
      </c>
      <c r="N837" s="19" t="s">
        <v>530</v>
      </c>
      <c r="O837" s="19" t="s">
        <v>116</v>
      </c>
      <c r="R837" t="s">
        <v>1097</v>
      </c>
    </row>
    <row r="838" spans="1:18" hidden="1" x14ac:dyDescent="0.3">
      <c r="A838" s="19">
        <f t="shared" si="13"/>
        <v>837</v>
      </c>
      <c r="B838" s="20" t="s">
        <v>87</v>
      </c>
      <c r="C838" s="20" t="s">
        <v>102</v>
      </c>
      <c r="D838" s="21" t="str">
        <f>IF($C838="","",IFERROR(VLOOKUP($C838,Map_Register!$A$2:$C$5,3,FALSE()),""))</f>
        <v>Toponym Labels</v>
      </c>
      <c r="E838" s="20" t="s">
        <v>15</v>
      </c>
      <c r="F838" s="22">
        <v>786356</v>
      </c>
      <c r="G838" s="19" t="s">
        <v>1108</v>
      </c>
      <c r="H838" s="19" t="s">
        <v>2461</v>
      </c>
      <c r="I838" s="19" t="s">
        <v>2462</v>
      </c>
      <c r="J838" s="19" t="s">
        <v>1104</v>
      </c>
      <c r="K838" s="19" t="s">
        <v>6</v>
      </c>
      <c r="L838" s="19" t="s">
        <v>1095</v>
      </c>
      <c r="M838" s="19" t="s">
        <v>1095</v>
      </c>
      <c r="N838" s="19" t="s">
        <v>1105</v>
      </c>
      <c r="R838" t="s">
        <v>1097</v>
      </c>
    </row>
    <row r="839" spans="1:18" x14ac:dyDescent="0.3">
      <c r="A839" s="19">
        <f t="shared" si="13"/>
        <v>838</v>
      </c>
      <c r="B839" s="20" t="s">
        <v>87</v>
      </c>
      <c r="C839" s="20" t="s">
        <v>102</v>
      </c>
      <c r="D839" s="21" t="str">
        <f>IF($C839="","",IFERROR(VLOOKUP($C839,Map_Register!$A$2:$C$5,3,FALSE()),""))</f>
        <v>Toponym Labels</v>
      </c>
      <c r="E839" s="20" t="s">
        <v>15</v>
      </c>
      <c r="F839" s="22">
        <v>786357</v>
      </c>
      <c r="G839" s="19" t="s">
        <v>1125</v>
      </c>
      <c r="H839" s="19" t="s">
        <v>2463</v>
      </c>
      <c r="I839" s="19" t="s">
        <v>2463</v>
      </c>
      <c r="J839" s="19" t="s">
        <v>1110</v>
      </c>
      <c r="K839" t="s">
        <v>1100</v>
      </c>
      <c r="L839" t="s">
        <v>114</v>
      </c>
      <c r="M839" t="s">
        <v>116</v>
      </c>
      <c r="N839" s="19" t="s">
        <v>1268</v>
      </c>
      <c r="O839" s="19" t="s">
        <v>116</v>
      </c>
      <c r="R839" t="s">
        <v>1097</v>
      </c>
    </row>
    <row r="840" spans="1:18" hidden="1" x14ac:dyDescent="0.3">
      <c r="A840" s="19">
        <f t="shared" si="13"/>
        <v>839</v>
      </c>
      <c r="B840" s="20" t="s">
        <v>87</v>
      </c>
      <c r="C840" s="20" t="s">
        <v>102</v>
      </c>
      <c r="D840" s="21" t="str">
        <f>IF($C840="","",IFERROR(VLOOKUP($C840,Map_Register!$A$2:$C$5,3,FALSE()),""))</f>
        <v>Toponym Labels</v>
      </c>
      <c r="E840" s="20" t="s">
        <v>15</v>
      </c>
      <c r="F840" s="22">
        <v>786358</v>
      </c>
      <c r="G840" s="19" t="s">
        <v>1136</v>
      </c>
      <c r="H840" s="19" t="s">
        <v>938</v>
      </c>
      <c r="I840" s="19" t="s">
        <v>938</v>
      </c>
      <c r="J840" s="19" t="s">
        <v>1110</v>
      </c>
      <c r="K840" s="19" t="s">
        <v>6</v>
      </c>
      <c r="L840" s="19" t="s">
        <v>1095</v>
      </c>
      <c r="M840" s="19" t="s">
        <v>1095</v>
      </c>
      <c r="N840" s="19" t="s">
        <v>1406</v>
      </c>
      <c r="R840" t="s">
        <v>1097</v>
      </c>
    </row>
    <row r="841" spans="1:18" hidden="1" x14ac:dyDescent="0.3">
      <c r="A841" s="19">
        <f t="shared" si="13"/>
        <v>840</v>
      </c>
      <c r="B841" s="20" t="s">
        <v>87</v>
      </c>
      <c r="C841" s="20" t="s">
        <v>102</v>
      </c>
      <c r="D841" s="21" t="str">
        <f>IF($C841="","",IFERROR(VLOOKUP($C841,Map_Register!$A$2:$C$5,3,FALSE()),""))</f>
        <v>Toponym Labels</v>
      </c>
      <c r="E841" s="20" t="s">
        <v>15</v>
      </c>
      <c r="F841" s="22">
        <v>786359</v>
      </c>
      <c r="G841" s="19" t="s">
        <v>1136</v>
      </c>
      <c r="H841" s="19" t="s">
        <v>2464</v>
      </c>
      <c r="I841" s="19" t="s">
        <v>2464</v>
      </c>
      <c r="J841" s="19" t="s">
        <v>1110</v>
      </c>
      <c r="K841" t="s">
        <v>1100</v>
      </c>
      <c r="L841" t="s">
        <v>114</v>
      </c>
      <c r="M841" t="s">
        <v>114</v>
      </c>
      <c r="N841" s="19" t="s">
        <v>530</v>
      </c>
      <c r="O841" s="19" t="s">
        <v>116</v>
      </c>
      <c r="R841" t="s">
        <v>1097</v>
      </c>
    </row>
    <row r="842" spans="1:18" hidden="1" x14ac:dyDescent="0.3">
      <c r="A842" s="19">
        <f t="shared" si="13"/>
        <v>841</v>
      </c>
      <c r="B842" s="20" t="s">
        <v>87</v>
      </c>
      <c r="C842" s="20" t="s">
        <v>102</v>
      </c>
      <c r="D842" s="21" t="str">
        <f>IF($C842="","",IFERROR(VLOOKUP($C842,Map_Register!$A$2:$C$5,3,FALSE()),""))</f>
        <v>Toponym Labels</v>
      </c>
      <c r="E842" s="20" t="s">
        <v>15</v>
      </c>
      <c r="F842" s="22">
        <v>786360</v>
      </c>
      <c r="G842" s="19" t="s">
        <v>1136</v>
      </c>
      <c r="H842" s="19" t="s">
        <v>2465</v>
      </c>
      <c r="I842" s="19" t="s">
        <v>2465</v>
      </c>
      <c r="J842" s="19" t="s">
        <v>1110</v>
      </c>
      <c r="K842" s="19" t="s">
        <v>6</v>
      </c>
      <c r="L842" s="19" t="s">
        <v>1095</v>
      </c>
      <c r="M842" s="19" t="s">
        <v>1095</v>
      </c>
      <c r="N842" s="19" t="s">
        <v>1406</v>
      </c>
      <c r="R842" t="s">
        <v>1097</v>
      </c>
    </row>
    <row r="843" spans="1:18" hidden="1" x14ac:dyDescent="0.3">
      <c r="A843" s="19">
        <f t="shared" si="13"/>
        <v>842</v>
      </c>
      <c r="B843" s="20" t="s">
        <v>87</v>
      </c>
      <c r="C843" s="20" t="s">
        <v>102</v>
      </c>
      <c r="D843" s="21" t="str">
        <f>IF($C843="","",IFERROR(VLOOKUP($C843,Map_Register!$A$2:$C$5,3,FALSE()),""))</f>
        <v>Toponym Labels</v>
      </c>
      <c r="E843" s="20" t="s">
        <v>15</v>
      </c>
      <c r="F843" s="22">
        <v>786361</v>
      </c>
      <c r="G843" s="19" t="s">
        <v>1136</v>
      </c>
      <c r="H843" s="19" t="s">
        <v>2466</v>
      </c>
      <c r="I843" s="19" t="s">
        <v>2466</v>
      </c>
      <c r="J843" s="19" t="s">
        <v>1110</v>
      </c>
      <c r="K843" s="19" t="s">
        <v>6</v>
      </c>
      <c r="L843" s="19" t="s">
        <v>1095</v>
      </c>
      <c r="M843" s="19" t="s">
        <v>1095</v>
      </c>
      <c r="N843" s="19" t="s">
        <v>1406</v>
      </c>
      <c r="R843" t="s">
        <v>1097</v>
      </c>
    </row>
    <row r="844" spans="1:18" hidden="1" x14ac:dyDescent="0.3">
      <c r="A844" s="19">
        <f t="shared" si="13"/>
        <v>843</v>
      </c>
      <c r="B844" s="20" t="s">
        <v>87</v>
      </c>
      <c r="C844" s="20" t="s">
        <v>102</v>
      </c>
      <c r="D844" s="21" t="str">
        <f>IF($C844="","",IFERROR(VLOOKUP($C844,Map_Register!$A$2:$C$5,3,FALSE()),""))</f>
        <v>Toponym Labels</v>
      </c>
      <c r="E844" s="20" t="s">
        <v>15</v>
      </c>
      <c r="F844" s="22">
        <v>786362</v>
      </c>
      <c r="G844" s="19" t="s">
        <v>1108</v>
      </c>
      <c r="H844" s="19" t="s">
        <v>2467</v>
      </c>
      <c r="I844" s="19" t="s">
        <v>2468</v>
      </c>
      <c r="J844" s="19" t="s">
        <v>1104</v>
      </c>
      <c r="K844" s="19" t="s">
        <v>6</v>
      </c>
      <c r="L844" s="19" t="s">
        <v>1095</v>
      </c>
      <c r="M844" s="19" t="s">
        <v>1095</v>
      </c>
      <c r="N844" s="19" t="s">
        <v>1105</v>
      </c>
      <c r="R844" t="s">
        <v>1097</v>
      </c>
    </row>
    <row r="845" spans="1:18" hidden="1" x14ac:dyDescent="0.3">
      <c r="A845" s="19">
        <f t="shared" si="13"/>
        <v>844</v>
      </c>
      <c r="B845" s="20" t="s">
        <v>87</v>
      </c>
      <c r="C845" s="20" t="s">
        <v>102</v>
      </c>
      <c r="D845" s="21" t="str">
        <f>IF($C845="","",IFERROR(VLOOKUP($C845,Map_Register!$A$2:$C$5,3,FALSE()),""))</f>
        <v>Toponym Labels</v>
      </c>
      <c r="E845" s="20" t="s">
        <v>15</v>
      </c>
      <c r="F845" s="22">
        <v>786363</v>
      </c>
      <c r="G845" s="19" t="s">
        <v>1091</v>
      </c>
      <c r="H845" s="19" t="s">
        <v>2469</v>
      </c>
      <c r="I845" s="19" t="s">
        <v>2469</v>
      </c>
      <c r="J845" s="19" t="s">
        <v>1110</v>
      </c>
      <c r="K845" s="19" t="s">
        <v>6</v>
      </c>
      <c r="L845" s="19" t="s">
        <v>1095</v>
      </c>
      <c r="M845" s="19" t="s">
        <v>1095</v>
      </c>
      <c r="N845" s="19" t="s">
        <v>1300</v>
      </c>
      <c r="R845" t="s">
        <v>1097</v>
      </c>
    </row>
    <row r="846" spans="1:18" x14ac:dyDescent="0.3">
      <c r="A846" s="19">
        <f t="shared" si="13"/>
        <v>845</v>
      </c>
      <c r="B846" s="20" t="s">
        <v>87</v>
      </c>
      <c r="C846" s="20" t="s">
        <v>102</v>
      </c>
      <c r="D846" s="21" t="str">
        <f>IF($C846="","",IFERROR(VLOOKUP($C846,Map_Register!$A$2:$C$5,3,FALSE()),""))</f>
        <v>Toponym Labels</v>
      </c>
      <c r="E846" s="20" t="s">
        <v>15</v>
      </c>
      <c r="F846" s="22">
        <v>786364</v>
      </c>
      <c r="G846" s="19" t="s">
        <v>1125</v>
      </c>
      <c r="H846" s="19" t="s">
        <v>2470</v>
      </c>
      <c r="I846" s="19" t="s">
        <v>2470</v>
      </c>
      <c r="J846" s="19" t="s">
        <v>1110</v>
      </c>
      <c r="K846" t="s">
        <v>1100</v>
      </c>
      <c r="L846" t="s">
        <v>114</v>
      </c>
      <c r="M846" t="s">
        <v>116</v>
      </c>
      <c r="N846" s="19" t="s">
        <v>1268</v>
      </c>
      <c r="O846" s="19" t="s">
        <v>116</v>
      </c>
      <c r="R846" t="s">
        <v>1097</v>
      </c>
    </row>
    <row r="847" spans="1:18" hidden="1" x14ac:dyDescent="0.3">
      <c r="A847" s="19">
        <f t="shared" si="13"/>
        <v>846</v>
      </c>
      <c r="B847" s="20" t="s">
        <v>87</v>
      </c>
      <c r="C847" s="20" t="s">
        <v>102</v>
      </c>
      <c r="D847" s="21" t="str">
        <f>IF($C847="","",IFERROR(VLOOKUP($C847,Map_Register!$A$2:$C$5,3,FALSE()),""))</f>
        <v>Toponym Labels</v>
      </c>
      <c r="E847" s="20" t="s">
        <v>15</v>
      </c>
      <c r="F847" s="22">
        <v>786365</v>
      </c>
      <c r="G847" s="19" t="s">
        <v>1125</v>
      </c>
      <c r="H847" s="19" t="s">
        <v>2471</v>
      </c>
      <c r="I847" s="19" t="s">
        <v>2471</v>
      </c>
      <c r="J847" s="19" t="s">
        <v>1110</v>
      </c>
      <c r="K847" s="19" t="s">
        <v>6</v>
      </c>
      <c r="L847" s="19" t="s">
        <v>1095</v>
      </c>
      <c r="M847" s="19" t="s">
        <v>1095</v>
      </c>
      <c r="N847" s="19" t="s">
        <v>1155</v>
      </c>
      <c r="R847" t="s">
        <v>1097</v>
      </c>
    </row>
    <row r="848" spans="1:18" hidden="1" x14ac:dyDescent="0.3">
      <c r="A848" s="19">
        <f t="shared" si="13"/>
        <v>847</v>
      </c>
      <c r="B848" s="20" t="s">
        <v>87</v>
      </c>
      <c r="C848" s="20" t="s">
        <v>102</v>
      </c>
      <c r="D848" s="21" t="str">
        <f>IF($C848="","",IFERROR(VLOOKUP($C848,Map_Register!$A$2:$C$5,3,FALSE()),""))</f>
        <v>Toponym Labels</v>
      </c>
      <c r="E848" s="20" t="s">
        <v>15</v>
      </c>
      <c r="F848" s="22">
        <v>786366</v>
      </c>
      <c r="G848" s="19" t="s">
        <v>1125</v>
      </c>
      <c r="H848" s="19" t="s">
        <v>2472</v>
      </c>
      <c r="I848" s="19" t="s">
        <v>2473</v>
      </c>
      <c r="J848" s="19" t="s">
        <v>1104</v>
      </c>
      <c r="K848" s="19" t="s">
        <v>6</v>
      </c>
      <c r="L848" s="19" t="s">
        <v>1095</v>
      </c>
      <c r="M848" s="19" t="s">
        <v>1095</v>
      </c>
      <c r="N848" s="19" t="s">
        <v>1105</v>
      </c>
      <c r="R848" t="s">
        <v>1097</v>
      </c>
    </row>
    <row r="849" spans="1:18" hidden="1" x14ac:dyDescent="0.3">
      <c r="A849" s="19">
        <f t="shared" si="13"/>
        <v>848</v>
      </c>
      <c r="B849" s="20" t="s">
        <v>87</v>
      </c>
      <c r="C849" s="20" t="s">
        <v>102</v>
      </c>
      <c r="D849" s="21" t="str">
        <f>IF($C849="","",IFERROR(VLOOKUP($C849,Map_Register!$A$2:$C$5,3,FALSE()),""))</f>
        <v>Toponym Labels</v>
      </c>
      <c r="E849" s="20" t="s">
        <v>15</v>
      </c>
      <c r="F849" s="22">
        <v>786367</v>
      </c>
      <c r="G849" s="19" t="s">
        <v>1163</v>
      </c>
      <c r="H849" s="19" t="s">
        <v>2474</v>
      </c>
      <c r="I849" s="19" t="s">
        <v>2474</v>
      </c>
      <c r="J849" s="19" t="s">
        <v>1110</v>
      </c>
      <c r="K849" s="19" t="s">
        <v>6</v>
      </c>
      <c r="L849" s="19" t="s">
        <v>1095</v>
      </c>
      <c r="M849" s="19" t="s">
        <v>1095</v>
      </c>
      <c r="N849" s="19" t="s">
        <v>1627</v>
      </c>
      <c r="R849" t="s">
        <v>1097</v>
      </c>
    </row>
    <row r="850" spans="1:18" hidden="1" x14ac:dyDescent="0.3">
      <c r="A850" s="19">
        <f t="shared" si="13"/>
        <v>849</v>
      </c>
      <c r="B850" s="20" t="s">
        <v>87</v>
      </c>
      <c r="C850" s="20" t="s">
        <v>102</v>
      </c>
      <c r="D850" s="21" t="str">
        <f>IF($C850="","",IFERROR(VLOOKUP($C850,Map_Register!$A$2:$C$5,3,FALSE()),""))</f>
        <v>Toponym Labels</v>
      </c>
      <c r="E850" s="20" t="s">
        <v>15</v>
      </c>
      <c r="F850" s="22">
        <v>786368</v>
      </c>
      <c r="G850" s="19" t="s">
        <v>1136</v>
      </c>
      <c r="H850" s="19" t="s">
        <v>2475</v>
      </c>
      <c r="I850" s="19" t="s">
        <v>2475</v>
      </c>
      <c r="J850" s="19" t="s">
        <v>1110</v>
      </c>
      <c r="K850" s="19" t="s">
        <v>6</v>
      </c>
      <c r="L850" s="19" t="s">
        <v>1095</v>
      </c>
      <c r="M850" s="19" t="s">
        <v>1095</v>
      </c>
      <c r="N850" s="19" t="s">
        <v>1406</v>
      </c>
      <c r="R850" t="s">
        <v>1097</v>
      </c>
    </row>
    <row r="851" spans="1:18" hidden="1" x14ac:dyDescent="0.3">
      <c r="A851" s="19">
        <f t="shared" si="13"/>
        <v>850</v>
      </c>
      <c r="B851" s="20" t="s">
        <v>87</v>
      </c>
      <c r="C851" s="20" t="s">
        <v>102</v>
      </c>
      <c r="D851" s="21" t="str">
        <f>IF($C851="","",IFERROR(VLOOKUP($C851,Map_Register!$A$2:$C$5,3,FALSE()),""))</f>
        <v>Toponym Labels</v>
      </c>
      <c r="E851" s="20" t="s">
        <v>15</v>
      </c>
      <c r="F851" s="22">
        <v>786369</v>
      </c>
      <c r="G851" s="19" t="s">
        <v>1136</v>
      </c>
      <c r="H851" s="19" t="s">
        <v>2476</v>
      </c>
      <c r="I851" s="19" t="s">
        <v>2476</v>
      </c>
      <c r="J851" s="19" t="s">
        <v>1110</v>
      </c>
      <c r="K851" s="19" t="s">
        <v>6</v>
      </c>
      <c r="L851" s="19" t="s">
        <v>1095</v>
      </c>
      <c r="M851" s="19" t="s">
        <v>1095</v>
      </c>
      <c r="N851" s="19" t="s">
        <v>1406</v>
      </c>
      <c r="R851" t="s">
        <v>1097</v>
      </c>
    </row>
    <row r="852" spans="1:18" hidden="1" x14ac:dyDescent="0.3">
      <c r="A852" s="19">
        <f t="shared" si="13"/>
        <v>851</v>
      </c>
      <c r="B852" s="20" t="s">
        <v>87</v>
      </c>
      <c r="C852" s="20" t="s">
        <v>102</v>
      </c>
      <c r="D852" s="21" t="str">
        <f>IF($C852="","",IFERROR(VLOOKUP($C852,Map_Register!$A$2:$C$5,3,FALSE()),""))</f>
        <v>Toponym Labels</v>
      </c>
      <c r="E852" s="20" t="s">
        <v>15</v>
      </c>
      <c r="F852" s="22">
        <v>786370</v>
      </c>
      <c r="G852" s="19" t="s">
        <v>1136</v>
      </c>
      <c r="H852" s="19" t="s">
        <v>2477</v>
      </c>
      <c r="I852" s="19" t="s">
        <v>2477</v>
      </c>
      <c r="J852" s="19" t="s">
        <v>1110</v>
      </c>
      <c r="K852" s="19" t="s">
        <v>6</v>
      </c>
      <c r="L852" s="19" t="s">
        <v>1095</v>
      </c>
      <c r="M852" s="19" t="s">
        <v>1095</v>
      </c>
      <c r="N852" s="19" t="s">
        <v>1406</v>
      </c>
      <c r="R852" t="s">
        <v>1097</v>
      </c>
    </row>
    <row r="853" spans="1:18" hidden="1" x14ac:dyDescent="0.3">
      <c r="A853" s="19">
        <f t="shared" si="13"/>
        <v>852</v>
      </c>
      <c r="B853" s="20" t="s">
        <v>87</v>
      </c>
      <c r="C853" s="20" t="s">
        <v>102</v>
      </c>
      <c r="D853" s="21" t="str">
        <f>IF($C853="","",IFERROR(VLOOKUP($C853,Map_Register!$A$2:$C$5,3,FALSE()),""))</f>
        <v>Toponym Labels</v>
      </c>
      <c r="E853" s="20" t="s">
        <v>15</v>
      </c>
      <c r="F853" s="22">
        <v>786371</v>
      </c>
      <c r="G853" s="19" t="s">
        <v>1136</v>
      </c>
      <c r="H853" s="19" t="s">
        <v>2478</v>
      </c>
      <c r="I853" s="19" t="s">
        <v>2478</v>
      </c>
      <c r="J853" s="19" t="s">
        <v>1110</v>
      </c>
      <c r="K853" t="s">
        <v>1100</v>
      </c>
      <c r="L853" t="s">
        <v>114</v>
      </c>
      <c r="M853" t="s">
        <v>114</v>
      </c>
      <c r="N853" s="19" t="s">
        <v>530</v>
      </c>
      <c r="O853" s="19" t="s">
        <v>116</v>
      </c>
      <c r="R853" t="s">
        <v>1097</v>
      </c>
    </row>
    <row r="854" spans="1:18" hidden="1" x14ac:dyDescent="0.3">
      <c r="A854" s="19">
        <f t="shared" si="13"/>
        <v>853</v>
      </c>
      <c r="B854" s="20" t="s">
        <v>87</v>
      </c>
      <c r="C854" s="20" t="s">
        <v>102</v>
      </c>
      <c r="D854" s="21" t="str">
        <f>IF($C854="","",IFERROR(VLOOKUP($C854,Map_Register!$A$2:$C$5,3,FALSE()),""))</f>
        <v>Toponym Labels</v>
      </c>
      <c r="E854" s="20" t="s">
        <v>15</v>
      </c>
      <c r="F854" s="22">
        <v>786372</v>
      </c>
      <c r="G854" s="19" t="s">
        <v>1108</v>
      </c>
      <c r="H854" s="19" t="s">
        <v>2479</v>
      </c>
      <c r="I854" s="19" t="s">
        <v>2479</v>
      </c>
      <c r="J854" s="19" t="s">
        <v>1110</v>
      </c>
      <c r="K854" s="19" t="s">
        <v>6</v>
      </c>
      <c r="L854" s="19" t="s">
        <v>1095</v>
      </c>
      <c r="M854" s="19" t="s">
        <v>1095</v>
      </c>
      <c r="N854" s="19" t="s">
        <v>1111</v>
      </c>
      <c r="R854" t="s">
        <v>1097</v>
      </c>
    </row>
    <row r="855" spans="1:18" hidden="1" x14ac:dyDescent="0.3">
      <c r="A855" s="19">
        <f t="shared" si="13"/>
        <v>854</v>
      </c>
      <c r="B855" s="20" t="s">
        <v>87</v>
      </c>
      <c r="C855" s="20" t="s">
        <v>102</v>
      </c>
      <c r="D855" s="21" t="str">
        <f>IF($C855="","",IFERROR(VLOOKUP($C855,Map_Register!$A$2:$C$5,3,FALSE()),""))</f>
        <v>Toponym Labels</v>
      </c>
      <c r="E855" s="20" t="s">
        <v>15</v>
      </c>
      <c r="F855" s="22">
        <v>786373</v>
      </c>
      <c r="G855" s="19" t="s">
        <v>1136</v>
      </c>
      <c r="H855" s="19" t="s">
        <v>1459</v>
      </c>
      <c r="I855" s="19" t="s">
        <v>1459</v>
      </c>
      <c r="J855" s="19" t="s">
        <v>1110</v>
      </c>
      <c r="K855" t="s">
        <v>1100</v>
      </c>
      <c r="L855" t="s">
        <v>114</v>
      </c>
      <c r="M855" t="s">
        <v>114</v>
      </c>
      <c r="N855" s="19" t="s">
        <v>530</v>
      </c>
      <c r="O855" s="19" t="s">
        <v>116</v>
      </c>
      <c r="R855" t="s">
        <v>1097</v>
      </c>
    </row>
    <row r="856" spans="1:18" hidden="1" x14ac:dyDescent="0.3">
      <c r="A856" s="19">
        <f t="shared" si="13"/>
        <v>855</v>
      </c>
      <c r="B856" s="20" t="s">
        <v>87</v>
      </c>
      <c r="C856" s="20" t="s">
        <v>102</v>
      </c>
      <c r="D856" s="21" t="str">
        <f>IF($C856="","",IFERROR(VLOOKUP($C856,Map_Register!$A$2:$C$5,3,FALSE()),""))</f>
        <v>Toponym Labels</v>
      </c>
      <c r="E856" s="20" t="s">
        <v>15</v>
      </c>
      <c r="F856" s="22">
        <v>786374</v>
      </c>
      <c r="G856" s="19" t="s">
        <v>1118</v>
      </c>
      <c r="H856" s="19" t="s">
        <v>2480</v>
      </c>
      <c r="I856" s="19" t="s">
        <v>2480</v>
      </c>
      <c r="J856" s="19" t="s">
        <v>1110</v>
      </c>
      <c r="K856" t="s">
        <v>1100</v>
      </c>
      <c r="L856" s="19" t="s">
        <v>114</v>
      </c>
      <c r="M856" s="19" t="s">
        <v>114</v>
      </c>
      <c r="N856" s="19" t="s">
        <v>1178</v>
      </c>
      <c r="O856" s="19" t="s">
        <v>116</v>
      </c>
      <c r="R856" t="s">
        <v>1097</v>
      </c>
    </row>
    <row r="857" spans="1:18" hidden="1" x14ac:dyDescent="0.3">
      <c r="A857" s="19">
        <f t="shared" si="13"/>
        <v>856</v>
      </c>
      <c r="B857" s="20" t="s">
        <v>87</v>
      </c>
      <c r="C857" s="20" t="s">
        <v>102</v>
      </c>
      <c r="D857" s="21" t="str">
        <f>IF($C857="","",IFERROR(VLOOKUP($C857,Map_Register!$A$2:$C$5,3,FALSE()),""))</f>
        <v>Toponym Labels</v>
      </c>
      <c r="E857" s="20" t="s">
        <v>15</v>
      </c>
      <c r="F857" s="22">
        <v>786375</v>
      </c>
      <c r="G857" s="19" t="s">
        <v>1179</v>
      </c>
      <c r="H857" s="19" t="s">
        <v>2481</v>
      </c>
      <c r="I857" s="19" t="s">
        <v>2481</v>
      </c>
      <c r="J857" s="19" t="s">
        <v>1110</v>
      </c>
      <c r="K857" t="s">
        <v>1100</v>
      </c>
      <c r="L857" t="s">
        <v>114</v>
      </c>
      <c r="M857" t="s">
        <v>114</v>
      </c>
      <c r="N857" s="19" t="s">
        <v>1184</v>
      </c>
      <c r="O857" s="19" t="s">
        <v>116</v>
      </c>
      <c r="R857" t="s">
        <v>1097</v>
      </c>
    </row>
    <row r="858" spans="1:18" x14ac:dyDescent="0.3">
      <c r="A858" s="19">
        <f t="shared" si="13"/>
        <v>857</v>
      </c>
      <c r="B858" s="20" t="s">
        <v>87</v>
      </c>
      <c r="C858" s="20" t="s">
        <v>102</v>
      </c>
      <c r="D858" s="21" t="str">
        <f>IF($C858="","",IFERROR(VLOOKUP($C858,Map_Register!$A$2:$C$5,3,FALSE()),""))</f>
        <v>Toponym Labels</v>
      </c>
      <c r="E858" s="20" t="s">
        <v>15</v>
      </c>
      <c r="F858" s="22">
        <v>786376</v>
      </c>
      <c r="G858" s="19" t="s">
        <v>1179</v>
      </c>
      <c r="H858" s="19" t="s">
        <v>2482</v>
      </c>
      <c r="I858" s="19" t="s">
        <v>2482</v>
      </c>
      <c r="J858" s="19" t="s">
        <v>1110</v>
      </c>
      <c r="K858" t="s">
        <v>1100</v>
      </c>
      <c r="L858" t="s">
        <v>114</v>
      </c>
      <c r="M858" t="s">
        <v>116</v>
      </c>
      <c r="N858" s="19" t="s">
        <v>1512</v>
      </c>
      <c r="O858" s="19" t="s">
        <v>116</v>
      </c>
      <c r="R858" t="s">
        <v>1097</v>
      </c>
    </row>
    <row r="859" spans="1:18" hidden="1" x14ac:dyDescent="0.3">
      <c r="A859" s="19">
        <f t="shared" si="13"/>
        <v>858</v>
      </c>
      <c r="B859" s="20" t="s">
        <v>87</v>
      </c>
      <c r="C859" s="20" t="s">
        <v>102</v>
      </c>
      <c r="D859" s="21" t="str">
        <f>IF($C859="","",IFERROR(VLOOKUP($C859,Map_Register!$A$2:$C$5,3,FALSE()),""))</f>
        <v>Toponym Labels</v>
      </c>
      <c r="E859" s="20" t="s">
        <v>15</v>
      </c>
      <c r="F859" s="22">
        <v>786377</v>
      </c>
      <c r="G859" s="19" t="s">
        <v>1179</v>
      </c>
      <c r="H859" s="19" t="s">
        <v>2483</v>
      </c>
      <c r="I859" s="19" t="s">
        <v>2484</v>
      </c>
      <c r="J859" s="19" t="s">
        <v>1104</v>
      </c>
      <c r="K859" s="19" t="s">
        <v>6</v>
      </c>
      <c r="L859" s="19" t="s">
        <v>1095</v>
      </c>
      <c r="M859" s="19" t="s">
        <v>1095</v>
      </c>
      <c r="N859" s="19" t="s">
        <v>1105</v>
      </c>
      <c r="R859" t="s">
        <v>1097</v>
      </c>
    </row>
    <row r="860" spans="1:18" hidden="1" x14ac:dyDescent="0.3">
      <c r="A860" s="19">
        <f t="shared" si="13"/>
        <v>859</v>
      </c>
      <c r="B860" s="20" t="s">
        <v>87</v>
      </c>
      <c r="C860" s="20" t="s">
        <v>102</v>
      </c>
      <c r="D860" s="21" t="str">
        <f>IF($C860="","",IFERROR(VLOOKUP($C860,Map_Register!$A$2:$C$5,3,FALSE()),""))</f>
        <v>Toponym Labels</v>
      </c>
      <c r="E860" s="20" t="s">
        <v>15</v>
      </c>
      <c r="F860" s="22">
        <v>786378</v>
      </c>
      <c r="G860" s="19" t="s">
        <v>1179</v>
      </c>
      <c r="H860" s="19" t="s">
        <v>2485</v>
      </c>
      <c r="I860" s="19" t="s">
        <v>2485</v>
      </c>
      <c r="J860" s="19" t="s">
        <v>1110</v>
      </c>
      <c r="K860" s="19" t="s">
        <v>6</v>
      </c>
      <c r="L860" s="19" t="s">
        <v>1095</v>
      </c>
      <c r="M860" s="19" t="s">
        <v>1095</v>
      </c>
      <c r="N860" s="19" t="s">
        <v>1502</v>
      </c>
      <c r="R860" t="s">
        <v>1097</v>
      </c>
    </row>
    <row r="861" spans="1:18" hidden="1" x14ac:dyDescent="0.3">
      <c r="A861" s="19">
        <f t="shared" si="13"/>
        <v>860</v>
      </c>
      <c r="B861" s="20" t="s">
        <v>87</v>
      </c>
      <c r="C861" s="20" t="s">
        <v>102</v>
      </c>
      <c r="D861" s="21" t="str">
        <f>IF($C861="","",IFERROR(VLOOKUP($C861,Map_Register!$A$2:$C$5,3,FALSE()),""))</f>
        <v>Toponym Labels</v>
      </c>
      <c r="E861" s="20" t="s">
        <v>15</v>
      </c>
      <c r="F861" s="22">
        <v>786379</v>
      </c>
      <c r="G861" s="19" t="s">
        <v>1179</v>
      </c>
      <c r="H861" s="19" t="s">
        <v>2486</v>
      </c>
      <c r="I861" s="19" t="s">
        <v>2487</v>
      </c>
      <c r="J861" s="19" t="s">
        <v>1104</v>
      </c>
      <c r="K861" t="s">
        <v>1100</v>
      </c>
      <c r="L861" t="s">
        <v>114</v>
      </c>
      <c r="M861" t="s">
        <v>114</v>
      </c>
      <c r="N861" s="19" t="s">
        <v>1184</v>
      </c>
      <c r="O861" s="19" t="s">
        <v>116</v>
      </c>
      <c r="R861" t="s">
        <v>1097</v>
      </c>
    </row>
    <row r="862" spans="1:18" hidden="1" x14ac:dyDescent="0.3">
      <c r="A862" s="19">
        <f t="shared" si="13"/>
        <v>861</v>
      </c>
      <c r="B862" s="20" t="s">
        <v>87</v>
      </c>
      <c r="C862" s="20" t="s">
        <v>102</v>
      </c>
      <c r="D862" s="21" t="str">
        <f>IF($C862="","",IFERROR(VLOOKUP($C862,Map_Register!$A$2:$C$5,3,FALSE()),""))</f>
        <v>Toponym Labels</v>
      </c>
      <c r="E862" s="20" t="s">
        <v>15</v>
      </c>
      <c r="F862" s="22">
        <v>786380</v>
      </c>
      <c r="G862" s="19" t="s">
        <v>1179</v>
      </c>
      <c r="H862" s="19" t="s">
        <v>2488</v>
      </c>
      <c r="I862" s="19" t="s">
        <v>2488</v>
      </c>
      <c r="J862" s="19" t="s">
        <v>1110</v>
      </c>
      <c r="K862" s="19" t="s">
        <v>6</v>
      </c>
      <c r="L862" s="19" t="s">
        <v>1095</v>
      </c>
      <c r="M862" s="19" t="s">
        <v>1095</v>
      </c>
      <c r="N862" s="19" t="s">
        <v>1502</v>
      </c>
      <c r="R862" t="s">
        <v>1097</v>
      </c>
    </row>
    <row r="863" spans="1:18" hidden="1" x14ac:dyDescent="0.3">
      <c r="A863" s="19">
        <f t="shared" si="13"/>
        <v>862</v>
      </c>
      <c r="B863" s="20" t="s">
        <v>87</v>
      </c>
      <c r="C863" s="20" t="s">
        <v>102</v>
      </c>
      <c r="D863" s="21" t="str">
        <f>IF($C863="","",IFERROR(VLOOKUP($C863,Map_Register!$A$2:$C$5,3,FALSE()),""))</f>
        <v>Toponym Labels</v>
      </c>
      <c r="E863" s="20" t="s">
        <v>15</v>
      </c>
      <c r="F863" s="22">
        <v>786381</v>
      </c>
      <c r="G863" s="19" t="s">
        <v>1179</v>
      </c>
      <c r="H863" s="19" t="s">
        <v>2489</v>
      </c>
      <c r="I863" s="19" t="s">
        <v>2489</v>
      </c>
      <c r="J863" s="19" t="s">
        <v>1110</v>
      </c>
      <c r="K863" s="19" t="s">
        <v>6</v>
      </c>
      <c r="L863" s="19" t="s">
        <v>1095</v>
      </c>
      <c r="M863" s="19" t="s">
        <v>1095</v>
      </c>
      <c r="N863" s="19" t="s">
        <v>1502</v>
      </c>
      <c r="R863" t="s">
        <v>1097</v>
      </c>
    </row>
    <row r="864" spans="1:18" hidden="1" x14ac:dyDescent="0.3">
      <c r="A864" s="19">
        <f t="shared" si="13"/>
        <v>863</v>
      </c>
      <c r="B864" s="20" t="s">
        <v>87</v>
      </c>
      <c r="C864" s="20" t="s">
        <v>102</v>
      </c>
      <c r="D864" s="21" t="str">
        <f>IF($C864="","",IFERROR(VLOOKUP($C864,Map_Register!$A$2:$C$5,3,FALSE()),""))</f>
        <v>Toponym Labels</v>
      </c>
      <c r="E864" s="20" t="s">
        <v>15</v>
      </c>
      <c r="F864" s="22">
        <v>786382</v>
      </c>
      <c r="G864" s="19" t="s">
        <v>1179</v>
      </c>
      <c r="H864" s="19" t="s">
        <v>2490</v>
      </c>
      <c r="I864" s="19" t="s">
        <v>2490</v>
      </c>
      <c r="J864" s="19" t="s">
        <v>1110</v>
      </c>
      <c r="K864" t="s">
        <v>1100</v>
      </c>
      <c r="L864" t="s">
        <v>114</v>
      </c>
      <c r="M864" t="s">
        <v>114</v>
      </c>
      <c r="N864" s="19" t="s">
        <v>1184</v>
      </c>
      <c r="O864" s="19" t="s">
        <v>116</v>
      </c>
      <c r="R864" t="s">
        <v>1097</v>
      </c>
    </row>
    <row r="865" spans="1:18" hidden="1" x14ac:dyDescent="0.3">
      <c r="A865" s="19">
        <f t="shared" si="13"/>
        <v>864</v>
      </c>
      <c r="B865" s="20" t="s">
        <v>87</v>
      </c>
      <c r="C865" s="20" t="s">
        <v>102</v>
      </c>
      <c r="D865" s="21" t="str">
        <f>IF($C865="","",IFERROR(VLOOKUP($C865,Map_Register!$A$2:$C$5,3,FALSE()),""))</f>
        <v>Toponym Labels</v>
      </c>
      <c r="E865" s="20" t="s">
        <v>15</v>
      </c>
      <c r="F865" s="22">
        <v>786383</v>
      </c>
      <c r="G865" s="19" t="s">
        <v>1179</v>
      </c>
      <c r="H865" s="19" t="s">
        <v>2491</v>
      </c>
      <c r="I865" s="19" t="s">
        <v>2491</v>
      </c>
      <c r="J865" s="19" t="s">
        <v>1110</v>
      </c>
      <c r="K865" s="19" t="s">
        <v>6</v>
      </c>
      <c r="L865" s="19" t="s">
        <v>1095</v>
      </c>
      <c r="M865" s="19" t="s">
        <v>1095</v>
      </c>
      <c r="N865" s="19" t="s">
        <v>1502</v>
      </c>
      <c r="R865" t="s">
        <v>1097</v>
      </c>
    </row>
    <row r="866" spans="1:18" hidden="1" x14ac:dyDescent="0.3">
      <c r="A866" s="19">
        <f t="shared" si="13"/>
        <v>865</v>
      </c>
      <c r="B866" s="20" t="s">
        <v>87</v>
      </c>
      <c r="C866" s="20" t="s">
        <v>102</v>
      </c>
      <c r="D866" s="21" t="str">
        <f>IF($C866="","",IFERROR(VLOOKUP($C866,Map_Register!$A$2:$C$5,3,FALSE()),""))</f>
        <v>Toponym Labels</v>
      </c>
      <c r="E866" s="20" t="s">
        <v>15</v>
      </c>
      <c r="F866" s="22">
        <v>786384</v>
      </c>
      <c r="G866" s="19" t="s">
        <v>1179</v>
      </c>
      <c r="H866" s="19" t="s">
        <v>2492</v>
      </c>
      <c r="I866" s="19" t="s">
        <v>2493</v>
      </c>
      <c r="J866" s="19" t="s">
        <v>1104</v>
      </c>
      <c r="K866" s="19" t="s">
        <v>6</v>
      </c>
      <c r="L866" s="19" t="s">
        <v>1095</v>
      </c>
      <c r="M866" s="19" t="s">
        <v>1095</v>
      </c>
      <c r="N866" s="19" t="s">
        <v>1105</v>
      </c>
      <c r="R866" t="s">
        <v>1097</v>
      </c>
    </row>
    <row r="867" spans="1:18" hidden="1" x14ac:dyDescent="0.3">
      <c r="A867" s="19">
        <f t="shared" si="13"/>
        <v>866</v>
      </c>
      <c r="B867" s="20" t="s">
        <v>87</v>
      </c>
      <c r="C867" s="20" t="s">
        <v>102</v>
      </c>
      <c r="D867" s="21" t="str">
        <f>IF($C867="","",IFERROR(VLOOKUP($C867,Map_Register!$A$2:$C$5,3,FALSE()),""))</f>
        <v>Toponym Labels</v>
      </c>
      <c r="E867" s="20" t="s">
        <v>15</v>
      </c>
      <c r="F867" s="22">
        <v>786385</v>
      </c>
      <c r="G867" s="19" t="s">
        <v>1179</v>
      </c>
      <c r="H867" s="19" t="s">
        <v>2494</v>
      </c>
      <c r="I867" s="19" t="s">
        <v>2494</v>
      </c>
      <c r="J867" s="19" t="s">
        <v>1110</v>
      </c>
      <c r="K867" s="19" t="s">
        <v>6</v>
      </c>
      <c r="L867" s="19" t="s">
        <v>1095</v>
      </c>
      <c r="M867" s="19" t="s">
        <v>1095</v>
      </c>
      <c r="N867" s="19" t="s">
        <v>1502</v>
      </c>
      <c r="R867" t="s">
        <v>1097</v>
      </c>
    </row>
    <row r="868" spans="1:18" hidden="1" x14ac:dyDescent="0.3">
      <c r="A868" s="19">
        <f t="shared" si="13"/>
        <v>867</v>
      </c>
      <c r="B868" s="20" t="s">
        <v>87</v>
      </c>
      <c r="C868" s="20" t="s">
        <v>102</v>
      </c>
      <c r="D868" s="21" t="str">
        <f>IF($C868="","",IFERROR(VLOOKUP($C868,Map_Register!$A$2:$C$5,3,FALSE()),""))</f>
        <v>Toponym Labels</v>
      </c>
      <c r="E868" s="20" t="s">
        <v>15</v>
      </c>
      <c r="F868" s="22">
        <v>786386</v>
      </c>
      <c r="G868" s="19" t="s">
        <v>1179</v>
      </c>
      <c r="H868" s="19" t="s">
        <v>2495</v>
      </c>
      <c r="I868" s="19" t="s">
        <v>2495</v>
      </c>
      <c r="J868" s="19" t="s">
        <v>1110</v>
      </c>
      <c r="K868" t="s">
        <v>1100</v>
      </c>
      <c r="L868" t="s">
        <v>114</v>
      </c>
      <c r="M868" t="s">
        <v>114</v>
      </c>
      <c r="N868" s="19" t="s">
        <v>1184</v>
      </c>
      <c r="O868" s="19" t="s">
        <v>116</v>
      </c>
      <c r="R868" t="s">
        <v>1097</v>
      </c>
    </row>
    <row r="869" spans="1:18" hidden="1" x14ac:dyDescent="0.3">
      <c r="A869" s="19">
        <f t="shared" si="13"/>
        <v>868</v>
      </c>
      <c r="B869" s="20" t="s">
        <v>87</v>
      </c>
      <c r="C869" s="20" t="s">
        <v>102</v>
      </c>
      <c r="D869" s="21" t="str">
        <f>IF($C869="","",IFERROR(VLOOKUP($C869,Map_Register!$A$2:$C$5,3,FALSE()),""))</f>
        <v>Toponym Labels</v>
      </c>
      <c r="E869" s="20" t="s">
        <v>15</v>
      </c>
      <c r="F869" s="22">
        <v>786387</v>
      </c>
      <c r="G869" s="19" t="s">
        <v>1179</v>
      </c>
      <c r="H869" s="19" t="s">
        <v>2496</v>
      </c>
      <c r="I869" s="19" t="s">
        <v>2497</v>
      </c>
      <c r="J869" s="19" t="s">
        <v>1104</v>
      </c>
      <c r="K869" s="19" t="s">
        <v>6</v>
      </c>
      <c r="L869" s="19" t="s">
        <v>1095</v>
      </c>
      <c r="M869" s="19" t="s">
        <v>1095</v>
      </c>
      <c r="N869" s="19" t="s">
        <v>1105</v>
      </c>
      <c r="R869" t="s">
        <v>1097</v>
      </c>
    </row>
    <row r="870" spans="1:18" hidden="1" x14ac:dyDescent="0.3">
      <c r="A870" s="19">
        <f t="shared" si="13"/>
        <v>869</v>
      </c>
      <c r="B870" s="20" t="s">
        <v>87</v>
      </c>
      <c r="C870" s="20" t="s">
        <v>102</v>
      </c>
      <c r="D870" s="21" t="str">
        <f>IF($C870="","",IFERROR(VLOOKUP($C870,Map_Register!$A$2:$C$5,3,FALSE()),""))</f>
        <v>Toponym Labels</v>
      </c>
      <c r="E870" s="20" t="s">
        <v>15</v>
      </c>
      <c r="F870" s="22">
        <v>786388</v>
      </c>
      <c r="G870" s="19" t="s">
        <v>1179</v>
      </c>
      <c r="H870" s="19" t="s">
        <v>2498</v>
      </c>
      <c r="I870" s="19" t="s">
        <v>2499</v>
      </c>
      <c r="J870" s="19" t="s">
        <v>1094</v>
      </c>
      <c r="K870" s="19" t="s">
        <v>6</v>
      </c>
      <c r="L870" s="19" t="s">
        <v>1095</v>
      </c>
      <c r="M870" s="19" t="s">
        <v>1095</v>
      </c>
      <c r="N870" s="19" t="s">
        <v>1105</v>
      </c>
      <c r="R870" t="s">
        <v>1097</v>
      </c>
    </row>
    <row r="871" spans="1:18" x14ac:dyDescent="0.3">
      <c r="A871" s="19">
        <f t="shared" si="13"/>
        <v>870</v>
      </c>
      <c r="B871" s="20" t="s">
        <v>87</v>
      </c>
      <c r="C871" s="20" t="s">
        <v>102</v>
      </c>
      <c r="D871" s="21" t="str">
        <f>IF($C871="","",IFERROR(VLOOKUP($C871,Map_Register!$A$2:$C$5,3,FALSE()),""))</f>
        <v>Toponym Labels</v>
      </c>
      <c r="E871" s="20" t="s">
        <v>15</v>
      </c>
      <c r="F871" s="22">
        <v>786389</v>
      </c>
      <c r="G871" s="19" t="s">
        <v>1179</v>
      </c>
      <c r="H871" s="19" t="s">
        <v>2481</v>
      </c>
      <c r="I871" s="19" t="s">
        <v>2500</v>
      </c>
      <c r="J871" s="19" t="s">
        <v>1094</v>
      </c>
      <c r="K871" t="s">
        <v>1100</v>
      </c>
      <c r="L871" t="s">
        <v>114</v>
      </c>
      <c r="M871" t="s">
        <v>116</v>
      </c>
      <c r="N871" s="19" t="s">
        <v>1512</v>
      </c>
      <c r="O871" s="19" t="s">
        <v>116</v>
      </c>
      <c r="R871" t="s">
        <v>1097</v>
      </c>
    </row>
    <row r="872" spans="1:18" x14ac:dyDescent="0.3">
      <c r="A872" s="19">
        <f t="shared" si="13"/>
        <v>871</v>
      </c>
      <c r="B872" s="20" t="s">
        <v>87</v>
      </c>
      <c r="C872" s="20" t="s">
        <v>102</v>
      </c>
      <c r="D872" s="21" t="str">
        <f>IF($C872="","",IFERROR(VLOOKUP($C872,Map_Register!$A$2:$C$5,3,FALSE()),""))</f>
        <v>Toponym Labels</v>
      </c>
      <c r="E872" s="20" t="s">
        <v>15</v>
      </c>
      <c r="F872" s="22">
        <v>786390</v>
      </c>
      <c r="G872" s="19" t="s">
        <v>1179</v>
      </c>
      <c r="H872" s="19" t="s">
        <v>2501</v>
      </c>
      <c r="I872" s="19" t="s">
        <v>2502</v>
      </c>
      <c r="J872" s="19" t="s">
        <v>1104</v>
      </c>
      <c r="K872" t="s">
        <v>1100</v>
      </c>
      <c r="L872" t="s">
        <v>114</v>
      </c>
      <c r="M872" t="s">
        <v>116</v>
      </c>
      <c r="N872" s="19" t="s">
        <v>1512</v>
      </c>
      <c r="O872" s="19" t="s">
        <v>116</v>
      </c>
      <c r="R872" t="s">
        <v>1097</v>
      </c>
    </row>
    <row r="873" spans="1:18" hidden="1" x14ac:dyDescent="0.3">
      <c r="A873" s="19">
        <f t="shared" si="13"/>
        <v>872</v>
      </c>
      <c r="B873" s="20" t="s">
        <v>87</v>
      </c>
      <c r="C873" s="20" t="s">
        <v>102</v>
      </c>
      <c r="D873" s="21" t="str">
        <f>IF($C873="","",IFERROR(VLOOKUP($C873,Map_Register!$A$2:$C$5,3,FALSE()),""))</f>
        <v>Toponym Labels</v>
      </c>
      <c r="E873" s="20" t="s">
        <v>15</v>
      </c>
      <c r="F873" s="22">
        <v>786391</v>
      </c>
      <c r="G873" s="19" t="s">
        <v>1179</v>
      </c>
      <c r="H873" s="19" t="s">
        <v>2503</v>
      </c>
      <c r="I873" s="19" t="s">
        <v>2504</v>
      </c>
      <c r="J873" s="19" t="s">
        <v>1104</v>
      </c>
      <c r="K873" s="19" t="s">
        <v>6</v>
      </c>
      <c r="L873" s="19" t="s">
        <v>1095</v>
      </c>
      <c r="M873" s="19" t="s">
        <v>1095</v>
      </c>
      <c r="N873" s="19" t="s">
        <v>1105</v>
      </c>
      <c r="R873" t="s">
        <v>1097</v>
      </c>
    </row>
    <row r="874" spans="1:18" hidden="1" x14ac:dyDescent="0.3">
      <c r="A874" s="19">
        <f t="shared" si="13"/>
        <v>873</v>
      </c>
      <c r="B874" s="20" t="s">
        <v>87</v>
      </c>
      <c r="C874" s="20" t="s">
        <v>102</v>
      </c>
      <c r="D874" s="21" t="str">
        <f>IF($C874="","",IFERROR(VLOOKUP($C874,Map_Register!$A$2:$C$5,3,FALSE()),""))</f>
        <v>Toponym Labels</v>
      </c>
      <c r="E874" s="20" t="s">
        <v>15</v>
      </c>
      <c r="F874" s="22">
        <v>786392</v>
      </c>
      <c r="G874" s="19" t="s">
        <v>1179</v>
      </c>
      <c r="H874" s="19" t="s">
        <v>2505</v>
      </c>
      <c r="I874" s="19" t="s">
        <v>2505</v>
      </c>
      <c r="J874" s="19" t="s">
        <v>1110</v>
      </c>
      <c r="K874" s="19" t="s">
        <v>6</v>
      </c>
      <c r="L874" s="19" t="s">
        <v>1095</v>
      </c>
      <c r="M874" s="19" t="s">
        <v>1095</v>
      </c>
      <c r="N874" s="19" t="s">
        <v>1502</v>
      </c>
      <c r="R874" t="s">
        <v>1097</v>
      </c>
    </row>
    <row r="875" spans="1:18" x14ac:dyDescent="0.3">
      <c r="A875" s="19">
        <f t="shared" si="13"/>
        <v>874</v>
      </c>
      <c r="B875" s="20" t="s">
        <v>87</v>
      </c>
      <c r="C875" s="20" t="s">
        <v>102</v>
      </c>
      <c r="D875" s="21" t="str">
        <f>IF($C875="","",IFERROR(VLOOKUP($C875,Map_Register!$A$2:$C$5,3,FALSE()),""))</f>
        <v>Toponym Labels</v>
      </c>
      <c r="E875" s="20" t="s">
        <v>15</v>
      </c>
      <c r="F875" s="22">
        <v>786393</v>
      </c>
      <c r="G875" s="19" t="s">
        <v>1179</v>
      </c>
      <c r="H875" s="19" t="s">
        <v>2506</v>
      </c>
      <c r="I875" s="19" t="s">
        <v>2507</v>
      </c>
      <c r="J875" s="19" t="s">
        <v>1094</v>
      </c>
      <c r="K875" t="s">
        <v>1100</v>
      </c>
      <c r="L875" t="s">
        <v>114</v>
      </c>
      <c r="M875" t="s">
        <v>116</v>
      </c>
      <c r="N875" s="19" t="s">
        <v>1512</v>
      </c>
      <c r="O875" s="19" t="s">
        <v>116</v>
      </c>
      <c r="R875" t="s">
        <v>1097</v>
      </c>
    </row>
    <row r="876" spans="1:18" hidden="1" x14ac:dyDescent="0.3">
      <c r="A876" s="19">
        <f t="shared" si="13"/>
        <v>875</v>
      </c>
      <c r="B876" s="20" t="s">
        <v>87</v>
      </c>
      <c r="C876" s="20" t="s">
        <v>102</v>
      </c>
      <c r="D876" s="21" t="str">
        <f>IF($C876="","",IFERROR(VLOOKUP($C876,Map_Register!$A$2:$C$5,3,FALSE()),""))</f>
        <v>Toponym Labels</v>
      </c>
      <c r="E876" s="20" t="s">
        <v>15</v>
      </c>
      <c r="F876" s="22">
        <v>786394</v>
      </c>
      <c r="G876" s="19" t="s">
        <v>1179</v>
      </c>
      <c r="H876" s="19" t="s">
        <v>2508</v>
      </c>
      <c r="I876" s="19" t="s">
        <v>2508</v>
      </c>
      <c r="J876" s="19" t="s">
        <v>1110</v>
      </c>
      <c r="K876" s="19" t="s">
        <v>6</v>
      </c>
      <c r="L876" s="19" t="s">
        <v>1095</v>
      </c>
      <c r="M876" s="19" t="s">
        <v>1095</v>
      </c>
      <c r="N876" s="19" t="s">
        <v>1502</v>
      </c>
      <c r="R876" t="s">
        <v>1097</v>
      </c>
    </row>
    <row r="877" spans="1:18" x14ac:dyDescent="0.3">
      <c r="A877" s="19">
        <f t="shared" si="13"/>
        <v>876</v>
      </c>
      <c r="B877" s="20" t="s">
        <v>87</v>
      </c>
      <c r="C877" s="20" t="s">
        <v>102</v>
      </c>
      <c r="D877" s="21" t="str">
        <f>IF($C877="","",IFERROR(VLOOKUP($C877,Map_Register!$A$2:$C$5,3,FALSE()),""))</f>
        <v>Toponym Labels</v>
      </c>
      <c r="E877" s="20" t="s">
        <v>15</v>
      </c>
      <c r="F877" s="22">
        <v>786395</v>
      </c>
      <c r="G877" s="19" t="s">
        <v>1495</v>
      </c>
      <c r="H877" s="19" t="s">
        <v>2509</v>
      </c>
      <c r="I877" s="19" t="s">
        <v>2509</v>
      </c>
      <c r="J877" s="19" t="s">
        <v>1110</v>
      </c>
      <c r="K877" t="s">
        <v>1100</v>
      </c>
      <c r="L877" t="s">
        <v>114</v>
      </c>
      <c r="M877" t="s">
        <v>116</v>
      </c>
      <c r="N877" s="19" t="s">
        <v>1268</v>
      </c>
      <c r="O877" s="19" t="s">
        <v>116</v>
      </c>
      <c r="R877" t="s">
        <v>1097</v>
      </c>
    </row>
    <row r="878" spans="1:18" x14ac:dyDescent="0.3">
      <c r="A878" s="19">
        <f t="shared" si="13"/>
        <v>877</v>
      </c>
      <c r="B878" s="20" t="s">
        <v>87</v>
      </c>
      <c r="C878" s="20" t="s">
        <v>102</v>
      </c>
      <c r="D878" s="21" t="str">
        <f>IF($C878="","",IFERROR(VLOOKUP($C878,Map_Register!$A$2:$C$5,3,FALSE()),""))</f>
        <v>Toponym Labels</v>
      </c>
      <c r="E878" s="20" t="s">
        <v>15</v>
      </c>
      <c r="F878" s="22">
        <v>786396</v>
      </c>
      <c r="G878" s="19" t="s">
        <v>1203</v>
      </c>
      <c r="H878" s="19" t="s">
        <v>2510</v>
      </c>
      <c r="I878" s="19" t="s">
        <v>2510</v>
      </c>
      <c r="J878" s="19" t="s">
        <v>1110</v>
      </c>
      <c r="K878" t="s">
        <v>1100</v>
      </c>
      <c r="L878" t="s">
        <v>114</v>
      </c>
      <c r="M878" t="s">
        <v>116</v>
      </c>
      <c r="N878" s="19" t="s">
        <v>1268</v>
      </c>
      <c r="O878" s="19" t="s">
        <v>116</v>
      </c>
      <c r="R878" t="s">
        <v>1097</v>
      </c>
    </row>
    <row r="879" spans="1:18" x14ac:dyDescent="0.3">
      <c r="A879" s="19">
        <f t="shared" si="13"/>
        <v>878</v>
      </c>
      <c r="B879" s="20" t="s">
        <v>87</v>
      </c>
      <c r="C879" s="20" t="s">
        <v>102</v>
      </c>
      <c r="D879" s="21" t="str">
        <f>IF($C879="","",IFERROR(VLOOKUP($C879,Map_Register!$A$2:$C$5,3,FALSE()),""))</f>
        <v>Toponym Labels</v>
      </c>
      <c r="E879" s="20" t="s">
        <v>15</v>
      </c>
      <c r="F879" s="22">
        <v>786397</v>
      </c>
      <c r="G879" s="19" t="s">
        <v>1495</v>
      </c>
      <c r="H879" s="19" t="s">
        <v>2511</v>
      </c>
      <c r="I879" s="19" t="s">
        <v>2511</v>
      </c>
      <c r="J879" s="19" t="s">
        <v>1110</v>
      </c>
      <c r="K879" t="s">
        <v>1100</v>
      </c>
      <c r="L879" t="s">
        <v>114</v>
      </c>
      <c r="M879" t="s">
        <v>116</v>
      </c>
      <c r="N879" s="19" t="s">
        <v>1268</v>
      </c>
      <c r="O879" s="19" t="s">
        <v>116</v>
      </c>
      <c r="R879" t="s">
        <v>1097</v>
      </c>
    </row>
    <row r="880" spans="1:18" hidden="1" x14ac:dyDescent="0.3">
      <c r="A880" s="19">
        <f t="shared" si="13"/>
        <v>879</v>
      </c>
      <c r="B880" s="20" t="s">
        <v>87</v>
      </c>
      <c r="C880" s="20" t="s">
        <v>102</v>
      </c>
      <c r="D880" s="21" t="str">
        <f>IF($C880="","",IFERROR(VLOOKUP($C880,Map_Register!$A$2:$C$5,3,FALSE()),""))</f>
        <v>Toponym Labels</v>
      </c>
      <c r="E880" s="20" t="s">
        <v>15</v>
      </c>
      <c r="F880" s="22">
        <v>786398</v>
      </c>
      <c r="G880" s="19" t="s">
        <v>1179</v>
      </c>
      <c r="H880" s="19" t="s">
        <v>2512</v>
      </c>
      <c r="I880" s="19" t="s">
        <v>2512</v>
      </c>
      <c r="J880" s="19" t="s">
        <v>1110</v>
      </c>
      <c r="K880" t="s">
        <v>1100</v>
      </c>
      <c r="L880" t="s">
        <v>114</v>
      </c>
      <c r="M880" t="s">
        <v>114</v>
      </c>
      <c r="N880" s="19" t="s">
        <v>1184</v>
      </c>
      <c r="O880" s="19" t="s">
        <v>116</v>
      </c>
      <c r="R880" t="s">
        <v>1097</v>
      </c>
    </row>
    <row r="881" spans="1:18" x14ac:dyDescent="0.3">
      <c r="A881" s="19">
        <f t="shared" si="13"/>
        <v>880</v>
      </c>
      <c r="B881" s="20" t="s">
        <v>87</v>
      </c>
      <c r="C881" s="20" t="s">
        <v>102</v>
      </c>
      <c r="D881" s="21" t="str">
        <f>IF($C881="","",IFERROR(VLOOKUP($C881,Map_Register!$A$2:$C$5,3,FALSE()),""))</f>
        <v>Toponym Labels</v>
      </c>
      <c r="E881" s="20" t="s">
        <v>15</v>
      </c>
      <c r="F881" s="22">
        <v>786399</v>
      </c>
      <c r="G881" s="19" t="s">
        <v>1495</v>
      </c>
      <c r="H881" s="19" t="s">
        <v>2513</v>
      </c>
      <c r="I881" s="19" t="s">
        <v>2513</v>
      </c>
      <c r="J881" s="19" t="s">
        <v>1110</v>
      </c>
      <c r="K881" t="s">
        <v>1100</v>
      </c>
      <c r="L881" t="s">
        <v>114</v>
      </c>
      <c r="M881" t="s">
        <v>116</v>
      </c>
      <c r="N881" s="19" t="s">
        <v>1268</v>
      </c>
      <c r="O881" s="19" t="s">
        <v>116</v>
      </c>
      <c r="R881" t="s">
        <v>1097</v>
      </c>
    </row>
    <row r="882" spans="1:18" x14ac:dyDescent="0.3">
      <c r="A882" s="19">
        <f t="shared" si="13"/>
        <v>881</v>
      </c>
      <c r="B882" s="20" t="s">
        <v>87</v>
      </c>
      <c r="C882" s="20" t="s">
        <v>102</v>
      </c>
      <c r="D882" s="21" t="str">
        <f>IF($C882="","",IFERROR(VLOOKUP($C882,Map_Register!$A$2:$C$5,3,FALSE()),""))</f>
        <v>Toponym Labels</v>
      </c>
      <c r="E882" s="20" t="s">
        <v>15</v>
      </c>
      <c r="F882" s="22">
        <v>786400</v>
      </c>
      <c r="G882" s="19" t="s">
        <v>1179</v>
      </c>
      <c r="H882" s="19" t="s">
        <v>2514</v>
      </c>
      <c r="I882" s="19" t="s">
        <v>2514</v>
      </c>
      <c r="J882" s="19" t="s">
        <v>1110</v>
      </c>
      <c r="K882" t="s">
        <v>1100</v>
      </c>
      <c r="L882" t="s">
        <v>114</v>
      </c>
      <c r="M882" t="s">
        <v>116</v>
      </c>
      <c r="N882" s="19" t="s">
        <v>1512</v>
      </c>
      <c r="O882" s="19" t="s">
        <v>116</v>
      </c>
      <c r="R882" t="s">
        <v>1097</v>
      </c>
    </row>
    <row r="883" spans="1:18" hidden="1" x14ac:dyDescent="0.3">
      <c r="A883" s="19">
        <f t="shared" si="13"/>
        <v>882</v>
      </c>
      <c r="B883" s="20" t="s">
        <v>87</v>
      </c>
      <c r="C883" s="20" t="s">
        <v>102</v>
      </c>
      <c r="D883" s="21" t="str">
        <f>IF($C883="","",IFERROR(VLOOKUP($C883,Map_Register!$A$2:$C$5,3,FALSE()),""))</f>
        <v>Toponym Labels</v>
      </c>
      <c r="E883" s="20" t="s">
        <v>15</v>
      </c>
      <c r="F883" s="22">
        <v>786401</v>
      </c>
      <c r="G883" s="19" t="s">
        <v>1179</v>
      </c>
      <c r="H883" s="19" t="s">
        <v>2515</v>
      </c>
      <c r="I883" s="19" t="s">
        <v>2516</v>
      </c>
      <c r="J883" s="19" t="s">
        <v>1104</v>
      </c>
      <c r="K883" s="19" t="s">
        <v>6</v>
      </c>
      <c r="L883" s="19" t="s">
        <v>1095</v>
      </c>
      <c r="M883" s="19" t="s">
        <v>1095</v>
      </c>
      <c r="N883" s="19" t="s">
        <v>1105</v>
      </c>
      <c r="R883" t="s">
        <v>1097</v>
      </c>
    </row>
    <row r="884" spans="1:18" hidden="1" x14ac:dyDescent="0.3">
      <c r="A884" s="19">
        <f t="shared" si="13"/>
        <v>883</v>
      </c>
      <c r="B884" s="20" t="s">
        <v>87</v>
      </c>
      <c r="C884" s="20" t="s">
        <v>102</v>
      </c>
      <c r="D884" s="21" t="str">
        <f>IF($C884="","",IFERROR(VLOOKUP($C884,Map_Register!$A$2:$C$5,3,FALSE()),""))</f>
        <v>Toponym Labels</v>
      </c>
      <c r="E884" s="20" t="s">
        <v>15</v>
      </c>
      <c r="F884" s="22">
        <v>786402</v>
      </c>
      <c r="G884" s="19" t="s">
        <v>1179</v>
      </c>
      <c r="H884" s="19" t="s">
        <v>2517</v>
      </c>
      <c r="I884" s="19" t="s">
        <v>2517</v>
      </c>
      <c r="J884" s="19" t="s">
        <v>1110</v>
      </c>
      <c r="K884" t="s">
        <v>1100</v>
      </c>
      <c r="L884" t="s">
        <v>114</v>
      </c>
      <c r="M884" t="s">
        <v>114</v>
      </c>
      <c r="N884" s="19" t="s">
        <v>1184</v>
      </c>
      <c r="O884" s="19" t="s">
        <v>116</v>
      </c>
      <c r="R884" t="s">
        <v>1097</v>
      </c>
    </row>
    <row r="885" spans="1:18" hidden="1" x14ac:dyDescent="0.3">
      <c r="A885" s="19">
        <f t="shared" si="13"/>
        <v>884</v>
      </c>
      <c r="B885" s="20" t="s">
        <v>87</v>
      </c>
      <c r="C885" s="20" t="s">
        <v>102</v>
      </c>
      <c r="D885" s="21" t="str">
        <f>IF($C885="","",IFERROR(VLOOKUP($C885,Map_Register!$A$2:$C$5,3,FALSE()),""))</f>
        <v>Toponym Labels</v>
      </c>
      <c r="E885" s="20" t="s">
        <v>15</v>
      </c>
      <c r="F885" s="22">
        <v>786403</v>
      </c>
      <c r="G885" s="19" t="s">
        <v>1179</v>
      </c>
      <c r="H885" s="19" t="s">
        <v>2518</v>
      </c>
      <c r="I885" s="19" t="s">
        <v>2518</v>
      </c>
      <c r="J885" s="19" t="s">
        <v>1110</v>
      </c>
      <c r="K885" t="s">
        <v>1100</v>
      </c>
      <c r="L885" t="s">
        <v>114</v>
      </c>
      <c r="M885" t="s">
        <v>114</v>
      </c>
      <c r="N885" s="19" t="s">
        <v>1184</v>
      </c>
      <c r="O885" s="19" t="s">
        <v>116</v>
      </c>
      <c r="R885" t="s">
        <v>1097</v>
      </c>
    </row>
    <row r="886" spans="1:18" hidden="1" x14ac:dyDescent="0.3">
      <c r="A886" s="19">
        <f t="shared" si="13"/>
        <v>885</v>
      </c>
      <c r="B886" s="20" t="s">
        <v>87</v>
      </c>
      <c r="C886" s="20" t="s">
        <v>102</v>
      </c>
      <c r="D886" s="21" t="str">
        <f>IF($C886="","",IFERROR(VLOOKUP($C886,Map_Register!$A$2:$C$5,3,FALSE()),""))</f>
        <v>Toponym Labels</v>
      </c>
      <c r="E886" s="20" t="s">
        <v>15</v>
      </c>
      <c r="F886" s="22">
        <v>786404</v>
      </c>
      <c r="G886" s="19" t="s">
        <v>1179</v>
      </c>
      <c r="H886" s="19" t="s">
        <v>2519</v>
      </c>
      <c r="I886" s="19" t="s">
        <v>2520</v>
      </c>
      <c r="J886" s="19" t="s">
        <v>1104</v>
      </c>
      <c r="K886" t="s">
        <v>1100</v>
      </c>
      <c r="L886" t="s">
        <v>114</v>
      </c>
      <c r="M886" t="s">
        <v>114</v>
      </c>
      <c r="N886" s="19" t="s">
        <v>1184</v>
      </c>
      <c r="O886" s="19" t="s">
        <v>116</v>
      </c>
      <c r="R886" t="s">
        <v>1097</v>
      </c>
    </row>
    <row r="887" spans="1:18" hidden="1" x14ac:dyDescent="0.3">
      <c r="A887" s="19">
        <f t="shared" si="13"/>
        <v>886</v>
      </c>
      <c r="B887" s="20" t="s">
        <v>87</v>
      </c>
      <c r="C887" s="20" t="s">
        <v>102</v>
      </c>
      <c r="D887" s="21" t="str">
        <f>IF($C887="","",IFERROR(VLOOKUP($C887,Map_Register!$A$2:$C$5,3,FALSE()),""))</f>
        <v>Toponym Labels</v>
      </c>
      <c r="E887" s="20" t="s">
        <v>15</v>
      </c>
      <c r="F887" s="22">
        <v>786405</v>
      </c>
      <c r="G887" s="19" t="s">
        <v>2521</v>
      </c>
      <c r="H887" s="19" t="s">
        <v>2522</v>
      </c>
      <c r="I887" s="19" t="s">
        <v>2523</v>
      </c>
      <c r="J887" s="19" t="s">
        <v>1104</v>
      </c>
      <c r="K887" s="19" t="s">
        <v>6</v>
      </c>
      <c r="L887" s="19" t="s">
        <v>1095</v>
      </c>
      <c r="M887" s="19" t="s">
        <v>1095</v>
      </c>
      <c r="N887" s="19" t="s">
        <v>1105</v>
      </c>
      <c r="R887" t="s">
        <v>1097</v>
      </c>
    </row>
    <row r="888" spans="1:18" hidden="1" x14ac:dyDescent="0.3">
      <c r="A888" s="19">
        <f t="shared" si="13"/>
        <v>887</v>
      </c>
      <c r="B888" s="20" t="s">
        <v>87</v>
      </c>
      <c r="C888" s="20" t="s">
        <v>102</v>
      </c>
      <c r="D888" s="21" t="str">
        <f>IF($C888="","",IFERROR(VLOOKUP($C888,Map_Register!$A$2:$C$5,3,FALSE()),""))</f>
        <v>Toponym Labels</v>
      </c>
      <c r="E888" s="20" t="s">
        <v>15</v>
      </c>
      <c r="F888" s="22">
        <v>786406</v>
      </c>
      <c r="G888" s="19" t="s">
        <v>1205</v>
      </c>
      <c r="H888" s="19" t="s">
        <v>2524</v>
      </c>
      <c r="I888" s="19" t="s">
        <v>2524</v>
      </c>
      <c r="J888" s="19" t="s">
        <v>1110</v>
      </c>
      <c r="K888" t="s">
        <v>1100</v>
      </c>
      <c r="L888" t="s">
        <v>114</v>
      </c>
      <c r="M888" t="s">
        <v>114</v>
      </c>
      <c r="N888" s="19" t="s">
        <v>1290</v>
      </c>
      <c r="O888" s="19" t="s">
        <v>116</v>
      </c>
      <c r="R888" t="s">
        <v>1097</v>
      </c>
    </row>
    <row r="889" spans="1:18" hidden="1" x14ac:dyDescent="0.3">
      <c r="A889" s="19">
        <f t="shared" si="13"/>
        <v>888</v>
      </c>
      <c r="B889" s="20" t="s">
        <v>87</v>
      </c>
      <c r="C889" s="20" t="s">
        <v>102</v>
      </c>
      <c r="D889" s="21" t="str">
        <f>IF($C889="","",IFERROR(VLOOKUP($C889,Map_Register!$A$2:$C$5,3,FALSE()),""))</f>
        <v>Toponym Labels</v>
      </c>
      <c r="E889" s="20" t="s">
        <v>15</v>
      </c>
      <c r="F889" s="22">
        <v>786407</v>
      </c>
      <c r="G889" s="19" t="s">
        <v>1205</v>
      </c>
      <c r="H889" s="19" t="s">
        <v>2525</v>
      </c>
      <c r="I889" s="19" t="s">
        <v>2525</v>
      </c>
      <c r="J889" s="19" t="s">
        <v>1110</v>
      </c>
      <c r="K889" t="s">
        <v>1100</v>
      </c>
      <c r="L889" t="s">
        <v>114</v>
      </c>
      <c r="M889" t="s">
        <v>114</v>
      </c>
      <c r="N889" s="19" t="s">
        <v>1290</v>
      </c>
      <c r="O889" s="19" t="s">
        <v>116</v>
      </c>
      <c r="R889" t="s">
        <v>1097</v>
      </c>
    </row>
    <row r="890" spans="1:18" hidden="1" x14ac:dyDescent="0.3">
      <c r="A890" s="19">
        <f t="shared" si="13"/>
        <v>889</v>
      </c>
      <c r="B890" s="20" t="s">
        <v>87</v>
      </c>
      <c r="C890" s="20" t="s">
        <v>102</v>
      </c>
      <c r="D890" s="21" t="str">
        <f>IF($C890="","",IFERROR(VLOOKUP($C890,Map_Register!$A$2:$C$5,3,FALSE()),""))</f>
        <v>Toponym Labels</v>
      </c>
      <c r="E890" s="20" t="s">
        <v>15</v>
      </c>
      <c r="F890" s="22">
        <v>786408</v>
      </c>
      <c r="G890" s="19" t="s">
        <v>1205</v>
      </c>
      <c r="H890" s="19" t="s">
        <v>1575</v>
      </c>
      <c r="I890" s="19" t="s">
        <v>1575</v>
      </c>
      <c r="J890" s="19" t="s">
        <v>1110</v>
      </c>
      <c r="K890" s="19" t="s">
        <v>6</v>
      </c>
      <c r="L890" s="19" t="s">
        <v>1095</v>
      </c>
      <c r="M890" s="19" t="s">
        <v>1095</v>
      </c>
      <c r="N890" s="19" t="s">
        <v>1294</v>
      </c>
      <c r="R890" t="s">
        <v>1097</v>
      </c>
    </row>
    <row r="891" spans="1:18" hidden="1" x14ac:dyDescent="0.3">
      <c r="A891" s="19">
        <f t="shared" si="13"/>
        <v>890</v>
      </c>
      <c r="B891" s="20" t="s">
        <v>87</v>
      </c>
      <c r="C891" s="20" t="s">
        <v>102</v>
      </c>
      <c r="D891" s="21" t="str">
        <f>IF($C891="","",IFERROR(VLOOKUP($C891,Map_Register!$A$2:$C$5,3,FALSE()),""))</f>
        <v>Toponym Labels</v>
      </c>
      <c r="E891" s="20" t="s">
        <v>15</v>
      </c>
      <c r="F891" s="22">
        <v>786409</v>
      </c>
      <c r="G891" s="19" t="s">
        <v>1205</v>
      </c>
      <c r="H891" s="19" t="s">
        <v>2526</v>
      </c>
      <c r="I891" s="19" t="s">
        <v>2526</v>
      </c>
      <c r="J891" s="19" t="s">
        <v>1110</v>
      </c>
      <c r="K891" t="s">
        <v>1100</v>
      </c>
      <c r="L891" t="s">
        <v>114</v>
      </c>
      <c r="M891" t="s">
        <v>114</v>
      </c>
      <c r="N891" s="19" t="s">
        <v>1290</v>
      </c>
      <c r="O891" s="19" t="s">
        <v>116</v>
      </c>
      <c r="R891" t="s">
        <v>1097</v>
      </c>
    </row>
    <row r="892" spans="1:18" x14ac:dyDescent="0.3">
      <c r="A892" s="19">
        <f t="shared" si="13"/>
        <v>891</v>
      </c>
      <c r="B892" s="20" t="s">
        <v>87</v>
      </c>
      <c r="C892" s="20" t="s">
        <v>102</v>
      </c>
      <c r="D892" s="21" t="str">
        <f>IF($C892="","",IFERROR(VLOOKUP($C892,Map_Register!$A$2:$C$5,3,FALSE()),""))</f>
        <v>Toponym Labels</v>
      </c>
      <c r="E892" s="20" t="s">
        <v>15</v>
      </c>
      <c r="F892" s="22">
        <v>786410</v>
      </c>
      <c r="G892" s="19" t="s">
        <v>1205</v>
      </c>
      <c r="H892" s="19" t="s">
        <v>2527</v>
      </c>
      <c r="I892" s="19" t="s">
        <v>2527</v>
      </c>
      <c r="J892" s="19" t="s">
        <v>1110</v>
      </c>
      <c r="K892" t="s">
        <v>1100</v>
      </c>
      <c r="L892" t="s">
        <v>114</v>
      </c>
      <c r="M892" t="s">
        <v>116</v>
      </c>
      <c r="N892" s="19" t="s">
        <v>1268</v>
      </c>
      <c r="O892" s="19" t="s">
        <v>116</v>
      </c>
      <c r="R892" t="s">
        <v>1097</v>
      </c>
    </row>
    <row r="893" spans="1:18" hidden="1" x14ac:dyDescent="0.3">
      <c r="A893" s="19">
        <f t="shared" si="13"/>
        <v>892</v>
      </c>
      <c r="B893" s="20" t="s">
        <v>87</v>
      </c>
      <c r="C893" s="20" t="s">
        <v>102</v>
      </c>
      <c r="D893" s="21" t="str">
        <f>IF($C893="","",IFERROR(VLOOKUP($C893,Map_Register!$A$2:$C$5,3,FALSE()),""))</f>
        <v>Toponym Labels</v>
      </c>
      <c r="E893" s="20" t="s">
        <v>15</v>
      </c>
      <c r="F893" s="22">
        <v>786411</v>
      </c>
      <c r="G893" s="19" t="s">
        <v>1205</v>
      </c>
      <c r="H893" s="19" t="s">
        <v>2528</v>
      </c>
      <c r="I893" s="19" t="s">
        <v>2528</v>
      </c>
      <c r="J893" s="19" t="s">
        <v>1110</v>
      </c>
      <c r="K893" t="s">
        <v>1100</v>
      </c>
      <c r="L893" t="s">
        <v>114</v>
      </c>
      <c r="M893" t="s">
        <v>114</v>
      </c>
      <c r="N893" s="19" t="s">
        <v>1290</v>
      </c>
      <c r="O893" s="19" t="s">
        <v>116</v>
      </c>
      <c r="R893" t="s">
        <v>1097</v>
      </c>
    </row>
    <row r="894" spans="1:18" hidden="1" x14ac:dyDescent="0.3">
      <c r="A894" s="19">
        <f t="shared" si="13"/>
        <v>893</v>
      </c>
      <c r="B894" s="20" t="s">
        <v>87</v>
      </c>
      <c r="C894" s="20" t="s">
        <v>102</v>
      </c>
      <c r="D894" s="21" t="str">
        <f>IF($C894="","",IFERROR(VLOOKUP($C894,Map_Register!$A$2:$C$5,3,FALSE()),""))</f>
        <v>Toponym Labels</v>
      </c>
      <c r="E894" s="20" t="s">
        <v>15</v>
      </c>
      <c r="F894" s="22">
        <v>786516</v>
      </c>
      <c r="G894" s="19" t="s">
        <v>1091</v>
      </c>
      <c r="H894" s="19" t="s">
        <v>2529</v>
      </c>
      <c r="I894" s="19" t="s">
        <v>2529</v>
      </c>
      <c r="J894" s="19" t="s">
        <v>1110</v>
      </c>
      <c r="K894" s="19" t="s">
        <v>6</v>
      </c>
      <c r="L894" s="19" t="s">
        <v>1095</v>
      </c>
      <c r="M894" s="19" t="s">
        <v>1095</v>
      </c>
      <c r="N894" s="19" t="s">
        <v>1300</v>
      </c>
      <c r="R894" t="s">
        <v>1097</v>
      </c>
    </row>
    <row r="895" spans="1:18" hidden="1" x14ac:dyDescent="0.3">
      <c r="A895" s="19">
        <f t="shared" si="13"/>
        <v>894</v>
      </c>
      <c r="B895" s="20" t="s">
        <v>87</v>
      </c>
      <c r="C895" s="20" t="s">
        <v>102</v>
      </c>
      <c r="D895" s="21" t="str">
        <f>IF($C895="","",IFERROR(VLOOKUP($C895,Map_Register!$A$2:$C$5,3,FALSE()),""))</f>
        <v>Toponym Labels</v>
      </c>
      <c r="E895" s="20" t="s">
        <v>15</v>
      </c>
      <c r="F895" s="22">
        <v>786519</v>
      </c>
      <c r="G895" s="19" t="s">
        <v>1136</v>
      </c>
      <c r="H895" s="19" t="s">
        <v>2530</v>
      </c>
      <c r="I895" s="19" t="s">
        <v>2531</v>
      </c>
      <c r="J895" s="19" t="s">
        <v>1104</v>
      </c>
      <c r="K895" t="s">
        <v>1100</v>
      </c>
      <c r="L895" t="s">
        <v>114</v>
      </c>
      <c r="M895" t="s">
        <v>114</v>
      </c>
      <c r="N895" s="19" t="s">
        <v>530</v>
      </c>
      <c r="O895" s="19" t="s">
        <v>116</v>
      </c>
      <c r="R895" t="s">
        <v>1097</v>
      </c>
    </row>
    <row r="896" spans="1:18" hidden="1" x14ac:dyDescent="0.3">
      <c r="A896" s="19">
        <f t="shared" si="13"/>
        <v>895</v>
      </c>
      <c r="B896" s="20" t="s">
        <v>87</v>
      </c>
      <c r="C896" s="20" t="s">
        <v>102</v>
      </c>
      <c r="D896" s="21" t="str">
        <f>IF($C896="","",IFERROR(VLOOKUP($C896,Map_Register!$A$2:$C$5,3,FALSE()),""))</f>
        <v>Toponym Labels</v>
      </c>
      <c r="E896" s="20" t="s">
        <v>15</v>
      </c>
      <c r="F896" s="22">
        <v>786547</v>
      </c>
      <c r="G896" s="19" t="s">
        <v>1091</v>
      </c>
      <c r="H896" s="19" t="s">
        <v>2532</v>
      </c>
      <c r="I896" s="19" t="s">
        <v>2533</v>
      </c>
      <c r="J896" s="19" t="s">
        <v>1104</v>
      </c>
      <c r="K896" s="19" t="s">
        <v>6</v>
      </c>
      <c r="L896" s="19" t="s">
        <v>1095</v>
      </c>
      <c r="M896" s="19" t="s">
        <v>1095</v>
      </c>
      <c r="N896" s="19" t="s">
        <v>1105</v>
      </c>
      <c r="R896" t="s">
        <v>1097</v>
      </c>
    </row>
    <row r="897" spans="1:18" hidden="1" x14ac:dyDescent="0.3">
      <c r="A897" s="19">
        <f t="shared" si="13"/>
        <v>896</v>
      </c>
      <c r="B897" s="20" t="s">
        <v>87</v>
      </c>
      <c r="C897" s="20" t="s">
        <v>102</v>
      </c>
      <c r="D897" s="21" t="str">
        <f>IF($C897="","",IFERROR(VLOOKUP($C897,Map_Register!$A$2:$C$5,3,FALSE()),""))</f>
        <v>Toponym Labels</v>
      </c>
      <c r="E897" s="20" t="s">
        <v>15</v>
      </c>
      <c r="F897" s="22">
        <v>786548</v>
      </c>
      <c r="G897" s="19" t="s">
        <v>1091</v>
      </c>
      <c r="H897" s="19" t="s">
        <v>2534</v>
      </c>
      <c r="I897" s="19" t="s">
        <v>2535</v>
      </c>
      <c r="J897" s="19" t="s">
        <v>1104</v>
      </c>
      <c r="K897" s="19" t="s">
        <v>6</v>
      </c>
      <c r="L897" s="19" t="s">
        <v>1095</v>
      </c>
      <c r="M897" s="19" t="s">
        <v>1095</v>
      </c>
      <c r="N897" s="19" t="s">
        <v>1105</v>
      </c>
      <c r="R897" t="s">
        <v>1097</v>
      </c>
    </row>
    <row r="898" spans="1:18" hidden="1" x14ac:dyDescent="0.3">
      <c r="A898" s="19">
        <f t="shared" ref="A898:A961" si="14">IF($B898="","",ROW()-1)</f>
        <v>897</v>
      </c>
      <c r="B898" s="20" t="s">
        <v>87</v>
      </c>
      <c r="C898" s="20" t="s">
        <v>102</v>
      </c>
      <c r="D898" s="21" t="str">
        <f>IF($C898="","",IFERROR(VLOOKUP($C898,Map_Register!$A$2:$C$5,3,FALSE()),""))</f>
        <v>Toponym Labels</v>
      </c>
      <c r="E898" s="20" t="s">
        <v>15</v>
      </c>
      <c r="F898" s="22">
        <v>786549</v>
      </c>
      <c r="G898" s="19" t="s">
        <v>1108</v>
      </c>
      <c r="H898" s="19" t="s">
        <v>2536</v>
      </c>
      <c r="I898" s="19" t="s">
        <v>2537</v>
      </c>
      <c r="J898" s="19" t="s">
        <v>1104</v>
      </c>
      <c r="K898" s="19" t="s">
        <v>6</v>
      </c>
      <c r="L898" s="19" t="s">
        <v>1095</v>
      </c>
      <c r="M898" s="19" t="s">
        <v>1095</v>
      </c>
      <c r="N898" s="19" t="s">
        <v>1105</v>
      </c>
      <c r="R898" t="s">
        <v>1097</v>
      </c>
    </row>
    <row r="899" spans="1:18" hidden="1" x14ac:dyDescent="0.3">
      <c r="A899" s="19">
        <f t="shared" si="14"/>
        <v>898</v>
      </c>
      <c r="B899" s="20" t="s">
        <v>87</v>
      </c>
      <c r="C899" s="20" t="s">
        <v>102</v>
      </c>
      <c r="D899" s="21" t="str">
        <f>IF($C899="","",IFERROR(VLOOKUP($C899,Map_Register!$A$2:$C$5,3,FALSE()),""))</f>
        <v>Toponym Labels</v>
      </c>
      <c r="E899" s="20" t="s">
        <v>15</v>
      </c>
      <c r="F899" s="22">
        <v>786559</v>
      </c>
      <c r="G899" s="19" t="s">
        <v>1179</v>
      </c>
      <c r="H899" s="19" t="s">
        <v>2538</v>
      </c>
      <c r="I899" s="19" t="s">
        <v>2538</v>
      </c>
      <c r="J899" s="19" t="s">
        <v>1110</v>
      </c>
      <c r="K899" t="s">
        <v>1100</v>
      </c>
      <c r="L899" t="s">
        <v>114</v>
      </c>
      <c r="M899" t="s">
        <v>114</v>
      </c>
      <c r="N899" s="19" t="s">
        <v>1184</v>
      </c>
      <c r="O899" s="19" t="s">
        <v>116</v>
      </c>
      <c r="R899" t="s">
        <v>1097</v>
      </c>
    </row>
    <row r="900" spans="1:18" hidden="1" x14ac:dyDescent="0.3">
      <c r="A900" s="19">
        <f t="shared" si="14"/>
        <v>899</v>
      </c>
      <c r="B900" s="20" t="s">
        <v>87</v>
      </c>
      <c r="C900" s="20" t="s">
        <v>102</v>
      </c>
      <c r="D900" s="21" t="str">
        <f>IF($C900="","",IFERROR(VLOOKUP($C900,Map_Register!$A$2:$C$5,3,FALSE()),""))</f>
        <v>Toponym Labels</v>
      </c>
      <c r="E900" s="20" t="s">
        <v>15</v>
      </c>
      <c r="F900" s="22">
        <v>786571</v>
      </c>
      <c r="G900" s="19" t="s">
        <v>1108</v>
      </c>
      <c r="H900" s="19" t="s">
        <v>2539</v>
      </c>
      <c r="I900" s="19" t="s">
        <v>2539</v>
      </c>
      <c r="J900" s="19" t="s">
        <v>1110</v>
      </c>
      <c r="K900" s="19" t="s">
        <v>6</v>
      </c>
      <c r="L900" s="19" t="s">
        <v>1095</v>
      </c>
      <c r="M900" s="19" t="s">
        <v>1095</v>
      </c>
      <c r="N900" s="19" t="s">
        <v>1111</v>
      </c>
      <c r="R900" t="s">
        <v>1097</v>
      </c>
    </row>
    <row r="901" spans="1:18" hidden="1" x14ac:dyDescent="0.3">
      <c r="A901" s="19">
        <f t="shared" si="14"/>
        <v>900</v>
      </c>
      <c r="B901" s="20" t="s">
        <v>87</v>
      </c>
      <c r="C901" s="20" t="s">
        <v>102</v>
      </c>
      <c r="D901" s="21" t="str">
        <f>IF($C901="","",IFERROR(VLOOKUP($C901,Map_Register!$A$2:$C$5,3,FALSE()),""))</f>
        <v>Toponym Labels</v>
      </c>
      <c r="E901" s="20" t="s">
        <v>15</v>
      </c>
      <c r="F901" s="22">
        <v>786572</v>
      </c>
      <c r="G901" s="19" t="s">
        <v>1108</v>
      </c>
      <c r="H901" s="19" t="s">
        <v>2540</v>
      </c>
      <c r="I901" s="19" t="s">
        <v>2540</v>
      </c>
      <c r="J901" s="19" t="s">
        <v>1110</v>
      </c>
      <c r="K901" s="19" t="s">
        <v>6</v>
      </c>
      <c r="L901" s="19" t="s">
        <v>1095</v>
      </c>
      <c r="M901" s="19" t="s">
        <v>1095</v>
      </c>
      <c r="N901" s="19" t="s">
        <v>1111</v>
      </c>
      <c r="R901" t="s">
        <v>1097</v>
      </c>
    </row>
    <row r="902" spans="1:18" hidden="1" x14ac:dyDescent="0.3">
      <c r="A902" s="19">
        <f t="shared" si="14"/>
        <v>901</v>
      </c>
      <c r="B902" s="20" t="s">
        <v>87</v>
      </c>
      <c r="C902" s="20" t="s">
        <v>102</v>
      </c>
      <c r="D902" s="21" t="str">
        <f>IF($C902="","",IFERROR(VLOOKUP($C902,Map_Register!$A$2:$C$5,3,FALSE()),""))</f>
        <v>Toponym Labels</v>
      </c>
      <c r="E902" s="20" t="s">
        <v>15</v>
      </c>
      <c r="F902" s="22">
        <v>786573</v>
      </c>
      <c r="G902" s="19" t="s">
        <v>1091</v>
      </c>
      <c r="H902" s="19" t="s">
        <v>1323</v>
      </c>
      <c r="I902" s="19" t="s">
        <v>1323</v>
      </c>
      <c r="J902" s="19" t="s">
        <v>1110</v>
      </c>
      <c r="K902" t="s">
        <v>1100</v>
      </c>
      <c r="L902" t="s">
        <v>114</v>
      </c>
      <c r="M902" t="s">
        <v>114</v>
      </c>
      <c r="N902" s="19" t="s">
        <v>530</v>
      </c>
      <c r="O902" s="19" t="s">
        <v>116</v>
      </c>
      <c r="R902" t="s">
        <v>1097</v>
      </c>
    </row>
    <row r="903" spans="1:18" hidden="1" x14ac:dyDescent="0.3">
      <c r="A903" s="19">
        <f t="shared" si="14"/>
        <v>902</v>
      </c>
      <c r="B903" s="20" t="s">
        <v>87</v>
      </c>
      <c r="C903" s="20" t="s">
        <v>102</v>
      </c>
      <c r="D903" s="21" t="str">
        <f>IF($C903="","",IFERROR(VLOOKUP($C903,Map_Register!$A$2:$C$5,3,FALSE()),""))</f>
        <v>Toponym Labels</v>
      </c>
      <c r="E903" s="20" t="s">
        <v>15</v>
      </c>
      <c r="F903" s="22">
        <v>786574</v>
      </c>
      <c r="G903" s="19" t="s">
        <v>1125</v>
      </c>
      <c r="H903" s="19" t="s">
        <v>2541</v>
      </c>
      <c r="I903" s="19" t="s">
        <v>2541</v>
      </c>
      <c r="J903" s="19" t="s">
        <v>1110</v>
      </c>
      <c r="K903" s="19" t="s">
        <v>6</v>
      </c>
      <c r="L903" s="19" t="s">
        <v>1095</v>
      </c>
      <c r="M903" s="19" t="s">
        <v>1095</v>
      </c>
      <c r="N903" s="19" t="s">
        <v>1155</v>
      </c>
      <c r="R903" t="s">
        <v>1097</v>
      </c>
    </row>
    <row r="904" spans="1:18" hidden="1" x14ac:dyDescent="0.3">
      <c r="A904" s="19">
        <f t="shared" si="14"/>
        <v>903</v>
      </c>
      <c r="B904" s="20" t="s">
        <v>87</v>
      </c>
      <c r="C904" s="20" t="s">
        <v>102</v>
      </c>
      <c r="D904" s="21" t="str">
        <f>IF($C904="","",IFERROR(VLOOKUP($C904,Map_Register!$A$2:$C$5,3,FALSE()),""))</f>
        <v>Toponym Labels</v>
      </c>
      <c r="E904" s="20" t="s">
        <v>15</v>
      </c>
      <c r="F904" s="22">
        <v>786575</v>
      </c>
      <c r="G904" s="19" t="s">
        <v>1091</v>
      </c>
      <c r="H904" s="19" t="s">
        <v>2542</v>
      </c>
      <c r="I904" s="19" t="s">
        <v>2542</v>
      </c>
      <c r="J904" s="19" t="s">
        <v>1110</v>
      </c>
      <c r="K904" s="19" t="s">
        <v>6</v>
      </c>
      <c r="L904" s="19" t="s">
        <v>1095</v>
      </c>
      <c r="M904" s="19" t="s">
        <v>1095</v>
      </c>
      <c r="N904" s="19" t="s">
        <v>1300</v>
      </c>
      <c r="R904" t="s">
        <v>1097</v>
      </c>
    </row>
    <row r="905" spans="1:18" hidden="1" x14ac:dyDescent="0.3">
      <c r="A905" s="19">
        <f t="shared" si="14"/>
        <v>904</v>
      </c>
      <c r="B905" s="20" t="s">
        <v>87</v>
      </c>
      <c r="C905" s="20" t="s">
        <v>102</v>
      </c>
      <c r="D905" s="21" t="str">
        <f>IF($C905="","",IFERROR(VLOOKUP($C905,Map_Register!$A$2:$C$5,3,FALSE()),""))</f>
        <v>Toponym Labels</v>
      </c>
      <c r="E905" s="20" t="s">
        <v>15</v>
      </c>
      <c r="F905" s="22">
        <v>786576</v>
      </c>
      <c r="G905" s="19" t="s">
        <v>1091</v>
      </c>
      <c r="H905" s="19" t="s">
        <v>2543</v>
      </c>
      <c r="I905" s="19" t="s">
        <v>2543</v>
      </c>
      <c r="J905" s="19" t="s">
        <v>1110</v>
      </c>
      <c r="K905" s="19" t="s">
        <v>6</v>
      </c>
      <c r="L905" s="19" t="s">
        <v>1095</v>
      </c>
      <c r="M905" s="19" t="s">
        <v>1095</v>
      </c>
      <c r="N905" s="19" t="s">
        <v>1300</v>
      </c>
      <c r="R905" t="s">
        <v>1097</v>
      </c>
    </row>
    <row r="906" spans="1:18" hidden="1" x14ac:dyDescent="0.3">
      <c r="A906" s="19">
        <f t="shared" si="14"/>
        <v>905</v>
      </c>
      <c r="B906" s="20" t="s">
        <v>87</v>
      </c>
      <c r="C906" s="20" t="s">
        <v>102</v>
      </c>
      <c r="D906" s="21" t="str">
        <f>IF($C906="","",IFERROR(VLOOKUP($C906,Map_Register!$A$2:$C$5,3,FALSE()),""))</f>
        <v>Toponym Labels</v>
      </c>
      <c r="E906" s="20" t="s">
        <v>15</v>
      </c>
      <c r="F906" s="22">
        <v>786577</v>
      </c>
      <c r="G906" s="19" t="s">
        <v>1145</v>
      </c>
      <c r="H906" s="19" t="s">
        <v>2544</v>
      </c>
      <c r="I906" s="19" t="s">
        <v>2544</v>
      </c>
      <c r="J906" s="19" t="s">
        <v>1110</v>
      </c>
      <c r="K906" s="19" t="s">
        <v>6</v>
      </c>
      <c r="L906" s="19" t="s">
        <v>1095</v>
      </c>
      <c r="M906" s="19" t="s">
        <v>1095</v>
      </c>
      <c r="N906" s="19" t="s">
        <v>1638</v>
      </c>
      <c r="R906" t="s">
        <v>1097</v>
      </c>
    </row>
    <row r="907" spans="1:18" hidden="1" x14ac:dyDescent="0.3">
      <c r="A907" s="19">
        <f t="shared" si="14"/>
        <v>906</v>
      </c>
      <c r="B907" s="20" t="s">
        <v>87</v>
      </c>
      <c r="C907" s="20" t="s">
        <v>102</v>
      </c>
      <c r="D907" s="21" t="str">
        <f>IF($C907="","",IFERROR(VLOOKUP($C907,Map_Register!$A$2:$C$5,3,FALSE()),""))</f>
        <v>Toponym Labels</v>
      </c>
      <c r="E907" s="20" t="s">
        <v>15</v>
      </c>
      <c r="F907" s="22">
        <v>786578</v>
      </c>
      <c r="G907" s="19" t="s">
        <v>1381</v>
      </c>
      <c r="H907" s="19" t="s">
        <v>2545</v>
      </c>
      <c r="I907" s="19" t="s">
        <v>2546</v>
      </c>
      <c r="J907" s="19" t="s">
        <v>1104</v>
      </c>
      <c r="K907" s="19" t="s">
        <v>6</v>
      </c>
      <c r="L907" s="19" t="s">
        <v>1095</v>
      </c>
      <c r="M907" s="19" t="s">
        <v>1095</v>
      </c>
      <c r="N907" s="19" t="s">
        <v>1105</v>
      </c>
      <c r="R907" t="s">
        <v>1097</v>
      </c>
    </row>
    <row r="908" spans="1:18" hidden="1" x14ac:dyDescent="0.3">
      <c r="A908" s="19">
        <f t="shared" si="14"/>
        <v>907</v>
      </c>
      <c r="B908" s="20" t="s">
        <v>87</v>
      </c>
      <c r="C908" s="20" t="s">
        <v>102</v>
      </c>
      <c r="D908" s="21" t="str">
        <f>IF($C908="","",IFERROR(VLOOKUP($C908,Map_Register!$A$2:$C$5,3,FALSE()),""))</f>
        <v>Toponym Labels</v>
      </c>
      <c r="E908" s="20" t="s">
        <v>15</v>
      </c>
      <c r="F908" s="22">
        <v>786579</v>
      </c>
      <c r="G908" s="19" t="s">
        <v>1108</v>
      </c>
      <c r="H908" s="19" t="s">
        <v>2547</v>
      </c>
      <c r="I908" s="19" t="s">
        <v>2547</v>
      </c>
      <c r="J908" s="19" t="s">
        <v>1110</v>
      </c>
      <c r="K908" s="19" t="s">
        <v>6</v>
      </c>
      <c r="L908" s="19" t="s">
        <v>1095</v>
      </c>
      <c r="M908" s="19" t="s">
        <v>1095</v>
      </c>
      <c r="N908" s="19" t="s">
        <v>1111</v>
      </c>
      <c r="R908" t="s">
        <v>1097</v>
      </c>
    </row>
    <row r="909" spans="1:18" hidden="1" x14ac:dyDescent="0.3">
      <c r="A909" s="19">
        <f t="shared" si="14"/>
        <v>908</v>
      </c>
      <c r="B909" s="20" t="s">
        <v>87</v>
      </c>
      <c r="C909" s="20" t="s">
        <v>102</v>
      </c>
      <c r="D909" s="21" t="str">
        <f>IF($C909="","",IFERROR(VLOOKUP($C909,Map_Register!$A$2:$C$5,3,FALSE()),""))</f>
        <v>Toponym Labels</v>
      </c>
      <c r="E909" s="20" t="s">
        <v>15</v>
      </c>
      <c r="F909" s="22">
        <v>786580</v>
      </c>
      <c r="G909" s="19" t="s">
        <v>1118</v>
      </c>
      <c r="H909" s="19" t="s">
        <v>2548</v>
      </c>
      <c r="I909" s="19" t="s">
        <v>2548</v>
      </c>
      <c r="J909" s="19" t="s">
        <v>1110</v>
      </c>
      <c r="K909" s="19" t="s">
        <v>6</v>
      </c>
      <c r="L909" s="19" t="s">
        <v>1095</v>
      </c>
      <c r="M909" s="19" t="s">
        <v>1095</v>
      </c>
      <c r="N909" s="19" t="s">
        <v>2549</v>
      </c>
      <c r="R909" t="s">
        <v>1097</v>
      </c>
    </row>
    <row r="910" spans="1:18" hidden="1" x14ac:dyDescent="0.3">
      <c r="A910" s="19">
        <f t="shared" si="14"/>
        <v>909</v>
      </c>
      <c r="B910" s="20" t="s">
        <v>87</v>
      </c>
      <c r="C910" s="20" t="s">
        <v>102</v>
      </c>
      <c r="D910" s="21" t="str">
        <f>IF($C910="","",IFERROR(VLOOKUP($C910,Map_Register!$A$2:$C$5,3,FALSE()),""))</f>
        <v>Toponym Labels</v>
      </c>
      <c r="E910" s="20" t="s">
        <v>15</v>
      </c>
      <c r="F910" s="22">
        <v>786581</v>
      </c>
      <c r="G910" s="19" t="s">
        <v>1108</v>
      </c>
      <c r="H910" s="19" t="s">
        <v>2550</v>
      </c>
      <c r="I910" s="19" t="s">
        <v>2550</v>
      </c>
      <c r="J910" s="19" t="s">
        <v>1110</v>
      </c>
      <c r="K910" s="19" t="s">
        <v>6</v>
      </c>
      <c r="L910" s="19" t="s">
        <v>1095</v>
      </c>
      <c r="M910" s="19" t="s">
        <v>1095</v>
      </c>
      <c r="N910" s="19" t="s">
        <v>1111</v>
      </c>
      <c r="R910" t="s">
        <v>1097</v>
      </c>
    </row>
    <row r="911" spans="1:18" hidden="1" x14ac:dyDescent="0.3">
      <c r="A911" s="19">
        <f t="shared" si="14"/>
        <v>910</v>
      </c>
      <c r="B911" s="20" t="s">
        <v>87</v>
      </c>
      <c r="C911" s="20" t="s">
        <v>102</v>
      </c>
      <c r="D911" s="21" t="str">
        <f>IF($C911="","",IFERROR(VLOOKUP($C911,Map_Register!$A$2:$C$5,3,FALSE()),""))</f>
        <v>Toponym Labels</v>
      </c>
      <c r="E911" s="20" t="s">
        <v>15</v>
      </c>
      <c r="F911" s="22">
        <v>786582</v>
      </c>
      <c r="G911" s="19" t="s">
        <v>1309</v>
      </c>
      <c r="H911" s="19" t="s">
        <v>2551</v>
      </c>
      <c r="I911" s="19" t="s">
        <v>2551</v>
      </c>
      <c r="J911" s="19" t="s">
        <v>1110</v>
      </c>
      <c r="K911" s="19" t="s">
        <v>6</v>
      </c>
      <c r="L911" s="19" t="s">
        <v>1095</v>
      </c>
      <c r="M911" s="19" t="s">
        <v>1095</v>
      </c>
      <c r="N911" s="19" t="s">
        <v>1905</v>
      </c>
      <c r="R911" t="s">
        <v>1097</v>
      </c>
    </row>
    <row r="912" spans="1:18" hidden="1" x14ac:dyDescent="0.3">
      <c r="A912" s="19">
        <f t="shared" si="14"/>
        <v>911</v>
      </c>
      <c r="B912" s="20" t="s">
        <v>87</v>
      </c>
      <c r="C912" s="20" t="s">
        <v>102</v>
      </c>
      <c r="D912" s="21" t="str">
        <f>IF($C912="","",IFERROR(VLOOKUP($C912,Map_Register!$A$2:$C$5,3,FALSE()),""))</f>
        <v>Toponym Labels</v>
      </c>
      <c r="E912" s="20" t="s">
        <v>15</v>
      </c>
      <c r="F912" s="22">
        <v>786583</v>
      </c>
      <c r="G912" s="19" t="s">
        <v>1145</v>
      </c>
      <c r="H912" s="19" t="s">
        <v>2552</v>
      </c>
      <c r="I912" s="19" t="s">
        <v>2552</v>
      </c>
      <c r="J912" s="19" t="s">
        <v>1110</v>
      </c>
      <c r="K912" s="19" t="s">
        <v>6</v>
      </c>
      <c r="L912" s="19" t="s">
        <v>1095</v>
      </c>
      <c r="M912" s="19" t="s">
        <v>1095</v>
      </c>
      <c r="N912" s="19" t="s">
        <v>1638</v>
      </c>
      <c r="R912" t="s">
        <v>1097</v>
      </c>
    </row>
    <row r="913" spans="1:18" hidden="1" x14ac:dyDescent="0.3">
      <c r="A913" s="19">
        <f t="shared" si="14"/>
        <v>912</v>
      </c>
      <c r="B913" s="20" t="s">
        <v>87</v>
      </c>
      <c r="C913" s="20" t="s">
        <v>102</v>
      </c>
      <c r="D913" s="21" t="str">
        <f>IF($C913="","",IFERROR(VLOOKUP($C913,Map_Register!$A$2:$C$5,3,FALSE()),""))</f>
        <v>Toponym Labels</v>
      </c>
      <c r="E913" s="20" t="s">
        <v>15</v>
      </c>
      <c r="F913" s="22">
        <v>786584</v>
      </c>
      <c r="G913" s="19" t="s">
        <v>1145</v>
      </c>
      <c r="H913" s="19" t="s">
        <v>2553</v>
      </c>
      <c r="I913" s="19" t="s">
        <v>2553</v>
      </c>
      <c r="J913" s="19" t="s">
        <v>1110</v>
      </c>
      <c r="K913" s="19" t="s">
        <v>6</v>
      </c>
      <c r="L913" s="19" t="s">
        <v>1095</v>
      </c>
      <c r="M913" s="19" t="s">
        <v>1095</v>
      </c>
      <c r="N913" s="19" t="s">
        <v>1638</v>
      </c>
      <c r="R913" t="s">
        <v>1097</v>
      </c>
    </row>
    <row r="914" spans="1:18" hidden="1" x14ac:dyDescent="0.3">
      <c r="A914" s="19">
        <f t="shared" si="14"/>
        <v>913</v>
      </c>
      <c r="B914" s="20" t="s">
        <v>87</v>
      </c>
      <c r="C914" s="20" t="s">
        <v>102</v>
      </c>
      <c r="D914" s="21" t="str">
        <f>IF($C914="","",IFERROR(VLOOKUP($C914,Map_Register!$A$2:$C$5,3,FALSE()),""))</f>
        <v>Toponym Labels</v>
      </c>
      <c r="E914" s="20" t="s">
        <v>15</v>
      </c>
      <c r="F914" s="22">
        <v>786585</v>
      </c>
      <c r="G914" s="19" t="s">
        <v>1125</v>
      </c>
      <c r="H914" s="19" t="s">
        <v>2554</v>
      </c>
      <c r="I914" s="19" t="s">
        <v>2555</v>
      </c>
      <c r="J914" s="19" t="s">
        <v>1094</v>
      </c>
      <c r="K914" s="19" t="s">
        <v>6</v>
      </c>
      <c r="L914" s="19" t="s">
        <v>1095</v>
      </c>
      <c r="M914" s="19" t="s">
        <v>1095</v>
      </c>
      <c r="N914" s="19" t="s">
        <v>1105</v>
      </c>
      <c r="R914" t="s">
        <v>1097</v>
      </c>
    </row>
    <row r="915" spans="1:18" hidden="1" x14ac:dyDescent="0.3">
      <c r="A915" s="19">
        <f t="shared" si="14"/>
        <v>914</v>
      </c>
      <c r="B915" s="20" t="s">
        <v>87</v>
      </c>
      <c r="C915" s="20" t="s">
        <v>102</v>
      </c>
      <c r="D915" s="21" t="str">
        <f>IF($C915="","",IFERROR(VLOOKUP($C915,Map_Register!$A$2:$C$5,3,FALSE()),""))</f>
        <v>Toponym Labels</v>
      </c>
      <c r="E915" s="20" t="s">
        <v>15</v>
      </c>
      <c r="F915" s="22">
        <v>786586</v>
      </c>
      <c r="G915" s="19" t="s">
        <v>1108</v>
      </c>
      <c r="H915" s="19" t="s">
        <v>2556</v>
      </c>
      <c r="I915" s="19" t="s">
        <v>2556</v>
      </c>
      <c r="J915" s="19" t="s">
        <v>1110</v>
      </c>
      <c r="K915" s="19" t="s">
        <v>6</v>
      </c>
      <c r="L915" s="19" t="s">
        <v>1095</v>
      </c>
      <c r="M915" s="19" t="s">
        <v>1095</v>
      </c>
      <c r="N915" s="19" t="s">
        <v>1111</v>
      </c>
      <c r="R915" t="s">
        <v>1097</v>
      </c>
    </row>
    <row r="916" spans="1:18" hidden="1" x14ac:dyDescent="0.3">
      <c r="A916" s="19">
        <f t="shared" si="14"/>
        <v>915</v>
      </c>
      <c r="B916" s="20" t="s">
        <v>87</v>
      </c>
      <c r="C916" s="20" t="s">
        <v>102</v>
      </c>
      <c r="D916" s="21" t="str">
        <f>IF($C916="","",IFERROR(VLOOKUP($C916,Map_Register!$A$2:$C$5,3,FALSE()),""))</f>
        <v>Toponym Labels</v>
      </c>
      <c r="E916" s="20" t="s">
        <v>15</v>
      </c>
      <c r="F916" s="22">
        <v>786587</v>
      </c>
      <c r="G916" s="19" t="s">
        <v>1125</v>
      </c>
      <c r="H916" s="19" t="s">
        <v>1359</v>
      </c>
      <c r="I916" s="19" t="s">
        <v>1359</v>
      </c>
      <c r="J916" s="19" t="s">
        <v>1110</v>
      </c>
      <c r="K916" s="19" t="s">
        <v>6</v>
      </c>
      <c r="L916" s="19" t="s">
        <v>1095</v>
      </c>
      <c r="M916" s="19" t="s">
        <v>1095</v>
      </c>
      <c r="N916" s="19" t="s">
        <v>1155</v>
      </c>
      <c r="R916" t="s">
        <v>1097</v>
      </c>
    </row>
    <row r="917" spans="1:18" hidden="1" x14ac:dyDescent="0.3">
      <c r="A917" s="19">
        <f t="shared" si="14"/>
        <v>916</v>
      </c>
      <c r="B917" s="20" t="s">
        <v>87</v>
      </c>
      <c r="C917" s="20" t="s">
        <v>102</v>
      </c>
      <c r="D917" s="21" t="str">
        <f>IF($C917="","",IFERROR(VLOOKUP($C917,Map_Register!$A$2:$C$5,3,FALSE()),""))</f>
        <v>Toponym Labels</v>
      </c>
      <c r="E917" s="20" t="s">
        <v>15</v>
      </c>
      <c r="F917" s="22">
        <v>786588</v>
      </c>
      <c r="G917" s="19" t="s">
        <v>1136</v>
      </c>
      <c r="H917" s="19" t="s">
        <v>2557</v>
      </c>
      <c r="I917" s="19" t="s">
        <v>2558</v>
      </c>
      <c r="J917" s="19" t="s">
        <v>1104</v>
      </c>
      <c r="K917" t="s">
        <v>1100</v>
      </c>
      <c r="L917" t="s">
        <v>114</v>
      </c>
      <c r="M917" t="s">
        <v>114</v>
      </c>
      <c r="N917" s="19" t="s">
        <v>530</v>
      </c>
      <c r="O917" s="19" t="s">
        <v>116</v>
      </c>
      <c r="R917" t="s">
        <v>1097</v>
      </c>
    </row>
    <row r="918" spans="1:18" hidden="1" x14ac:dyDescent="0.3">
      <c r="A918" s="19">
        <f t="shared" si="14"/>
        <v>917</v>
      </c>
      <c r="B918" s="20" t="s">
        <v>87</v>
      </c>
      <c r="C918" s="20" t="s">
        <v>102</v>
      </c>
      <c r="D918" s="21" t="str">
        <f>IF($C918="","",IFERROR(VLOOKUP($C918,Map_Register!$A$2:$C$5,3,FALSE()),""))</f>
        <v>Toponym Labels</v>
      </c>
      <c r="E918" s="20" t="s">
        <v>15</v>
      </c>
      <c r="F918" s="22">
        <v>786589</v>
      </c>
      <c r="G918" s="19" t="s">
        <v>1136</v>
      </c>
      <c r="H918" s="19" t="s">
        <v>2559</v>
      </c>
      <c r="I918" s="19" t="s">
        <v>2559</v>
      </c>
      <c r="J918" s="19" t="s">
        <v>1110</v>
      </c>
      <c r="K918" t="s">
        <v>1100</v>
      </c>
      <c r="L918" t="s">
        <v>114</v>
      </c>
      <c r="M918" t="s">
        <v>114</v>
      </c>
      <c r="N918" s="19" t="s">
        <v>530</v>
      </c>
      <c r="O918" s="19" t="s">
        <v>116</v>
      </c>
      <c r="R918" t="s">
        <v>1097</v>
      </c>
    </row>
    <row r="919" spans="1:18" hidden="1" x14ac:dyDescent="0.3">
      <c r="A919" s="19">
        <f t="shared" si="14"/>
        <v>918</v>
      </c>
      <c r="B919" s="20" t="s">
        <v>87</v>
      </c>
      <c r="C919" s="20" t="s">
        <v>102</v>
      </c>
      <c r="D919" s="21" t="str">
        <f>IF($C919="","",IFERROR(VLOOKUP($C919,Map_Register!$A$2:$C$5,3,FALSE()),""))</f>
        <v>Toponym Labels</v>
      </c>
      <c r="E919" s="20" t="s">
        <v>15</v>
      </c>
      <c r="F919" s="22">
        <v>786590</v>
      </c>
      <c r="G919" s="19" t="s">
        <v>1136</v>
      </c>
      <c r="H919" s="19" t="s">
        <v>2560</v>
      </c>
      <c r="I919" s="19" t="s">
        <v>2560</v>
      </c>
      <c r="J919" s="19" t="s">
        <v>1110</v>
      </c>
      <c r="K919" t="s">
        <v>1100</v>
      </c>
      <c r="L919" t="s">
        <v>114</v>
      </c>
      <c r="M919" t="s">
        <v>114</v>
      </c>
      <c r="N919" s="19" t="s">
        <v>530</v>
      </c>
      <c r="O919" s="19" t="s">
        <v>116</v>
      </c>
      <c r="R919" t="s">
        <v>1097</v>
      </c>
    </row>
    <row r="920" spans="1:18" hidden="1" x14ac:dyDescent="0.3">
      <c r="A920" s="19">
        <f t="shared" si="14"/>
        <v>919</v>
      </c>
      <c r="B920" s="20" t="s">
        <v>87</v>
      </c>
      <c r="C920" s="20" t="s">
        <v>102</v>
      </c>
      <c r="D920" s="21" t="str">
        <f>IF($C920="","",IFERROR(VLOOKUP($C920,Map_Register!$A$2:$C$5,3,FALSE()),""))</f>
        <v>Toponym Labels</v>
      </c>
      <c r="E920" s="20" t="s">
        <v>15</v>
      </c>
      <c r="F920" s="22">
        <v>786591</v>
      </c>
      <c r="G920" s="19" t="s">
        <v>1136</v>
      </c>
      <c r="H920" s="19" t="s">
        <v>2561</v>
      </c>
      <c r="I920" s="19" t="s">
        <v>2561</v>
      </c>
      <c r="J920" s="19" t="s">
        <v>1110</v>
      </c>
      <c r="K920" s="19" t="s">
        <v>6</v>
      </c>
      <c r="L920" s="19" t="s">
        <v>1095</v>
      </c>
      <c r="M920" s="19" t="s">
        <v>1095</v>
      </c>
      <c r="N920" s="19" t="s">
        <v>1406</v>
      </c>
      <c r="R920" t="s">
        <v>1097</v>
      </c>
    </row>
    <row r="921" spans="1:18" hidden="1" x14ac:dyDescent="0.3">
      <c r="A921" s="19">
        <f t="shared" si="14"/>
        <v>920</v>
      </c>
      <c r="B921" s="20" t="s">
        <v>87</v>
      </c>
      <c r="C921" s="20" t="s">
        <v>102</v>
      </c>
      <c r="D921" s="21" t="str">
        <f>IF($C921="","",IFERROR(VLOOKUP($C921,Map_Register!$A$2:$C$5,3,FALSE()),""))</f>
        <v>Toponym Labels</v>
      </c>
      <c r="E921" s="20" t="s">
        <v>15</v>
      </c>
      <c r="F921" s="22">
        <v>786592</v>
      </c>
      <c r="G921" s="19" t="s">
        <v>1136</v>
      </c>
      <c r="H921" s="19" t="s">
        <v>946</v>
      </c>
      <c r="I921" s="19" t="s">
        <v>2562</v>
      </c>
      <c r="J921" s="19" t="s">
        <v>1094</v>
      </c>
      <c r="K921" s="19" t="s">
        <v>6</v>
      </c>
      <c r="L921" s="19" t="s">
        <v>1095</v>
      </c>
      <c r="M921" s="19" t="s">
        <v>1095</v>
      </c>
      <c r="N921" s="19" t="s">
        <v>1105</v>
      </c>
      <c r="R921" t="s">
        <v>1097</v>
      </c>
    </row>
    <row r="922" spans="1:18" hidden="1" x14ac:dyDescent="0.3">
      <c r="A922" s="19">
        <f t="shared" si="14"/>
        <v>921</v>
      </c>
      <c r="B922" s="20" t="s">
        <v>87</v>
      </c>
      <c r="C922" s="20" t="s">
        <v>102</v>
      </c>
      <c r="D922" s="21" t="str">
        <f>IF($C922="","",IFERROR(VLOOKUP($C922,Map_Register!$A$2:$C$5,3,FALSE()),""))</f>
        <v>Toponym Labels</v>
      </c>
      <c r="E922" s="20" t="s">
        <v>15</v>
      </c>
      <c r="F922" s="22">
        <v>786593</v>
      </c>
      <c r="G922" s="19" t="s">
        <v>1108</v>
      </c>
      <c r="H922" s="19" t="s">
        <v>2563</v>
      </c>
      <c r="I922" s="19" t="s">
        <v>2563</v>
      </c>
      <c r="J922" s="19" t="s">
        <v>1110</v>
      </c>
      <c r="K922" s="19" t="s">
        <v>6</v>
      </c>
      <c r="L922" s="19" t="s">
        <v>1095</v>
      </c>
      <c r="M922" s="19" t="s">
        <v>1095</v>
      </c>
      <c r="N922" s="19" t="s">
        <v>1111</v>
      </c>
      <c r="R922" t="s">
        <v>1097</v>
      </c>
    </row>
    <row r="923" spans="1:18" x14ac:dyDescent="0.3">
      <c r="A923" s="19">
        <f t="shared" si="14"/>
        <v>922</v>
      </c>
      <c r="B923" s="20" t="s">
        <v>87</v>
      </c>
      <c r="C923" s="20" t="s">
        <v>102</v>
      </c>
      <c r="D923" s="21" t="str">
        <f>IF($C923="","",IFERROR(VLOOKUP($C923,Map_Register!$A$2:$C$5,3,FALSE()),""))</f>
        <v>Toponym Labels</v>
      </c>
      <c r="E923" s="20" t="s">
        <v>15</v>
      </c>
      <c r="F923" s="22">
        <v>786594</v>
      </c>
      <c r="G923" s="19" t="s">
        <v>1125</v>
      </c>
      <c r="H923" s="19" t="s">
        <v>2564</v>
      </c>
      <c r="I923" s="19" t="s">
        <v>2565</v>
      </c>
      <c r="J923" s="19" t="s">
        <v>1104</v>
      </c>
      <c r="K923" t="s">
        <v>1100</v>
      </c>
      <c r="L923" t="s">
        <v>114</v>
      </c>
      <c r="M923" t="s">
        <v>116</v>
      </c>
      <c r="N923" s="19" t="s">
        <v>1268</v>
      </c>
      <c r="O923" s="19" t="s">
        <v>116</v>
      </c>
      <c r="R923" t="s">
        <v>1097</v>
      </c>
    </row>
    <row r="924" spans="1:18" hidden="1" x14ac:dyDescent="0.3">
      <c r="A924" s="19">
        <f t="shared" si="14"/>
        <v>923</v>
      </c>
      <c r="B924" s="20" t="s">
        <v>87</v>
      </c>
      <c r="C924" s="20" t="s">
        <v>102</v>
      </c>
      <c r="D924" s="21" t="str">
        <f>IF($C924="","",IFERROR(VLOOKUP($C924,Map_Register!$A$2:$C$5,3,FALSE()),""))</f>
        <v>Toponym Labels</v>
      </c>
      <c r="E924" s="20" t="s">
        <v>15</v>
      </c>
      <c r="F924" s="22">
        <v>786595</v>
      </c>
      <c r="G924" s="19" t="s">
        <v>1108</v>
      </c>
      <c r="H924" s="19" t="s">
        <v>2566</v>
      </c>
      <c r="I924" s="19" t="s">
        <v>2567</v>
      </c>
      <c r="J924" s="19" t="s">
        <v>1094</v>
      </c>
      <c r="K924" s="19" t="s">
        <v>6</v>
      </c>
      <c r="L924" s="19" t="s">
        <v>1095</v>
      </c>
      <c r="M924" s="19" t="s">
        <v>1095</v>
      </c>
      <c r="N924" s="19" t="s">
        <v>1105</v>
      </c>
      <c r="R924" t="s">
        <v>1097</v>
      </c>
    </row>
    <row r="925" spans="1:18" hidden="1" x14ac:dyDescent="0.3">
      <c r="A925" s="19">
        <f t="shared" si="14"/>
        <v>924</v>
      </c>
      <c r="B925" s="20" t="s">
        <v>87</v>
      </c>
      <c r="C925" s="20" t="s">
        <v>102</v>
      </c>
      <c r="D925" s="21" t="str">
        <f>IF($C925="","",IFERROR(VLOOKUP($C925,Map_Register!$A$2:$C$5,3,FALSE()),""))</f>
        <v>Toponym Labels</v>
      </c>
      <c r="E925" s="20" t="s">
        <v>15</v>
      </c>
      <c r="F925" s="22">
        <v>786596</v>
      </c>
      <c r="G925" s="19" t="s">
        <v>2568</v>
      </c>
      <c r="H925" s="19" t="s">
        <v>2564</v>
      </c>
      <c r="I925" s="19" t="s">
        <v>2565</v>
      </c>
      <c r="J925" s="19" t="s">
        <v>1104</v>
      </c>
      <c r="K925" s="19" t="s">
        <v>1030</v>
      </c>
      <c r="L925" s="19" t="s">
        <v>1095</v>
      </c>
      <c r="M925" s="19" t="s">
        <v>1095</v>
      </c>
      <c r="N925" s="19" t="s">
        <v>1105</v>
      </c>
      <c r="Q925" s="19" t="s">
        <v>2569</v>
      </c>
      <c r="R925" t="s">
        <v>1097</v>
      </c>
    </row>
    <row r="926" spans="1:18" hidden="1" x14ac:dyDescent="0.3">
      <c r="A926" s="19">
        <f t="shared" si="14"/>
        <v>925</v>
      </c>
      <c r="B926" s="20" t="s">
        <v>87</v>
      </c>
      <c r="C926" s="20" t="s">
        <v>102</v>
      </c>
      <c r="D926" s="21" t="str">
        <f>IF($C926="","",IFERROR(VLOOKUP($C926,Map_Register!$A$2:$C$5,3,FALSE()),""))</f>
        <v>Toponym Labels</v>
      </c>
      <c r="E926" s="20" t="s">
        <v>15</v>
      </c>
      <c r="F926" s="22">
        <v>786597</v>
      </c>
      <c r="G926" s="19" t="s">
        <v>1091</v>
      </c>
      <c r="H926" s="19" t="s">
        <v>2570</v>
      </c>
      <c r="I926" s="19" t="s">
        <v>2570</v>
      </c>
      <c r="J926" s="19" t="s">
        <v>1110</v>
      </c>
      <c r="K926" s="19" t="s">
        <v>6</v>
      </c>
      <c r="L926" s="19" t="s">
        <v>1095</v>
      </c>
      <c r="M926" s="19" t="s">
        <v>1095</v>
      </c>
      <c r="N926" s="19" t="s">
        <v>1300</v>
      </c>
      <c r="R926" t="s">
        <v>1097</v>
      </c>
    </row>
    <row r="927" spans="1:18" hidden="1" x14ac:dyDescent="0.3">
      <c r="A927" s="19">
        <f t="shared" si="14"/>
        <v>926</v>
      </c>
      <c r="B927" s="20" t="s">
        <v>87</v>
      </c>
      <c r="C927" s="20" t="s">
        <v>102</v>
      </c>
      <c r="D927" s="21" t="str">
        <f>IF($C927="","",IFERROR(VLOOKUP($C927,Map_Register!$A$2:$C$5,3,FALSE()),""))</f>
        <v>Toponym Labels</v>
      </c>
      <c r="E927" s="20" t="s">
        <v>15</v>
      </c>
      <c r="F927" s="22">
        <v>786598</v>
      </c>
      <c r="G927" s="19" t="s">
        <v>1125</v>
      </c>
      <c r="H927" s="19" t="s">
        <v>1883</v>
      </c>
      <c r="I927" s="19" t="s">
        <v>1883</v>
      </c>
      <c r="J927" s="19" t="s">
        <v>1110</v>
      </c>
      <c r="K927" s="19" t="s">
        <v>6</v>
      </c>
      <c r="L927" s="19" t="s">
        <v>1095</v>
      </c>
      <c r="M927" s="19" t="s">
        <v>1095</v>
      </c>
      <c r="N927" s="19" t="s">
        <v>1155</v>
      </c>
      <c r="R927" t="s">
        <v>1097</v>
      </c>
    </row>
    <row r="928" spans="1:18" hidden="1" x14ac:dyDescent="0.3">
      <c r="A928" s="19">
        <f t="shared" si="14"/>
        <v>927</v>
      </c>
      <c r="B928" s="20" t="s">
        <v>87</v>
      </c>
      <c r="C928" s="20" t="s">
        <v>102</v>
      </c>
      <c r="D928" s="21" t="str">
        <f>IF($C928="","",IFERROR(VLOOKUP($C928,Map_Register!$A$2:$C$5,3,FALSE()),""))</f>
        <v>Toponym Labels</v>
      </c>
      <c r="E928" s="20" t="s">
        <v>15</v>
      </c>
      <c r="F928" s="22">
        <v>786599</v>
      </c>
      <c r="G928" s="19" t="s">
        <v>1136</v>
      </c>
      <c r="H928" s="19" t="s">
        <v>2571</v>
      </c>
      <c r="I928" s="19" t="s">
        <v>2571</v>
      </c>
      <c r="J928" s="19" t="s">
        <v>1110</v>
      </c>
      <c r="K928" t="s">
        <v>1100</v>
      </c>
      <c r="L928" t="s">
        <v>114</v>
      </c>
      <c r="M928" t="s">
        <v>114</v>
      </c>
      <c r="N928" s="19" t="s">
        <v>530</v>
      </c>
      <c r="O928" s="19" t="s">
        <v>116</v>
      </c>
      <c r="R928" t="s">
        <v>1097</v>
      </c>
    </row>
    <row r="929" spans="1:18" hidden="1" x14ac:dyDescent="0.3">
      <c r="A929" s="19">
        <f t="shared" si="14"/>
        <v>928</v>
      </c>
      <c r="B929" s="20" t="s">
        <v>87</v>
      </c>
      <c r="C929" s="20" t="s">
        <v>102</v>
      </c>
      <c r="D929" s="21" t="str">
        <f>IF($C929="","",IFERROR(VLOOKUP($C929,Map_Register!$A$2:$C$5,3,FALSE()),""))</f>
        <v>Toponym Labels</v>
      </c>
      <c r="E929" s="20" t="s">
        <v>15</v>
      </c>
      <c r="F929" s="22">
        <v>786600</v>
      </c>
      <c r="G929" s="19" t="s">
        <v>1108</v>
      </c>
      <c r="H929" s="19" t="s">
        <v>2572</v>
      </c>
      <c r="I929" s="19" t="s">
        <v>2572</v>
      </c>
      <c r="J929" s="19" t="s">
        <v>1110</v>
      </c>
      <c r="K929" s="19" t="s">
        <v>6</v>
      </c>
      <c r="L929" s="19" t="s">
        <v>1095</v>
      </c>
      <c r="M929" s="19" t="s">
        <v>1095</v>
      </c>
      <c r="N929" s="19" t="s">
        <v>2573</v>
      </c>
      <c r="R929" t="s">
        <v>1097</v>
      </c>
    </row>
    <row r="930" spans="1:18" hidden="1" x14ac:dyDescent="0.3">
      <c r="A930" s="19">
        <f t="shared" si="14"/>
        <v>929</v>
      </c>
      <c r="B930" s="20" t="s">
        <v>87</v>
      </c>
      <c r="C930" s="20" t="s">
        <v>102</v>
      </c>
      <c r="D930" s="21" t="str">
        <f>IF($C930="","",IFERROR(VLOOKUP($C930,Map_Register!$A$2:$C$5,3,FALSE()),""))</f>
        <v>Toponym Labels</v>
      </c>
      <c r="E930" s="20" t="s">
        <v>15</v>
      </c>
      <c r="F930" s="22">
        <v>786601</v>
      </c>
      <c r="G930" s="19" t="s">
        <v>1091</v>
      </c>
      <c r="H930" s="19" t="s">
        <v>911</v>
      </c>
      <c r="I930" s="19" t="s">
        <v>911</v>
      </c>
      <c r="J930" s="19" t="s">
        <v>1110</v>
      </c>
      <c r="K930" s="19" t="s">
        <v>6</v>
      </c>
      <c r="L930" s="19" t="s">
        <v>1095</v>
      </c>
      <c r="M930" s="19" t="s">
        <v>1095</v>
      </c>
      <c r="N930" s="19" t="s">
        <v>1300</v>
      </c>
      <c r="R930" t="s">
        <v>1097</v>
      </c>
    </row>
    <row r="931" spans="1:18" hidden="1" x14ac:dyDescent="0.3">
      <c r="A931" s="19">
        <f t="shared" si="14"/>
        <v>930</v>
      </c>
      <c r="B931" s="20" t="s">
        <v>87</v>
      </c>
      <c r="C931" s="20" t="s">
        <v>102</v>
      </c>
      <c r="D931" s="21" t="str">
        <f>IF($C931="","",IFERROR(VLOOKUP($C931,Map_Register!$A$2:$C$5,3,FALSE()),""))</f>
        <v>Toponym Labels</v>
      </c>
      <c r="E931" s="20" t="s">
        <v>15</v>
      </c>
      <c r="F931" s="22">
        <v>786602</v>
      </c>
      <c r="G931" s="19" t="s">
        <v>1125</v>
      </c>
      <c r="H931" s="19" t="s">
        <v>2574</v>
      </c>
      <c r="I931" s="19" t="s">
        <v>2574</v>
      </c>
      <c r="J931" s="19" t="s">
        <v>1110</v>
      </c>
      <c r="K931" s="19" t="s">
        <v>6</v>
      </c>
      <c r="L931" s="19" t="s">
        <v>1095</v>
      </c>
      <c r="M931" s="19" t="s">
        <v>1095</v>
      </c>
      <c r="N931" s="19" t="s">
        <v>1155</v>
      </c>
      <c r="R931" t="s">
        <v>1097</v>
      </c>
    </row>
    <row r="932" spans="1:18" hidden="1" x14ac:dyDescent="0.3">
      <c r="A932" s="19">
        <f t="shared" si="14"/>
        <v>931</v>
      </c>
      <c r="B932" s="20" t="s">
        <v>87</v>
      </c>
      <c r="C932" s="20" t="s">
        <v>102</v>
      </c>
      <c r="D932" s="21" t="str">
        <f>IF($C932="","",IFERROR(VLOOKUP($C932,Map_Register!$A$2:$C$5,3,FALSE()),""))</f>
        <v>Toponym Labels</v>
      </c>
      <c r="E932" s="20" t="s">
        <v>15</v>
      </c>
      <c r="F932" s="22">
        <v>786603</v>
      </c>
      <c r="G932" s="19" t="s">
        <v>1108</v>
      </c>
      <c r="H932" s="19" t="s">
        <v>2575</v>
      </c>
      <c r="I932" s="19" t="s">
        <v>2575</v>
      </c>
      <c r="J932" s="19" t="s">
        <v>1110</v>
      </c>
      <c r="K932" s="19" t="s">
        <v>6</v>
      </c>
      <c r="L932" s="19" t="s">
        <v>1095</v>
      </c>
      <c r="M932" s="19" t="s">
        <v>1095</v>
      </c>
      <c r="N932" s="19" t="s">
        <v>1111</v>
      </c>
      <c r="R932" t="s">
        <v>1097</v>
      </c>
    </row>
    <row r="933" spans="1:18" hidden="1" x14ac:dyDescent="0.3">
      <c r="A933" s="19">
        <f t="shared" si="14"/>
        <v>932</v>
      </c>
      <c r="B933" s="20" t="s">
        <v>87</v>
      </c>
      <c r="C933" s="20" t="s">
        <v>102</v>
      </c>
      <c r="D933" s="21" t="str">
        <f>IF($C933="","",IFERROR(VLOOKUP($C933,Map_Register!$A$2:$C$5,3,FALSE()),""))</f>
        <v>Toponym Labels</v>
      </c>
      <c r="E933" s="20" t="s">
        <v>15</v>
      </c>
      <c r="F933" s="22">
        <v>786604</v>
      </c>
      <c r="G933" s="19" t="s">
        <v>1136</v>
      </c>
      <c r="H933" s="19" t="s">
        <v>2576</v>
      </c>
      <c r="I933" s="19" t="s">
        <v>2576</v>
      </c>
      <c r="J933" s="19" t="s">
        <v>1110</v>
      </c>
      <c r="K933" t="s">
        <v>1100</v>
      </c>
      <c r="L933" t="s">
        <v>114</v>
      </c>
      <c r="M933" t="s">
        <v>114</v>
      </c>
      <c r="N933" s="19" t="s">
        <v>530</v>
      </c>
      <c r="O933" s="19" t="s">
        <v>116</v>
      </c>
      <c r="R933" t="s">
        <v>1097</v>
      </c>
    </row>
    <row r="934" spans="1:18" hidden="1" x14ac:dyDescent="0.3">
      <c r="A934" s="19">
        <f t="shared" si="14"/>
        <v>933</v>
      </c>
      <c r="B934" s="20" t="s">
        <v>87</v>
      </c>
      <c r="C934" s="20" t="s">
        <v>102</v>
      </c>
      <c r="D934" s="21" t="str">
        <f>IF($C934="","",IFERROR(VLOOKUP($C934,Map_Register!$A$2:$C$5,3,FALSE()),""))</f>
        <v>Toponym Labels</v>
      </c>
      <c r="E934" s="20" t="s">
        <v>15</v>
      </c>
      <c r="F934" s="22">
        <v>786605</v>
      </c>
      <c r="G934" s="19" t="s">
        <v>1136</v>
      </c>
      <c r="H934" s="19" t="s">
        <v>2577</v>
      </c>
      <c r="I934" s="19" t="s">
        <v>2577</v>
      </c>
      <c r="J934" s="19" t="s">
        <v>1110</v>
      </c>
      <c r="K934" s="19" t="s">
        <v>6</v>
      </c>
      <c r="L934" s="19" t="s">
        <v>1095</v>
      </c>
      <c r="M934" s="19" t="s">
        <v>1095</v>
      </c>
      <c r="N934" s="19" t="s">
        <v>1406</v>
      </c>
      <c r="R934" t="s">
        <v>1097</v>
      </c>
    </row>
    <row r="935" spans="1:18" hidden="1" x14ac:dyDescent="0.3">
      <c r="A935" s="19">
        <f t="shared" si="14"/>
        <v>934</v>
      </c>
      <c r="B935" s="20" t="s">
        <v>87</v>
      </c>
      <c r="C935" s="20" t="s">
        <v>102</v>
      </c>
      <c r="D935" s="21" t="str">
        <f>IF($C935="","",IFERROR(VLOOKUP($C935,Map_Register!$A$2:$C$5,3,FALSE()),""))</f>
        <v>Toponym Labels</v>
      </c>
      <c r="E935" s="20" t="s">
        <v>15</v>
      </c>
      <c r="F935" s="22">
        <v>786606</v>
      </c>
      <c r="G935" s="19" t="s">
        <v>1163</v>
      </c>
      <c r="H935" s="19" t="s">
        <v>2578</v>
      </c>
      <c r="I935" s="19" t="s">
        <v>2579</v>
      </c>
      <c r="J935" s="19" t="s">
        <v>1094</v>
      </c>
      <c r="K935" s="19" t="s">
        <v>6</v>
      </c>
      <c r="L935" s="19" t="s">
        <v>1095</v>
      </c>
      <c r="M935" s="19" t="s">
        <v>1095</v>
      </c>
      <c r="N935" s="19" t="s">
        <v>1105</v>
      </c>
      <c r="R935" t="s">
        <v>1097</v>
      </c>
    </row>
    <row r="936" spans="1:18" hidden="1" x14ac:dyDescent="0.3">
      <c r="A936" s="19">
        <f t="shared" si="14"/>
        <v>935</v>
      </c>
      <c r="B936" s="20" t="s">
        <v>87</v>
      </c>
      <c r="C936" s="20" t="s">
        <v>102</v>
      </c>
      <c r="D936" s="21" t="str">
        <f>IF($C936="","",IFERROR(VLOOKUP($C936,Map_Register!$A$2:$C$5,3,FALSE()),""))</f>
        <v>Toponym Labels</v>
      </c>
      <c r="E936" s="20" t="s">
        <v>15</v>
      </c>
      <c r="F936" s="22">
        <v>786607</v>
      </c>
      <c r="G936" s="19" t="s">
        <v>1108</v>
      </c>
      <c r="H936" s="19" t="s">
        <v>2580</v>
      </c>
      <c r="I936" s="19" t="s">
        <v>2581</v>
      </c>
      <c r="J936" s="19" t="s">
        <v>1094</v>
      </c>
      <c r="K936" s="19" t="s">
        <v>6</v>
      </c>
      <c r="L936" s="19" t="s">
        <v>1095</v>
      </c>
      <c r="M936" s="19" t="s">
        <v>1095</v>
      </c>
      <c r="N936" s="19" t="s">
        <v>1105</v>
      </c>
      <c r="R936" t="s">
        <v>1097</v>
      </c>
    </row>
    <row r="937" spans="1:18" hidden="1" x14ac:dyDescent="0.3">
      <c r="A937" s="19">
        <f t="shared" si="14"/>
        <v>936</v>
      </c>
      <c r="B937" s="20" t="s">
        <v>87</v>
      </c>
      <c r="C937" s="20" t="s">
        <v>102</v>
      </c>
      <c r="D937" s="21" t="str">
        <f>IF($C937="","",IFERROR(VLOOKUP($C937,Map_Register!$A$2:$C$5,3,FALSE()),""))</f>
        <v>Toponym Labels</v>
      </c>
      <c r="E937" s="20" t="s">
        <v>15</v>
      </c>
      <c r="F937" s="22">
        <v>786608</v>
      </c>
      <c r="G937" s="19" t="s">
        <v>1108</v>
      </c>
      <c r="H937" s="19" t="s">
        <v>2582</v>
      </c>
      <c r="I937" s="19" t="s">
        <v>2582</v>
      </c>
      <c r="J937" s="19" t="s">
        <v>1110</v>
      </c>
      <c r="K937" s="19" t="s">
        <v>6</v>
      </c>
      <c r="L937" s="19" t="s">
        <v>1095</v>
      </c>
      <c r="M937" s="19" t="s">
        <v>1095</v>
      </c>
      <c r="N937" s="19" t="s">
        <v>1111</v>
      </c>
      <c r="R937" t="s">
        <v>1097</v>
      </c>
    </row>
    <row r="938" spans="1:18" hidden="1" x14ac:dyDescent="0.3">
      <c r="A938" s="19">
        <f t="shared" si="14"/>
        <v>937</v>
      </c>
      <c r="B938" s="20" t="s">
        <v>87</v>
      </c>
      <c r="C938" s="20" t="s">
        <v>102</v>
      </c>
      <c r="D938" s="21" t="str">
        <f>IF($C938="","",IFERROR(VLOOKUP($C938,Map_Register!$A$2:$C$5,3,FALSE()),""))</f>
        <v>Toponym Labels</v>
      </c>
      <c r="E938" s="20" t="s">
        <v>15</v>
      </c>
      <c r="F938" s="22">
        <v>786609</v>
      </c>
      <c r="G938" s="19" t="s">
        <v>1125</v>
      </c>
      <c r="H938" s="19" t="s">
        <v>2583</v>
      </c>
      <c r="I938" s="19" t="s">
        <v>2583</v>
      </c>
      <c r="J938" s="19" t="s">
        <v>1110</v>
      </c>
      <c r="K938" s="19" t="s">
        <v>6</v>
      </c>
      <c r="L938" s="19" t="s">
        <v>1095</v>
      </c>
      <c r="M938" s="19" t="s">
        <v>1095</v>
      </c>
      <c r="N938" s="19" t="s">
        <v>1155</v>
      </c>
      <c r="R938" t="s">
        <v>1097</v>
      </c>
    </row>
    <row r="939" spans="1:18" hidden="1" x14ac:dyDescent="0.3">
      <c r="A939" s="19">
        <f t="shared" si="14"/>
        <v>938</v>
      </c>
      <c r="B939" s="20" t="s">
        <v>87</v>
      </c>
      <c r="C939" s="20" t="s">
        <v>102</v>
      </c>
      <c r="D939" s="21" t="str">
        <f>IF($C939="","",IFERROR(VLOOKUP($C939,Map_Register!$A$2:$C$5,3,FALSE()),""))</f>
        <v>Toponym Labels</v>
      </c>
      <c r="E939" s="20" t="s">
        <v>15</v>
      </c>
      <c r="F939" s="22">
        <v>786610</v>
      </c>
      <c r="G939" s="19" t="s">
        <v>1163</v>
      </c>
      <c r="H939" s="19" t="s">
        <v>2584</v>
      </c>
      <c r="I939" s="19" t="s">
        <v>2585</v>
      </c>
      <c r="J939" s="19" t="s">
        <v>1104</v>
      </c>
      <c r="K939" s="19" t="s">
        <v>6</v>
      </c>
      <c r="L939" s="19" t="s">
        <v>1095</v>
      </c>
      <c r="M939" s="19" t="s">
        <v>1095</v>
      </c>
      <c r="N939" s="19" t="s">
        <v>1105</v>
      </c>
      <c r="R939" t="s">
        <v>1097</v>
      </c>
    </row>
    <row r="940" spans="1:18" hidden="1" x14ac:dyDescent="0.3">
      <c r="A940" s="19">
        <f t="shared" si="14"/>
        <v>939</v>
      </c>
      <c r="B940" s="20" t="s">
        <v>87</v>
      </c>
      <c r="C940" s="20" t="s">
        <v>102</v>
      </c>
      <c r="D940" s="21" t="str">
        <f>IF($C940="","",IFERROR(VLOOKUP($C940,Map_Register!$A$2:$C$5,3,FALSE()),""))</f>
        <v>Toponym Labels</v>
      </c>
      <c r="E940" s="20" t="s">
        <v>15</v>
      </c>
      <c r="F940" s="22">
        <v>786611</v>
      </c>
      <c r="G940" s="19" t="s">
        <v>1163</v>
      </c>
      <c r="H940" s="19" t="s">
        <v>2586</v>
      </c>
      <c r="I940" s="19" t="s">
        <v>2586</v>
      </c>
      <c r="J940" s="19" t="s">
        <v>1110</v>
      </c>
      <c r="K940" t="s">
        <v>1100</v>
      </c>
      <c r="L940" t="s">
        <v>114</v>
      </c>
      <c r="M940" t="s">
        <v>114</v>
      </c>
      <c r="N940" s="19" t="s">
        <v>1268</v>
      </c>
      <c r="O940" s="19" t="s">
        <v>116</v>
      </c>
      <c r="R940" t="s">
        <v>1097</v>
      </c>
    </row>
    <row r="941" spans="1:18" hidden="1" x14ac:dyDescent="0.3">
      <c r="A941" s="19">
        <f t="shared" si="14"/>
        <v>940</v>
      </c>
      <c r="B941" s="20" t="s">
        <v>87</v>
      </c>
      <c r="C941" s="20" t="s">
        <v>102</v>
      </c>
      <c r="D941" s="21" t="str">
        <f>IF($C941="","",IFERROR(VLOOKUP($C941,Map_Register!$A$2:$C$5,3,FALSE()),""))</f>
        <v>Toponym Labels</v>
      </c>
      <c r="E941" s="20" t="s">
        <v>15</v>
      </c>
      <c r="F941" s="22">
        <v>786612</v>
      </c>
      <c r="G941" s="19" t="s">
        <v>1136</v>
      </c>
      <c r="H941" s="19" t="s">
        <v>2587</v>
      </c>
      <c r="I941" s="19" t="s">
        <v>2587</v>
      </c>
      <c r="J941" s="19" t="s">
        <v>1110</v>
      </c>
      <c r="K941" t="s">
        <v>1100</v>
      </c>
      <c r="L941" t="s">
        <v>114</v>
      </c>
      <c r="M941" t="s">
        <v>114</v>
      </c>
      <c r="N941" s="19" t="s">
        <v>530</v>
      </c>
      <c r="O941" s="19" t="s">
        <v>116</v>
      </c>
      <c r="R941" t="s">
        <v>1097</v>
      </c>
    </row>
    <row r="942" spans="1:18" hidden="1" x14ac:dyDescent="0.3">
      <c r="A942" s="19">
        <f t="shared" si="14"/>
        <v>941</v>
      </c>
      <c r="B942" s="20" t="s">
        <v>87</v>
      </c>
      <c r="C942" s="20" t="s">
        <v>102</v>
      </c>
      <c r="D942" s="21" t="str">
        <f>IF($C942="","",IFERROR(VLOOKUP($C942,Map_Register!$A$2:$C$5,3,FALSE()),""))</f>
        <v>Toponym Labels</v>
      </c>
      <c r="E942" s="20" t="s">
        <v>15</v>
      </c>
      <c r="F942" s="22">
        <v>786613</v>
      </c>
      <c r="G942" s="19" t="s">
        <v>1136</v>
      </c>
      <c r="H942" s="19" t="s">
        <v>1630</v>
      </c>
      <c r="I942" s="19" t="s">
        <v>1630</v>
      </c>
      <c r="J942" s="19" t="s">
        <v>1110</v>
      </c>
      <c r="K942" t="s">
        <v>1100</v>
      </c>
      <c r="L942" t="s">
        <v>114</v>
      </c>
      <c r="M942" t="s">
        <v>114</v>
      </c>
      <c r="N942" s="19" t="s">
        <v>530</v>
      </c>
      <c r="O942" s="19" t="s">
        <v>116</v>
      </c>
      <c r="R942" t="s">
        <v>1097</v>
      </c>
    </row>
    <row r="943" spans="1:18" hidden="1" x14ac:dyDescent="0.3">
      <c r="A943" s="19">
        <f t="shared" si="14"/>
        <v>942</v>
      </c>
      <c r="B943" s="20" t="s">
        <v>87</v>
      </c>
      <c r="C943" s="20" t="s">
        <v>102</v>
      </c>
      <c r="D943" s="21" t="str">
        <f>IF($C943="","",IFERROR(VLOOKUP($C943,Map_Register!$A$2:$C$5,3,FALSE()),""))</f>
        <v>Toponym Labels</v>
      </c>
      <c r="E943" s="20" t="s">
        <v>15</v>
      </c>
      <c r="F943" s="22">
        <v>786614</v>
      </c>
      <c r="G943" s="19" t="s">
        <v>1091</v>
      </c>
      <c r="H943" s="19" t="s">
        <v>2588</v>
      </c>
      <c r="I943" s="19" t="s">
        <v>2588</v>
      </c>
      <c r="J943" s="19" t="s">
        <v>1110</v>
      </c>
      <c r="K943" s="19" t="s">
        <v>6</v>
      </c>
      <c r="L943" s="19" t="s">
        <v>1095</v>
      </c>
      <c r="M943" s="19" t="s">
        <v>1095</v>
      </c>
      <c r="N943" s="19" t="s">
        <v>1300</v>
      </c>
      <c r="R943" t="s">
        <v>1097</v>
      </c>
    </row>
    <row r="944" spans="1:18" hidden="1" x14ac:dyDescent="0.3">
      <c r="A944" s="19">
        <f t="shared" si="14"/>
        <v>943</v>
      </c>
      <c r="B944" s="20" t="s">
        <v>87</v>
      </c>
      <c r="C944" s="20" t="s">
        <v>102</v>
      </c>
      <c r="D944" s="21" t="str">
        <f>IF($C944="","",IFERROR(VLOOKUP($C944,Map_Register!$A$2:$C$5,3,FALSE()),""))</f>
        <v>Toponym Labels</v>
      </c>
      <c r="E944" s="20" t="s">
        <v>15</v>
      </c>
      <c r="F944" s="22">
        <v>786615</v>
      </c>
      <c r="G944" s="19" t="s">
        <v>1091</v>
      </c>
      <c r="H944" s="19" t="s">
        <v>2589</v>
      </c>
      <c r="I944" s="19" t="s">
        <v>2589</v>
      </c>
      <c r="J944" s="19" t="s">
        <v>1110</v>
      </c>
      <c r="K944" t="s">
        <v>1100</v>
      </c>
      <c r="L944" t="s">
        <v>114</v>
      </c>
      <c r="M944" t="s">
        <v>114</v>
      </c>
      <c r="N944" s="19" t="s">
        <v>530</v>
      </c>
      <c r="O944" s="19" t="s">
        <v>116</v>
      </c>
      <c r="R944" t="s">
        <v>1097</v>
      </c>
    </row>
    <row r="945" spans="1:18" hidden="1" x14ac:dyDescent="0.3">
      <c r="A945" s="19">
        <f t="shared" si="14"/>
        <v>944</v>
      </c>
      <c r="B945" s="20" t="s">
        <v>87</v>
      </c>
      <c r="C945" s="20" t="s">
        <v>102</v>
      </c>
      <c r="D945" s="21" t="str">
        <f>IF($C945="","",IFERROR(VLOOKUP($C945,Map_Register!$A$2:$C$5,3,FALSE()),""))</f>
        <v>Toponym Labels</v>
      </c>
      <c r="E945" s="20" t="s">
        <v>15</v>
      </c>
      <c r="F945" s="22">
        <v>786616</v>
      </c>
      <c r="G945" s="19" t="s">
        <v>1108</v>
      </c>
      <c r="H945" s="19" t="s">
        <v>2590</v>
      </c>
      <c r="I945" s="19" t="s">
        <v>2590</v>
      </c>
      <c r="J945" s="19" t="s">
        <v>1110</v>
      </c>
      <c r="K945" s="19" t="s">
        <v>6</v>
      </c>
      <c r="L945" s="19" t="s">
        <v>1095</v>
      </c>
      <c r="M945" s="19" t="s">
        <v>1095</v>
      </c>
      <c r="N945" s="19" t="s">
        <v>1111</v>
      </c>
      <c r="R945" t="s">
        <v>1097</v>
      </c>
    </row>
    <row r="946" spans="1:18" hidden="1" x14ac:dyDescent="0.3">
      <c r="A946" s="19">
        <f t="shared" si="14"/>
        <v>945</v>
      </c>
      <c r="B946" s="20" t="s">
        <v>87</v>
      </c>
      <c r="C946" s="20" t="s">
        <v>102</v>
      </c>
      <c r="D946" s="21" t="str">
        <f>IF($C946="","",IFERROR(VLOOKUP($C946,Map_Register!$A$2:$C$5,3,FALSE()),""))</f>
        <v>Toponym Labels</v>
      </c>
      <c r="E946" s="20" t="s">
        <v>15</v>
      </c>
      <c r="F946" s="22">
        <v>786617</v>
      </c>
      <c r="G946" s="19" t="s">
        <v>1091</v>
      </c>
      <c r="H946" s="19" t="s">
        <v>2591</v>
      </c>
      <c r="I946" s="19" t="s">
        <v>2591</v>
      </c>
      <c r="J946" s="19" t="s">
        <v>1110</v>
      </c>
      <c r="K946" s="19" t="s">
        <v>6</v>
      </c>
      <c r="L946" s="19" t="s">
        <v>1095</v>
      </c>
      <c r="M946" s="19" t="s">
        <v>1095</v>
      </c>
      <c r="N946" s="19" t="s">
        <v>1300</v>
      </c>
      <c r="R946" t="s">
        <v>1097</v>
      </c>
    </row>
    <row r="947" spans="1:18" hidden="1" x14ac:dyDescent="0.3">
      <c r="A947" s="19">
        <f t="shared" si="14"/>
        <v>946</v>
      </c>
      <c r="B947" s="20" t="s">
        <v>87</v>
      </c>
      <c r="C947" s="20" t="s">
        <v>102</v>
      </c>
      <c r="D947" s="21" t="str">
        <f>IF($C947="","",IFERROR(VLOOKUP($C947,Map_Register!$A$2:$C$5,3,FALSE()),""))</f>
        <v>Toponym Labels</v>
      </c>
      <c r="E947" s="20" t="s">
        <v>15</v>
      </c>
      <c r="F947" s="22">
        <v>786618</v>
      </c>
      <c r="G947" s="19" t="s">
        <v>1091</v>
      </c>
      <c r="H947" s="19" t="s">
        <v>2592</v>
      </c>
      <c r="I947" s="19" t="s">
        <v>2592</v>
      </c>
      <c r="J947" s="19" t="s">
        <v>1110</v>
      </c>
      <c r="K947" s="19" t="s">
        <v>6</v>
      </c>
      <c r="L947" s="19" t="s">
        <v>1095</v>
      </c>
      <c r="M947" s="19" t="s">
        <v>1095</v>
      </c>
      <c r="N947" s="19" t="s">
        <v>1300</v>
      </c>
      <c r="R947" t="s">
        <v>1097</v>
      </c>
    </row>
    <row r="948" spans="1:18" hidden="1" x14ac:dyDescent="0.3">
      <c r="A948" s="19">
        <f t="shared" si="14"/>
        <v>947</v>
      </c>
      <c r="B948" s="20" t="s">
        <v>87</v>
      </c>
      <c r="C948" s="20" t="s">
        <v>102</v>
      </c>
      <c r="D948" s="21" t="str">
        <f>IF($C948="","",IFERROR(VLOOKUP($C948,Map_Register!$A$2:$C$5,3,FALSE()),""))</f>
        <v>Toponym Labels</v>
      </c>
      <c r="E948" s="20" t="s">
        <v>15</v>
      </c>
      <c r="F948" s="22">
        <v>786619</v>
      </c>
      <c r="G948" s="19" t="s">
        <v>1145</v>
      </c>
      <c r="H948" s="19" t="s">
        <v>2593</v>
      </c>
      <c r="I948" s="19" t="s">
        <v>2593</v>
      </c>
      <c r="J948" s="19" t="s">
        <v>1110</v>
      </c>
      <c r="K948" s="19" t="s">
        <v>6</v>
      </c>
      <c r="L948" s="19" t="s">
        <v>1095</v>
      </c>
      <c r="M948" s="19" t="s">
        <v>1095</v>
      </c>
      <c r="N948" s="19" t="s">
        <v>1638</v>
      </c>
      <c r="R948" t="s">
        <v>1097</v>
      </c>
    </row>
    <row r="949" spans="1:18" hidden="1" x14ac:dyDescent="0.3">
      <c r="A949" s="19">
        <f t="shared" si="14"/>
        <v>948</v>
      </c>
      <c r="B949" s="20" t="s">
        <v>87</v>
      </c>
      <c r="C949" s="20" t="s">
        <v>102</v>
      </c>
      <c r="D949" s="21" t="str">
        <f>IF($C949="","",IFERROR(VLOOKUP($C949,Map_Register!$A$2:$C$5,3,FALSE()),""))</f>
        <v>Toponym Labels</v>
      </c>
      <c r="E949" s="20" t="s">
        <v>15</v>
      </c>
      <c r="F949" s="22">
        <v>786620</v>
      </c>
      <c r="G949" s="19" t="s">
        <v>1091</v>
      </c>
      <c r="H949" s="19" t="s">
        <v>2594</v>
      </c>
      <c r="I949" s="19" t="s">
        <v>2594</v>
      </c>
      <c r="J949" s="19" t="s">
        <v>1110</v>
      </c>
      <c r="K949" s="19" t="s">
        <v>6</v>
      </c>
      <c r="L949" s="19" t="s">
        <v>1095</v>
      </c>
      <c r="M949" s="19" t="s">
        <v>1095</v>
      </c>
      <c r="N949" s="19" t="s">
        <v>1300</v>
      </c>
      <c r="R949" t="s">
        <v>1097</v>
      </c>
    </row>
    <row r="950" spans="1:18" hidden="1" x14ac:dyDescent="0.3">
      <c r="A950" s="19">
        <f t="shared" si="14"/>
        <v>949</v>
      </c>
      <c r="B950" s="20" t="s">
        <v>87</v>
      </c>
      <c r="C950" s="20" t="s">
        <v>102</v>
      </c>
      <c r="D950" s="21" t="str">
        <f>IF($C950="","",IFERROR(VLOOKUP($C950,Map_Register!$A$2:$C$5,3,FALSE()),""))</f>
        <v>Toponym Labels</v>
      </c>
      <c r="E950" s="20" t="s">
        <v>15</v>
      </c>
      <c r="F950" s="22">
        <v>786621</v>
      </c>
      <c r="G950" s="19" t="s">
        <v>1145</v>
      </c>
      <c r="H950" s="19" t="s">
        <v>2595</v>
      </c>
      <c r="I950" s="19" t="s">
        <v>2595</v>
      </c>
      <c r="J950" s="19" t="s">
        <v>1110</v>
      </c>
      <c r="K950" s="19" t="s">
        <v>6</v>
      </c>
      <c r="L950" s="19" t="s">
        <v>1095</v>
      </c>
      <c r="M950" s="19" t="s">
        <v>1095</v>
      </c>
      <c r="N950" s="19" t="s">
        <v>1638</v>
      </c>
      <c r="R950" t="s">
        <v>1097</v>
      </c>
    </row>
    <row r="951" spans="1:18" x14ac:dyDescent="0.3">
      <c r="A951" s="19">
        <f t="shared" si="14"/>
        <v>950</v>
      </c>
      <c r="B951" s="20" t="s">
        <v>87</v>
      </c>
      <c r="C951" s="20" t="s">
        <v>102</v>
      </c>
      <c r="D951" s="21" t="str">
        <f>IF($C951="","",IFERROR(VLOOKUP($C951,Map_Register!$A$2:$C$5,3,FALSE()),""))</f>
        <v>Toponym Labels</v>
      </c>
      <c r="E951" s="20" t="s">
        <v>15</v>
      </c>
      <c r="F951" s="22">
        <v>786622</v>
      </c>
      <c r="G951" s="19" t="s">
        <v>1125</v>
      </c>
      <c r="H951" s="19" t="s">
        <v>2596</v>
      </c>
      <c r="I951" s="19" t="s">
        <v>2597</v>
      </c>
      <c r="J951" s="19" t="s">
        <v>1104</v>
      </c>
      <c r="K951" t="s">
        <v>1100</v>
      </c>
      <c r="L951" t="s">
        <v>114</v>
      </c>
      <c r="M951" t="s">
        <v>116</v>
      </c>
      <c r="N951" s="19" t="s">
        <v>1268</v>
      </c>
      <c r="O951" s="19" t="s">
        <v>116</v>
      </c>
      <c r="R951" t="s">
        <v>1097</v>
      </c>
    </row>
    <row r="952" spans="1:18" hidden="1" x14ac:dyDescent="0.3">
      <c r="A952" s="19">
        <f t="shared" si="14"/>
        <v>951</v>
      </c>
      <c r="B952" s="20" t="s">
        <v>87</v>
      </c>
      <c r="C952" s="20" t="s">
        <v>102</v>
      </c>
      <c r="D952" s="21" t="str">
        <f>IF($C952="","",IFERROR(VLOOKUP($C952,Map_Register!$A$2:$C$5,3,FALSE()),""))</f>
        <v>Toponym Labels</v>
      </c>
      <c r="E952" s="20" t="s">
        <v>15</v>
      </c>
      <c r="F952" s="22">
        <v>786623</v>
      </c>
      <c r="G952" s="19" t="s">
        <v>1108</v>
      </c>
      <c r="H952" s="19" t="s">
        <v>2598</v>
      </c>
      <c r="I952" s="19" t="s">
        <v>2598</v>
      </c>
      <c r="J952" s="19" t="s">
        <v>1110</v>
      </c>
      <c r="K952" s="19" t="s">
        <v>6</v>
      </c>
      <c r="L952" s="19" t="s">
        <v>1095</v>
      </c>
      <c r="M952" s="19" t="s">
        <v>1095</v>
      </c>
      <c r="N952" s="19" t="s">
        <v>2599</v>
      </c>
      <c r="R952" t="s">
        <v>1097</v>
      </c>
    </row>
    <row r="953" spans="1:18" hidden="1" x14ac:dyDescent="0.3">
      <c r="A953" s="19">
        <f t="shared" si="14"/>
        <v>952</v>
      </c>
      <c r="B953" s="20" t="s">
        <v>87</v>
      </c>
      <c r="C953" s="20" t="s">
        <v>102</v>
      </c>
      <c r="D953" s="21" t="str">
        <f>IF($C953="","",IFERROR(VLOOKUP($C953,Map_Register!$A$2:$C$5,3,FALSE()),""))</f>
        <v>Toponym Labels</v>
      </c>
      <c r="E953" s="20" t="s">
        <v>15</v>
      </c>
      <c r="F953" s="22">
        <v>786624</v>
      </c>
      <c r="G953" s="19" t="s">
        <v>1179</v>
      </c>
      <c r="H953" s="19" t="s">
        <v>2600</v>
      </c>
      <c r="I953" s="19" t="s">
        <v>2601</v>
      </c>
      <c r="J953" s="19" t="s">
        <v>1104</v>
      </c>
      <c r="K953" s="19" t="s">
        <v>6</v>
      </c>
      <c r="L953" s="19" t="s">
        <v>1095</v>
      </c>
      <c r="M953" s="19" t="s">
        <v>1095</v>
      </c>
      <c r="N953" s="19" t="s">
        <v>1105</v>
      </c>
      <c r="R953" t="s">
        <v>1097</v>
      </c>
    </row>
    <row r="954" spans="1:18" hidden="1" x14ac:dyDescent="0.3">
      <c r="A954" s="19">
        <f t="shared" si="14"/>
        <v>953</v>
      </c>
      <c r="B954" s="20" t="s">
        <v>87</v>
      </c>
      <c r="C954" s="20" t="s">
        <v>102</v>
      </c>
      <c r="D954" s="21" t="str">
        <f>IF($C954="","",IFERROR(VLOOKUP($C954,Map_Register!$A$2:$C$5,3,FALSE()),""))</f>
        <v>Toponym Labels</v>
      </c>
      <c r="E954" s="20" t="s">
        <v>15</v>
      </c>
      <c r="F954" s="22">
        <v>786625</v>
      </c>
      <c r="G954" s="19" t="s">
        <v>1179</v>
      </c>
      <c r="H954" s="19" t="s">
        <v>2602</v>
      </c>
      <c r="I954" s="19" t="s">
        <v>2603</v>
      </c>
      <c r="J954" s="19" t="s">
        <v>1104</v>
      </c>
      <c r="K954" t="s">
        <v>1100</v>
      </c>
      <c r="L954" t="s">
        <v>114</v>
      </c>
      <c r="M954" t="s">
        <v>114</v>
      </c>
      <c r="N954" s="19" t="s">
        <v>1184</v>
      </c>
      <c r="O954" s="19" t="s">
        <v>116</v>
      </c>
      <c r="R954" t="s">
        <v>1097</v>
      </c>
    </row>
    <row r="955" spans="1:18" hidden="1" x14ac:dyDescent="0.3">
      <c r="A955" s="19">
        <f t="shared" si="14"/>
        <v>954</v>
      </c>
      <c r="B955" s="20" t="s">
        <v>87</v>
      </c>
      <c r="C955" s="20" t="s">
        <v>102</v>
      </c>
      <c r="D955" s="21" t="str">
        <f>IF($C955="","",IFERROR(VLOOKUP($C955,Map_Register!$A$2:$C$5,3,FALSE()),""))</f>
        <v>Toponym Labels</v>
      </c>
      <c r="E955" s="20" t="s">
        <v>15</v>
      </c>
      <c r="F955" s="22">
        <v>786626</v>
      </c>
      <c r="G955" s="19" t="s">
        <v>1179</v>
      </c>
      <c r="H955" s="19" t="s">
        <v>2604</v>
      </c>
      <c r="I955" s="19" t="s">
        <v>2604</v>
      </c>
      <c r="J955" s="19" t="s">
        <v>1110</v>
      </c>
      <c r="K955" s="19" t="s">
        <v>6</v>
      </c>
      <c r="L955" s="19" t="s">
        <v>1095</v>
      </c>
      <c r="M955" s="19" t="s">
        <v>1095</v>
      </c>
      <c r="N955" s="19" t="s">
        <v>1502</v>
      </c>
      <c r="R955" t="s">
        <v>1097</v>
      </c>
    </row>
    <row r="956" spans="1:18" x14ac:dyDescent="0.3">
      <c r="A956" s="19">
        <f t="shared" si="14"/>
        <v>955</v>
      </c>
      <c r="B956" s="20" t="s">
        <v>87</v>
      </c>
      <c r="C956" s="20" t="s">
        <v>102</v>
      </c>
      <c r="D956" s="21" t="str">
        <f>IF($C956="","",IFERROR(VLOOKUP($C956,Map_Register!$A$2:$C$5,3,FALSE()),""))</f>
        <v>Toponym Labels</v>
      </c>
      <c r="E956" s="20" t="s">
        <v>15</v>
      </c>
      <c r="F956" s="22">
        <v>786627</v>
      </c>
      <c r="G956" s="19" t="s">
        <v>1179</v>
      </c>
      <c r="H956" s="19" t="s">
        <v>2605</v>
      </c>
      <c r="I956" s="19" t="s">
        <v>2605</v>
      </c>
      <c r="J956" s="19" t="s">
        <v>1110</v>
      </c>
      <c r="K956" t="s">
        <v>1100</v>
      </c>
      <c r="L956" t="s">
        <v>114</v>
      </c>
      <c r="M956" t="s">
        <v>116</v>
      </c>
      <c r="N956" s="19" t="s">
        <v>1512</v>
      </c>
      <c r="O956" s="19" t="s">
        <v>116</v>
      </c>
      <c r="R956" t="s">
        <v>1097</v>
      </c>
    </row>
    <row r="957" spans="1:18" x14ac:dyDescent="0.3">
      <c r="A957" s="19">
        <f t="shared" si="14"/>
        <v>956</v>
      </c>
      <c r="B957" s="20" t="s">
        <v>87</v>
      </c>
      <c r="C957" s="20" t="s">
        <v>102</v>
      </c>
      <c r="D957" s="21" t="str">
        <f>IF($C957="","",IFERROR(VLOOKUP($C957,Map_Register!$A$2:$C$5,3,FALSE()),""))</f>
        <v>Toponym Labels</v>
      </c>
      <c r="E957" s="20" t="s">
        <v>15</v>
      </c>
      <c r="F957" s="22">
        <v>786628</v>
      </c>
      <c r="G957" s="19" t="s">
        <v>1179</v>
      </c>
      <c r="H957" s="19" t="s">
        <v>948</v>
      </c>
      <c r="I957" s="19" t="s">
        <v>948</v>
      </c>
      <c r="J957" s="19" t="s">
        <v>1110</v>
      </c>
      <c r="K957" t="s">
        <v>1100</v>
      </c>
      <c r="L957" t="s">
        <v>114</v>
      </c>
      <c r="M957" t="s">
        <v>116</v>
      </c>
      <c r="N957" s="19" t="s">
        <v>1512</v>
      </c>
      <c r="O957" s="19" t="s">
        <v>116</v>
      </c>
      <c r="R957" t="s">
        <v>1097</v>
      </c>
    </row>
    <row r="958" spans="1:18" hidden="1" x14ac:dyDescent="0.3">
      <c r="A958" s="19">
        <f t="shared" si="14"/>
        <v>957</v>
      </c>
      <c r="B958" s="20" t="s">
        <v>87</v>
      </c>
      <c r="C958" s="20" t="s">
        <v>102</v>
      </c>
      <c r="D958" s="21" t="str">
        <f>IF($C958="","",IFERROR(VLOOKUP($C958,Map_Register!$A$2:$C$5,3,FALSE()),""))</f>
        <v>Toponym Labels</v>
      </c>
      <c r="E958" s="20" t="s">
        <v>15</v>
      </c>
      <c r="F958" s="22">
        <v>786629</v>
      </c>
      <c r="G958" s="19" t="s">
        <v>1179</v>
      </c>
      <c r="H958" s="19" t="s">
        <v>2606</v>
      </c>
      <c r="I958" s="19" t="s">
        <v>2606</v>
      </c>
      <c r="J958" s="19" t="s">
        <v>1110</v>
      </c>
      <c r="K958" s="19" t="s">
        <v>6</v>
      </c>
      <c r="L958" s="19" t="s">
        <v>1095</v>
      </c>
      <c r="M958" s="19" t="s">
        <v>1095</v>
      </c>
      <c r="N958" s="19" t="s">
        <v>1502</v>
      </c>
      <c r="R958" t="s">
        <v>1097</v>
      </c>
    </row>
    <row r="959" spans="1:18" hidden="1" x14ac:dyDescent="0.3">
      <c r="A959" s="19">
        <f t="shared" si="14"/>
        <v>958</v>
      </c>
      <c r="B959" s="20" t="s">
        <v>87</v>
      </c>
      <c r="C959" s="20" t="s">
        <v>102</v>
      </c>
      <c r="D959" s="21" t="str">
        <f>IF($C959="","",IFERROR(VLOOKUP($C959,Map_Register!$A$2:$C$5,3,FALSE()),""))</f>
        <v>Toponym Labels</v>
      </c>
      <c r="E959" s="20" t="s">
        <v>15</v>
      </c>
      <c r="F959" s="22">
        <v>786630</v>
      </c>
      <c r="G959" s="19" t="s">
        <v>1179</v>
      </c>
      <c r="H959" s="19" t="s">
        <v>2607</v>
      </c>
      <c r="I959" s="19" t="s">
        <v>2607</v>
      </c>
      <c r="J959" s="19" t="s">
        <v>1110</v>
      </c>
      <c r="K959" s="19" t="s">
        <v>6</v>
      </c>
      <c r="L959" s="19" t="s">
        <v>1095</v>
      </c>
      <c r="M959" s="19" t="s">
        <v>1095</v>
      </c>
      <c r="N959" s="19" t="s">
        <v>1502</v>
      </c>
      <c r="R959" t="s">
        <v>1097</v>
      </c>
    </row>
    <row r="960" spans="1:18" hidden="1" x14ac:dyDescent="0.3">
      <c r="A960" s="19">
        <f t="shared" si="14"/>
        <v>959</v>
      </c>
      <c r="B960" s="20" t="s">
        <v>87</v>
      </c>
      <c r="C960" s="20" t="s">
        <v>102</v>
      </c>
      <c r="D960" s="21" t="str">
        <f>IF($C960="","",IFERROR(VLOOKUP($C960,Map_Register!$A$2:$C$5,3,FALSE()),""))</f>
        <v>Toponym Labels</v>
      </c>
      <c r="E960" s="20" t="s">
        <v>15</v>
      </c>
      <c r="F960" s="22">
        <v>786631</v>
      </c>
      <c r="G960" s="19" t="s">
        <v>1179</v>
      </c>
      <c r="H960" s="19" t="s">
        <v>2489</v>
      </c>
      <c r="I960" s="19" t="s">
        <v>2489</v>
      </c>
      <c r="J960" s="19" t="s">
        <v>1110</v>
      </c>
      <c r="K960" s="19" t="s">
        <v>6</v>
      </c>
      <c r="L960" s="19" t="s">
        <v>1095</v>
      </c>
      <c r="M960" s="19" t="s">
        <v>1095</v>
      </c>
      <c r="N960" s="19" t="s">
        <v>1502</v>
      </c>
      <c r="R960" t="s">
        <v>1097</v>
      </c>
    </row>
    <row r="961" spans="1:18" hidden="1" x14ac:dyDescent="0.3">
      <c r="A961" s="19">
        <f t="shared" si="14"/>
        <v>960</v>
      </c>
      <c r="B961" s="20" t="s">
        <v>87</v>
      </c>
      <c r="C961" s="20" t="s">
        <v>102</v>
      </c>
      <c r="D961" s="21" t="str">
        <f>IF($C961="","",IFERROR(VLOOKUP($C961,Map_Register!$A$2:$C$5,3,FALSE()),""))</f>
        <v>Toponym Labels</v>
      </c>
      <c r="E961" s="20" t="s">
        <v>15</v>
      </c>
      <c r="F961" s="22">
        <v>786632</v>
      </c>
      <c r="G961" s="19" t="s">
        <v>1179</v>
      </c>
      <c r="H961" s="19" t="s">
        <v>2608</v>
      </c>
      <c r="I961" s="19" t="s">
        <v>2608</v>
      </c>
      <c r="J961" s="19" t="s">
        <v>1110</v>
      </c>
      <c r="K961" t="s">
        <v>1100</v>
      </c>
      <c r="L961" t="s">
        <v>114</v>
      </c>
      <c r="M961" t="s">
        <v>114</v>
      </c>
      <c r="N961" s="19" t="s">
        <v>1184</v>
      </c>
      <c r="O961" s="19" t="s">
        <v>116</v>
      </c>
      <c r="R961" t="s">
        <v>1097</v>
      </c>
    </row>
    <row r="962" spans="1:18" hidden="1" x14ac:dyDescent="0.3">
      <c r="A962" s="19">
        <f t="shared" ref="A962:A1025" si="15">IF($B962="","",ROW()-1)</f>
        <v>961</v>
      </c>
      <c r="B962" s="20" t="s">
        <v>87</v>
      </c>
      <c r="C962" s="20" t="s">
        <v>102</v>
      </c>
      <c r="D962" s="21" t="str">
        <f>IF($C962="","",IFERROR(VLOOKUP($C962,Map_Register!$A$2:$C$5,3,FALSE()),""))</f>
        <v>Toponym Labels</v>
      </c>
      <c r="E962" s="20" t="s">
        <v>15</v>
      </c>
      <c r="F962" s="22">
        <v>786633</v>
      </c>
      <c r="G962" s="19" t="s">
        <v>1179</v>
      </c>
      <c r="H962" s="19" t="s">
        <v>2609</v>
      </c>
      <c r="I962" s="19" t="s">
        <v>2610</v>
      </c>
      <c r="J962" s="19" t="s">
        <v>1094</v>
      </c>
      <c r="K962" s="19" t="s">
        <v>6</v>
      </c>
      <c r="L962" s="19" t="s">
        <v>1095</v>
      </c>
      <c r="M962" s="19" t="s">
        <v>1095</v>
      </c>
      <c r="N962" s="19" t="s">
        <v>1105</v>
      </c>
      <c r="R962" t="s">
        <v>1097</v>
      </c>
    </row>
    <row r="963" spans="1:18" hidden="1" x14ac:dyDescent="0.3">
      <c r="A963" s="19">
        <f t="shared" si="15"/>
        <v>962</v>
      </c>
      <c r="B963" s="20" t="s">
        <v>87</v>
      </c>
      <c r="C963" s="20" t="s">
        <v>102</v>
      </c>
      <c r="D963" s="21" t="str">
        <f>IF($C963="","",IFERROR(VLOOKUP($C963,Map_Register!$A$2:$C$5,3,FALSE()),""))</f>
        <v>Toponym Labels</v>
      </c>
      <c r="E963" s="20" t="s">
        <v>15</v>
      </c>
      <c r="F963" s="22">
        <v>786634</v>
      </c>
      <c r="G963" s="19" t="s">
        <v>1205</v>
      </c>
      <c r="H963" s="19" t="s">
        <v>2611</v>
      </c>
      <c r="I963" s="19" t="s">
        <v>2611</v>
      </c>
      <c r="J963" s="19" t="s">
        <v>1110</v>
      </c>
      <c r="K963" t="s">
        <v>1100</v>
      </c>
      <c r="L963" t="s">
        <v>114</v>
      </c>
      <c r="M963" t="s">
        <v>114</v>
      </c>
      <c r="N963" s="19" t="s">
        <v>1290</v>
      </c>
      <c r="O963" s="19" t="s">
        <v>116</v>
      </c>
      <c r="R963" t="s">
        <v>1097</v>
      </c>
    </row>
    <row r="964" spans="1:18" hidden="1" x14ac:dyDescent="0.3">
      <c r="A964" s="19">
        <f t="shared" si="15"/>
        <v>963</v>
      </c>
      <c r="B964" s="20" t="s">
        <v>87</v>
      </c>
      <c r="C964" s="20" t="s">
        <v>102</v>
      </c>
      <c r="D964" s="21" t="str">
        <f>IF($C964="","",IFERROR(VLOOKUP($C964,Map_Register!$A$2:$C$5,3,FALSE()),""))</f>
        <v>Toponym Labels</v>
      </c>
      <c r="E964" s="20" t="s">
        <v>15</v>
      </c>
      <c r="F964" s="22">
        <v>786635</v>
      </c>
      <c r="G964" s="19" t="s">
        <v>1205</v>
      </c>
      <c r="H964" s="19" t="s">
        <v>2612</v>
      </c>
      <c r="I964" s="19" t="s">
        <v>2612</v>
      </c>
      <c r="J964" s="19" t="s">
        <v>1110</v>
      </c>
      <c r="K964" t="s">
        <v>1100</v>
      </c>
      <c r="L964" t="s">
        <v>114</v>
      </c>
      <c r="M964" t="s">
        <v>114</v>
      </c>
      <c r="N964" s="19" t="s">
        <v>1290</v>
      </c>
      <c r="O964" s="19" t="s">
        <v>116</v>
      </c>
      <c r="R964" t="s">
        <v>1097</v>
      </c>
    </row>
    <row r="965" spans="1:18" hidden="1" x14ac:dyDescent="0.3">
      <c r="A965" s="19">
        <f t="shared" si="15"/>
        <v>964</v>
      </c>
      <c r="B965" s="20" t="s">
        <v>87</v>
      </c>
      <c r="C965" s="20" t="s">
        <v>102</v>
      </c>
      <c r="D965" s="21" t="str">
        <f>IF($C965="","",IFERROR(VLOOKUP($C965,Map_Register!$A$2:$C$5,3,FALSE()),""))</f>
        <v>Toponym Labels</v>
      </c>
      <c r="E965" s="20" t="s">
        <v>15</v>
      </c>
      <c r="F965" s="22">
        <v>786636</v>
      </c>
      <c r="G965" s="19" t="s">
        <v>1205</v>
      </c>
      <c r="H965" s="19" t="s">
        <v>944</v>
      </c>
      <c r="I965" s="19" t="s">
        <v>944</v>
      </c>
      <c r="J965" s="19" t="s">
        <v>1110</v>
      </c>
      <c r="K965" t="s">
        <v>1100</v>
      </c>
      <c r="L965" t="s">
        <v>114</v>
      </c>
      <c r="M965" t="s">
        <v>114</v>
      </c>
      <c r="N965" s="19" t="s">
        <v>1290</v>
      </c>
      <c r="O965" s="19" t="s">
        <v>116</v>
      </c>
      <c r="R965" t="s">
        <v>1097</v>
      </c>
    </row>
    <row r="966" spans="1:18" hidden="1" x14ac:dyDescent="0.3">
      <c r="A966" s="19">
        <f t="shared" si="15"/>
        <v>965</v>
      </c>
      <c r="B966" s="20" t="s">
        <v>87</v>
      </c>
      <c r="C966" s="20" t="s">
        <v>102</v>
      </c>
      <c r="D966" s="21" t="str">
        <f>IF($C966="","",IFERROR(VLOOKUP($C966,Map_Register!$A$2:$C$5,3,FALSE()),""))</f>
        <v>Toponym Labels</v>
      </c>
      <c r="E966" s="20" t="s">
        <v>15</v>
      </c>
      <c r="F966" s="22">
        <v>788590</v>
      </c>
      <c r="G966" s="19" t="s">
        <v>1108</v>
      </c>
      <c r="H966" s="19" t="s">
        <v>2613</v>
      </c>
      <c r="I966" s="19" t="s">
        <v>2613</v>
      </c>
      <c r="J966" s="19" t="s">
        <v>1110</v>
      </c>
      <c r="K966" s="19" t="s">
        <v>6</v>
      </c>
      <c r="L966" s="19" t="s">
        <v>1095</v>
      </c>
      <c r="M966" s="19" t="s">
        <v>1095</v>
      </c>
      <c r="N966" s="19" t="s">
        <v>1111</v>
      </c>
      <c r="R966" t="s">
        <v>1097</v>
      </c>
    </row>
    <row r="967" spans="1:18" hidden="1" x14ac:dyDescent="0.3">
      <c r="A967" s="19">
        <f t="shared" si="15"/>
        <v>966</v>
      </c>
      <c r="B967" s="20" t="s">
        <v>87</v>
      </c>
      <c r="C967" s="20" t="s">
        <v>102</v>
      </c>
      <c r="D967" s="21" t="str">
        <f>IF($C967="","",IFERROR(VLOOKUP($C967,Map_Register!$A$2:$C$5,3,FALSE()),""))</f>
        <v>Toponym Labels</v>
      </c>
      <c r="E967" s="20" t="s">
        <v>15</v>
      </c>
      <c r="F967" s="22">
        <v>788591</v>
      </c>
      <c r="G967" s="19" t="s">
        <v>1179</v>
      </c>
      <c r="H967" s="19" t="s">
        <v>1524</v>
      </c>
      <c r="I967" s="19" t="s">
        <v>2614</v>
      </c>
      <c r="J967" s="19" t="s">
        <v>1104</v>
      </c>
      <c r="K967" t="s">
        <v>1100</v>
      </c>
      <c r="L967" t="s">
        <v>114</v>
      </c>
      <c r="M967" t="s">
        <v>114</v>
      </c>
      <c r="N967" s="19" t="s">
        <v>1184</v>
      </c>
      <c r="O967" s="19" t="s">
        <v>116</v>
      </c>
      <c r="R967" t="s">
        <v>1097</v>
      </c>
    </row>
    <row r="968" spans="1:18" x14ac:dyDescent="0.3">
      <c r="A968" s="19">
        <f t="shared" si="15"/>
        <v>967</v>
      </c>
      <c r="B968" s="20" t="s">
        <v>87</v>
      </c>
      <c r="C968" s="20" t="s">
        <v>102</v>
      </c>
      <c r="D968" s="21" t="str">
        <f>IF($C968="","",IFERROR(VLOOKUP($C968,Map_Register!$A$2:$C$5,3,FALSE()),""))</f>
        <v>Toponym Labels</v>
      </c>
      <c r="E968" s="20" t="s">
        <v>15</v>
      </c>
      <c r="F968" s="22">
        <v>788592</v>
      </c>
      <c r="G968" s="19" t="s">
        <v>1125</v>
      </c>
      <c r="H968" s="19" t="s">
        <v>2615</v>
      </c>
      <c r="I968" s="19" t="s">
        <v>2615</v>
      </c>
      <c r="J968" s="19" t="s">
        <v>1110</v>
      </c>
      <c r="K968" t="s">
        <v>1100</v>
      </c>
      <c r="L968" t="s">
        <v>114</v>
      </c>
      <c r="M968" t="s">
        <v>116</v>
      </c>
      <c r="N968" s="19" t="s">
        <v>1268</v>
      </c>
      <c r="O968" s="19" t="s">
        <v>116</v>
      </c>
      <c r="R968" t="s">
        <v>1097</v>
      </c>
    </row>
    <row r="969" spans="1:18" hidden="1" x14ac:dyDescent="0.3">
      <c r="A969" s="19">
        <f t="shared" si="15"/>
        <v>968</v>
      </c>
      <c r="B969" s="20" t="s">
        <v>87</v>
      </c>
      <c r="C969" s="20" t="s">
        <v>102</v>
      </c>
      <c r="D969" s="21" t="str">
        <f>IF($C969="","",IFERROR(VLOOKUP($C969,Map_Register!$A$2:$C$5,3,FALSE()),""))</f>
        <v>Toponym Labels</v>
      </c>
      <c r="E969" s="20" t="s">
        <v>15</v>
      </c>
      <c r="F969" s="22">
        <v>788593</v>
      </c>
      <c r="G969" s="19" t="s">
        <v>1091</v>
      </c>
      <c r="H969" s="19" t="s">
        <v>2616</v>
      </c>
      <c r="I969" s="19" t="s">
        <v>2616</v>
      </c>
      <c r="J969" s="19" t="s">
        <v>1110</v>
      </c>
      <c r="K969" t="s">
        <v>1100</v>
      </c>
      <c r="L969" t="s">
        <v>114</v>
      </c>
      <c r="M969" t="s">
        <v>114</v>
      </c>
      <c r="N969" s="19" t="s">
        <v>530</v>
      </c>
      <c r="O969" s="19" t="s">
        <v>116</v>
      </c>
      <c r="R969" t="s">
        <v>1097</v>
      </c>
    </row>
    <row r="970" spans="1:18" hidden="1" x14ac:dyDescent="0.3">
      <c r="A970" s="19">
        <f t="shared" si="15"/>
        <v>969</v>
      </c>
      <c r="B970" s="20" t="s">
        <v>87</v>
      </c>
      <c r="C970" s="20" t="s">
        <v>102</v>
      </c>
      <c r="D970" s="21" t="str">
        <f>IF($C970="","",IFERROR(VLOOKUP($C970,Map_Register!$A$2:$C$5,3,FALSE()),""))</f>
        <v>Toponym Labels</v>
      </c>
      <c r="E970" s="20" t="s">
        <v>15</v>
      </c>
      <c r="F970" s="22">
        <v>788594</v>
      </c>
      <c r="G970" s="19" t="s">
        <v>1125</v>
      </c>
      <c r="H970" s="19" t="s">
        <v>2617</v>
      </c>
      <c r="I970" s="19" t="s">
        <v>2617</v>
      </c>
      <c r="J970" s="19" t="s">
        <v>1110</v>
      </c>
      <c r="K970" t="s">
        <v>1100</v>
      </c>
      <c r="L970" t="s">
        <v>114</v>
      </c>
      <c r="M970" t="s">
        <v>114</v>
      </c>
      <c r="N970" s="19" t="s">
        <v>2618</v>
      </c>
      <c r="O970" s="19" t="s">
        <v>116</v>
      </c>
      <c r="R970" t="s">
        <v>1097</v>
      </c>
    </row>
    <row r="971" spans="1:18" hidden="1" x14ac:dyDescent="0.3">
      <c r="A971" s="19">
        <f t="shared" si="15"/>
        <v>970</v>
      </c>
      <c r="B971" s="20" t="s">
        <v>87</v>
      </c>
      <c r="C971" s="20" t="s">
        <v>102</v>
      </c>
      <c r="D971" s="21" t="str">
        <f>IF($C971="","",IFERROR(VLOOKUP($C971,Map_Register!$A$2:$C$5,3,FALSE()),""))</f>
        <v>Toponym Labels</v>
      </c>
      <c r="E971" s="20" t="s">
        <v>15</v>
      </c>
      <c r="F971" s="22">
        <v>788599</v>
      </c>
      <c r="G971" s="19" t="s">
        <v>1091</v>
      </c>
      <c r="H971" s="19" t="s">
        <v>2619</v>
      </c>
      <c r="I971" s="19" t="s">
        <v>2619</v>
      </c>
      <c r="J971" s="19" t="s">
        <v>1110</v>
      </c>
      <c r="K971" t="s">
        <v>1100</v>
      </c>
      <c r="L971" t="s">
        <v>114</v>
      </c>
      <c r="M971" t="s">
        <v>114</v>
      </c>
      <c r="N971" s="19" t="s">
        <v>530</v>
      </c>
      <c r="O971" s="19" t="s">
        <v>116</v>
      </c>
      <c r="R971" t="s">
        <v>1097</v>
      </c>
    </row>
    <row r="972" spans="1:18" x14ac:dyDescent="0.3">
      <c r="A972" s="19">
        <f t="shared" si="15"/>
        <v>971</v>
      </c>
      <c r="B972" s="20" t="s">
        <v>87</v>
      </c>
      <c r="C972" s="20" t="s">
        <v>102</v>
      </c>
      <c r="D972" s="21" t="str">
        <f>IF($C972="","",IFERROR(VLOOKUP($C972,Map_Register!$A$2:$C$5,3,FALSE()),""))</f>
        <v>Toponym Labels</v>
      </c>
      <c r="E972" s="20" t="s">
        <v>15</v>
      </c>
      <c r="F972" s="22">
        <v>788600</v>
      </c>
      <c r="G972" s="19" t="s">
        <v>1179</v>
      </c>
      <c r="H972" s="19" t="s">
        <v>2620</v>
      </c>
      <c r="I972" s="19" t="s">
        <v>2620</v>
      </c>
      <c r="J972" s="19" t="s">
        <v>1110</v>
      </c>
      <c r="K972" t="s">
        <v>1100</v>
      </c>
      <c r="L972" t="s">
        <v>114</v>
      </c>
      <c r="M972" t="s">
        <v>116</v>
      </c>
      <c r="N972" s="19" t="s">
        <v>1512</v>
      </c>
      <c r="O972" s="19" t="s">
        <v>116</v>
      </c>
      <c r="R972" t="s">
        <v>1097</v>
      </c>
    </row>
    <row r="973" spans="1:18" x14ac:dyDescent="0.3">
      <c r="A973" s="19">
        <f t="shared" si="15"/>
        <v>972</v>
      </c>
      <c r="B973" s="20" t="s">
        <v>87</v>
      </c>
      <c r="C973" s="20" t="s">
        <v>102</v>
      </c>
      <c r="D973" s="21" t="str">
        <f>IF($C973="","",IFERROR(VLOOKUP($C973,Map_Register!$A$2:$C$5,3,FALSE()),""))</f>
        <v>Toponym Labels</v>
      </c>
      <c r="E973" s="20" t="s">
        <v>15</v>
      </c>
      <c r="F973" s="22">
        <v>788601</v>
      </c>
      <c r="G973" s="19" t="s">
        <v>1179</v>
      </c>
      <c r="H973" s="19" t="s">
        <v>2621</v>
      </c>
      <c r="I973" s="19" t="s">
        <v>2621</v>
      </c>
      <c r="J973" s="19" t="s">
        <v>1110</v>
      </c>
      <c r="K973" t="s">
        <v>1100</v>
      </c>
      <c r="L973" t="s">
        <v>114</v>
      </c>
      <c r="M973" t="s">
        <v>116</v>
      </c>
      <c r="N973" s="19" t="s">
        <v>1512</v>
      </c>
      <c r="O973" s="19" t="s">
        <v>116</v>
      </c>
      <c r="R973" t="s">
        <v>1097</v>
      </c>
    </row>
    <row r="974" spans="1:18" hidden="1" x14ac:dyDescent="0.3">
      <c r="A974" s="19">
        <f t="shared" si="15"/>
        <v>973</v>
      </c>
      <c r="B974" s="20" t="s">
        <v>87</v>
      </c>
      <c r="C974" s="20" t="s">
        <v>102</v>
      </c>
      <c r="D974" s="21" t="str">
        <f>IF($C974="","",IFERROR(VLOOKUP($C974,Map_Register!$A$2:$C$5,3,FALSE()),""))</f>
        <v>Toponym Labels</v>
      </c>
      <c r="E974" s="20" t="s">
        <v>15</v>
      </c>
      <c r="F974" s="22">
        <v>788602</v>
      </c>
      <c r="G974" s="19" t="s">
        <v>1136</v>
      </c>
      <c r="H974" s="19" t="s">
        <v>2622</v>
      </c>
      <c r="I974" s="19" t="s">
        <v>2622</v>
      </c>
      <c r="J974" s="19" t="s">
        <v>1110</v>
      </c>
      <c r="K974" t="s">
        <v>1100</v>
      </c>
      <c r="L974" t="s">
        <v>114</v>
      </c>
      <c r="M974" t="s">
        <v>114</v>
      </c>
      <c r="N974" s="19" t="s">
        <v>530</v>
      </c>
      <c r="O974" s="19" t="s">
        <v>116</v>
      </c>
      <c r="R974" t="s">
        <v>1097</v>
      </c>
    </row>
    <row r="975" spans="1:18" hidden="1" x14ac:dyDescent="0.3">
      <c r="A975" s="19">
        <f t="shared" si="15"/>
        <v>974</v>
      </c>
      <c r="B975" s="20" t="s">
        <v>87</v>
      </c>
      <c r="C975" s="20" t="s">
        <v>102</v>
      </c>
      <c r="D975" s="21" t="str">
        <f>IF($C975="","",IFERROR(VLOOKUP($C975,Map_Register!$A$2:$C$5,3,FALSE()),""))</f>
        <v>Toponym Labels</v>
      </c>
      <c r="E975" s="20" t="s">
        <v>15</v>
      </c>
      <c r="F975" s="22">
        <v>788603</v>
      </c>
      <c r="G975" s="19" t="s">
        <v>1108</v>
      </c>
      <c r="H975" s="19" t="s">
        <v>2580</v>
      </c>
      <c r="I975" s="19" t="s">
        <v>2623</v>
      </c>
      <c r="J975" s="19" t="s">
        <v>2624</v>
      </c>
      <c r="K975" s="19" t="s">
        <v>6</v>
      </c>
      <c r="L975" s="19" t="s">
        <v>1095</v>
      </c>
      <c r="M975" s="19" t="s">
        <v>1095</v>
      </c>
      <c r="N975" s="19" t="s">
        <v>1105</v>
      </c>
      <c r="R975" t="s">
        <v>1097</v>
      </c>
    </row>
    <row r="976" spans="1:18" hidden="1" x14ac:dyDescent="0.3">
      <c r="A976" s="19">
        <f t="shared" si="15"/>
        <v>975</v>
      </c>
      <c r="B976" s="20" t="s">
        <v>87</v>
      </c>
      <c r="C976" s="20" t="s">
        <v>102</v>
      </c>
      <c r="D976" s="21" t="str">
        <f>IF($C976="","",IFERROR(VLOOKUP($C976,Map_Register!$A$2:$C$5,3,FALSE()),""))</f>
        <v>Toponym Labels</v>
      </c>
      <c r="E976" s="20" t="s">
        <v>15</v>
      </c>
      <c r="F976" s="22">
        <v>788604</v>
      </c>
      <c r="G976" s="19" t="s">
        <v>1108</v>
      </c>
      <c r="H976" s="19" t="s">
        <v>2625</v>
      </c>
      <c r="I976" s="19" t="s">
        <v>2625</v>
      </c>
      <c r="J976" s="19" t="s">
        <v>1110</v>
      </c>
      <c r="K976" s="19" t="s">
        <v>6</v>
      </c>
      <c r="L976" s="19" t="s">
        <v>1095</v>
      </c>
      <c r="M976" s="19" t="s">
        <v>1095</v>
      </c>
      <c r="N976" s="19" t="s">
        <v>1111</v>
      </c>
      <c r="R976" t="s">
        <v>1097</v>
      </c>
    </row>
    <row r="977" spans="1:18" hidden="1" x14ac:dyDescent="0.3">
      <c r="A977" s="19">
        <f t="shared" si="15"/>
        <v>976</v>
      </c>
      <c r="B977" s="20" t="s">
        <v>87</v>
      </c>
      <c r="C977" s="20" t="s">
        <v>102</v>
      </c>
      <c r="D977" s="21" t="str">
        <f>IF($C977="","",IFERROR(VLOOKUP($C977,Map_Register!$A$2:$C$5,3,FALSE()),""))</f>
        <v>Toponym Labels</v>
      </c>
      <c r="E977" s="20" t="s">
        <v>15</v>
      </c>
      <c r="F977" s="22">
        <v>788605</v>
      </c>
      <c r="G977" s="19" t="s">
        <v>1091</v>
      </c>
      <c r="H977" s="19" t="s">
        <v>2626</v>
      </c>
      <c r="I977" s="19" t="s">
        <v>2627</v>
      </c>
      <c r="J977" s="19" t="s">
        <v>2628</v>
      </c>
      <c r="K977" s="19" t="s">
        <v>6</v>
      </c>
      <c r="L977" s="19" t="s">
        <v>1095</v>
      </c>
      <c r="M977" s="19" t="s">
        <v>1095</v>
      </c>
      <c r="N977" s="19" t="s">
        <v>2629</v>
      </c>
      <c r="R977" t="s">
        <v>1097</v>
      </c>
    </row>
    <row r="978" spans="1:18" hidden="1" x14ac:dyDescent="0.3">
      <c r="A978" s="19">
        <f t="shared" si="15"/>
        <v>977</v>
      </c>
      <c r="B978" s="20" t="s">
        <v>87</v>
      </c>
      <c r="C978" s="20" t="s">
        <v>102</v>
      </c>
      <c r="D978" s="21" t="str">
        <f>IF($C978="","",IFERROR(VLOOKUP($C978,Map_Register!$A$2:$C$5,3,FALSE()),""))</f>
        <v>Toponym Labels</v>
      </c>
      <c r="E978" s="20" t="s">
        <v>15</v>
      </c>
      <c r="F978" s="22">
        <v>788606</v>
      </c>
      <c r="G978" s="19" t="s">
        <v>1179</v>
      </c>
      <c r="H978" s="19" t="s">
        <v>2630</v>
      </c>
      <c r="I978" s="19" t="s">
        <v>2630</v>
      </c>
      <c r="J978" s="19" t="s">
        <v>1110</v>
      </c>
      <c r="K978" t="s">
        <v>1100</v>
      </c>
      <c r="L978" t="s">
        <v>114</v>
      </c>
      <c r="M978" t="s">
        <v>114</v>
      </c>
      <c r="N978" s="19" t="s">
        <v>1184</v>
      </c>
      <c r="O978" s="19" t="s">
        <v>116</v>
      </c>
      <c r="R978" t="s">
        <v>1097</v>
      </c>
    </row>
    <row r="979" spans="1:18" hidden="1" x14ac:dyDescent="0.3">
      <c r="A979" s="19">
        <f t="shared" si="15"/>
        <v>978</v>
      </c>
      <c r="B979" s="20" t="s">
        <v>87</v>
      </c>
      <c r="C979" s="20" t="s">
        <v>102</v>
      </c>
      <c r="D979" s="21" t="str">
        <f>IF($C979="","",IFERROR(VLOOKUP($C979,Map_Register!$A$2:$C$5,3,FALSE()),""))</f>
        <v>Toponym Labels</v>
      </c>
      <c r="E979" s="20" t="s">
        <v>15</v>
      </c>
      <c r="F979" s="22">
        <v>788607</v>
      </c>
      <c r="G979" s="19" t="s">
        <v>1136</v>
      </c>
      <c r="H979" s="19" t="s">
        <v>2631</v>
      </c>
      <c r="I979" s="19" t="s">
        <v>2631</v>
      </c>
      <c r="J979" s="19" t="s">
        <v>1110</v>
      </c>
      <c r="K979" t="s">
        <v>1100</v>
      </c>
      <c r="L979" t="s">
        <v>114</v>
      </c>
      <c r="M979" t="s">
        <v>114</v>
      </c>
      <c r="N979" s="19" t="s">
        <v>530</v>
      </c>
      <c r="O979" s="19" t="s">
        <v>116</v>
      </c>
      <c r="R979" t="s">
        <v>1097</v>
      </c>
    </row>
    <row r="980" spans="1:18" hidden="1" x14ac:dyDescent="0.3">
      <c r="A980" s="19">
        <f t="shared" si="15"/>
        <v>979</v>
      </c>
      <c r="B980" s="20" t="s">
        <v>87</v>
      </c>
      <c r="C980" s="20" t="s">
        <v>102</v>
      </c>
      <c r="D980" s="21" t="str">
        <f>IF($C980="","",IFERROR(VLOOKUP($C980,Map_Register!$A$2:$C$5,3,FALSE()),""))</f>
        <v>Toponym Labels</v>
      </c>
      <c r="E980" s="20" t="s">
        <v>15</v>
      </c>
      <c r="F980" s="22">
        <v>788610</v>
      </c>
      <c r="G980" s="19" t="s">
        <v>1145</v>
      </c>
      <c r="H980" s="19" t="s">
        <v>2632</v>
      </c>
      <c r="I980" s="19" t="s">
        <v>2632</v>
      </c>
      <c r="J980" s="19" t="s">
        <v>1110</v>
      </c>
      <c r="K980" t="s">
        <v>1100</v>
      </c>
      <c r="L980" t="s">
        <v>114</v>
      </c>
      <c r="M980" t="s">
        <v>114</v>
      </c>
      <c r="N980" s="19" t="s">
        <v>530</v>
      </c>
      <c r="O980" s="19" t="s">
        <v>116</v>
      </c>
      <c r="R980" t="s">
        <v>1097</v>
      </c>
    </row>
    <row r="981" spans="1:18" hidden="1" x14ac:dyDescent="0.3">
      <c r="A981" s="19">
        <f t="shared" si="15"/>
        <v>980</v>
      </c>
      <c r="B981" s="20" t="s">
        <v>87</v>
      </c>
      <c r="C981" s="20" t="s">
        <v>102</v>
      </c>
      <c r="D981" s="21" t="str">
        <f>IF($C981="","",IFERROR(VLOOKUP($C981,Map_Register!$A$2:$C$5,3,FALSE()),""))</f>
        <v>Toponym Labels</v>
      </c>
      <c r="E981" s="20" t="s">
        <v>15</v>
      </c>
      <c r="F981" s="22">
        <v>788613</v>
      </c>
      <c r="G981" s="19" t="s">
        <v>1091</v>
      </c>
      <c r="H981" s="19" t="s">
        <v>2633</v>
      </c>
      <c r="I981" s="19" t="s">
        <v>2633</v>
      </c>
      <c r="J981" s="19" t="s">
        <v>1110</v>
      </c>
      <c r="K981" t="s">
        <v>1100</v>
      </c>
      <c r="L981" s="19" t="s">
        <v>114</v>
      </c>
      <c r="M981" s="19" t="s">
        <v>114</v>
      </c>
      <c r="N981" s="19" t="s">
        <v>2634</v>
      </c>
      <c r="O981" s="19" t="s">
        <v>116</v>
      </c>
      <c r="R981" t="s">
        <v>1097</v>
      </c>
    </row>
    <row r="982" spans="1:18" hidden="1" x14ac:dyDescent="0.3">
      <c r="A982" s="19">
        <f t="shared" si="15"/>
        <v>981</v>
      </c>
      <c r="B982" s="20" t="s">
        <v>87</v>
      </c>
      <c r="C982" s="20" t="s">
        <v>102</v>
      </c>
      <c r="D982" s="21" t="str">
        <f>IF($C982="","",IFERROR(VLOOKUP($C982,Map_Register!$A$2:$C$5,3,FALSE()),""))</f>
        <v>Toponym Labels</v>
      </c>
      <c r="E982" s="20" t="s">
        <v>15</v>
      </c>
      <c r="F982" s="22">
        <v>788618</v>
      </c>
      <c r="G982" s="19" t="s">
        <v>1091</v>
      </c>
      <c r="H982" s="19" t="s">
        <v>2635</v>
      </c>
      <c r="I982" s="19" t="s">
        <v>2635</v>
      </c>
      <c r="J982" s="19" t="s">
        <v>1110</v>
      </c>
      <c r="K982" t="s">
        <v>1100</v>
      </c>
      <c r="L982" t="s">
        <v>114</v>
      </c>
      <c r="M982" t="s">
        <v>114</v>
      </c>
      <c r="N982" s="19" t="s">
        <v>530</v>
      </c>
      <c r="O982" s="19" t="s">
        <v>116</v>
      </c>
      <c r="R982" t="s">
        <v>1097</v>
      </c>
    </row>
    <row r="983" spans="1:18" hidden="1" x14ac:dyDescent="0.3">
      <c r="A983" s="19">
        <f t="shared" si="15"/>
        <v>982</v>
      </c>
      <c r="B983" s="20" t="s">
        <v>87</v>
      </c>
      <c r="C983" s="20" t="s">
        <v>102</v>
      </c>
      <c r="D983" s="21" t="str">
        <f>IF($C983="","",IFERROR(VLOOKUP($C983,Map_Register!$A$2:$C$5,3,FALSE()),""))</f>
        <v>Toponym Labels</v>
      </c>
      <c r="E983" s="20" t="s">
        <v>15</v>
      </c>
      <c r="F983" s="22">
        <v>789752</v>
      </c>
      <c r="G983" s="19" t="s">
        <v>1108</v>
      </c>
      <c r="H983" s="19" t="s">
        <v>2636</v>
      </c>
      <c r="I983" s="19" t="s">
        <v>2636</v>
      </c>
      <c r="J983" s="19" t="s">
        <v>1110</v>
      </c>
      <c r="K983" s="19" t="s">
        <v>6</v>
      </c>
      <c r="L983" s="19" t="s">
        <v>1095</v>
      </c>
      <c r="M983" s="19" t="s">
        <v>1095</v>
      </c>
      <c r="N983" s="19" t="s">
        <v>2637</v>
      </c>
      <c r="R983" t="s">
        <v>1097</v>
      </c>
    </row>
    <row r="984" spans="1:18" hidden="1" x14ac:dyDescent="0.3">
      <c r="A984" s="19">
        <f t="shared" si="15"/>
        <v>983</v>
      </c>
      <c r="B984" s="20" t="s">
        <v>87</v>
      </c>
      <c r="C984" s="20" t="s">
        <v>102</v>
      </c>
      <c r="D984" s="21" t="str">
        <f>IF($C984="","",IFERROR(VLOOKUP($C984,Map_Register!$A$2:$C$5,3,FALSE()),""))</f>
        <v>Toponym Labels</v>
      </c>
      <c r="E984" s="20" t="s">
        <v>15</v>
      </c>
      <c r="F984" s="22">
        <v>789753</v>
      </c>
      <c r="G984" s="19" t="s">
        <v>2638</v>
      </c>
      <c r="H984" s="19" t="s">
        <v>2639</v>
      </c>
      <c r="I984" s="19" t="s">
        <v>2639</v>
      </c>
      <c r="J984" s="19" t="s">
        <v>1110</v>
      </c>
      <c r="K984" t="s">
        <v>1100</v>
      </c>
      <c r="L984" t="s">
        <v>114</v>
      </c>
      <c r="M984" t="s">
        <v>114</v>
      </c>
      <c r="N984" s="19" t="s">
        <v>2640</v>
      </c>
      <c r="O984" s="19" t="s">
        <v>116</v>
      </c>
      <c r="R984" t="s">
        <v>1097</v>
      </c>
    </row>
    <row r="985" spans="1:18" hidden="1" x14ac:dyDescent="0.3">
      <c r="A985" s="19">
        <f t="shared" si="15"/>
        <v>984</v>
      </c>
      <c r="B985" s="20" t="s">
        <v>87</v>
      </c>
      <c r="C985" s="20" t="s">
        <v>102</v>
      </c>
      <c r="D985" s="21" t="str">
        <f>IF($C985="","",IFERROR(VLOOKUP($C985,Map_Register!$A$2:$C$5,3,FALSE()),""))</f>
        <v>Toponym Labels</v>
      </c>
      <c r="E985" s="20" t="s">
        <v>15</v>
      </c>
      <c r="F985" s="22">
        <v>789754</v>
      </c>
      <c r="G985" s="19" t="s">
        <v>1179</v>
      </c>
      <c r="H985" s="19" t="s">
        <v>2641</v>
      </c>
      <c r="I985" s="19" t="s">
        <v>2642</v>
      </c>
      <c r="J985" s="19" t="s">
        <v>1104</v>
      </c>
      <c r="K985" t="s">
        <v>1100</v>
      </c>
      <c r="L985" t="s">
        <v>114</v>
      </c>
      <c r="M985" t="s">
        <v>114</v>
      </c>
      <c r="N985" s="19" t="s">
        <v>1184</v>
      </c>
      <c r="O985" s="19" t="s">
        <v>116</v>
      </c>
      <c r="R985" t="s">
        <v>1097</v>
      </c>
    </row>
    <row r="986" spans="1:18" x14ac:dyDescent="0.3">
      <c r="A986" s="19">
        <f t="shared" si="15"/>
        <v>985</v>
      </c>
      <c r="B986" s="20" t="s">
        <v>87</v>
      </c>
      <c r="C986" s="20" t="s">
        <v>102</v>
      </c>
      <c r="D986" s="21" t="str">
        <f>IF($C986="","",IFERROR(VLOOKUP($C986,Map_Register!$A$2:$C$5,3,FALSE()),""))</f>
        <v>Toponym Labels</v>
      </c>
      <c r="E986" s="20" t="s">
        <v>15</v>
      </c>
      <c r="F986" s="22">
        <v>789755</v>
      </c>
      <c r="G986" s="19" t="s">
        <v>2643</v>
      </c>
      <c r="H986" s="19" t="s">
        <v>2644</v>
      </c>
      <c r="I986" s="19" t="s">
        <v>2644</v>
      </c>
      <c r="J986" s="19" t="s">
        <v>1110</v>
      </c>
      <c r="K986" t="s">
        <v>1100</v>
      </c>
      <c r="L986" t="s">
        <v>114</v>
      </c>
      <c r="M986" t="s">
        <v>116</v>
      </c>
      <c r="N986" s="19" t="s">
        <v>2645</v>
      </c>
      <c r="O986" s="19" t="s">
        <v>116</v>
      </c>
      <c r="R986" t="s">
        <v>1097</v>
      </c>
    </row>
    <row r="987" spans="1:18" x14ac:dyDescent="0.3">
      <c r="A987" s="19">
        <f t="shared" si="15"/>
        <v>986</v>
      </c>
      <c r="B987" s="20" t="s">
        <v>87</v>
      </c>
      <c r="C987" s="20" t="s">
        <v>102</v>
      </c>
      <c r="D987" s="21" t="str">
        <f>IF($C987="","",IFERROR(VLOOKUP($C987,Map_Register!$A$2:$C$5,3,FALSE()),""))</f>
        <v>Toponym Labels</v>
      </c>
      <c r="E987" s="20" t="s">
        <v>15</v>
      </c>
      <c r="F987" s="22">
        <v>789756</v>
      </c>
      <c r="G987" s="19" t="s">
        <v>1108</v>
      </c>
      <c r="H987" s="19" t="s">
        <v>2646</v>
      </c>
      <c r="I987" s="19" t="s">
        <v>2646</v>
      </c>
      <c r="J987" s="19" t="s">
        <v>1110</v>
      </c>
      <c r="K987" t="s">
        <v>1100</v>
      </c>
      <c r="L987" t="s">
        <v>114</v>
      </c>
      <c r="M987" t="s">
        <v>116</v>
      </c>
      <c r="N987" s="19" t="s">
        <v>2647</v>
      </c>
      <c r="O987" s="19" t="s">
        <v>116</v>
      </c>
      <c r="R987" t="s">
        <v>1097</v>
      </c>
    </row>
    <row r="988" spans="1:18" hidden="1" x14ac:dyDescent="0.3">
      <c r="A988" s="19">
        <f t="shared" si="15"/>
        <v>987</v>
      </c>
      <c r="B988" s="20" t="s">
        <v>87</v>
      </c>
      <c r="C988" s="20" t="s">
        <v>102</v>
      </c>
      <c r="D988" s="21" t="str">
        <f>IF($C988="","",IFERROR(VLOOKUP($C988,Map_Register!$A$2:$C$5,3,FALSE()),""))</f>
        <v>Toponym Labels</v>
      </c>
      <c r="E988" s="20" t="s">
        <v>15</v>
      </c>
      <c r="F988" s="22">
        <v>789757</v>
      </c>
      <c r="G988" s="19" t="s">
        <v>1118</v>
      </c>
      <c r="H988" s="19" t="s">
        <v>2648</v>
      </c>
      <c r="I988" s="19" t="s">
        <v>2648</v>
      </c>
      <c r="J988" s="19" t="s">
        <v>1110</v>
      </c>
      <c r="K988" t="s">
        <v>1100</v>
      </c>
      <c r="L988" s="19" t="s">
        <v>114</v>
      </c>
      <c r="M988" s="19" t="s">
        <v>114</v>
      </c>
      <c r="N988" s="19" t="s">
        <v>1178</v>
      </c>
      <c r="O988" s="19" t="s">
        <v>116</v>
      </c>
      <c r="R988" t="s">
        <v>1097</v>
      </c>
    </row>
    <row r="989" spans="1:18" hidden="1" x14ac:dyDescent="0.3">
      <c r="A989" s="19">
        <f t="shared" si="15"/>
        <v>988</v>
      </c>
      <c r="B989" s="20" t="s">
        <v>87</v>
      </c>
      <c r="C989" s="20" t="s">
        <v>102</v>
      </c>
      <c r="D989" s="21" t="str">
        <f>IF($C989="","",IFERROR(VLOOKUP($C989,Map_Register!$A$2:$C$5,3,FALSE()),""))</f>
        <v>Toponym Labels</v>
      </c>
      <c r="E989" s="20" t="s">
        <v>15</v>
      </c>
      <c r="F989" s="22">
        <v>789758</v>
      </c>
      <c r="G989" s="19" t="s">
        <v>1495</v>
      </c>
      <c r="H989" s="19" t="s">
        <v>2649</v>
      </c>
      <c r="I989" s="19" t="s">
        <v>2649</v>
      </c>
      <c r="J989" s="19" t="s">
        <v>1110</v>
      </c>
      <c r="K989" t="s">
        <v>1100</v>
      </c>
      <c r="L989" t="s">
        <v>114</v>
      </c>
      <c r="M989" t="s">
        <v>114</v>
      </c>
      <c r="N989" s="19" t="s">
        <v>530</v>
      </c>
      <c r="O989" s="19" t="s">
        <v>116</v>
      </c>
      <c r="R989" t="s">
        <v>1097</v>
      </c>
    </row>
    <row r="990" spans="1:18" hidden="1" x14ac:dyDescent="0.3">
      <c r="A990" s="19">
        <f t="shared" si="15"/>
        <v>989</v>
      </c>
      <c r="B990" s="20" t="s">
        <v>87</v>
      </c>
      <c r="C990" s="20" t="s">
        <v>102</v>
      </c>
      <c r="D990" s="21" t="str">
        <f>IF($C990="","",IFERROR(VLOOKUP($C990,Map_Register!$A$2:$C$5,3,FALSE()),""))</f>
        <v>Toponym Labels</v>
      </c>
      <c r="E990" s="20" t="s">
        <v>15</v>
      </c>
      <c r="F990" s="22">
        <v>789759</v>
      </c>
      <c r="G990" s="19" t="s">
        <v>1108</v>
      </c>
      <c r="H990" s="19" t="s">
        <v>2650</v>
      </c>
      <c r="I990" s="19" t="s">
        <v>2650</v>
      </c>
      <c r="J990" s="19" t="s">
        <v>1110</v>
      </c>
      <c r="K990" s="19" t="s">
        <v>6</v>
      </c>
      <c r="L990" s="19" t="s">
        <v>1095</v>
      </c>
      <c r="M990" s="19" t="s">
        <v>1095</v>
      </c>
      <c r="N990" s="19" t="s">
        <v>1111</v>
      </c>
      <c r="R990" t="s">
        <v>1097</v>
      </c>
    </row>
    <row r="991" spans="1:18" x14ac:dyDescent="0.3">
      <c r="A991" s="19">
        <f t="shared" si="15"/>
        <v>990</v>
      </c>
      <c r="B991" s="20" t="s">
        <v>87</v>
      </c>
      <c r="C991" s="20" t="s">
        <v>102</v>
      </c>
      <c r="D991" s="21" t="str">
        <f>IF($C991="","",IFERROR(VLOOKUP($C991,Map_Register!$A$2:$C$5,3,FALSE()),""))</f>
        <v>Toponym Labels</v>
      </c>
      <c r="E991" s="20" t="s">
        <v>15</v>
      </c>
      <c r="F991" s="22">
        <v>789760</v>
      </c>
      <c r="G991" s="19" t="s">
        <v>1108</v>
      </c>
      <c r="H991" s="19" t="s">
        <v>2424</v>
      </c>
      <c r="I991" s="19" t="s">
        <v>2424</v>
      </c>
      <c r="J991" s="19" t="s">
        <v>1110</v>
      </c>
      <c r="K991" t="s">
        <v>1100</v>
      </c>
      <c r="L991" t="s">
        <v>114</v>
      </c>
      <c r="M991" t="s">
        <v>116</v>
      </c>
      <c r="N991" s="19" t="s">
        <v>2378</v>
      </c>
      <c r="O991" s="19" t="s">
        <v>116</v>
      </c>
      <c r="R991" t="s">
        <v>1097</v>
      </c>
    </row>
    <row r="992" spans="1:18" hidden="1" x14ac:dyDescent="0.3">
      <c r="A992" s="19">
        <f t="shared" si="15"/>
        <v>991</v>
      </c>
      <c r="B992" s="20" t="s">
        <v>87</v>
      </c>
      <c r="C992" s="20" t="s">
        <v>102</v>
      </c>
      <c r="D992" s="21" t="str">
        <f>IF($C992="","",IFERROR(VLOOKUP($C992,Map_Register!$A$2:$C$5,3,FALSE()),""))</f>
        <v>Toponym Labels</v>
      </c>
      <c r="E992" s="20" t="s">
        <v>15</v>
      </c>
      <c r="F992" s="22">
        <v>789761</v>
      </c>
      <c r="G992" s="19" t="s">
        <v>1108</v>
      </c>
      <c r="H992" s="19" t="s">
        <v>2651</v>
      </c>
      <c r="I992" s="19" t="s">
        <v>2651</v>
      </c>
      <c r="J992" s="19" t="s">
        <v>1110</v>
      </c>
      <c r="K992" t="s">
        <v>1100</v>
      </c>
      <c r="L992" t="s">
        <v>114</v>
      </c>
      <c r="M992" t="s">
        <v>114</v>
      </c>
      <c r="N992" s="19" t="s">
        <v>2652</v>
      </c>
      <c r="O992" s="19" t="s">
        <v>116</v>
      </c>
      <c r="R992" t="s">
        <v>1097</v>
      </c>
    </row>
    <row r="993" spans="1:18" hidden="1" x14ac:dyDescent="0.3">
      <c r="A993" s="19">
        <f t="shared" si="15"/>
        <v>992</v>
      </c>
      <c r="B993" s="20" t="s">
        <v>87</v>
      </c>
      <c r="C993" s="20" t="s">
        <v>102</v>
      </c>
      <c r="D993" s="21" t="str">
        <f>IF($C993="","",IFERROR(VLOOKUP($C993,Map_Register!$A$2:$C$5,3,FALSE()),""))</f>
        <v>Toponym Labels</v>
      </c>
      <c r="E993" s="20" t="s">
        <v>15</v>
      </c>
      <c r="F993" s="22">
        <v>789809</v>
      </c>
      <c r="G993" s="19" t="s">
        <v>1179</v>
      </c>
      <c r="H993" s="19" t="s">
        <v>2653</v>
      </c>
      <c r="I993" s="19" t="s">
        <v>2654</v>
      </c>
      <c r="J993" s="19" t="s">
        <v>1104</v>
      </c>
      <c r="K993" s="19" t="s">
        <v>6</v>
      </c>
      <c r="L993" s="19" t="s">
        <v>1095</v>
      </c>
      <c r="M993" s="19" t="s">
        <v>1095</v>
      </c>
      <c r="N993" s="19" t="s">
        <v>1105</v>
      </c>
      <c r="R993" t="s">
        <v>1097</v>
      </c>
    </row>
    <row r="994" spans="1:18" hidden="1" x14ac:dyDescent="0.3">
      <c r="A994" s="19">
        <f t="shared" si="15"/>
        <v>993</v>
      </c>
      <c r="B994" s="20" t="s">
        <v>87</v>
      </c>
      <c r="C994" s="20" t="s">
        <v>102</v>
      </c>
      <c r="D994" s="21" t="str">
        <f>IF($C994="","",IFERROR(VLOOKUP($C994,Map_Register!$A$2:$C$5,3,FALSE()),""))</f>
        <v>Toponym Labels</v>
      </c>
      <c r="E994" s="20" t="s">
        <v>15</v>
      </c>
      <c r="F994" s="22">
        <v>789810</v>
      </c>
      <c r="G994" s="19" t="s">
        <v>1136</v>
      </c>
      <c r="H994" s="19" t="s">
        <v>1436</v>
      </c>
      <c r="I994" s="19" t="s">
        <v>2655</v>
      </c>
      <c r="J994" s="19" t="s">
        <v>1094</v>
      </c>
      <c r="K994" t="s">
        <v>1100</v>
      </c>
      <c r="L994" t="s">
        <v>114</v>
      </c>
      <c r="M994" t="s">
        <v>114</v>
      </c>
      <c r="N994" s="19" t="s">
        <v>530</v>
      </c>
      <c r="O994" s="19" t="s">
        <v>116</v>
      </c>
      <c r="R994" t="s">
        <v>1097</v>
      </c>
    </row>
    <row r="995" spans="1:18" hidden="1" x14ac:dyDescent="0.3">
      <c r="A995" s="19">
        <f t="shared" si="15"/>
        <v>994</v>
      </c>
      <c r="B995" s="20" t="s">
        <v>87</v>
      </c>
      <c r="C995" s="20" t="s">
        <v>102</v>
      </c>
      <c r="D995" s="21" t="str">
        <f>IF($C995="","",IFERROR(VLOOKUP($C995,Map_Register!$A$2:$C$5,3,FALSE()),""))</f>
        <v>Toponym Labels</v>
      </c>
      <c r="E995" s="20" t="s">
        <v>15</v>
      </c>
      <c r="F995" s="22">
        <v>789811</v>
      </c>
      <c r="G995" s="19" t="s">
        <v>1136</v>
      </c>
      <c r="H995" s="19" t="s">
        <v>2656</v>
      </c>
      <c r="I995" s="19" t="s">
        <v>2657</v>
      </c>
      <c r="J995" s="19" t="s">
        <v>1104</v>
      </c>
      <c r="K995" t="s">
        <v>1100</v>
      </c>
      <c r="L995" t="s">
        <v>114</v>
      </c>
      <c r="M995" t="s">
        <v>114</v>
      </c>
      <c r="N995" s="19" t="s">
        <v>530</v>
      </c>
      <c r="O995" s="19" t="s">
        <v>116</v>
      </c>
      <c r="R995" t="s">
        <v>1097</v>
      </c>
    </row>
    <row r="996" spans="1:18" hidden="1" x14ac:dyDescent="0.3">
      <c r="A996" s="19">
        <f t="shared" si="15"/>
        <v>995</v>
      </c>
      <c r="B996" s="20" t="s">
        <v>87</v>
      </c>
      <c r="C996" s="20" t="s">
        <v>102</v>
      </c>
      <c r="D996" s="21" t="str">
        <f>IF($C996="","",IFERROR(VLOOKUP($C996,Map_Register!$A$2:$C$5,3,FALSE()),""))</f>
        <v>Toponym Labels</v>
      </c>
      <c r="E996" s="20" t="s">
        <v>15</v>
      </c>
      <c r="F996" s="22">
        <v>789813</v>
      </c>
      <c r="G996" s="19" t="s">
        <v>1108</v>
      </c>
      <c r="H996" s="19" t="s">
        <v>2658</v>
      </c>
      <c r="I996" s="19" t="s">
        <v>2658</v>
      </c>
      <c r="J996" s="19" t="s">
        <v>1110</v>
      </c>
      <c r="K996" s="19" t="s">
        <v>6</v>
      </c>
      <c r="L996" s="19" t="s">
        <v>1095</v>
      </c>
      <c r="M996" s="19" t="s">
        <v>1095</v>
      </c>
      <c r="N996" s="19" t="s">
        <v>1111</v>
      </c>
      <c r="R996" t="s">
        <v>1097</v>
      </c>
    </row>
    <row r="997" spans="1:18" hidden="1" x14ac:dyDescent="0.3">
      <c r="A997" s="19">
        <f t="shared" si="15"/>
        <v>996</v>
      </c>
      <c r="B997" s="20" t="s">
        <v>87</v>
      </c>
      <c r="C997" s="20" t="s">
        <v>102</v>
      </c>
      <c r="D997" s="21" t="str">
        <f>IF($C997="","",IFERROR(VLOOKUP($C997,Map_Register!$A$2:$C$5,3,FALSE()),""))</f>
        <v>Toponym Labels</v>
      </c>
      <c r="E997" s="20" t="s">
        <v>15</v>
      </c>
      <c r="F997" s="22">
        <v>789814</v>
      </c>
      <c r="G997" s="19" t="s">
        <v>2659</v>
      </c>
      <c r="H997" s="19" t="s">
        <v>2660</v>
      </c>
      <c r="I997" s="19" t="s">
        <v>2661</v>
      </c>
      <c r="J997" s="19" t="s">
        <v>1104</v>
      </c>
      <c r="K997" s="19" t="s">
        <v>1030</v>
      </c>
      <c r="L997" s="19" t="s">
        <v>1095</v>
      </c>
      <c r="M997" s="19" t="s">
        <v>1095</v>
      </c>
      <c r="N997" s="19" t="s">
        <v>2662</v>
      </c>
      <c r="Q997" s="19" t="s">
        <v>2569</v>
      </c>
      <c r="R997" t="s">
        <v>1097</v>
      </c>
    </row>
    <row r="998" spans="1:18" hidden="1" x14ac:dyDescent="0.3">
      <c r="A998" s="19">
        <f t="shared" si="15"/>
        <v>997</v>
      </c>
      <c r="B998" s="20" t="s">
        <v>87</v>
      </c>
      <c r="C998" s="20" t="s">
        <v>102</v>
      </c>
      <c r="D998" s="21" t="str">
        <f>IF($C998="","",IFERROR(VLOOKUP($C998,Map_Register!$A$2:$C$5,3,FALSE()),""))</f>
        <v>Toponym Labels</v>
      </c>
      <c r="E998" s="20" t="s">
        <v>15</v>
      </c>
      <c r="F998" s="22">
        <v>789815</v>
      </c>
      <c r="G998" s="19" t="s">
        <v>1091</v>
      </c>
      <c r="H998" s="19" t="s">
        <v>2663</v>
      </c>
      <c r="I998" s="19" t="s">
        <v>2664</v>
      </c>
      <c r="J998" s="19" t="s">
        <v>1104</v>
      </c>
      <c r="K998" s="19" t="s">
        <v>6</v>
      </c>
      <c r="L998" s="19" t="s">
        <v>1095</v>
      </c>
      <c r="M998" s="19" t="s">
        <v>1095</v>
      </c>
      <c r="N998" s="19" t="s">
        <v>1105</v>
      </c>
      <c r="R998" t="s">
        <v>1097</v>
      </c>
    </row>
    <row r="999" spans="1:18" x14ac:dyDescent="0.3">
      <c r="A999" s="19">
        <f t="shared" si="15"/>
        <v>998</v>
      </c>
      <c r="B999" s="20" t="s">
        <v>87</v>
      </c>
      <c r="C999" s="20" t="s">
        <v>102</v>
      </c>
      <c r="D999" s="21" t="str">
        <f>IF($C999="","",IFERROR(VLOOKUP($C999,Map_Register!$A$2:$C$5,3,FALSE()),""))</f>
        <v>Toponym Labels</v>
      </c>
      <c r="E999" s="20" t="s">
        <v>15</v>
      </c>
      <c r="F999" s="22">
        <v>789816</v>
      </c>
      <c r="G999" s="19" t="s">
        <v>1309</v>
      </c>
      <c r="H999" s="19" t="s">
        <v>2665</v>
      </c>
      <c r="I999" s="19" t="s">
        <v>2665</v>
      </c>
      <c r="J999" s="19" t="s">
        <v>1110</v>
      </c>
      <c r="K999" t="s">
        <v>1100</v>
      </c>
      <c r="L999" t="s">
        <v>114</v>
      </c>
      <c r="M999" t="s">
        <v>116</v>
      </c>
      <c r="N999" s="19" t="s">
        <v>1268</v>
      </c>
      <c r="O999" s="19" t="s">
        <v>116</v>
      </c>
      <c r="R999" t="s">
        <v>1097</v>
      </c>
    </row>
    <row r="1000" spans="1:18" hidden="1" x14ac:dyDescent="0.3">
      <c r="A1000" s="19">
        <f t="shared" si="15"/>
        <v>999</v>
      </c>
      <c r="B1000" s="20" t="s">
        <v>87</v>
      </c>
      <c r="C1000" s="20" t="s">
        <v>102</v>
      </c>
      <c r="D1000" s="21" t="str">
        <f>IF($C1000="","",IFERROR(VLOOKUP($C1000,Map_Register!$A$2:$C$5,3,FALSE()),""))</f>
        <v>Toponym Labels</v>
      </c>
      <c r="E1000" s="20" t="s">
        <v>15</v>
      </c>
      <c r="F1000" s="22">
        <v>789817</v>
      </c>
      <c r="G1000" s="19" t="s">
        <v>1091</v>
      </c>
      <c r="H1000" s="19" t="s">
        <v>2666</v>
      </c>
      <c r="I1000" s="19" t="s">
        <v>2666</v>
      </c>
      <c r="J1000" s="19" t="s">
        <v>1110</v>
      </c>
      <c r="K1000" t="s">
        <v>1100</v>
      </c>
      <c r="L1000" t="s">
        <v>114</v>
      </c>
      <c r="M1000" t="s">
        <v>114</v>
      </c>
      <c r="N1000" s="19" t="s">
        <v>530</v>
      </c>
      <c r="O1000" s="19" t="s">
        <v>116</v>
      </c>
      <c r="R1000" t="s">
        <v>1097</v>
      </c>
    </row>
    <row r="1001" spans="1:18" hidden="1" x14ac:dyDescent="0.3">
      <c r="A1001" s="19">
        <f t="shared" si="15"/>
        <v>1000</v>
      </c>
      <c r="B1001" s="20" t="s">
        <v>87</v>
      </c>
      <c r="C1001" s="20" t="s">
        <v>102</v>
      </c>
      <c r="D1001" s="21" t="str">
        <f>IF($C1001="","",IFERROR(VLOOKUP($C1001,Map_Register!$A$2:$C$5,3,FALSE()),""))</f>
        <v>Toponym Labels</v>
      </c>
      <c r="E1001" s="20" t="s">
        <v>15</v>
      </c>
      <c r="F1001" s="22">
        <v>789818</v>
      </c>
      <c r="G1001" s="19" t="s">
        <v>1108</v>
      </c>
      <c r="H1001" s="19" t="s">
        <v>2667</v>
      </c>
      <c r="I1001" s="19" t="s">
        <v>2667</v>
      </c>
      <c r="J1001" s="19" t="s">
        <v>1110</v>
      </c>
      <c r="K1001" s="19" t="s">
        <v>6</v>
      </c>
      <c r="L1001" s="19" t="s">
        <v>1095</v>
      </c>
      <c r="M1001" s="19" t="s">
        <v>1095</v>
      </c>
      <c r="N1001" s="19" t="s">
        <v>1111</v>
      </c>
      <c r="R1001" t="s">
        <v>1097</v>
      </c>
    </row>
    <row r="1002" spans="1:18" hidden="1" x14ac:dyDescent="0.3">
      <c r="A1002" s="19">
        <f t="shared" si="15"/>
        <v>1001</v>
      </c>
      <c r="B1002" s="20" t="s">
        <v>87</v>
      </c>
      <c r="C1002" s="20" t="s">
        <v>102</v>
      </c>
      <c r="D1002" s="21" t="str">
        <f>IF($C1002="","",IFERROR(VLOOKUP($C1002,Map_Register!$A$2:$C$5,3,FALSE()),""))</f>
        <v>Toponym Labels</v>
      </c>
      <c r="E1002" s="20" t="s">
        <v>15</v>
      </c>
      <c r="F1002" s="22">
        <v>789819</v>
      </c>
      <c r="G1002" s="19" t="s">
        <v>1091</v>
      </c>
      <c r="H1002" s="19" t="s">
        <v>1702</v>
      </c>
      <c r="I1002" s="19" t="s">
        <v>2668</v>
      </c>
      <c r="J1002" s="19" t="s">
        <v>2624</v>
      </c>
      <c r="K1002" s="19" t="s">
        <v>6</v>
      </c>
      <c r="L1002" s="19" t="s">
        <v>1095</v>
      </c>
      <c r="M1002" s="19" t="s">
        <v>1095</v>
      </c>
      <c r="N1002" s="19" t="s">
        <v>2669</v>
      </c>
      <c r="R1002" t="s">
        <v>1097</v>
      </c>
    </row>
    <row r="1003" spans="1:18" hidden="1" x14ac:dyDescent="0.3">
      <c r="A1003" s="19">
        <f t="shared" si="15"/>
        <v>1002</v>
      </c>
      <c r="B1003" s="20" t="s">
        <v>87</v>
      </c>
      <c r="C1003" s="20" t="s">
        <v>102</v>
      </c>
      <c r="D1003" s="21" t="str">
        <f>IF($C1003="","",IFERROR(VLOOKUP($C1003,Map_Register!$A$2:$C$5,3,FALSE()),""))</f>
        <v>Toponym Labels</v>
      </c>
      <c r="E1003" s="20" t="s">
        <v>15</v>
      </c>
      <c r="F1003" s="22">
        <v>791491</v>
      </c>
      <c r="G1003" s="19" t="s">
        <v>1136</v>
      </c>
      <c r="H1003" s="19" t="s">
        <v>2670</v>
      </c>
      <c r="I1003" s="19" t="s">
        <v>2670</v>
      </c>
      <c r="J1003" s="19" t="s">
        <v>1110</v>
      </c>
      <c r="K1003" s="19" t="s">
        <v>6</v>
      </c>
      <c r="L1003" s="19" t="s">
        <v>1095</v>
      </c>
      <c r="M1003" s="19" t="s">
        <v>1095</v>
      </c>
      <c r="N1003" s="19" t="s">
        <v>1406</v>
      </c>
      <c r="R1003" t="s">
        <v>1097</v>
      </c>
    </row>
    <row r="1004" spans="1:18" hidden="1" x14ac:dyDescent="0.3">
      <c r="A1004" s="19">
        <f t="shared" si="15"/>
        <v>1003</v>
      </c>
      <c r="B1004" s="20" t="s">
        <v>87</v>
      </c>
      <c r="C1004" s="20" t="s">
        <v>102</v>
      </c>
      <c r="D1004" s="21" t="str">
        <f>IF($C1004="","",IFERROR(VLOOKUP($C1004,Map_Register!$A$2:$C$5,3,FALSE()),""))</f>
        <v>Toponym Labels</v>
      </c>
      <c r="E1004" s="20" t="s">
        <v>15</v>
      </c>
      <c r="F1004" s="22">
        <v>791493</v>
      </c>
      <c r="G1004" s="19" t="s">
        <v>1179</v>
      </c>
      <c r="H1004" s="19" t="s">
        <v>2671</v>
      </c>
      <c r="I1004" s="19" t="s">
        <v>2672</v>
      </c>
      <c r="J1004" s="19" t="s">
        <v>1094</v>
      </c>
      <c r="K1004" t="s">
        <v>1100</v>
      </c>
      <c r="L1004" t="s">
        <v>114</v>
      </c>
      <c r="M1004" t="s">
        <v>114</v>
      </c>
      <c r="N1004" s="19" t="s">
        <v>1184</v>
      </c>
      <c r="O1004" s="19" t="s">
        <v>116</v>
      </c>
      <c r="R1004" t="s">
        <v>1097</v>
      </c>
    </row>
    <row r="1005" spans="1:18" hidden="1" x14ac:dyDescent="0.3">
      <c r="A1005" s="19">
        <f t="shared" si="15"/>
        <v>1004</v>
      </c>
      <c r="B1005" s="20" t="s">
        <v>87</v>
      </c>
      <c r="C1005" s="20" t="s">
        <v>102</v>
      </c>
      <c r="D1005" s="21" t="str">
        <f>IF($C1005="","",IFERROR(VLOOKUP($C1005,Map_Register!$A$2:$C$5,3,FALSE()),""))</f>
        <v>Toponym Labels</v>
      </c>
      <c r="E1005" s="20" t="s">
        <v>15</v>
      </c>
      <c r="F1005" s="22">
        <v>791494</v>
      </c>
      <c r="G1005" s="19" t="s">
        <v>1136</v>
      </c>
      <c r="H1005" s="19" t="s">
        <v>2673</v>
      </c>
      <c r="I1005" s="19" t="s">
        <v>2674</v>
      </c>
      <c r="J1005" s="19" t="s">
        <v>1104</v>
      </c>
      <c r="K1005" t="s">
        <v>1100</v>
      </c>
      <c r="L1005" t="s">
        <v>114</v>
      </c>
      <c r="M1005" t="s">
        <v>114</v>
      </c>
      <c r="N1005" s="19" t="s">
        <v>530</v>
      </c>
      <c r="O1005" s="19" t="s">
        <v>116</v>
      </c>
      <c r="R1005" t="s">
        <v>1097</v>
      </c>
    </row>
    <row r="1006" spans="1:18" hidden="1" x14ac:dyDescent="0.3">
      <c r="A1006" s="19">
        <f t="shared" si="15"/>
        <v>1005</v>
      </c>
      <c r="B1006" s="20" t="s">
        <v>87</v>
      </c>
      <c r="C1006" s="20" t="s">
        <v>102</v>
      </c>
      <c r="D1006" s="21" t="str">
        <f>IF($C1006="","",IFERROR(VLOOKUP($C1006,Map_Register!$A$2:$C$5,3,FALSE()),""))</f>
        <v>Toponym Labels</v>
      </c>
      <c r="E1006" s="20" t="s">
        <v>15</v>
      </c>
      <c r="F1006" s="22">
        <v>791495</v>
      </c>
      <c r="G1006" s="19" t="s">
        <v>1136</v>
      </c>
      <c r="H1006" s="19" t="s">
        <v>2675</v>
      </c>
      <c r="I1006" s="19" t="s">
        <v>2676</v>
      </c>
      <c r="J1006" s="19" t="s">
        <v>1104</v>
      </c>
      <c r="K1006" t="s">
        <v>1100</v>
      </c>
      <c r="L1006" t="s">
        <v>114</v>
      </c>
      <c r="M1006" t="s">
        <v>114</v>
      </c>
      <c r="N1006" s="19" t="s">
        <v>530</v>
      </c>
      <c r="O1006" s="19" t="s">
        <v>116</v>
      </c>
      <c r="R1006" t="s">
        <v>1097</v>
      </c>
    </row>
    <row r="1007" spans="1:18" hidden="1" x14ac:dyDescent="0.3">
      <c r="A1007" s="19">
        <f t="shared" si="15"/>
        <v>1006</v>
      </c>
      <c r="B1007" s="20" t="s">
        <v>87</v>
      </c>
      <c r="C1007" s="20" t="s">
        <v>102</v>
      </c>
      <c r="D1007" s="21" t="str">
        <f>IF($C1007="","",IFERROR(VLOOKUP($C1007,Map_Register!$A$2:$C$5,3,FALSE()),""))</f>
        <v>Toponym Labels</v>
      </c>
      <c r="E1007" s="20" t="s">
        <v>15</v>
      </c>
      <c r="F1007" s="22">
        <v>791496</v>
      </c>
      <c r="G1007" s="19" t="s">
        <v>1179</v>
      </c>
      <c r="H1007" s="19" t="s">
        <v>2677</v>
      </c>
      <c r="I1007" s="19" t="s">
        <v>2677</v>
      </c>
      <c r="J1007" s="19" t="s">
        <v>1110</v>
      </c>
      <c r="K1007" t="s">
        <v>1100</v>
      </c>
      <c r="L1007" t="s">
        <v>114</v>
      </c>
      <c r="M1007" t="s">
        <v>114</v>
      </c>
      <c r="N1007" s="19" t="s">
        <v>1184</v>
      </c>
      <c r="O1007" s="19" t="s">
        <v>116</v>
      </c>
      <c r="R1007" t="s">
        <v>1097</v>
      </c>
    </row>
    <row r="1008" spans="1:18" hidden="1" x14ac:dyDescent="0.3">
      <c r="A1008" s="19">
        <f t="shared" si="15"/>
        <v>1007</v>
      </c>
      <c r="B1008" s="20" t="s">
        <v>87</v>
      </c>
      <c r="C1008" s="20" t="s">
        <v>102</v>
      </c>
      <c r="D1008" s="21" t="str">
        <f>IF($C1008="","",IFERROR(VLOOKUP($C1008,Map_Register!$A$2:$C$5,3,FALSE()),""))</f>
        <v>Toponym Labels</v>
      </c>
      <c r="E1008" s="20" t="s">
        <v>15</v>
      </c>
      <c r="F1008" s="22">
        <v>791504</v>
      </c>
      <c r="G1008" s="19" t="s">
        <v>1179</v>
      </c>
      <c r="H1008" s="19" t="s">
        <v>2678</v>
      </c>
      <c r="I1008" s="19" t="s">
        <v>2679</v>
      </c>
      <c r="J1008" s="19" t="s">
        <v>1094</v>
      </c>
      <c r="K1008" t="s">
        <v>1100</v>
      </c>
      <c r="L1008" t="s">
        <v>114</v>
      </c>
      <c r="M1008" t="s">
        <v>114</v>
      </c>
      <c r="N1008" s="19" t="s">
        <v>1184</v>
      </c>
      <c r="O1008" s="19" t="s">
        <v>116</v>
      </c>
      <c r="R1008" t="s">
        <v>1097</v>
      </c>
    </row>
    <row r="1009" spans="1:18" hidden="1" x14ac:dyDescent="0.3">
      <c r="A1009" s="19">
        <f t="shared" si="15"/>
        <v>1008</v>
      </c>
      <c r="B1009" s="20" t="s">
        <v>87</v>
      </c>
      <c r="C1009" s="20" t="s">
        <v>102</v>
      </c>
      <c r="D1009" s="21" t="str">
        <f>IF($C1009="","",IFERROR(VLOOKUP($C1009,Map_Register!$A$2:$C$5,3,FALSE()),""))</f>
        <v>Toponym Labels</v>
      </c>
      <c r="E1009" s="20" t="s">
        <v>15</v>
      </c>
      <c r="F1009" s="22">
        <v>791505</v>
      </c>
      <c r="G1009" s="19" t="s">
        <v>1179</v>
      </c>
      <c r="H1009" s="19" t="s">
        <v>2680</v>
      </c>
      <c r="I1009" s="19" t="s">
        <v>2681</v>
      </c>
      <c r="J1009" s="19" t="s">
        <v>1094</v>
      </c>
      <c r="K1009" t="s">
        <v>1100</v>
      </c>
      <c r="L1009" t="s">
        <v>114</v>
      </c>
      <c r="M1009" t="s">
        <v>114</v>
      </c>
      <c r="N1009" s="19" t="s">
        <v>1184</v>
      </c>
      <c r="O1009" s="19" t="s">
        <v>116</v>
      </c>
      <c r="R1009" t="s">
        <v>1097</v>
      </c>
    </row>
    <row r="1010" spans="1:18" hidden="1" x14ac:dyDescent="0.3">
      <c r="A1010" s="19">
        <f t="shared" si="15"/>
        <v>1009</v>
      </c>
      <c r="B1010" s="20" t="s">
        <v>87</v>
      </c>
      <c r="C1010" s="20" t="s">
        <v>102</v>
      </c>
      <c r="D1010" s="21" t="str">
        <f>IF($C1010="","",IFERROR(VLOOKUP($C1010,Map_Register!$A$2:$C$5,3,FALSE()),""))</f>
        <v>Toponym Labels</v>
      </c>
      <c r="E1010" s="20" t="s">
        <v>15</v>
      </c>
      <c r="F1010" s="22">
        <v>792169</v>
      </c>
      <c r="G1010" s="19" t="s">
        <v>1179</v>
      </c>
      <c r="H1010" s="19" t="s">
        <v>2682</v>
      </c>
      <c r="I1010" s="19" t="s">
        <v>2682</v>
      </c>
      <c r="J1010" s="19" t="s">
        <v>1110</v>
      </c>
      <c r="K1010" t="s">
        <v>1100</v>
      </c>
      <c r="L1010" t="s">
        <v>114</v>
      </c>
      <c r="M1010" t="s">
        <v>114</v>
      </c>
      <c r="N1010" s="19" t="s">
        <v>1184</v>
      </c>
      <c r="O1010" s="19" t="s">
        <v>116</v>
      </c>
      <c r="R1010" t="s">
        <v>1097</v>
      </c>
    </row>
    <row r="1011" spans="1:18" x14ac:dyDescent="0.3">
      <c r="A1011" s="19">
        <f t="shared" si="15"/>
        <v>1010</v>
      </c>
      <c r="B1011" s="20" t="s">
        <v>87</v>
      </c>
      <c r="C1011" s="20" t="s">
        <v>102</v>
      </c>
      <c r="D1011" s="21" t="str">
        <f>IF($C1011="","",IFERROR(VLOOKUP($C1011,Map_Register!$A$2:$C$5,3,FALSE()),""))</f>
        <v>Toponym Labels</v>
      </c>
      <c r="E1011" s="20" t="s">
        <v>15</v>
      </c>
      <c r="F1011" s="22">
        <v>792170</v>
      </c>
      <c r="G1011" s="19" t="s">
        <v>1108</v>
      </c>
      <c r="H1011" s="19" t="s">
        <v>2683</v>
      </c>
      <c r="I1011" s="19" t="s">
        <v>2683</v>
      </c>
      <c r="J1011" s="19" t="s">
        <v>1110</v>
      </c>
      <c r="K1011" t="s">
        <v>1100</v>
      </c>
      <c r="L1011" t="s">
        <v>114</v>
      </c>
      <c r="M1011" t="s">
        <v>116</v>
      </c>
      <c r="N1011" s="19" t="s">
        <v>2684</v>
      </c>
      <c r="O1011" s="19" t="s">
        <v>116</v>
      </c>
      <c r="R1011" t="s">
        <v>1097</v>
      </c>
    </row>
    <row r="1012" spans="1:18" hidden="1" x14ac:dyDescent="0.3">
      <c r="A1012" s="19">
        <f t="shared" si="15"/>
        <v>1011</v>
      </c>
      <c r="B1012" s="20" t="s">
        <v>87</v>
      </c>
      <c r="C1012" s="20" t="s">
        <v>102</v>
      </c>
      <c r="D1012" s="21" t="str">
        <f>IF($C1012="","",IFERROR(VLOOKUP($C1012,Map_Register!$A$2:$C$5,3,FALSE()),""))</f>
        <v>Toponym Labels</v>
      </c>
      <c r="E1012" s="20" t="s">
        <v>15</v>
      </c>
      <c r="F1012" s="22">
        <v>792171</v>
      </c>
      <c r="G1012" s="19" t="s">
        <v>1179</v>
      </c>
      <c r="H1012" s="19" t="s">
        <v>2685</v>
      </c>
      <c r="I1012" s="19" t="s">
        <v>2685</v>
      </c>
      <c r="J1012" s="19" t="s">
        <v>1110</v>
      </c>
      <c r="K1012" t="s">
        <v>1100</v>
      </c>
      <c r="L1012" t="s">
        <v>114</v>
      </c>
      <c r="M1012" t="s">
        <v>114</v>
      </c>
      <c r="N1012" s="19" t="s">
        <v>1184</v>
      </c>
      <c r="O1012" s="19" t="s">
        <v>116</v>
      </c>
      <c r="R1012" t="s">
        <v>1097</v>
      </c>
    </row>
    <row r="1013" spans="1:18" x14ac:dyDescent="0.3">
      <c r="A1013" s="19">
        <f t="shared" si="15"/>
        <v>1012</v>
      </c>
      <c r="B1013" s="20" t="s">
        <v>87</v>
      </c>
      <c r="C1013" s="20" t="s">
        <v>102</v>
      </c>
      <c r="D1013" s="21" t="str">
        <f>IF($C1013="","",IFERROR(VLOOKUP($C1013,Map_Register!$A$2:$C$5,3,FALSE()),""))</f>
        <v>Toponym Labels</v>
      </c>
      <c r="E1013" s="20" t="s">
        <v>15</v>
      </c>
      <c r="F1013" s="22">
        <v>792179</v>
      </c>
      <c r="G1013" s="19" t="s">
        <v>1179</v>
      </c>
      <c r="H1013" s="19" t="s">
        <v>2686</v>
      </c>
      <c r="I1013" s="19" t="s">
        <v>2686</v>
      </c>
      <c r="J1013" s="19" t="s">
        <v>1110</v>
      </c>
      <c r="K1013" t="s">
        <v>1100</v>
      </c>
      <c r="L1013" t="s">
        <v>114</v>
      </c>
      <c r="M1013" t="s">
        <v>116</v>
      </c>
      <c r="N1013" s="19" t="s">
        <v>1512</v>
      </c>
      <c r="O1013" s="19" t="s">
        <v>116</v>
      </c>
      <c r="R1013" t="s">
        <v>1097</v>
      </c>
    </row>
    <row r="1014" spans="1:18" hidden="1" x14ac:dyDescent="0.3">
      <c r="A1014" s="19">
        <f t="shared" si="15"/>
        <v>1013</v>
      </c>
      <c r="B1014" s="20" t="s">
        <v>87</v>
      </c>
      <c r="C1014" s="20" t="s">
        <v>102</v>
      </c>
      <c r="D1014" s="21" t="str">
        <f>IF($C1014="","",IFERROR(VLOOKUP($C1014,Map_Register!$A$2:$C$5,3,FALSE()),""))</f>
        <v>Toponym Labels</v>
      </c>
      <c r="E1014" s="20" t="s">
        <v>15</v>
      </c>
      <c r="F1014" s="22">
        <v>792180</v>
      </c>
      <c r="G1014" s="19" t="s">
        <v>1179</v>
      </c>
      <c r="H1014" s="19" t="s">
        <v>2687</v>
      </c>
      <c r="I1014" s="19" t="s">
        <v>2687</v>
      </c>
      <c r="J1014" s="19" t="s">
        <v>1110</v>
      </c>
      <c r="K1014" t="s">
        <v>1100</v>
      </c>
      <c r="L1014" t="s">
        <v>114</v>
      </c>
      <c r="M1014" t="s">
        <v>114</v>
      </c>
      <c r="N1014" s="19" t="s">
        <v>1184</v>
      </c>
      <c r="O1014" s="19" t="s">
        <v>116</v>
      </c>
      <c r="R1014" t="s">
        <v>1097</v>
      </c>
    </row>
    <row r="1015" spans="1:18" hidden="1" x14ac:dyDescent="0.3">
      <c r="A1015" s="19">
        <f t="shared" si="15"/>
        <v>1014</v>
      </c>
      <c r="B1015" s="20" t="s">
        <v>87</v>
      </c>
      <c r="C1015" s="20" t="s">
        <v>102</v>
      </c>
      <c r="D1015" s="21" t="str">
        <f>IF($C1015="","",IFERROR(VLOOKUP($C1015,Map_Register!$A$2:$C$5,3,FALSE()),""))</f>
        <v>Toponym Labels</v>
      </c>
      <c r="E1015" s="20" t="s">
        <v>15</v>
      </c>
      <c r="F1015" s="22">
        <v>792181</v>
      </c>
      <c r="G1015" s="19" t="s">
        <v>1179</v>
      </c>
      <c r="H1015" s="19" t="s">
        <v>2688</v>
      </c>
      <c r="I1015" s="19" t="s">
        <v>2688</v>
      </c>
      <c r="J1015" s="19" t="s">
        <v>1110</v>
      </c>
      <c r="K1015" s="19" t="s">
        <v>6</v>
      </c>
      <c r="L1015" s="19" t="s">
        <v>1095</v>
      </c>
      <c r="M1015" s="19" t="s">
        <v>1095</v>
      </c>
      <c r="N1015" s="19" t="s">
        <v>1502</v>
      </c>
      <c r="R1015" t="s">
        <v>1097</v>
      </c>
    </row>
    <row r="1016" spans="1:18" hidden="1" x14ac:dyDescent="0.3">
      <c r="A1016" s="19">
        <f t="shared" si="15"/>
        <v>1015</v>
      </c>
      <c r="B1016" s="20" t="s">
        <v>87</v>
      </c>
      <c r="C1016" s="20" t="s">
        <v>102</v>
      </c>
      <c r="D1016" s="21" t="str">
        <f>IF($C1016="","",IFERROR(VLOOKUP($C1016,Map_Register!$A$2:$C$5,3,FALSE()),""))</f>
        <v>Toponym Labels</v>
      </c>
      <c r="E1016" s="20" t="s">
        <v>15</v>
      </c>
      <c r="F1016" s="22">
        <v>792306</v>
      </c>
      <c r="G1016" s="19" t="s">
        <v>2249</v>
      </c>
      <c r="H1016" s="19" t="s">
        <v>2689</v>
      </c>
      <c r="I1016" s="19" t="s">
        <v>2689</v>
      </c>
      <c r="J1016" s="19" t="s">
        <v>1110</v>
      </c>
      <c r="K1016" s="19" t="s">
        <v>6</v>
      </c>
      <c r="L1016" s="19" t="s">
        <v>1095</v>
      </c>
      <c r="M1016" s="19" t="s">
        <v>1095</v>
      </c>
      <c r="N1016" s="19" t="s">
        <v>2690</v>
      </c>
      <c r="R1016" t="s">
        <v>1097</v>
      </c>
    </row>
    <row r="1017" spans="1:18" hidden="1" x14ac:dyDescent="0.3">
      <c r="A1017" s="19">
        <f t="shared" si="15"/>
        <v>1016</v>
      </c>
      <c r="B1017" s="20" t="s">
        <v>87</v>
      </c>
      <c r="C1017" s="20" t="s">
        <v>102</v>
      </c>
      <c r="D1017" s="21" t="str">
        <f>IF($C1017="","",IFERROR(VLOOKUP($C1017,Map_Register!$A$2:$C$5,3,FALSE()),""))</f>
        <v>Toponym Labels</v>
      </c>
      <c r="E1017" s="20" t="s">
        <v>15</v>
      </c>
      <c r="F1017" s="22">
        <v>792889</v>
      </c>
      <c r="G1017" s="19" t="s">
        <v>2691</v>
      </c>
      <c r="H1017" s="19" t="s">
        <v>1936</v>
      </c>
      <c r="I1017" s="19" t="s">
        <v>1936</v>
      </c>
      <c r="J1017" s="19" t="s">
        <v>1110</v>
      </c>
      <c r="K1017" s="19" t="s">
        <v>6</v>
      </c>
      <c r="L1017" s="19" t="s">
        <v>1095</v>
      </c>
      <c r="M1017" s="19" t="s">
        <v>1095</v>
      </c>
      <c r="N1017" s="19" t="s">
        <v>2692</v>
      </c>
      <c r="R1017" t="s">
        <v>1097</v>
      </c>
    </row>
    <row r="1018" spans="1:18" hidden="1" x14ac:dyDescent="0.3">
      <c r="A1018" s="19">
        <f t="shared" si="15"/>
        <v>1017</v>
      </c>
      <c r="B1018" s="20" t="s">
        <v>87</v>
      </c>
      <c r="C1018" s="20" t="s">
        <v>102</v>
      </c>
      <c r="D1018" s="21" t="str">
        <f>IF($C1018="","",IFERROR(VLOOKUP($C1018,Map_Register!$A$2:$C$5,3,FALSE()),""))</f>
        <v>Toponym Labels</v>
      </c>
      <c r="E1018" s="20" t="s">
        <v>15</v>
      </c>
      <c r="F1018" s="22">
        <v>792890</v>
      </c>
      <c r="G1018" s="19" t="s">
        <v>1136</v>
      </c>
      <c r="H1018" s="19" t="s">
        <v>2693</v>
      </c>
      <c r="I1018" s="19" t="s">
        <v>2693</v>
      </c>
      <c r="J1018" s="19" t="s">
        <v>1110</v>
      </c>
      <c r="K1018" t="s">
        <v>1100</v>
      </c>
      <c r="L1018" t="s">
        <v>114</v>
      </c>
      <c r="M1018" t="s">
        <v>114</v>
      </c>
      <c r="N1018" s="19" t="s">
        <v>530</v>
      </c>
      <c r="O1018" s="19" t="s">
        <v>116</v>
      </c>
      <c r="R1018" t="s">
        <v>1097</v>
      </c>
    </row>
    <row r="1019" spans="1:18" hidden="1" x14ac:dyDescent="0.3">
      <c r="A1019" s="19">
        <f t="shared" si="15"/>
        <v>1018</v>
      </c>
      <c r="B1019" s="20" t="s">
        <v>87</v>
      </c>
      <c r="C1019" s="20" t="s">
        <v>102</v>
      </c>
      <c r="D1019" s="21" t="str">
        <f>IF($C1019="","",IFERROR(VLOOKUP($C1019,Map_Register!$A$2:$C$5,3,FALSE()),""))</f>
        <v>Toponym Labels</v>
      </c>
      <c r="E1019" s="20" t="s">
        <v>15</v>
      </c>
      <c r="F1019" s="22">
        <v>792891</v>
      </c>
      <c r="G1019" s="19" t="s">
        <v>1943</v>
      </c>
      <c r="H1019" s="19" t="s">
        <v>1839</v>
      </c>
      <c r="I1019" s="19" t="s">
        <v>2694</v>
      </c>
      <c r="J1019" s="19" t="s">
        <v>1104</v>
      </c>
      <c r="K1019" s="19" t="s">
        <v>6</v>
      </c>
      <c r="L1019" s="19" t="s">
        <v>1095</v>
      </c>
      <c r="M1019" s="19" t="s">
        <v>1095</v>
      </c>
      <c r="N1019" s="19" t="s">
        <v>1105</v>
      </c>
      <c r="R1019" t="s">
        <v>1097</v>
      </c>
    </row>
    <row r="1020" spans="1:18" hidden="1" x14ac:dyDescent="0.3">
      <c r="A1020" s="19">
        <f t="shared" si="15"/>
        <v>1019</v>
      </c>
      <c r="B1020" s="20" t="s">
        <v>87</v>
      </c>
      <c r="C1020" s="20" t="s">
        <v>102</v>
      </c>
      <c r="D1020" s="21" t="str">
        <f>IF($C1020="","",IFERROR(VLOOKUP($C1020,Map_Register!$A$2:$C$5,3,FALSE()),""))</f>
        <v>Toponym Labels</v>
      </c>
      <c r="E1020" s="20" t="s">
        <v>15</v>
      </c>
      <c r="F1020" s="22">
        <v>792892</v>
      </c>
      <c r="G1020" s="19" t="s">
        <v>1091</v>
      </c>
      <c r="H1020" s="19" t="s">
        <v>2695</v>
      </c>
      <c r="I1020" s="19" t="s">
        <v>2695</v>
      </c>
      <c r="J1020" s="19" t="s">
        <v>1110</v>
      </c>
      <c r="K1020" s="19" t="s">
        <v>6</v>
      </c>
      <c r="L1020" s="19" t="s">
        <v>1095</v>
      </c>
      <c r="M1020" s="19" t="s">
        <v>1095</v>
      </c>
      <c r="N1020" s="19" t="s">
        <v>1300</v>
      </c>
      <c r="R1020" t="s">
        <v>1097</v>
      </c>
    </row>
    <row r="1021" spans="1:18" hidden="1" x14ac:dyDescent="0.3">
      <c r="A1021" s="19">
        <f t="shared" si="15"/>
        <v>1020</v>
      </c>
      <c r="B1021" s="20" t="s">
        <v>87</v>
      </c>
      <c r="C1021" s="20" t="s">
        <v>102</v>
      </c>
      <c r="D1021" s="21" t="str">
        <f>IF($C1021="","",IFERROR(VLOOKUP($C1021,Map_Register!$A$2:$C$5,3,FALSE()),""))</f>
        <v>Toponym Labels</v>
      </c>
      <c r="E1021" s="20" t="s">
        <v>15</v>
      </c>
      <c r="F1021" s="22">
        <v>792893</v>
      </c>
      <c r="G1021" s="19" t="s">
        <v>1091</v>
      </c>
      <c r="H1021" s="19" t="s">
        <v>2696</v>
      </c>
      <c r="I1021" s="19" t="s">
        <v>2696</v>
      </c>
      <c r="J1021" s="19" t="s">
        <v>1110</v>
      </c>
      <c r="K1021" s="19" t="s">
        <v>6</v>
      </c>
      <c r="L1021" s="19" t="s">
        <v>1095</v>
      </c>
      <c r="M1021" s="19" t="s">
        <v>1095</v>
      </c>
      <c r="N1021" s="19" t="s">
        <v>1300</v>
      </c>
      <c r="R1021" t="s">
        <v>1097</v>
      </c>
    </row>
    <row r="1022" spans="1:18" hidden="1" x14ac:dyDescent="0.3">
      <c r="A1022" s="19">
        <f t="shared" si="15"/>
        <v>1021</v>
      </c>
      <c r="B1022" s="20" t="s">
        <v>87</v>
      </c>
      <c r="C1022" s="20" t="s">
        <v>102</v>
      </c>
      <c r="D1022" s="21" t="str">
        <f>IF($C1022="","",IFERROR(VLOOKUP($C1022,Map_Register!$A$2:$C$5,3,FALSE()),""))</f>
        <v>Toponym Labels</v>
      </c>
      <c r="E1022" s="20" t="s">
        <v>15</v>
      </c>
      <c r="F1022" s="22">
        <v>792894</v>
      </c>
      <c r="G1022" s="19" t="s">
        <v>1108</v>
      </c>
      <c r="H1022" s="19" t="s">
        <v>2697</v>
      </c>
      <c r="I1022" s="19" t="s">
        <v>2697</v>
      </c>
      <c r="J1022" s="19" t="s">
        <v>1110</v>
      </c>
      <c r="K1022" s="19" t="s">
        <v>6</v>
      </c>
      <c r="L1022" s="19" t="s">
        <v>1095</v>
      </c>
      <c r="M1022" s="19" t="s">
        <v>1095</v>
      </c>
      <c r="N1022" s="19" t="s">
        <v>1111</v>
      </c>
      <c r="R1022" t="s">
        <v>1097</v>
      </c>
    </row>
    <row r="1023" spans="1:18" hidden="1" x14ac:dyDescent="0.3">
      <c r="A1023" s="19">
        <f t="shared" si="15"/>
        <v>1022</v>
      </c>
      <c r="B1023" s="20" t="s">
        <v>87</v>
      </c>
      <c r="C1023" s="20" t="s">
        <v>102</v>
      </c>
      <c r="D1023" s="21" t="str">
        <f>IF($C1023="","",IFERROR(VLOOKUP($C1023,Map_Register!$A$2:$C$5,3,FALSE()),""))</f>
        <v>Toponym Labels</v>
      </c>
      <c r="E1023" s="20" t="s">
        <v>15</v>
      </c>
      <c r="F1023" s="22">
        <v>792895</v>
      </c>
      <c r="G1023" s="19" t="s">
        <v>1943</v>
      </c>
      <c r="H1023" s="19" t="s">
        <v>2698</v>
      </c>
      <c r="I1023" s="19" t="s">
        <v>2699</v>
      </c>
      <c r="J1023" s="19" t="s">
        <v>1104</v>
      </c>
      <c r="K1023" s="19" t="s">
        <v>6</v>
      </c>
      <c r="L1023" s="19" t="s">
        <v>1095</v>
      </c>
      <c r="M1023" s="19" t="s">
        <v>1095</v>
      </c>
      <c r="N1023" s="19" t="s">
        <v>1105</v>
      </c>
      <c r="R1023" t="s">
        <v>1097</v>
      </c>
    </row>
    <row r="1024" spans="1:18" hidden="1" x14ac:dyDescent="0.3">
      <c r="A1024" s="19">
        <f t="shared" si="15"/>
        <v>1023</v>
      </c>
      <c r="B1024" s="20" t="s">
        <v>87</v>
      </c>
      <c r="C1024" s="20" t="s">
        <v>102</v>
      </c>
      <c r="D1024" s="21" t="str">
        <f>IF($C1024="","",IFERROR(VLOOKUP($C1024,Map_Register!$A$2:$C$5,3,FALSE()),""))</f>
        <v>Toponym Labels</v>
      </c>
      <c r="E1024" s="20" t="s">
        <v>15</v>
      </c>
      <c r="F1024" s="22">
        <v>792896</v>
      </c>
      <c r="G1024" s="19" t="s">
        <v>1179</v>
      </c>
      <c r="H1024" s="19" t="s">
        <v>2700</v>
      </c>
      <c r="I1024" s="19" t="s">
        <v>2700</v>
      </c>
      <c r="J1024" s="19" t="s">
        <v>1110</v>
      </c>
      <c r="K1024" s="19" t="s">
        <v>6</v>
      </c>
      <c r="M1024" s="19" t="s">
        <v>1095</v>
      </c>
      <c r="N1024" s="19" t="s">
        <v>2701</v>
      </c>
      <c r="R1024" t="s">
        <v>1097</v>
      </c>
    </row>
    <row r="1025" spans="1:18" hidden="1" x14ac:dyDescent="0.3">
      <c r="A1025" s="19">
        <f t="shared" si="15"/>
        <v>1024</v>
      </c>
      <c r="B1025" s="20" t="s">
        <v>87</v>
      </c>
      <c r="C1025" s="20" t="s">
        <v>102</v>
      </c>
      <c r="D1025" s="21" t="str">
        <f>IF($C1025="","",IFERROR(VLOOKUP($C1025,Map_Register!$A$2:$C$5,3,FALSE()),""))</f>
        <v>Toponym Labels</v>
      </c>
      <c r="E1025" s="20" t="s">
        <v>15</v>
      </c>
      <c r="F1025" s="22">
        <v>792897</v>
      </c>
      <c r="G1025" s="19" t="s">
        <v>1179</v>
      </c>
      <c r="H1025" s="19" t="s">
        <v>2702</v>
      </c>
      <c r="I1025" s="19" t="s">
        <v>2702</v>
      </c>
      <c r="J1025" s="19" t="s">
        <v>1110</v>
      </c>
      <c r="K1025" t="s">
        <v>1100</v>
      </c>
      <c r="L1025" t="s">
        <v>114</v>
      </c>
      <c r="M1025" t="s">
        <v>114</v>
      </c>
      <c r="N1025" s="19" t="s">
        <v>1184</v>
      </c>
      <c r="O1025" s="19" t="s">
        <v>116</v>
      </c>
      <c r="R1025" t="s">
        <v>1097</v>
      </c>
    </row>
    <row r="1026" spans="1:18" hidden="1" x14ac:dyDescent="0.3">
      <c r="A1026" s="19">
        <f t="shared" ref="A1026:A1089" si="16">IF($B1026="","",ROW()-1)</f>
        <v>1025</v>
      </c>
      <c r="B1026" s="20" t="s">
        <v>87</v>
      </c>
      <c r="C1026" s="20" t="s">
        <v>102</v>
      </c>
      <c r="D1026" s="21" t="str">
        <f>IF($C1026="","",IFERROR(VLOOKUP($C1026,Map_Register!$A$2:$C$5,3,FALSE()),""))</f>
        <v>Toponym Labels</v>
      </c>
      <c r="E1026" s="20" t="s">
        <v>15</v>
      </c>
      <c r="F1026" s="22">
        <v>792898</v>
      </c>
      <c r="G1026" s="19" t="s">
        <v>2691</v>
      </c>
      <c r="H1026" s="19" t="s">
        <v>2587</v>
      </c>
      <c r="I1026" s="19" t="s">
        <v>2587</v>
      </c>
      <c r="J1026" s="19" t="s">
        <v>1110</v>
      </c>
      <c r="K1026" s="19" t="s">
        <v>6</v>
      </c>
      <c r="L1026" s="19" t="s">
        <v>1095</v>
      </c>
      <c r="M1026" s="19" t="s">
        <v>1095</v>
      </c>
      <c r="N1026" s="19" t="s">
        <v>2692</v>
      </c>
      <c r="R1026" t="s">
        <v>1097</v>
      </c>
    </row>
    <row r="1027" spans="1:18" hidden="1" x14ac:dyDescent="0.3">
      <c r="A1027" s="19">
        <f t="shared" si="16"/>
        <v>1026</v>
      </c>
      <c r="B1027" s="20" t="s">
        <v>87</v>
      </c>
      <c r="C1027" s="20" t="s">
        <v>102</v>
      </c>
      <c r="D1027" s="21" t="str">
        <f>IF($C1027="","",IFERROR(VLOOKUP($C1027,Map_Register!$A$2:$C$5,3,FALSE()),""))</f>
        <v>Toponym Labels</v>
      </c>
      <c r="E1027" s="20" t="s">
        <v>15</v>
      </c>
      <c r="F1027" s="22">
        <v>792899</v>
      </c>
      <c r="G1027" s="19" t="s">
        <v>1091</v>
      </c>
      <c r="H1027" s="19" t="s">
        <v>2703</v>
      </c>
      <c r="I1027" s="19" t="s">
        <v>2703</v>
      </c>
      <c r="J1027" s="19" t="s">
        <v>1110</v>
      </c>
      <c r="K1027" s="19" t="s">
        <v>6</v>
      </c>
      <c r="L1027" s="19" t="s">
        <v>1095</v>
      </c>
      <c r="M1027" s="19" t="s">
        <v>1095</v>
      </c>
      <c r="N1027" s="19" t="s">
        <v>1300</v>
      </c>
      <c r="R1027" t="s">
        <v>1097</v>
      </c>
    </row>
    <row r="1028" spans="1:18" hidden="1" x14ac:dyDescent="0.3">
      <c r="A1028" s="19">
        <f t="shared" si="16"/>
        <v>1027</v>
      </c>
      <c r="B1028" s="20" t="s">
        <v>87</v>
      </c>
      <c r="C1028" s="20" t="s">
        <v>102</v>
      </c>
      <c r="D1028" s="21" t="str">
        <f>IF($C1028="","",IFERROR(VLOOKUP($C1028,Map_Register!$A$2:$C$5,3,FALSE()),""))</f>
        <v>Toponym Labels</v>
      </c>
      <c r="E1028" s="20" t="s">
        <v>15</v>
      </c>
      <c r="F1028" s="22">
        <v>792900</v>
      </c>
      <c r="G1028" s="19" t="s">
        <v>1125</v>
      </c>
      <c r="H1028" s="19" t="s">
        <v>2704</v>
      </c>
      <c r="I1028" s="19" t="s">
        <v>2705</v>
      </c>
      <c r="J1028" s="19" t="s">
        <v>1104</v>
      </c>
      <c r="K1028" s="19" t="s">
        <v>6</v>
      </c>
      <c r="L1028" s="19" t="s">
        <v>1095</v>
      </c>
      <c r="M1028" s="19" t="s">
        <v>1095</v>
      </c>
      <c r="N1028" s="19" t="s">
        <v>1105</v>
      </c>
      <c r="R1028" t="s">
        <v>1097</v>
      </c>
    </row>
    <row r="1029" spans="1:18" hidden="1" x14ac:dyDescent="0.3">
      <c r="A1029" s="19">
        <f t="shared" si="16"/>
        <v>1028</v>
      </c>
      <c r="B1029" s="20" t="s">
        <v>87</v>
      </c>
      <c r="C1029" s="20" t="s">
        <v>102</v>
      </c>
      <c r="D1029" s="21" t="str">
        <f>IF($C1029="","",IFERROR(VLOOKUP($C1029,Map_Register!$A$2:$C$5,3,FALSE()),""))</f>
        <v>Toponym Labels</v>
      </c>
      <c r="E1029" s="20" t="s">
        <v>15</v>
      </c>
      <c r="F1029" s="22">
        <v>792901</v>
      </c>
      <c r="G1029" s="19" t="s">
        <v>1179</v>
      </c>
      <c r="H1029" s="19" t="s">
        <v>1518</v>
      </c>
      <c r="I1029" s="19" t="s">
        <v>1518</v>
      </c>
      <c r="J1029" s="19" t="s">
        <v>1110</v>
      </c>
      <c r="K1029" t="s">
        <v>1100</v>
      </c>
      <c r="L1029" t="s">
        <v>114</v>
      </c>
      <c r="M1029" t="s">
        <v>114</v>
      </c>
      <c r="N1029" s="19" t="s">
        <v>1184</v>
      </c>
      <c r="O1029" s="19" t="s">
        <v>116</v>
      </c>
      <c r="R1029" t="s">
        <v>1097</v>
      </c>
    </row>
    <row r="1030" spans="1:18" x14ac:dyDescent="0.3">
      <c r="A1030" s="19">
        <f t="shared" si="16"/>
        <v>1029</v>
      </c>
      <c r="B1030" s="20" t="s">
        <v>87</v>
      </c>
      <c r="C1030" s="20" t="s">
        <v>102</v>
      </c>
      <c r="D1030" s="21" t="str">
        <f>IF($C1030="","",IFERROR(VLOOKUP($C1030,Map_Register!$A$2:$C$5,3,FALSE()),""))</f>
        <v>Toponym Labels</v>
      </c>
      <c r="E1030" s="20" t="s">
        <v>15</v>
      </c>
      <c r="F1030" s="22">
        <v>792902</v>
      </c>
      <c r="G1030" s="19" t="s">
        <v>1108</v>
      </c>
      <c r="H1030" s="19" t="s">
        <v>2706</v>
      </c>
      <c r="I1030" s="19" t="s">
        <v>2706</v>
      </c>
      <c r="J1030" s="19" t="s">
        <v>1110</v>
      </c>
      <c r="K1030" t="s">
        <v>1100</v>
      </c>
      <c r="L1030" t="s">
        <v>114</v>
      </c>
      <c r="M1030" t="s">
        <v>116</v>
      </c>
      <c r="N1030" s="19" t="s">
        <v>1268</v>
      </c>
      <c r="O1030" s="19" t="s">
        <v>116</v>
      </c>
      <c r="R1030" t="s">
        <v>1097</v>
      </c>
    </row>
    <row r="1031" spans="1:18" hidden="1" x14ac:dyDescent="0.3">
      <c r="A1031" s="19">
        <f t="shared" si="16"/>
        <v>1030</v>
      </c>
      <c r="B1031" s="20" t="s">
        <v>87</v>
      </c>
      <c r="C1031" s="20" t="s">
        <v>102</v>
      </c>
      <c r="D1031" s="21" t="str">
        <f>IF($C1031="","",IFERROR(VLOOKUP($C1031,Map_Register!$A$2:$C$5,3,FALSE()),""))</f>
        <v>Toponym Labels</v>
      </c>
      <c r="E1031" s="20" t="s">
        <v>15</v>
      </c>
      <c r="F1031" s="22">
        <v>792903</v>
      </c>
      <c r="G1031" s="19" t="s">
        <v>1118</v>
      </c>
      <c r="H1031" s="19" t="s">
        <v>2707</v>
      </c>
      <c r="I1031" s="19" t="s">
        <v>2708</v>
      </c>
      <c r="J1031" s="19" t="s">
        <v>1104</v>
      </c>
      <c r="K1031" t="s">
        <v>1100</v>
      </c>
      <c r="L1031" s="19" t="s">
        <v>114</v>
      </c>
      <c r="M1031" s="19" t="s">
        <v>114</v>
      </c>
      <c r="N1031" s="19" t="s">
        <v>1178</v>
      </c>
      <c r="O1031" s="19" t="s">
        <v>116</v>
      </c>
      <c r="R1031" t="s">
        <v>1097</v>
      </c>
    </row>
    <row r="1032" spans="1:18" x14ac:dyDescent="0.3">
      <c r="A1032" s="19">
        <f t="shared" si="16"/>
        <v>1031</v>
      </c>
      <c r="B1032" s="20" t="s">
        <v>87</v>
      </c>
      <c r="C1032" s="20" t="s">
        <v>102</v>
      </c>
      <c r="D1032" s="21" t="str">
        <f>IF($C1032="","",IFERROR(VLOOKUP($C1032,Map_Register!$A$2:$C$5,3,FALSE()),""))</f>
        <v>Toponym Labels</v>
      </c>
      <c r="E1032" s="20" t="s">
        <v>15</v>
      </c>
      <c r="F1032" s="22">
        <v>792904</v>
      </c>
      <c r="G1032" s="19" t="s">
        <v>1309</v>
      </c>
      <c r="H1032" s="19" t="s">
        <v>2709</v>
      </c>
      <c r="I1032" s="19" t="s">
        <v>2709</v>
      </c>
      <c r="J1032" s="19" t="s">
        <v>1110</v>
      </c>
      <c r="K1032" t="s">
        <v>1100</v>
      </c>
      <c r="L1032" t="s">
        <v>114</v>
      </c>
      <c r="M1032" t="s">
        <v>116</v>
      </c>
      <c r="N1032" s="19" t="s">
        <v>2710</v>
      </c>
      <c r="O1032" s="19" t="s">
        <v>116</v>
      </c>
      <c r="R1032" t="s">
        <v>1097</v>
      </c>
    </row>
    <row r="1033" spans="1:18" hidden="1" x14ac:dyDescent="0.3">
      <c r="A1033" s="19">
        <f t="shared" si="16"/>
        <v>1032</v>
      </c>
      <c r="B1033" s="20" t="s">
        <v>87</v>
      </c>
      <c r="C1033" s="20" t="s">
        <v>102</v>
      </c>
      <c r="D1033" s="21" t="str">
        <f>IF($C1033="","",IFERROR(VLOOKUP($C1033,Map_Register!$A$2:$C$5,3,FALSE()),""))</f>
        <v>Toponym Labels</v>
      </c>
      <c r="E1033" s="20" t="s">
        <v>15</v>
      </c>
      <c r="F1033" s="22">
        <v>792905</v>
      </c>
      <c r="G1033" s="19" t="s">
        <v>2691</v>
      </c>
      <c r="H1033" s="19" t="s">
        <v>2711</v>
      </c>
      <c r="I1033" s="19" t="s">
        <v>2712</v>
      </c>
      <c r="J1033" s="19" t="s">
        <v>1104</v>
      </c>
      <c r="K1033" s="19" t="s">
        <v>6</v>
      </c>
      <c r="L1033" s="19" t="s">
        <v>1095</v>
      </c>
      <c r="M1033" s="19" t="s">
        <v>1095</v>
      </c>
      <c r="N1033" s="19" t="s">
        <v>1105</v>
      </c>
      <c r="R1033" t="s">
        <v>1097</v>
      </c>
    </row>
    <row r="1034" spans="1:18" hidden="1" x14ac:dyDescent="0.3">
      <c r="A1034" s="19">
        <f t="shared" si="16"/>
        <v>1033</v>
      </c>
      <c r="B1034" s="20" t="s">
        <v>87</v>
      </c>
      <c r="C1034" s="20" t="s">
        <v>102</v>
      </c>
      <c r="D1034" s="21" t="str">
        <f>IF($C1034="","",IFERROR(VLOOKUP($C1034,Map_Register!$A$2:$C$5,3,FALSE()),""))</f>
        <v>Toponym Labels</v>
      </c>
      <c r="E1034" s="20" t="s">
        <v>15</v>
      </c>
      <c r="F1034" s="22">
        <v>792906</v>
      </c>
      <c r="G1034" s="19" t="s">
        <v>1136</v>
      </c>
      <c r="H1034" s="19" t="s">
        <v>949</v>
      </c>
      <c r="I1034" s="19" t="s">
        <v>949</v>
      </c>
      <c r="J1034" s="19" t="s">
        <v>1110</v>
      </c>
      <c r="K1034" s="19" t="s">
        <v>6</v>
      </c>
      <c r="L1034" s="19" t="s">
        <v>1095</v>
      </c>
      <c r="M1034" s="19" t="s">
        <v>1095</v>
      </c>
      <c r="N1034" s="19" t="s">
        <v>1406</v>
      </c>
      <c r="R1034" t="s">
        <v>1097</v>
      </c>
    </row>
    <row r="1035" spans="1:18" hidden="1" x14ac:dyDescent="0.3">
      <c r="A1035" s="19">
        <f t="shared" si="16"/>
        <v>1034</v>
      </c>
      <c r="B1035" s="20" t="s">
        <v>87</v>
      </c>
      <c r="C1035" s="20" t="s">
        <v>102</v>
      </c>
      <c r="D1035" s="21" t="str">
        <f>IF($C1035="","",IFERROR(VLOOKUP($C1035,Map_Register!$A$2:$C$5,3,FALSE()),""))</f>
        <v>Toponym Labels</v>
      </c>
      <c r="E1035" s="20" t="s">
        <v>15</v>
      </c>
      <c r="F1035" s="22">
        <v>792907</v>
      </c>
      <c r="G1035" s="19" t="s">
        <v>1118</v>
      </c>
      <c r="H1035" s="19" t="s">
        <v>2713</v>
      </c>
      <c r="I1035" s="19" t="s">
        <v>2714</v>
      </c>
      <c r="J1035" s="19" t="s">
        <v>2624</v>
      </c>
      <c r="K1035" t="s">
        <v>1100</v>
      </c>
      <c r="L1035" s="19" t="s">
        <v>114</v>
      </c>
      <c r="M1035" s="19" t="s">
        <v>114</v>
      </c>
      <c r="N1035" s="19" t="s">
        <v>1178</v>
      </c>
      <c r="O1035" s="19" t="s">
        <v>116</v>
      </c>
      <c r="R1035" t="s">
        <v>1097</v>
      </c>
    </row>
    <row r="1036" spans="1:18" hidden="1" x14ac:dyDescent="0.3">
      <c r="A1036" s="19">
        <f t="shared" si="16"/>
        <v>1035</v>
      </c>
      <c r="B1036" s="20" t="s">
        <v>87</v>
      </c>
      <c r="C1036" s="20" t="s">
        <v>102</v>
      </c>
      <c r="D1036" s="21" t="str">
        <f>IF($C1036="","",IFERROR(VLOOKUP($C1036,Map_Register!$A$2:$C$5,3,FALSE()),""))</f>
        <v>Toponym Labels</v>
      </c>
      <c r="E1036" s="20" t="s">
        <v>15</v>
      </c>
      <c r="F1036" s="22">
        <v>792908</v>
      </c>
      <c r="G1036" s="19" t="s">
        <v>1091</v>
      </c>
      <c r="H1036" s="19" t="s">
        <v>2715</v>
      </c>
      <c r="I1036" s="19" t="s">
        <v>2715</v>
      </c>
      <c r="J1036" s="19" t="s">
        <v>1110</v>
      </c>
      <c r="K1036" t="s">
        <v>1100</v>
      </c>
      <c r="L1036" t="s">
        <v>114</v>
      </c>
      <c r="M1036" t="s">
        <v>114</v>
      </c>
      <c r="N1036" s="19" t="s">
        <v>530</v>
      </c>
      <c r="O1036" s="19" t="s">
        <v>116</v>
      </c>
      <c r="R1036" t="s">
        <v>1097</v>
      </c>
    </row>
    <row r="1037" spans="1:18" hidden="1" x14ac:dyDescent="0.3">
      <c r="A1037" s="19">
        <f t="shared" si="16"/>
        <v>1036</v>
      </c>
      <c r="B1037" s="20" t="s">
        <v>87</v>
      </c>
      <c r="C1037" s="20" t="s">
        <v>102</v>
      </c>
      <c r="D1037" s="21" t="str">
        <f>IF($C1037="","",IFERROR(VLOOKUP($C1037,Map_Register!$A$2:$C$5,3,FALSE()),""))</f>
        <v>Toponym Labels</v>
      </c>
      <c r="E1037" s="20" t="s">
        <v>15</v>
      </c>
      <c r="F1037" s="22">
        <v>792909</v>
      </c>
      <c r="G1037" s="19" t="s">
        <v>1179</v>
      </c>
      <c r="H1037" s="19" t="s">
        <v>2716</v>
      </c>
      <c r="I1037" s="19" t="s">
        <v>2716</v>
      </c>
      <c r="J1037" s="19" t="s">
        <v>1110</v>
      </c>
      <c r="K1037" s="19" t="s">
        <v>6</v>
      </c>
      <c r="L1037" s="19" t="s">
        <v>1095</v>
      </c>
      <c r="M1037" s="19" t="s">
        <v>1095</v>
      </c>
      <c r="N1037" s="19" t="s">
        <v>2701</v>
      </c>
      <c r="R1037" t="s">
        <v>1097</v>
      </c>
    </row>
    <row r="1038" spans="1:18" hidden="1" x14ac:dyDescent="0.3">
      <c r="A1038" s="19">
        <f t="shared" si="16"/>
        <v>1037</v>
      </c>
      <c r="B1038" s="20" t="s">
        <v>87</v>
      </c>
      <c r="C1038" s="20" t="s">
        <v>102</v>
      </c>
      <c r="D1038" s="21" t="str">
        <f>IF($C1038="","",IFERROR(VLOOKUP($C1038,Map_Register!$A$2:$C$5,3,FALSE()),""))</f>
        <v>Toponym Labels</v>
      </c>
      <c r="E1038" s="20" t="s">
        <v>15</v>
      </c>
      <c r="F1038" s="22">
        <v>792910</v>
      </c>
      <c r="G1038" s="19" t="s">
        <v>1091</v>
      </c>
      <c r="H1038" s="19" t="s">
        <v>2717</v>
      </c>
      <c r="I1038" s="19" t="s">
        <v>2717</v>
      </c>
      <c r="J1038" s="19" t="s">
        <v>1110</v>
      </c>
      <c r="K1038" t="s">
        <v>1100</v>
      </c>
      <c r="L1038" t="s">
        <v>114</v>
      </c>
      <c r="M1038" t="s">
        <v>114</v>
      </c>
      <c r="N1038" s="19" t="s">
        <v>530</v>
      </c>
      <c r="O1038" s="19" t="s">
        <v>116</v>
      </c>
      <c r="R1038" t="s">
        <v>1097</v>
      </c>
    </row>
    <row r="1039" spans="1:18" x14ac:dyDescent="0.3">
      <c r="A1039" s="19">
        <f t="shared" si="16"/>
        <v>1038</v>
      </c>
      <c r="B1039" s="20" t="s">
        <v>87</v>
      </c>
      <c r="C1039" s="20" t="s">
        <v>102</v>
      </c>
      <c r="D1039" s="21" t="str">
        <f>IF($C1039="","",IFERROR(VLOOKUP($C1039,Map_Register!$A$2:$C$5,3,FALSE()),""))</f>
        <v>Toponym Labels</v>
      </c>
      <c r="E1039" s="20" t="s">
        <v>15</v>
      </c>
      <c r="F1039" s="22">
        <v>792911</v>
      </c>
      <c r="G1039" s="19" t="s">
        <v>1309</v>
      </c>
      <c r="H1039" s="19" t="s">
        <v>2718</v>
      </c>
      <c r="I1039" s="19" t="s">
        <v>2718</v>
      </c>
      <c r="J1039" s="19" t="s">
        <v>1110</v>
      </c>
      <c r="K1039" t="s">
        <v>1100</v>
      </c>
      <c r="L1039" t="s">
        <v>114</v>
      </c>
      <c r="M1039" t="s">
        <v>116</v>
      </c>
      <c r="N1039" s="19" t="s">
        <v>1268</v>
      </c>
      <c r="O1039" s="19" t="s">
        <v>116</v>
      </c>
      <c r="R1039" t="s">
        <v>1097</v>
      </c>
    </row>
    <row r="1040" spans="1:18" hidden="1" x14ac:dyDescent="0.3">
      <c r="A1040" s="19">
        <f t="shared" si="16"/>
        <v>1039</v>
      </c>
      <c r="B1040" s="20" t="s">
        <v>87</v>
      </c>
      <c r="C1040" s="20" t="s">
        <v>102</v>
      </c>
      <c r="D1040" s="21" t="str">
        <f>IF($C1040="","",IFERROR(VLOOKUP($C1040,Map_Register!$A$2:$C$5,3,FALSE()),""))</f>
        <v>Toponym Labels</v>
      </c>
      <c r="E1040" s="20" t="s">
        <v>15</v>
      </c>
      <c r="F1040" s="22">
        <v>792912</v>
      </c>
      <c r="G1040" s="19" t="s">
        <v>2719</v>
      </c>
      <c r="H1040" s="19" t="s">
        <v>2720</v>
      </c>
      <c r="I1040" s="19" t="s">
        <v>2720</v>
      </c>
      <c r="J1040" s="19" t="s">
        <v>1110</v>
      </c>
      <c r="K1040" t="s">
        <v>1100</v>
      </c>
      <c r="L1040" t="s">
        <v>114</v>
      </c>
      <c r="M1040" t="s">
        <v>114</v>
      </c>
      <c r="N1040" s="19" t="s">
        <v>530</v>
      </c>
      <c r="O1040" s="19" t="s">
        <v>116</v>
      </c>
      <c r="R1040" t="s">
        <v>1097</v>
      </c>
    </row>
    <row r="1041" spans="1:18" hidden="1" x14ac:dyDescent="0.3">
      <c r="A1041" s="19">
        <f t="shared" si="16"/>
        <v>1040</v>
      </c>
      <c r="B1041" s="20" t="s">
        <v>87</v>
      </c>
      <c r="C1041" s="20" t="s">
        <v>102</v>
      </c>
      <c r="D1041" s="21" t="str">
        <f>IF($C1041="","",IFERROR(VLOOKUP($C1041,Map_Register!$A$2:$C$5,3,FALSE()),""))</f>
        <v>Toponym Labels</v>
      </c>
      <c r="E1041" s="20" t="s">
        <v>15</v>
      </c>
      <c r="F1041" s="22">
        <v>792913</v>
      </c>
      <c r="G1041" s="19" t="s">
        <v>1309</v>
      </c>
      <c r="H1041" s="19" t="s">
        <v>2721</v>
      </c>
      <c r="I1041" s="19" t="s">
        <v>2721</v>
      </c>
      <c r="J1041" s="19" t="s">
        <v>1110</v>
      </c>
      <c r="K1041" s="19" t="s">
        <v>6</v>
      </c>
      <c r="L1041" s="19" t="s">
        <v>1095</v>
      </c>
      <c r="M1041" s="19" t="s">
        <v>1095</v>
      </c>
      <c r="N1041" s="19" t="s">
        <v>1905</v>
      </c>
      <c r="R1041" t="s">
        <v>1097</v>
      </c>
    </row>
    <row r="1042" spans="1:18" x14ac:dyDescent="0.3">
      <c r="A1042" s="19">
        <f t="shared" si="16"/>
        <v>1041</v>
      </c>
      <c r="B1042" s="20" t="s">
        <v>87</v>
      </c>
      <c r="C1042" s="20" t="s">
        <v>102</v>
      </c>
      <c r="D1042" s="21" t="str">
        <f>IF($C1042="","",IFERROR(VLOOKUP($C1042,Map_Register!$A$2:$C$5,3,FALSE()),""))</f>
        <v>Toponym Labels</v>
      </c>
      <c r="E1042" s="20" t="s">
        <v>15</v>
      </c>
      <c r="F1042" s="22">
        <v>792914</v>
      </c>
      <c r="G1042" s="19" t="s">
        <v>1108</v>
      </c>
      <c r="H1042" s="19" t="s">
        <v>2722</v>
      </c>
      <c r="I1042" s="19" t="s">
        <v>2722</v>
      </c>
      <c r="J1042" s="19" t="s">
        <v>1110</v>
      </c>
      <c r="K1042" t="s">
        <v>1100</v>
      </c>
      <c r="L1042" t="s">
        <v>114</v>
      </c>
      <c r="M1042" t="s">
        <v>116</v>
      </c>
      <c r="N1042" s="19" t="s">
        <v>1415</v>
      </c>
      <c r="O1042" s="19" t="s">
        <v>116</v>
      </c>
      <c r="R1042" t="s">
        <v>1097</v>
      </c>
    </row>
    <row r="1043" spans="1:18" hidden="1" x14ac:dyDescent="0.3">
      <c r="A1043" s="19">
        <f t="shared" si="16"/>
        <v>1042</v>
      </c>
      <c r="B1043" s="20" t="s">
        <v>87</v>
      </c>
      <c r="C1043" s="20" t="s">
        <v>102</v>
      </c>
      <c r="D1043" s="21" t="str">
        <f>IF($C1043="","",IFERROR(VLOOKUP($C1043,Map_Register!$A$2:$C$5,3,FALSE()),""))</f>
        <v>Toponym Labels</v>
      </c>
      <c r="E1043" s="20" t="s">
        <v>15</v>
      </c>
      <c r="F1043" s="22">
        <v>792915</v>
      </c>
      <c r="G1043" s="19" t="s">
        <v>1091</v>
      </c>
      <c r="H1043" s="19" t="s">
        <v>2723</v>
      </c>
      <c r="I1043" s="19" t="s">
        <v>2723</v>
      </c>
      <c r="J1043" s="19" t="s">
        <v>1110</v>
      </c>
      <c r="K1043" t="s">
        <v>1100</v>
      </c>
      <c r="L1043" t="s">
        <v>114</v>
      </c>
      <c r="M1043" t="s">
        <v>114</v>
      </c>
      <c r="N1043" s="19" t="s">
        <v>530</v>
      </c>
      <c r="O1043" s="19" t="s">
        <v>116</v>
      </c>
      <c r="R1043" t="s">
        <v>1097</v>
      </c>
    </row>
    <row r="1044" spans="1:18" hidden="1" x14ac:dyDescent="0.3">
      <c r="A1044" s="19">
        <f t="shared" si="16"/>
        <v>1043</v>
      </c>
      <c r="B1044" s="20" t="s">
        <v>87</v>
      </c>
      <c r="C1044" s="20" t="s">
        <v>102</v>
      </c>
      <c r="D1044" s="21" t="str">
        <f>IF($C1044="","",IFERROR(VLOOKUP($C1044,Map_Register!$A$2:$C$5,3,FALSE()),""))</f>
        <v>Toponym Labels</v>
      </c>
      <c r="E1044" s="20" t="s">
        <v>15</v>
      </c>
      <c r="F1044" s="22">
        <v>792916</v>
      </c>
      <c r="G1044" s="19" t="s">
        <v>1091</v>
      </c>
      <c r="H1044" s="19" t="s">
        <v>1251</v>
      </c>
      <c r="I1044" s="19" t="s">
        <v>2724</v>
      </c>
      <c r="J1044" s="19" t="s">
        <v>1104</v>
      </c>
      <c r="K1044" s="19" t="s">
        <v>6</v>
      </c>
      <c r="L1044" s="19" t="s">
        <v>1095</v>
      </c>
      <c r="M1044" s="19" t="s">
        <v>1095</v>
      </c>
      <c r="N1044" s="19" t="s">
        <v>1105</v>
      </c>
      <c r="R1044" t="s">
        <v>1097</v>
      </c>
    </row>
    <row r="1045" spans="1:18" hidden="1" x14ac:dyDescent="0.3">
      <c r="A1045" s="19">
        <f t="shared" si="16"/>
        <v>1044</v>
      </c>
      <c r="B1045" s="20" t="s">
        <v>87</v>
      </c>
      <c r="C1045" s="20" t="s">
        <v>102</v>
      </c>
      <c r="D1045" s="21" t="str">
        <f>IF($C1045="","",IFERROR(VLOOKUP($C1045,Map_Register!$A$2:$C$5,3,FALSE()),""))</f>
        <v>Toponym Labels</v>
      </c>
      <c r="E1045" s="20" t="s">
        <v>15</v>
      </c>
      <c r="F1045" s="22">
        <v>792917</v>
      </c>
      <c r="G1045" s="19" t="s">
        <v>1309</v>
      </c>
      <c r="H1045" s="19" t="s">
        <v>2725</v>
      </c>
      <c r="I1045" s="19" t="s">
        <v>2725</v>
      </c>
      <c r="J1045" s="19" t="s">
        <v>1110</v>
      </c>
      <c r="K1045" t="s">
        <v>1100</v>
      </c>
      <c r="L1045" t="s">
        <v>114</v>
      </c>
      <c r="M1045" t="s">
        <v>114</v>
      </c>
      <c r="N1045" s="19" t="s">
        <v>2726</v>
      </c>
      <c r="O1045" s="19" t="s">
        <v>116</v>
      </c>
      <c r="R1045" t="s">
        <v>1097</v>
      </c>
    </row>
    <row r="1046" spans="1:18" hidden="1" x14ac:dyDescent="0.3">
      <c r="A1046" s="19">
        <f t="shared" si="16"/>
        <v>1045</v>
      </c>
      <c r="B1046" s="20" t="s">
        <v>87</v>
      </c>
      <c r="C1046" s="20" t="s">
        <v>102</v>
      </c>
      <c r="D1046" s="21" t="str">
        <f>IF($C1046="","",IFERROR(VLOOKUP($C1046,Map_Register!$A$2:$C$5,3,FALSE()),""))</f>
        <v>Toponym Labels</v>
      </c>
      <c r="E1046" s="20" t="s">
        <v>15</v>
      </c>
      <c r="F1046" s="22">
        <v>792918</v>
      </c>
      <c r="G1046" s="19" t="s">
        <v>1145</v>
      </c>
      <c r="H1046" s="19" t="s">
        <v>2727</v>
      </c>
      <c r="I1046" s="19" t="s">
        <v>2728</v>
      </c>
      <c r="J1046" s="19" t="s">
        <v>1104</v>
      </c>
      <c r="K1046" s="19" t="s">
        <v>6</v>
      </c>
      <c r="L1046" s="19" t="s">
        <v>1095</v>
      </c>
      <c r="M1046" s="19" t="s">
        <v>1095</v>
      </c>
      <c r="N1046" s="19" t="s">
        <v>2729</v>
      </c>
      <c r="R1046" t="s">
        <v>1097</v>
      </c>
    </row>
    <row r="1047" spans="1:18" hidden="1" x14ac:dyDescent="0.3">
      <c r="A1047" s="19">
        <f t="shared" si="16"/>
        <v>1046</v>
      </c>
      <c r="B1047" s="20" t="s">
        <v>87</v>
      </c>
      <c r="C1047" s="20" t="s">
        <v>102</v>
      </c>
      <c r="D1047" s="21" t="str">
        <f>IF($C1047="","",IFERROR(VLOOKUP($C1047,Map_Register!$A$2:$C$5,3,FALSE()),""))</f>
        <v>Toponym Labels</v>
      </c>
      <c r="E1047" s="20" t="s">
        <v>15</v>
      </c>
      <c r="F1047" s="22">
        <v>792920</v>
      </c>
      <c r="G1047" s="19" t="s">
        <v>1136</v>
      </c>
      <c r="H1047" s="19" t="s">
        <v>2730</v>
      </c>
      <c r="I1047" s="19" t="s">
        <v>2731</v>
      </c>
      <c r="J1047" s="19" t="s">
        <v>1104</v>
      </c>
      <c r="K1047" s="19" t="s">
        <v>6</v>
      </c>
      <c r="L1047" s="19" t="s">
        <v>1095</v>
      </c>
      <c r="M1047" s="19" t="s">
        <v>1095</v>
      </c>
      <c r="N1047" s="19" t="s">
        <v>1105</v>
      </c>
      <c r="R1047" t="s">
        <v>1097</v>
      </c>
    </row>
    <row r="1048" spans="1:18" hidden="1" x14ac:dyDescent="0.3">
      <c r="A1048" s="19">
        <f t="shared" si="16"/>
        <v>1047</v>
      </c>
      <c r="B1048" s="20" t="s">
        <v>87</v>
      </c>
      <c r="C1048" s="20" t="s">
        <v>102</v>
      </c>
      <c r="D1048" s="21" t="str">
        <f>IF($C1048="","",IFERROR(VLOOKUP($C1048,Map_Register!$A$2:$C$5,3,FALSE()),""))</f>
        <v>Toponym Labels</v>
      </c>
      <c r="E1048" s="20" t="s">
        <v>15</v>
      </c>
      <c r="F1048" s="22">
        <v>792921</v>
      </c>
      <c r="G1048" s="19" t="s">
        <v>1145</v>
      </c>
      <c r="H1048" s="19" t="s">
        <v>2732</v>
      </c>
      <c r="I1048" s="19" t="s">
        <v>2733</v>
      </c>
      <c r="J1048" s="19" t="s">
        <v>1094</v>
      </c>
      <c r="K1048" s="19" t="s">
        <v>6</v>
      </c>
      <c r="L1048" s="19" t="s">
        <v>1095</v>
      </c>
      <c r="M1048" s="19" t="s">
        <v>1095</v>
      </c>
      <c r="N1048" s="19" t="s">
        <v>2734</v>
      </c>
      <c r="R1048" t="s">
        <v>1097</v>
      </c>
    </row>
    <row r="1049" spans="1:18" hidden="1" x14ac:dyDescent="0.3">
      <c r="A1049" s="19">
        <f t="shared" si="16"/>
        <v>1048</v>
      </c>
      <c r="B1049" s="20" t="s">
        <v>87</v>
      </c>
      <c r="C1049" s="20" t="s">
        <v>102</v>
      </c>
      <c r="D1049" s="21" t="str">
        <f>IF($C1049="","",IFERROR(VLOOKUP($C1049,Map_Register!$A$2:$C$5,3,FALSE()),""))</f>
        <v>Toponym Labels</v>
      </c>
      <c r="E1049" s="20" t="s">
        <v>15</v>
      </c>
      <c r="F1049" s="22">
        <v>792922</v>
      </c>
      <c r="G1049" s="19" t="s">
        <v>1091</v>
      </c>
      <c r="H1049" s="19" t="s">
        <v>2735</v>
      </c>
      <c r="I1049" s="19" t="s">
        <v>2735</v>
      </c>
      <c r="J1049" s="19" t="s">
        <v>1110</v>
      </c>
      <c r="K1049" s="19" t="s">
        <v>6</v>
      </c>
      <c r="L1049" s="19" t="s">
        <v>1095</v>
      </c>
      <c r="M1049" s="19" t="s">
        <v>1095</v>
      </c>
      <c r="N1049" s="19" t="s">
        <v>1300</v>
      </c>
      <c r="R1049" t="s">
        <v>1097</v>
      </c>
    </row>
    <row r="1050" spans="1:18" hidden="1" x14ac:dyDescent="0.3">
      <c r="A1050" s="19">
        <f t="shared" si="16"/>
        <v>1049</v>
      </c>
      <c r="B1050" s="20" t="s">
        <v>87</v>
      </c>
      <c r="C1050" s="20" t="s">
        <v>102</v>
      </c>
      <c r="D1050" s="21" t="str">
        <f>IF($C1050="","",IFERROR(VLOOKUP($C1050,Map_Register!$A$2:$C$5,3,FALSE()),""))</f>
        <v>Toponym Labels</v>
      </c>
      <c r="E1050" s="20" t="s">
        <v>15</v>
      </c>
      <c r="F1050" s="22">
        <v>792923</v>
      </c>
      <c r="G1050" s="19" t="s">
        <v>1091</v>
      </c>
      <c r="H1050" s="19" t="s">
        <v>2736</v>
      </c>
      <c r="I1050" s="19" t="s">
        <v>2736</v>
      </c>
      <c r="J1050" s="19" t="s">
        <v>1110</v>
      </c>
      <c r="K1050" s="19" t="s">
        <v>6</v>
      </c>
      <c r="L1050" s="19" t="s">
        <v>1095</v>
      </c>
      <c r="M1050" s="19" t="s">
        <v>1095</v>
      </c>
      <c r="N1050" s="19" t="s">
        <v>1300</v>
      </c>
      <c r="R1050" t="s">
        <v>1097</v>
      </c>
    </row>
    <row r="1051" spans="1:18" hidden="1" x14ac:dyDescent="0.3">
      <c r="A1051" s="19">
        <f t="shared" si="16"/>
        <v>1050</v>
      </c>
      <c r="B1051" s="20" t="s">
        <v>87</v>
      </c>
      <c r="C1051" s="20" t="s">
        <v>102</v>
      </c>
      <c r="D1051" s="21" t="str">
        <f>IF($C1051="","",IFERROR(VLOOKUP($C1051,Map_Register!$A$2:$C$5,3,FALSE()),""))</f>
        <v>Toponym Labels</v>
      </c>
      <c r="E1051" s="20" t="s">
        <v>15</v>
      </c>
      <c r="F1051" s="22">
        <v>792924</v>
      </c>
      <c r="G1051" s="19" t="s">
        <v>1145</v>
      </c>
      <c r="H1051" s="19" t="s">
        <v>2737</v>
      </c>
      <c r="I1051" s="19" t="s">
        <v>2737</v>
      </c>
      <c r="J1051" s="19" t="s">
        <v>1110</v>
      </c>
      <c r="K1051" s="19" t="s">
        <v>6</v>
      </c>
      <c r="L1051" s="19" t="s">
        <v>1095</v>
      </c>
      <c r="M1051" s="19" t="s">
        <v>1095</v>
      </c>
      <c r="N1051" s="19" t="s">
        <v>1638</v>
      </c>
      <c r="R1051" t="s">
        <v>1097</v>
      </c>
    </row>
    <row r="1052" spans="1:18" hidden="1" x14ac:dyDescent="0.3">
      <c r="A1052" s="19">
        <f t="shared" si="16"/>
        <v>1051</v>
      </c>
      <c r="B1052" s="20" t="s">
        <v>87</v>
      </c>
      <c r="C1052" s="20" t="s">
        <v>102</v>
      </c>
      <c r="D1052" s="21" t="str">
        <f>IF($C1052="","",IFERROR(VLOOKUP($C1052,Map_Register!$A$2:$C$5,3,FALSE()),""))</f>
        <v>Toponym Labels</v>
      </c>
      <c r="E1052" s="20" t="s">
        <v>15</v>
      </c>
      <c r="F1052" s="22">
        <v>794006</v>
      </c>
      <c r="G1052" s="19" t="s">
        <v>1136</v>
      </c>
      <c r="H1052" s="19" t="s">
        <v>2738</v>
      </c>
      <c r="I1052" s="19" t="s">
        <v>2738</v>
      </c>
      <c r="J1052" s="19" t="s">
        <v>1110</v>
      </c>
      <c r="K1052" s="19" t="s">
        <v>6</v>
      </c>
      <c r="L1052" s="19" t="s">
        <v>1095</v>
      </c>
      <c r="M1052" s="19" t="s">
        <v>1095</v>
      </c>
      <c r="N1052" s="19" t="s">
        <v>1406</v>
      </c>
      <c r="R1052" t="s">
        <v>1097</v>
      </c>
    </row>
    <row r="1053" spans="1:18" hidden="1" x14ac:dyDescent="0.3">
      <c r="A1053" s="19">
        <f t="shared" si="16"/>
        <v>1052</v>
      </c>
      <c r="B1053" s="20" t="s">
        <v>87</v>
      </c>
      <c r="C1053" s="20" t="s">
        <v>102</v>
      </c>
      <c r="D1053" s="21" t="str">
        <f>IF($C1053="","",IFERROR(VLOOKUP($C1053,Map_Register!$A$2:$C$5,3,FALSE()),""))</f>
        <v>Toponym Labels</v>
      </c>
      <c r="E1053" s="20" t="s">
        <v>15</v>
      </c>
      <c r="F1053" s="22">
        <v>794009</v>
      </c>
      <c r="G1053" s="19" t="s">
        <v>1179</v>
      </c>
      <c r="H1053" s="19" t="s">
        <v>2739</v>
      </c>
      <c r="I1053" s="19" t="s">
        <v>2740</v>
      </c>
      <c r="J1053" s="19" t="s">
        <v>1104</v>
      </c>
      <c r="K1053" t="s">
        <v>1100</v>
      </c>
      <c r="L1053" t="s">
        <v>114</v>
      </c>
      <c r="M1053" t="s">
        <v>114</v>
      </c>
      <c r="N1053" s="19" t="s">
        <v>1184</v>
      </c>
      <c r="O1053" s="19" t="s">
        <v>116</v>
      </c>
      <c r="R1053" t="s">
        <v>1097</v>
      </c>
    </row>
    <row r="1054" spans="1:18" hidden="1" x14ac:dyDescent="0.3">
      <c r="A1054" s="19">
        <f t="shared" si="16"/>
        <v>1053</v>
      </c>
      <c r="B1054" s="20" t="s">
        <v>87</v>
      </c>
      <c r="C1054" s="20" t="s">
        <v>102</v>
      </c>
      <c r="D1054" s="21" t="str">
        <f>IF($C1054="","",IFERROR(VLOOKUP($C1054,Map_Register!$A$2:$C$5,3,FALSE()),""))</f>
        <v>Toponym Labels</v>
      </c>
      <c r="E1054" s="20" t="s">
        <v>15</v>
      </c>
      <c r="F1054" s="22">
        <v>794010</v>
      </c>
      <c r="G1054" s="19" t="s">
        <v>1108</v>
      </c>
      <c r="H1054" s="19" t="s">
        <v>2741</v>
      </c>
      <c r="I1054" s="19" t="s">
        <v>2741</v>
      </c>
      <c r="J1054" s="19" t="s">
        <v>1110</v>
      </c>
      <c r="K1054" s="19" t="s">
        <v>6</v>
      </c>
      <c r="L1054" s="19" t="s">
        <v>1095</v>
      </c>
      <c r="M1054" s="19" t="s">
        <v>1095</v>
      </c>
      <c r="N1054" s="19" t="s">
        <v>1111</v>
      </c>
      <c r="R1054" t="s">
        <v>1097</v>
      </c>
    </row>
    <row r="1055" spans="1:18" hidden="1" x14ac:dyDescent="0.3">
      <c r="A1055" s="19">
        <f t="shared" si="16"/>
        <v>1054</v>
      </c>
      <c r="B1055" s="20" t="s">
        <v>87</v>
      </c>
      <c r="C1055" s="20" t="s">
        <v>102</v>
      </c>
      <c r="D1055" s="21" t="str">
        <f>IF($C1055="","",IFERROR(VLOOKUP($C1055,Map_Register!$A$2:$C$5,3,FALSE()),""))</f>
        <v>Toponym Labels</v>
      </c>
      <c r="E1055" s="20" t="s">
        <v>15</v>
      </c>
      <c r="F1055" s="22">
        <v>794011</v>
      </c>
      <c r="G1055" s="19" t="s">
        <v>1223</v>
      </c>
      <c r="H1055" s="19" t="s">
        <v>2742</v>
      </c>
      <c r="I1055" s="19" t="s">
        <v>2743</v>
      </c>
      <c r="J1055" s="19" t="s">
        <v>1104</v>
      </c>
      <c r="K1055" s="19" t="s">
        <v>6</v>
      </c>
      <c r="L1055" s="19" t="s">
        <v>1095</v>
      </c>
      <c r="M1055" s="19" t="s">
        <v>1095</v>
      </c>
      <c r="N1055" s="19" t="s">
        <v>1105</v>
      </c>
      <c r="R1055" t="s">
        <v>1097</v>
      </c>
    </row>
    <row r="1056" spans="1:18" hidden="1" x14ac:dyDescent="0.3">
      <c r="A1056" s="19">
        <f t="shared" si="16"/>
        <v>1055</v>
      </c>
      <c r="B1056" s="20" t="s">
        <v>87</v>
      </c>
      <c r="C1056" s="20" t="s">
        <v>102</v>
      </c>
      <c r="D1056" s="21" t="str">
        <f>IF($C1056="","",IFERROR(VLOOKUP($C1056,Map_Register!$A$2:$C$5,3,FALSE()),""))</f>
        <v>Toponym Labels</v>
      </c>
      <c r="E1056" s="20" t="s">
        <v>15</v>
      </c>
      <c r="F1056" s="22">
        <v>794012</v>
      </c>
      <c r="G1056" s="19" t="s">
        <v>1136</v>
      </c>
      <c r="H1056" s="19" t="s">
        <v>2744</v>
      </c>
      <c r="I1056" s="19" t="s">
        <v>2744</v>
      </c>
      <c r="J1056" s="19" t="s">
        <v>1110</v>
      </c>
      <c r="K1056" s="19" t="s">
        <v>6</v>
      </c>
      <c r="L1056" s="19" t="s">
        <v>1095</v>
      </c>
      <c r="M1056" s="19" t="s">
        <v>1095</v>
      </c>
      <c r="N1056" s="19" t="s">
        <v>1406</v>
      </c>
      <c r="R1056" t="s">
        <v>1097</v>
      </c>
    </row>
    <row r="1057" spans="1:18" hidden="1" x14ac:dyDescent="0.3">
      <c r="A1057" s="19">
        <f t="shared" si="16"/>
        <v>1056</v>
      </c>
      <c r="B1057" s="20" t="s">
        <v>87</v>
      </c>
      <c r="C1057" s="20" t="s">
        <v>102</v>
      </c>
      <c r="D1057" s="21" t="str">
        <f>IF($C1057="","",IFERROR(VLOOKUP($C1057,Map_Register!$A$2:$C$5,3,FALSE()),""))</f>
        <v>Toponym Labels</v>
      </c>
      <c r="E1057" s="20" t="s">
        <v>15</v>
      </c>
      <c r="F1057" s="22">
        <v>794013</v>
      </c>
      <c r="G1057" s="19" t="s">
        <v>1179</v>
      </c>
      <c r="H1057" s="19" t="s">
        <v>2745</v>
      </c>
      <c r="I1057" s="19" t="s">
        <v>2745</v>
      </c>
      <c r="J1057" s="19" t="s">
        <v>1117</v>
      </c>
      <c r="K1057" t="s">
        <v>1100</v>
      </c>
      <c r="L1057" t="s">
        <v>114</v>
      </c>
      <c r="M1057" t="s">
        <v>114</v>
      </c>
      <c r="N1057" s="19" t="s">
        <v>1184</v>
      </c>
      <c r="O1057" s="19" t="s">
        <v>116</v>
      </c>
      <c r="R1057" t="s">
        <v>1097</v>
      </c>
    </row>
    <row r="1058" spans="1:18" hidden="1" x14ac:dyDescent="0.3">
      <c r="A1058" s="19">
        <f t="shared" si="16"/>
        <v>1057</v>
      </c>
      <c r="B1058" s="20" t="s">
        <v>87</v>
      </c>
      <c r="C1058" s="20" t="s">
        <v>102</v>
      </c>
      <c r="D1058" s="21" t="str">
        <f>IF($C1058="","",IFERROR(VLOOKUP($C1058,Map_Register!$A$2:$C$5,3,FALSE()),""))</f>
        <v>Toponym Labels</v>
      </c>
      <c r="E1058" s="20" t="s">
        <v>15</v>
      </c>
      <c r="F1058" s="22">
        <v>794014</v>
      </c>
      <c r="G1058" s="19" t="s">
        <v>1179</v>
      </c>
      <c r="H1058" s="19" t="s">
        <v>2746</v>
      </c>
      <c r="I1058" s="19" t="s">
        <v>2747</v>
      </c>
      <c r="J1058" s="19" t="s">
        <v>1094</v>
      </c>
      <c r="K1058" t="s">
        <v>1100</v>
      </c>
      <c r="L1058" t="s">
        <v>114</v>
      </c>
      <c r="M1058" t="s">
        <v>114</v>
      </c>
      <c r="N1058" s="19" t="s">
        <v>1184</v>
      </c>
      <c r="O1058" s="19" t="s">
        <v>116</v>
      </c>
      <c r="R1058" t="s">
        <v>1097</v>
      </c>
    </row>
    <row r="1059" spans="1:18" hidden="1" x14ac:dyDescent="0.3">
      <c r="A1059" s="19">
        <f t="shared" si="16"/>
        <v>1058</v>
      </c>
      <c r="B1059" s="20" t="s">
        <v>87</v>
      </c>
      <c r="C1059" s="20" t="s">
        <v>102</v>
      </c>
      <c r="D1059" s="21" t="str">
        <f>IF($C1059="","",IFERROR(VLOOKUP($C1059,Map_Register!$A$2:$C$5,3,FALSE()),""))</f>
        <v>Toponym Labels</v>
      </c>
      <c r="E1059" s="20" t="s">
        <v>15</v>
      </c>
      <c r="F1059" s="22">
        <v>794017</v>
      </c>
      <c r="G1059" s="19" t="s">
        <v>1136</v>
      </c>
      <c r="H1059" s="19" t="s">
        <v>2748</v>
      </c>
      <c r="I1059" s="19" t="s">
        <v>2749</v>
      </c>
      <c r="J1059" s="19" t="s">
        <v>1104</v>
      </c>
      <c r="K1059" s="19" t="s">
        <v>6</v>
      </c>
      <c r="L1059" s="19" t="s">
        <v>1095</v>
      </c>
      <c r="M1059" s="19" t="s">
        <v>1095</v>
      </c>
      <c r="N1059" s="19" t="s">
        <v>1105</v>
      </c>
      <c r="R1059" t="s">
        <v>1097</v>
      </c>
    </row>
    <row r="1060" spans="1:18" hidden="1" x14ac:dyDescent="0.3">
      <c r="A1060" s="19">
        <f t="shared" si="16"/>
        <v>1059</v>
      </c>
      <c r="B1060" s="20" t="s">
        <v>87</v>
      </c>
      <c r="C1060" s="20" t="s">
        <v>102</v>
      </c>
      <c r="D1060" s="21" t="str">
        <f>IF($C1060="","",IFERROR(VLOOKUP($C1060,Map_Register!$A$2:$C$5,3,FALSE()),""))</f>
        <v>Toponym Labels</v>
      </c>
      <c r="E1060" s="20" t="s">
        <v>15</v>
      </c>
      <c r="F1060" s="22">
        <v>794018</v>
      </c>
      <c r="G1060" s="19" t="s">
        <v>1179</v>
      </c>
      <c r="H1060" s="19" t="s">
        <v>2750</v>
      </c>
      <c r="I1060" s="19" t="s">
        <v>2751</v>
      </c>
      <c r="J1060" s="19" t="s">
        <v>1104</v>
      </c>
      <c r="K1060" t="s">
        <v>1100</v>
      </c>
      <c r="L1060" t="s">
        <v>114</v>
      </c>
      <c r="M1060" t="s">
        <v>114</v>
      </c>
      <c r="N1060" s="19" t="s">
        <v>1184</v>
      </c>
      <c r="O1060" s="19" t="s">
        <v>116</v>
      </c>
      <c r="R1060" t="s">
        <v>1097</v>
      </c>
    </row>
    <row r="1061" spans="1:18" x14ac:dyDescent="0.3">
      <c r="A1061" s="19">
        <f t="shared" si="16"/>
        <v>1060</v>
      </c>
      <c r="B1061" s="20" t="s">
        <v>87</v>
      </c>
      <c r="C1061" s="20" t="s">
        <v>102</v>
      </c>
      <c r="D1061" s="21" t="str">
        <f>IF($C1061="","",IFERROR(VLOOKUP($C1061,Map_Register!$A$2:$C$5,3,FALSE()),""))</f>
        <v>Toponym Labels</v>
      </c>
      <c r="E1061" s="20" t="s">
        <v>15</v>
      </c>
      <c r="F1061" s="22">
        <v>794019</v>
      </c>
      <c r="G1061" s="19" t="s">
        <v>1179</v>
      </c>
      <c r="H1061" s="19" t="s">
        <v>2752</v>
      </c>
      <c r="I1061" s="19" t="s">
        <v>2753</v>
      </c>
      <c r="J1061" s="19" t="s">
        <v>1104</v>
      </c>
      <c r="K1061" t="s">
        <v>1100</v>
      </c>
      <c r="L1061" t="s">
        <v>114</v>
      </c>
      <c r="M1061" t="s">
        <v>116</v>
      </c>
      <c r="N1061" s="19" t="s">
        <v>1268</v>
      </c>
      <c r="O1061" s="19" t="s">
        <v>116</v>
      </c>
      <c r="R1061" t="s">
        <v>1097</v>
      </c>
    </row>
    <row r="1062" spans="1:18" hidden="1" x14ac:dyDescent="0.3">
      <c r="A1062" s="19">
        <f t="shared" si="16"/>
        <v>1061</v>
      </c>
      <c r="B1062" s="20" t="s">
        <v>87</v>
      </c>
      <c r="C1062" s="20" t="s">
        <v>102</v>
      </c>
      <c r="D1062" s="21" t="str">
        <f>IF($C1062="","",IFERROR(VLOOKUP($C1062,Map_Register!$A$2:$C$5,3,FALSE()),""))</f>
        <v>Toponym Labels</v>
      </c>
      <c r="E1062" s="20" t="s">
        <v>15</v>
      </c>
      <c r="F1062" s="22">
        <v>794020</v>
      </c>
      <c r="G1062" s="19" t="s">
        <v>1125</v>
      </c>
      <c r="H1062" s="19" t="s">
        <v>2754</v>
      </c>
      <c r="I1062" s="19" t="s">
        <v>2754</v>
      </c>
      <c r="J1062" s="19" t="s">
        <v>1117</v>
      </c>
      <c r="K1062" t="s">
        <v>1100</v>
      </c>
      <c r="L1062" s="19" t="s">
        <v>114</v>
      </c>
      <c r="M1062" s="19" t="s">
        <v>114</v>
      </c>
      <c r="N1062" s="19" t="s">
        <v>1751</v>
      </c>
      <c r="O1062" s="19" t="s">
        <v>116</v>
      </c>
      <c r="R1062" t="s">
        <v>1097</v>
      </c>
    </row>
    <row r="1063" spans="1:18" hidden="1" x14ac:dyDescent="0.3">
      <c r="A1063" s="19">
        <f t="shared" si="16"/>
        <v>1062</v>
      </c>
      <c r="B1063" s="20" t="s">
        <v>87</v>
      </c>
      <c r="C1063" s="20" t="s">
        <v>102</v>
      </c>
      <c r="D1063" s="21" t="str">
        <f>IF($C1063="","",IFERROR(VLOOKUP($C1063,Map_Register!$A$2:$C$5,3,FALSE()),""))</f>
        <v>Toponym Labels</v>
      </c>
      <c r="E1063" s="20" t="s">
        <v>15</v>
      </c>
      <c r="F1063" s="22">
        <v>794021</v>
      </c>
      <c r="G1063" s="19" t="s">
        <v>1136</v>
      </c>
      <c r="H1063" s="19" t="s">
        <v>2755</v>
      </c>
      <c r="I1063" s="19" t="s">
        <v>2756</v>
      </c>
      <c r="J1063" s="19" t="s">
        <v>1094</v>
      </c>
      <c r="K1063" s="19" t="s">
        <v>6</v>
      </c>
      <c r="L1063" s="19" t="s">
        <v>1095</v>
      </c>
      <c r="M1063" s="19" t="s">
        <v>1095</v>
      </c>
      <c r="N1063" s="19" t="s">
        <v>1105</v>
      </c>
      <c r="R1063" t="s">
        <v>1097</v>
      </c>
    </row>
    <row r="1064" spans="1:18" x14ac:dyDescent="0.3">
      <c r="A1064" s="19">
        <f t="shared" si="16"/>
        <v>1063</v>
      </c>
      <c r="B1064" s="20" t="s">
        <v>87</v>
      </c>
      <c r="C1064" s="20" t="s">
        <v>102</v>
      </c>
      <c r="D1064" s="21" t="str">
        <f>IF($C1064="","",IFERROR(VLOOKUP($C1064,Map_Register!$A$2:$C$5,3,FALSE()),""))</f>
        <v>Toponym Labels</v>
      </c>
      <c r="E1064" s="20" t="s">
        <v>15</v>
      </c>
      <c r="F1064" s="22">
        <v>794022</v>
      </c>
      <c r="G1064" s="19" t="s">
        <v>1179</v>
      </c>
      <c r="H1064" s="19" t="s">
        <v>2757</v>
      </c>
      <c r="I1064" s="19" t="s">
        <v>2757</v>
      </c>
      <c r="J1064" s="19" t="s">
        <v>1110</v>
      </c>
      <c r="K1064" t="s">
        <v>1100</v>
      </c>
      <c r="L1064" t="s">
        <v>114</v>
      </c>
      <c r="M1064" t="s">
        <v>116</v>
      </c>
      <c r="N1064" s="19" t="s">
        <v>1512</v>
      </c>
      <c r="O1064" s="19" t="s">
        <v>116</v>
      </c>
      <c r="R1064" t="s">
        <v>1097</v>
      </c>
    </row>
    <row r="1065" spans="1:18" hidden="1" x14ac:dyDescent="0.3">
      <c r="A1065" s="19">
        <f t="shared" si="16"/>
        <v>1064</v>
      </c>
      <c r="B1065" s="20" t="s">
        <v>87</v>
      </c>
      <c r="C1065" s="20" t="s">
        <v>102</v>
      </c>
      <c r="D1065" s="21" t="str">
        <f>IF($C1065="","",IFERROR(VLOOKUP($C1065,Map_Register!$A$2:$C$5,3,FALSE()),""))</f>
        <v>Toponym Labels</v>
      </c>
      <c r="E1065" s="20" t="s">
        <v>15</v>
      </c>
      <c r="F1065" s="22">
        <v>794023</v>
      </c>
      <c r="G1065" s="19" t="s">
        <v>1125</v>
      </c>
      <c r="H1065" s="19" t="s">
        <v>2758</v>
      </c>
      <c r="I1065" s="19" t="s">
        <v>2759</v>
      </c>
      <c r="J1065" s="19" t="s">
        <v>1094</v>
      </c>
      <c r="K1065" t="s">
        <v>1100</v>
      </c>
      <c r="L1065" s="19" t="s">
        <v>114</v>
      </c>
      <c r="M1065" s="19" t="s">
        <v>114</v>
      </c>
      <c r="N1065" s="19" t="s">
        <v>2760</v>
      </c>
      <c r="O1065" s="19" t="s">
        <v>116</v>
      </c>
      <c r="R1065" t="s">
        <v>1097</v>
      </c>
    </row>
    <row r="1066" spans="1:18" hidden="1" x14ac:dyDescent="0.3">
      <c r="A1066" s="19">
        <f t="shared" si="16"/>
        <v>1065</v>
      </c>
      <c r="B1066" s="20" t="s">
        <v>87</v>
      </c>
      <c r="C1066" s="20" t="s">
        <v>102</v>
      </c>
      <c r="D1066" s="21" t="str">
        <f>IF($C1066="","",IFERROR(VLOOKUP($C1066,Map_Register!$A$2:$C$5,3,FALSE()),""))</f>
        <v>Toponym Labels</v>
      </c>
      <c r="E1066" s="20" t="s">
        <v>15</v>
      </c>
      <c r="F1066" s="22">
        <v>794024</v>
      </c>
      <c r="G1066" s="19" t="s">
        <v>2306</v>
      </c>
      <c r="H1066" s="19" t="s">
        <v>2761</v>
      </c>
      <c r="I1066" s="19" t="s">
        <v>2762</v>
      </c>
      <c r="J1066" s="19" t="s">
        <v>1094</v>
      </c>
      <c r="K1066" s="19" t="s">
        <v>6</v>
      </c>
      <c r="L1066" s="19" t="s">
        <v>1095</v>
      </c>
      <c r="M1066" s="19" t="s">
        <v>1095</v>
      </c>
      <c r="N1066" s="19" t="s">
        <v>1105</v>
      </c>
      <c r="R1066" t="s">
        <v>1097</v>
      </c>
    </row>
    <row r="1067" spans="1:18" hidden="1" x14ac:dyDescent="0.3">
      <c r="A1067" s="19">
        <f t="shared" si="16"/>
        <v>1066</v>
      </c>
      <c r="B1067" s="20" t="s">
        <v>87</v>
      </c>
      <c r="C1067" s="20" t="s">
        <v>102</v>
      </c>
      <c r="D1067" s="21" t="str">
        <f>IF($C1067="","",IFERROR(VLOOKUP($C1067,Map_Register!$A$2:$C$5,3,FALSE()),""))</f>
        <v>Toponym Labels</v>
      </c>
      <c r="E1067" s="20" t="s">
        <v>15</v>
      </c>
      <c r="F1067" s="22">
        <v>794025</v>
      </c>
      <c r="G1067" s="19" t="s">
        <v>1125</v>
      </c>
      <c r="H1067" s="19" t="s">
        <v>2763</v>
      </c>
      <c r="I1067" s="19" t="s">
        <v>2764</v>
      </c>
      <c r="J1067" s="19" t="s">
        <v>1104</v>
      </c>
      <c r="K1067" s="19" t="s">
        <v>6</v>
      </c>
      <c r="L1067" s="19" t="s">
        <v>1095</v>
      </c>
      <c r="M1067" s="19" t="s">
        <v>1095</v>
      </c>
      <c r="N1067" s="19" t="s">
        <v>2765</v>
      </c>
      <c r="R1067" t="s">
        <v>1097</v>
      </c>
    </row>
    <row r="1068" spans="1:18" hidden="1" x14ac:dyDescent="0.3">
      <c r="A1068" s="19">
        <f t="shared" si="16"/>
        <v>1067</v>
      </c>
      <c r="B1068" s="20" t="s">
        <v>87</v>
      </c>
      <c r="C1068" s="20" t="s">
        <v>102</v>
      </c>
      <c r="D1068" s="21" t="str">
        <f>IF($C1068="","",IFERROR(VLOOKUP($C1068,Map_Register!$A$2:$C$5,3,FALSE()),""))</f>
        <v>Toponym Labels</v>
      </c>
      <c r="E1068" s="20" t="s">
        <v>15</v>
      </c>
      <c r="F1068" s="22">
        <v>794026</v>
      </c>
      <c r="G1068" s="19" t="s">
        <v>1125</v>
      </c>
      <c r="H1068" s="19" t="s">
        <v>2766</v>
      </c>
      <c r="I1068" s="19" t="s">
        <v>2767</v>
      </c>
      <c r="J1068" s="19" t="s">
        <v>1104</v>
      </c>
      <c r="K1068" s="19" t="s">
        <v>6</v>
      </c>
      <c r="L1068" s="19" t="s">
        <v>1095</v>
      </c>
      <c r="M1068" s="19" t="s">
        <v>1095</v>
      </c>
      <c r="N1068" s="19" t="s">
        <v>2768</v>
      </c>
      <c r="R1068" t="s">
        <v>1097</v>
      </c>
    </row>
    <row r="1069" spans="1:18" hidden="1" x14ac:dyDescent="0.3">
      <c r="A1069" s="19">
        <f t="shared" si="16"/>
        <v>1068</v>
      </c>
      <c r="B1069" s="20" t="s">
        <v>87</v>
      </c>
      <c r="C1069" s="20" t="s">
        <v>102</v>
      </c>
      <c r="D1069" s="21" t="str">
        <f>IF($C1069="","",IFERROR(VLOOKUP($C1069,Map_Register!$A$2:$C$5,3,FALSE()),""))</f>
        <v>Toponym Labels</v>
      </c>
      <c r="E1069" s="20" t="s">
        <v>15</v>
      </c>
      <c r="F1069" s="22">
        <v>794028</v>
      </c>
      <c r="G1069" s="19" t="s">
        <v>1108</v>
      </c>
      <c r="H1069" s="19" t="s">
        <v>2769</v>
      </c>
      <c r="I1069" s="19" t="s">
        <v>2769</v>
      </c>
      <c r="J1069" s="19" t="s">
        <v>1117</v>
      </c>
      <c r="K1069" s="19" t="s">
        <v>6</v>
      </c>
      <c r="L1069" s="19" t="s">
        <v>1095</v>
      </c>
      <c r="M1069" s="19" t="s">
        <v>1095</v>
      </c>
      <c r="N1069" s="19" t="s">
        <v>1111</v>
      </c>
      <c r="R1069" t="s">
        <v>1097</v>
      </c>
    </row>
    <row r="1070" spans="1:18" hidden="1" x14ac:dyDescent="0.3">
      <c r="A1070" s="19">
        <f t="shared" si="16"/>
        <v>1069</v>
      </c>
      <c r="B1070" s="20" t="s">
        <v>87</v>
      </c>
      <c r="C1070" s="20" t="s">
        <v>102</v>
      </c>
      <c r="D1070" s="21" t="str">
        <f>IF($C1070="","",IFERROR(VLOOKUP($C1070,Map_Register!$A$2:$C$5,3,FALSE()),""))</f>
        <v>Toponym Labels</v>
      </c>
      <c r="E1070" s="20" t="s">
        <v>15</v>
      </c>
      <c r="F1070" s="22">
        <v>795041</v>
      </c>
      <c r="G1070" s="19" t="s">
        <v>1179</v>
      </c>
      <c r="H1070" s="19" t="s">
        <v>2770</v>
      </c>
      <c r="I1070" s="19" t="s">
        <v>2770</v>
      </c>
      <c r="J1070" s="19" t="s">
        <v>1117</v>
      </c>
      <c r="K1070" t="s">
        <v>1100</v>
      </c>
      <c r="L1070" t="s">
        <v>114</v>
      </c>
      <c r="M1070" t="s">
        <v>114</v>
      </c>
      <c r="N1070" s="19" t="s">
        <v>1184</v>
      </c>
      <c r="O1070" s="19" t="s">
        <v>116</v>
      </c>
      <c r="R1070" t="s">
        <v>1097</v>
      </c>
    </row>
    <row r="1071" spans="1:18" hidden="1" x14ac:dyDescent="0.3">
      <c r="A1071" s="19">
        <f t="shared" si="16"/>
        <v>1070</v>
      </c>
      <c r="B1071" s="20" t="s">
        <v>87</v>
      </c>
      <c r="C1071" s="20" t="s">
        <v>102</v>
      </c>
      <c r="D1071" s="21" t="str">
        <f>IF($C1071="","",IFERROR(VLOOKUP($C1071,Map_Register!$A$2:$C$5,3,FALSE()),""))</f>
        <v>Toponym Labels</v>
      </c>
      <c r="E1071" s="20" t="s">
        <v>15</v>
      </c>
      <c r="F1071" s="22">
        <v>795042</v>
      </c>
      <c r="G1071" s="19" t="s">
        <v>1091</v>
      </c>
      <c r="H1071" s="19" t="s">
        <v>2771</v>
      </c>
      <c r="I1071" s="19" t="s">
        <v>2771</v>
      </c>
      <c r="J1071" s="19" t="s">
        <v>1110</v>
      </c>
      <c r="K1071" t="s">
        <v>1100</v>
      </c>
      <c r="L1071" t="s">
        <v>114</v>
      </c>
      <c r="M1071" t="s">
        <v>114</v>
      </c>
      <c r="N1071" s="19" t="s">
        <v>530</v>
      </c>
      <c r="O1071" s="19" t="s">
        <v>116</v>
      </c>
      <c r="R1071" t="s">
        <v>1097</v>
      </c>
    </row>
    <row r="1072" spans="1:18" hidden="1" x14ac:dyDescent="0.3">
      <c r="A1072" s="19">
        <f t="shared" si="16"/>
        <v>1071</v>
      </c>
      <c r="B1072" s="20" t="s">
        <v>87</v>
      </c>
      <c r="C1072" s="20" t="s">
        <v>102</v>
      </c>
      <c r="D1072" s="21" t="str">
        <f>IF($C1072="","",IFERROR(VLOOKUP($C1072,Map_Register!$A$2:$C$5,3,FALSE()),""))</f>
        <v>Toponym Labels</v>
      </c>
      <c r="E1072" s="20" t="s">
        <v>15</v>
      </c>
      <c r="F1072" s="22">
        <v>795043</v>
      </c>
      <c r="G1072" s="19" t="s">
        <v>1118</v>
      </c>
      <c r="H1072" s="19" t="s">
        <v>2772</v>
      </c>
      <c r="I1072" s="19" t="s">
        <v>2773</v>
      </c>
      <c r="J1072" s="19" t="s">
        <v>1094</v>
      </c>
      <c r="K1072" t="s">
        <v>1100</v>
      </c>
      <c r="L1072" s="19" t="s">
        <v>114</v>
      </c>
      <c r="M1072" s="19" t="s">
        <v>114</v>
      </c>
      <c r="N1072" s="19" t="s">
        <v>2774</v>
      </c>
      <c r="O1072" s="19" t="s">
        <v>116</v>
      </c>
      <c r="R1072" t="s">
        <v>1097</v>
      </c>
    </row>
    <row r="1073" spans="1:18" hidden="1" x14ac:dyDescent="0.3">
      <c r="A1073" s="19">
        <f t="shared" si="16"/>
        <v>1072</v>
      </c>
      <c r="B1073" s="20" t="s">
        <v>87</v>
      </c>
      <c r="C1073" s="20" t="s">
        <v>102</v>
      </c>
      <c r="D1073" s="21" t="str">
        <f>IF($C1073="","",IFERROR(VLOOKUP($C1073,Map_Register!$A$2:$C$5,3,FALSE()),""))</f>
        <v>Toponym Labels</v>
      </c>
      <c r="E1073" s="20" t="s">
        <v>15</v>
      </c>
      <c r="F1073" s="22">
        <v>795044</v>
      </c>
      <c r="G1073" s="19" t="s">
        <v>1145</v>
      </c>
      <c r="H1073" s="19" t="s">
        <v>2775</v>
      </c>
      <c r="I1073" s="19" t="s">
        <v>2776</v>
      </c>
      <c r="J1073" s="19" t="s">
        <v>1094</v>
      </c>
      <c r="K1073" s="19" t="s">
        <v>6</v>
      </c>
      <c r="L1073" s="19" t="s">
        <v>1095</v>
      </c>
      <c r="M1073" s="19" t="s">
        <v>1095</v>
      </c>
      <c r="N1073" s="19" t="s">
        <v>1105</v>
      </c>
      <c r="R1073" t="s">
        <v>1097</v>
      </c>
    </row>
    <row r="1074" spans="1:18" hidden="1" x14ac:dyDescent="0.3">
      <c r="A1074" s="19">
        <f t="shared" si="16"/>
        <v>1073</v>
      </c>
      <c r="B1074" s="20" t="s">
        <v>87</v>
      </c>
      <c r="C1074" s="20" t="s">
        <v>102</v>
      </c>
      <c r="D1074" s="21" t="str">
        <f>IF($C1074="","",IFERROR(VLOOKUP($C1074,Map_Register!$A$2:$C$5,3,FALSE()),""))</f>
        <v>Toponym Labels</v>
      </c>
      <c r="E1074" s="20" t="s">
        <v>15</v>
      </c>
      <c r="F1074" s="22">
        <v>795045</v>
      </c>
      <c r="G1074" s="19" t="s">
        <v>1108</v>
      </c>
      <c r="H1074" s="19" t="s">
        <v>2777</v>
      </c>
      <c r="I1074" s="19" t="s">
        <v>2777</v>
      </c>
      <c r="J1074" s="19" t="s">
        <v>1110</v>
      </c>
      <c r="K1074" s="19" t="s">
        <v>6</v>
      </c>
      <c r="L1074" s="19" t="s">
        <v>1095</v>
      </c>
      <c r="M1074" s="19" t="s">
        <v>1095</v>
      </c>
      <c r="N1074" s="19" t="s">
        <v>1111</v>
      </c>
      <c r="R1074" t="s">
        <v>1097</v>
      </c>
    </row>
    <row r="1075" spans="1:18" hidden="1" x14ac:dyDescent="0.3">
      <c r="A1075" s="19">
        <f t="shared" si="16"/>
        <v>1074</v>
      </c>
      <c r="B1075" s="20" t="s">
        <v>87</v>
      </c>
      <c r="C1075" s="20" t="s">
        <v>102</v>
      </c>
      <c r="D1075" s="21" t="str">
        <f>IF($C1075="","",IFERROR(VLOOKUP($C1075,Map_Register!$A$2:$C$5,3,FALSE()),""))</f>
        <v>Toponym Labels</v>
      </c>
      <c r="E1075" s="20" t="s">
        <v>15</v>
      </c>
      <c r="F1075" s="22">
        <v>795046</v>
      </c>
      <c r="G1075" s="19" t="s">
        <v>1125</v>
      </c>
      <c r="H1075" s="19" t="s">
        <v>2778</v>
      </c>
      <c r="I1075" s="19" t="s">
        <v>2778</v>
      </c>
      <c r="J1075" s="19" t="s">
        <v>1110</v>
      </c>
      <c r="K1075" s="19" t="s">
        <v>6</v>
      </c>
      <c r="L1075" s="19" t="s">
        <v>1095</v>
      </c>
      <c r="M1075" s="19" t="s">
        <v>1095</v>
      </c>
      <c r="N1075" s="19" t="s">
        <v>1155</v>
      </c>
      <c r="R1075" t="s">
        <v>1097</v>
      </c>
    </row>
    <row r="1076" spans="1:18" hidden="1" x14ac:dyDescent="0.3">
      <c r="A1076" s="19">
        <f t="shared" si="16"/>
        <v>1075</v>
      </c>
      <c r="B1076" s="20" t="s">
        <v>87</v>
      </c>
      <c r="C1076" s="20" t="s">
        <v>102</v>
      </c>
      <c r="D1076" s="21" t="str">
        <f>IF($C1076="","",IFERROR(VLOOKUP($C1076,Map_Register!$A$2:$C$5,3,FALSE()),""))</f>
        <v>Toponym Labels</v>
      </c>
      <c r="E1076" s="20" t="s">
        <v>15</v>
      </c>
      <c r="F1076" s="22">
        <v>795047</v>
      </c>
      <c r="G1076" s="19" t="s">
        <v>1179</v>
      </c>
      <c r="H1076" s="19" t="s">
        <v>2779</v>
      </c>
      <c r="I1076" s="19" t="s">
        <v>2779</v>
      </c>
      <c r="J1076" s="19" t="s">
        <v>1110</v>
      </c>
      <c r="K1076" s="19" t="s">
        <v>6</v>
      </c>
      <c r="L1076" s="19" t="s">
        <v>1095</v>
      </c>
      <c r="M1076" s="19" t="s">
        <v>1095</v>
      </c>
      <c r="N1076" s="19" t="s">
        <v>2701</v>
      </c>
      <c r="R1076" t="s">
        <v>1097</v>
      </c>
    </row>
    <row r="1077" spans="1:18" hidden="1" x14ac:dyDescent="0.3">
      <c r="A1077" s="19">
        <f t="shared" si="16"/>
        <v>1076</v>
      </c>
      <c r="B1077" s="20" t="s">
        <v>87</v>
      </c>
      <c r="C1077" s="20" t="s">
        <v>102</v>
      </c>
      <c r="D1077" s="21" t="str">
        <f>IF($C1077="","",IFERROR(VLOOKUP($C1077,Map_Register!$A$2:$C$5,3,FALSE()),""))</f>
        <v>Toponym Labels</v>
      </c>
      <c r="E1077" s="20" t="s">
        <v>15</v>
      </c>
      <c r="F1077" s="22">
        <v>795048</v>
      </c>
      <c r="G1077" s="19" t="s">
        <v>1179</v>
      </c>
      <c r="H1077" s="19" t="s">
        <v>2780</v>
      </c>
      <c r="I1077" s="19" t="s">
        <v>2781</v>
      </c>
      <c r="J1077" s="19" t="s">
        <v>1104</v>
      </c>
      <c r="K1077" s="19" t="s">
        <v>6</v>
      </c>
      <c r="L1077" s="19" t="s">
        <v>1095</v>
      </c>
      <c r="M1077" s="19" t="s">
        <v>1095</v>
      </c>
      <c r="N1077" s="19" t="s">
        <v>1105</v>
      </c>
      <c r="R1077" t="s">
        <v>1097</v>
      </c>
    </row>
    <row r="1078" spans="1:18" hidden="1" x14ac:dyDescent="0.3">
      <c r="A1078" s="19">
        <f t="shared" si="16"/>
        <v>1077</v>
      </c>
      <c r="B1078" s="20" t="s">
        <v>87</v>
      </c>
      <c r="C1078" s="20" t="s">
        <v>102</v>
      </c>
      <c r="D1078" s="21" t="str">
        <f>IF($C1078="","",IFERROR(VLOOKUP($C1078,Map_Register!$A$2:$C$5,3,FALSE()),""))</f>
        <v>Toponym Labels</v>
      </c>
      <c r="E1078" s="20" t="s">
        <v>15</v>
      </c>
      <c r="F1078" s="22">
        <v>795050</v>
      </c>
      <c r="G1078" s="19" t="s">
        <v>1179</v>
      </c>
      <c r="H1078" s="19" t="s">
        <v>2782</v>
      </c>
      <c r="I1078" s="19" t="s">
        <v>2782</v>
      </c>
      <c r="J1078" s="19" t="s">
        <v>1110</v>
      </c>
      <c r="K1078" t="s">
        <v>1100</v>
      </c>
      <c r="L1078" t="s">
        <v>114</v>
      </c>
      <c r="M1078" t="s">
        <v>114</v>
      </c>
      <c r="N1078" s="19" t="s">
        <v>1184</v>
      </c>
      <c r="O1078" s="19" t="s">
        <v>116</v>
      </c>
      <c r="R1078" t="s">
        <v>1097</v>
      </c>
    </row>
    <row r="1079" spans="1:18" hidden="1" x14ac:dyDescent="0.3">
      <c r="A1079" s="19">
        <f t="shared" si="16"/>
        <v>1078</v>
      </c>
      <c r="B1079" s="20" t="s">
        <v>87</v>
      </c>
      <c r="C1079" s="20" t="s">
        <v>102</v>
      </c>
      <c r="D1079" s="21" t="str">
        <f>IF($C1079="","",IFERROR(VLOOKUP($C1079,Map_Register!$A$2:$C$5,3,FALSE()),""))</f>
        <v>Toponym Labels</v>
      </c>
      <c r="E1079" s="20" t="s">
        <v>15</v>
      </c>
      <c r="F1079" s="22">
        <v>795052</v>
      </c>
      <c r="G1079" s="19" t="s">
        <v>1179</v>
      </c>
      <c r="H1079" s="19" t="s">
        <v>2783</v>
      </c>
      <c r="I1079" s="19" t="s">
        <v>2783</v>
      </c>
      <c r="J1079" s="19" t="s">
        <v>1110</v>
      </c>
      <c r="K1079" t="s">
        <v>1100</v>
      </c>
      <c r="L1079" t="s">
        <v>114</v>
      </c>
      <c r="M1079" t="s">
        <v>114</v>
      </c>
      <c r="N1079" s="19" t="s">
        <v>1184</v>
      </c>
      <c r="O1079" s="19" t="s">
        <v>116</v>
      </c>
      <c r="R1079" t="s">
        <v>1097</v>
      </c>
    </row>
    <row r="1080" spans="1:18" hidden="1" x14ac:dyDescent="0.3">
      <c r="A1080" s="19">
        <f t="shared" si="16"/>
        <v>1079</v>
      </c>
      <c r="B1080" s="20" t="s">
        <v>87</v>
      </c>
      <c r="C1080" s="20" t="s">
        <v>102</v>
      </c>
      <c r="D1080" s="21" t="str">
        <f>IF($C1080="","",IFERROR(VLOOKUP($C1080,Map_Register!$A$2:$C$5,3,FALSE()),""))</f>
        <v>Toponym Labels</v>
      </c>
      <c r="E1080" s="20" t="s">
        <v>15</v>
      </c>
      <c r="F1080" s="22">
        <v>795053</v>
      </c>
      <c r="G1080" s="19" t="s">
        <v>1179</v>
      </c>
      <c r="H1080" s="19" t="s">
        <v>2784</v>
      </c>
      <c r="I1080" s="19" t="s">
        <v>2784</v>
      </c>
      <c r="J1080" s="19" t="s">
        <v>1117</v>
      </c>
      <c r="K1080" t="s">
        <v>1100</v>
      </c>
      <c r="L1080" t="s">
        <v>114</v>
      </c>
      <c r="M1080" t="s">
        <v>114</v>
      </c>
      <c r="N1080" s="19" t="s">
        <v>1184</v>
      </c>
      <c r="O1080" s="19" t="s">
        <v>116</v>
      </c>
      <c r="R1080" t="s">
        <v>1097</v>
      </c>
    </row>
    <row r="1081" spans="1:18" hidden="1" x14ac:dyDescent="0.3">
      <c r="A1081" s="19">
        <f t="shared" si="16"/>
        <v>1080</v>
      </c>
      <c r="B1081" s="20" t="s">
        <v>87</v>
      </c>
      <c r="C1081" s="20" t="s">
        <v>102</v>
      </c>
      <c r="D1081" s="21" t="str">
        <f>IF($C1081="","",IFERROR(VLOOKUP($C1081,Map_Register!$A$2:$C$5,3,FALSE()),""))</f>
        <v>Toponym Labels</v>
      </c>
      <c r="E1081" s="20" t="s">
        <v>15</v>
      </c>
      <c r="F1081" s="22">
        <v>795054</v>
      </c>
      <c r="G1081" s="19" t="s">
        <v>1108</v>
      </c>
      <c r="H1081" s="19" t="s">
        <v>2785</v>
      </c>
      <c r="I1081" s="19" t="s">
        <v>2785</v>
      </c>
      <c r="J1081" s="19" t="s">
        <v>1117</v>
      </c>
      <c r="K1081" s="19" t="s">
        <v>6</v>
      </c>
      <c r="L1081" s="19" t="s">
        <v>1095</v>
      </c>
      <c r="M1081" s="19" t="s">
        <v>1095</v>
      </c>
      <c r="N1081" s="19" t="s">
        <v>1111</v>
      </c>
      <c r="R1081" t="s">
        <v>1097</v>
      </c>
    </row>
    <row r="1082" spans="1:18" hidden="1" x14ac:dyDescent="0.3">
      <c r="A1082" s="19">
        <f t="shared" si="16"/>
        <v>1081</v>
      </c>
      <c r="B1082" s="20" t="s">
        <v>87</v>
      </c>
      <c r="C1082" s="20" t="s">
        <v>102</v>
      </c>
      <c r="D1082" s="21" t="str">
        <f>IF($C1082="","",IFERROR(VLOOKUP($C1082,Map_Register!$A$2:$C$5,3,FALSE()),""))</f>
        <v>Toponym Labels</v>
      </c>
      <c r="E1082" s="20" t="s">
        <v>15</v>
      </c>
      <c r="F1082" s="22">
        <v>795055</v>
      </c>
      <c r="G1082" s="19" t="s">
        <v>1179</v>
      </c>
      <c r="H1082" s="19" t="s">
        <v>2786</v>
      </c>
      <c r="I1082" s="19" t="s">
        <v>2786</v>
      </c>
      <c r="J1082" s="19" t="s">
        <v>1110</v>
      </c>
      <c r="K1082" s="19" t="s">
        <v>6</v>
      </c>
      <c r="L1082" s="19" t="s">
        <v>1095</v>
      </c>
      <c r="M1082" s="19" t="s">
        <v>1095</v>
      </c>
      <c r="N1082" s="19" t="s">
        <v>2701</v>
      </c>
      <c r="R1082" t="s">
        <v>1097</v>
      </c>
    </row>
    <row r="1083" spans="1:18" x14ac:dyDescent="0.3">
      <c r="A1083" s="19">
        <f t="shared" si="16"/>
        <v>1082</v>
      </c>
      <c r="B1083" s="20" t="s">
        <v>87</v>
      </c>
      <c r="C1083" s="20" t="s">
        <v>102</v>
      </c>
      <c r="D1083" s="21" t="str">
        <f>IF($C1083="","",IFERROR(VLOOKUP($C1083,Map_Register!$A$2:$C$5,3,FALSE()),""))</f>
        <v>Toponym Labels</v>
      </c>
      <c r="E1083" s="20" t="s">
        <v>15</v>
      </c>
      <c r="F1083" s="22">
        <v>795057</v>
      </c>
      <c r="G1083" s="19" t="s">
        <v>1125</v>
      </c>
      <c r="H1083" s="19" t="s">
        <v>2787</v>
      </c>
      <c r="I1083" s="19" t="s">
        <v>2787</v>
      </c>
      <c r="J1083" s="19" t="s">
        <v>1110</v>
      </c>
      <c r="K1083" t="s">
        <v>1100</v>
      </c>
      <c r="L1083" t="s">
        <v>114</v>
      </c>
      <c r="M1083" t="s">
        <v>116</v>
      </c>
      <c r="N1083" s="19" t="s">
        <v>1268</v>
      </c>
      <c r="O1083" s="19" t="s">
        <v>116</v>
      </c>
      <c r="R1083" t="s">
        <v>1097</v>
      </c>
    </row>
    <row r="1084" spans="1:18" hidden="1" x14ac:dyDescent="0.3">
      <c r="A1084" s="19">
        <f t="shared" si="16"/>
        <v>1083</v>
      </c>
      <c r="B1084" s="20" t="s">
        <v>87</v>
      </c>
      <c r="C1084" s="20" t="s">
        <v>102</v>
      </c>
      <c r="D1084" s="21" t="str">
        <f>IF($C1084="","",IFERROR(VLOOKUP($C1084,Map_Register!$A$2:$C$5,3,FALSE()),""))</f>
        <v>Toponym Labels</v>
      </c>
      <c r="E1084" s="20" t="s">
        <v>15</v>
      </c>
      <c r="F1084" s="22">
        <v>795058</v>
      </c>
      <c r="G1084" s="19" t="s">
        <v>1179</v>
      </c>
      <c r="H1084" s="19" t="s">
        <v>2788</v>
      </c>
      <c r="I1084" s="19" t="s">
        <v>2788</v>
      </c>
      <c r="J1084" s="19" t="s">
        <v>1110</v>
      </c>
      <c r="K1084" t="s">
        <v>1100</v>
      </c>
      <c r="L1084" t="s">
        <v>114</v>
      </c>
      <c r="M1084" t="s">
        <v>114</v>
      </c>
      <c r="N1084" s="19" t="s">
        <v>1184</v>
      </c>
      <c r="O1084" s="19" t="s">
        <v>116</v>
      </c>
      <c r="R1084" t="s">
        <v>1097</v>
      </c>
    </row>
    <row r="1085" spans="1:18" hidden="1" x14ac:dyDescent="0.3">
      <c r="A1085" s="19">
        <f t="shared" si="16"/>
        <v>1084</v>
      </c>
      <c r="B1085" s="20" t="s">
        <v>87</v>
      </c>
      <c r="C1085" s="20" t="s">
        <v>102</v>
      </c>
      <c r="D1085" s="21" t="str">
        <f>IF($C1085="","",IFERROR(VLOOKUP($C1085,Map_Register!$A$2:$C$5,3,FALSE()),""))</f>
        <v>Toponym Labels</v>
      </c>
      <c r="E1085" s="20" t="s">
        <v>15</v>
      </c>
      <c r="F1085" s="22">
        <v>795059</v>
      </c>
      <c r="G1085" s="19" t="s">
        <v>1136</v>
      </c>
      <c r="H1085" s="19" t="s">
        <v>2789</v>
      </c>
      <c r="I1085" s="19" t="s">
        <v>2789</v>
      </c>
      <c r="J1085" s="19" t="s">
        <v>1117</v>
      </c>
      <c r="K1085" t="s">
        <v>1100</v>
      </c>
      <c r="L1085" t="s">
        <v>114</v>
      </c>
      <c r="M1085" t="s">
        <v>114</v>
      </c>
      <c r="N1085" s="19" t="s">
        <v>530</v>
      </c>
      <c r="O1085" s="19" t="s">
        <v>116</v>
      </c>
      <c r="R1085" t="s">
        <v>1097</v>
      </c>
    </row>
    <row r="1086" spans="1:18" hidden="1" x14ac:dyDescent="0.3">
      <c r="A1086" s="19">
        <f t="shared" si="16"/>
        <v>1085</v>
      </c>
      <c r="B1086" s="20" t="s">
        <v>87</v>
      </c>
      <c r="C1086" s="20" t="s">
        <v>102</v>
      </c>
      <c r="D1086" s="21" t="str">
        <f>IF($C1086="","",IFERROR(VLOOKUP($C1086,Map_Register!$A$2:$C$5,3,FALSE()),""))</f>
        <v>Toponym Labels</v>
      </c>
      <c r="E1086" s="20" t="s">
        <v>15</v>
      </c>
      <c r="F1086" s="22">
        <v>795060</v>
      </c>
      <c r="G1086" s="19" t="s">
        <v>1179</v>
      </c>
      <c r="H1086" s="19" t="s">
        <v>2790</v>
      </c>
      <c r="I1086" s="19" t="s">
        <v>2790</v>
      </c>
      <c r="J1086" s="19" t="s">
        <v>1110</v>
      </c>
      <c r="K1086" t="s">
        <v>1100</v>
      </c>
      <c r="L1086" t="s">
        <v>114</v>
      </c>
      <c r="M1086" t="s">
        <v>114</v>
      </c>
      <c r="N1086" s="19" t="s">
        <v>1184</v>
      </c>
      <c r="O1086" s="19" t="s">
        <v>116</v>
      </c>
      <c r="R1086" t="s">
        <v>1097</v>
      </c>
    </row>
    <row r="1087" spans="1:18" hidden="1" x14ac:dyDescent="0.3">
      <c r="A1087" s="19">
        <f t="shared" si="16"/>
        <v>1086</v>
      </c>
      <c r="B1087" s="20" t="s">
        <v>87</v>
      </c>
      <c r="C1087" s="20" t="s">
        <v>102</v>
      </c>
      <c r="D1087" s="21" t="str">
        <f>IF($C1087="","",IFERROR(VLOOKUP($C1087,Map_Register!$A$2:$C$5,3,FALSE()),""))</f>
        <v>Toponym Labels</v>
      </c>
      <c r="E1087" s="20" t="s">
        <v>15</v>
      </c>
      <c r="F1087" s="22">
        <v>795061</v>
      </c>
      <c r="G1087" s="19" t="s">
        <v>1179</v>
      </c>
      <c r="H1087" s="19" t="s">
        <v>2791</v>
      </c>
      <c r="I1087" s="19" t="s">
        <v>2791</v>
      </c>
      <c r="J1087" s="19" t="s">
        <v>1110</v>
      </c>
      <c r="K1087" t="s">
        <v>1100</v>
      </c>
      <c r="L1087" t="s">
        <v>114</v>
      </c>
      <c r="M1087" t="s">
        <v>114</v>
      </c>
      <c r="N1087" s="19" t="s">
        <v>1184</v>
      </c>
      <c r="O1087" s="19" t="s">
        <v>116</v>
      </c>
      <c r="R1087" t="s">
        <v>1097</v>
      </c>
    </row>
    <row r="1088" spans="1:18" hidden="1" x14ac:dyDescent="0.3">
      <c r="A1088" s="19">
        <f t="shared" si="16"/>
        <v>1087</v>
      </c>
      <c r="B1088" s="20" t="s">
        <v>87</v>
      </c>
      <c r="C1088" s="20" t="s">
        <v>102</v>
      </c>
      <c r="D1088" s="21" t="str">
        <f>IF($C1088="","",IFERROR(VLOOKUP($C1088,Map_Register!$A$2:$C$5,3,FALSE()),""))</f>
        <v>Toponym Labels</v>
      </c>
      <c r="E1088" s="20" t="s">
        <v>15</v>
      </c>
      <c r="F1088" s="22">
        <v>795062</v>
      </c>
      <c r="G1088" s="19" t="s">
        <v>1179</v>
      </c>
      <c r="H1088" s="19" t="s">
        <v>2792</v>
      </c>
      <c r="I1088" s="19" t="s">
        <v>2793</v>
      </c>
      <c r="J1088" s="19" t="s">
        <v>1104</v>
      </c>
      <c r="K1088" t="s">
        <v>1100</v>
      </c>
      <c r="L1088" t="s">
        <v>114</v>
      </c>
      <c r="M1088" t="s">
        <v>114</v>
      </c>
      <c r="N1088" s="19" t="s">
        <v>1184</v>
      </c>
      <c r="O1088" s="19" t="s">
        <v>116</v>
      </c>
      <c r="R1088" t="s">
        <v>1097</v>
      </c>
    </row>
    <row r="1089" spans="1:18" hidden="1" x14ac:dyDescent="0.3">
      <c r="A1089" s="19">
        <f t="shared" si="16"/>
        <v>1088</v>
      </c>
      <c r="B1089" s="20" t="s">
        <v>87</v>
      </c>
      <c r="C1089" s="20" t="s">
        <v>102</v>
      </c>
      <c r="D1089" s="21" t="str">
        <f>IF($C1089="","",IFERROR(VLOOKUP($C1089,Map_Register!$A$2:$C$5,3,FALSE()),""))</f>
        <v>Toponym Labels</v>
      </c>
      <c r="E1089" s="20" t="s">
        <v>15</v>
      </c>
      <c r="F1089" s="22">
        <v>795063</v>
      </c>
      <c r="G1089" s="19" t="s">
        <v>1125</v>
      </c>
      <c r="H1089" s="19" t="s">
        <v>2794</v>
      </c>
      <c r="I1089" s="19" t="s">
        <v>2794</v>
      </c>
      <c r="J1089" s="19" t="s">
        <v>1110</v>
      </c>
      <c r="K1089" s="19" t="s">
        <v>6</v>
      </c>
      <c r="L1089" s="19" t="s">
        <v>1095</v>
      </c>
      <c r="M1089" s="19" t="s">
        <v>1095</v>
      </c>
      <c r="N1089" s="19" t="s">
        <v>1155</v>
      </c>
      <c r="R1089" t="s">
        <v>1097</v>
      </c>
    </row>
    <row r="1090" spans="1:18" hidden="1" x14ac:dyDescent="0.3">
      <c r="A1090" s="19">
        <f t="shared" ref="A1090:A1153" si="17">IF($B1090="","",ROW()-1)</f>
        <v>1089</v>
      </c>
      <c r="B1090" s="20" t="s">
        <v>87</v>
      </c>
      <c r="C1090" s="20" t="s">
        <v>102</v>
      </c>
      <c r="D1090" s="21" t="str">
        <f>IF($C1090="","",IFERROR(VLOOKUP($C1090,Map_Register!$A$2:$C$5,3,FALSE()),""))</f>
        <v>Toponym Labels</v>
      </c>
      <c r="E1090" s="20" t="s">
        <v>15</v>
      </c>
      <c r="F1090" s="22">
        <v>795064</v>
      </c>
      <c r="G1090" s="19" t="s">
        <v>1108</v>
      </c>
      <c r="H1090" s="19" t="s">
        <v>2795</v>
      </c>
      <c r="I1090" s="19" t="s">
        <v>2796</v>
      </c>
      <c r="J1090" s="19" t="s">
        <v>1104</v>
      </c>
      <c r="K1090" s="19" t="s">
        <v>6</v>
      </c>
      <c r="L1090" s="19" t="s">
        <v>1095</v>
      </c>
      <c r="M1090" s="19" t="s">
        <v>1095</v>
      </c>
      <c r="N1090" s="19" t="s">
        <v>1105</v>
      </c>
      <c r="R1090" t="s">
        <v>1097</v>
      </c>
    </row>
    <row r="1091" spans="1:18" hidden="1" x14ac:dyDescent="0.3">
      <c r="A1091" s="19">
        <f t="shared" si="17"/>
        <v>1090</v>
      </c>
      <c r="B1091" s="20" t="s">
        <v>87</v>
      </c>
      <c r="C1091" s="20" t="s">
        <v>102</v>
      </c>
      <c r="D1091" s="21" t="str">
        <f>IF($C1091="","",IFERROR(VLOOKUP($C1091,Map_Register!$A$2:$C$5,3,FALSE()),""))</f>
        <v>Toponym Labels</v>
      </c>
      <c r="E1091" s="20" t="s">
        <v>15</v>
      </c>
      <c r="F1091" s="22">
        <v>795065</v>
      </c>
      <c r="G1091" s="19" t="s">
        <v>1341</v>
      </c>
      <c r="H1091" s="19" t="s">
        <v>2797</v>
      </c>
      <c r="I1091" s="19" t="s">
        <v>2797</v>
      </c>
      <c r="J1091" s="19" t="s">
        <v>1110</v>
      </c>
      <c r="K1091" s="19" t="s">
        <v>6</v>
      </c>
      <c r="L1091" s="19" t="s">
        <v>1095</v>
      </c>
      <c r="M1091" s="19" t="s">
        <v>1095</v>
      </c>
      <c r="N1091" s="19" t="s">
        <v>2798</v>
      </c>
      <c r="R1091" t="s">
        <v>1097</v>
      </c>
    </row>
    <row r="1092" spans="1:18" hidden="1" x14ac:dyDescent="0.3">
      <c r="A1092" s="19">
        <f t="shared" si="17"/>
        <v>1091</v>
      </c>
      <c r="B1092" s="20" t="s">
        <v>87</v>
      </c>
      <c r="C1092" s="20" t="s">
        <v>102</v>
      </c>
      <c r="D1092" s="21" t="str">
        <f>IF($C1092="","",IFERROR(VLOOKUP($C1092,Map_Register!$A$2:$C$5,3,FALSE()),""))</f>
        <v>Toponym Labels</v>
      </c>
      <c r="E1092" s="20" t="s">
        <v>15</v>
      </c>
      <c r="F1092" s="22">
        <v>795066</v>
      </c>
      <c r="G1092" s="19" t="s">
        <v>1091</v>
      </c>
      <c r="H1092" s="19" t="s">
        <v>2799</v>
      </c>
      <c r="I1092" s="19" t="s">
        <v>2799</v>
      </c>
      <c r="J1092" s="19" t="s">
        <v>1110</v>
      </c>
      <c r="K1092" t="s">
        <v>1100</v>
      </c>
      <c r="L1092" t="s">
        <v>114</v>
      </c>
      <c r="M1092" t="s">
        <v>114</v>
      </c>
      <c r="N1092" s="19" t="s">
        <v>530</v>
      </c>
      <c r="O1092" s="19" t="s">
        <v>116</v>
      </c>
      <c r="R1092" t="s">
        <v>1097</v>
      </c>
    </row>
    <row r="1093" spans="1:18" hidden="1" x14ac:dyDescent="0.3">
      <c r="A1093" s="19">
        <f t="shared" si="17"/>
        <v>1092</v>
      </c>
      <c r="B1093" s="20" t="s">
        <v>87</v>
      </c>
      <c r="C1093" s="20" t="s">
        <v>102</v>
      </c>
      <c r="D1093" s="21" t="str">
        <f>IF($C1093="","",IFERROR(VLOOKUP($C1093,Map_Register!$A$2:$C$5,3,FALSE()),""))</f>
        <v>Toponym Labels</v>
      </c>
      <c r="E1093" s="20" t="s">
        <v>15</v>
      </c>
      <c r="F1093" s="22">
        <v>795067</v>
      </c>
      <c r="G1093" s="19" t="s">
        <v>1091</v>
      </c>
      <c r="H1093" s="19" t="s">
        <v>2800</v>
      </c>
      <c r="I1093" s="19" t="s">
        <v>2800</v>
      </c>
      <c r="J1093" s="19" t="s">
        <v>1110</v>
      </c>
      <c r="K1093" t="s">
        <v>1100</v>
      </c>
      <c r="L1093" t="s">
        <v>114</v>
      </c>
      <c r="M1093" t="s">
        <v>114</v>
      </c>
      <c r="N1093" s="19" t="s">
        <v>530</v>
      </c>
      <c r="O1093" s="19" t="s">
        <v>116</v>
      </c>
      <c r="R1093" t="s">
        <v>1097</v>
      </c>
    </row>
    <row r="1094" spans="1:18" hidden="1" x14ac:dyDescent="0.3">
      <c r="A1094" s="19">
        <f t="shared" si="17"/>
        <v>1093</v>
      </c>
      <c r="B1094" s="20" t="s">
        <v>87</v>
      </c>
      <c r="C1094" s="20" t="s">
        <v>102</v>
      </c>
      <c r="D1094" s="21" t="str">
        <f>IF($C1094="","",IFERROR(VLOOKUP($C1094,Map_Register!$A$2:$C$5,3,FALSE()),""))</f>
        <v>Toponym Labels</v>
      </c>
      <c r="E1094" s="20" t="s">
        <v>15</v>
      </c>
      <c r="F1094" s="22">
        <v>795068</v>
      </c>
      <c r="G1094" s="19" t="s">
        <v>1205</v>
      </c>
      <c r="H1094" s="19" t="s">
        <v>2801</v>
      </c>
      <c r="I1094" s="19" t="s">
        <v>2802</v>
      </c>
      <c r="J1094" s="19" t="s">
        <v>1104</v>
      </c>
      <c r="K1094" s="19" t="s">
        <v>6</v>
      </c>
      <c r="L1094" s="19" t="s">
        <v>1095</v>
      </c>
      <c r="M1094" s="19" t="s">
        <v>1095</v>
      </c>
      <c r="N1094" s="19" t="s">
        <v>2803</v>
      </c>
      <c r="R1094" t="s">
        <v>1097</v>
      </c>
    </row>
    <row r="1095" spans="1:18" hidden="1" x14ac:dyDescent="0.3">
      <c r="A1095" s="19">
        <f t="shared" si="17"/>
        <v>1094</v>
      </c>
      <c r="B1095" s="20" t="s">
        <v>87</v>
      </c>
      <c r="C1095" s="20" t="s">
        <v>102</v>
      </c>
      <c r="D1095" s="21" t="str">
        <f>IF($C1095="","",IFERROR(VLOOKUP($C1095,Map_Register!$A$2:$C$5,3,FALSE()),""))</f>
        <v>Toponym Labels</v>
      </c>
      <c r="E1095" s="20" t="s">
        <v>15</v>
      </c>
      <c r="F1095" s="22">
        <v>795072</v>
      </c>
      <c r="G1095" s="19" t="s">
        <v>1136</v>
      </c>
      <c r="H1095" s="19" t="s">
        <v>2804</v>
      </c>
      <c r="I1095" s="19" t="s">
        <v>2804</v>
      </c>
      <c r="J1095" s="19" t="s">
        <v>1110</v>
      </c>
      <c r="K1095" t="s">
        <v>1100</v>
      </c>
      <c r="L1095" t="s">
        <v>114</v>
      </c>
      <c r="M1095" t="s">
        <v>114</v>
      </c>
      <c r="N1095" s="19" t="s">
        <v>530</v>
      </c>
      <c r="O1095" s="19" t="s">
        <v>116</v>
      </c>
      <c r="R1095" t="s">
        <v>1097</v>
      </c>
    </row>
    <row r="1096" spans="1:18" hidden="1" x14ac:dyDescent="0.3">
      <c r="A1096" s="19">
        <f t="shared" si="17"/>
        <v>1095</v>
      </c>
      <c r="B1096" s="20" t="s">
        <v>87</v>
      </c>
      <c r="C1096" s="20" t="s">
        <v>102</v>
      </c>
      <c r="D1096" s="21" t="str">
        <f>IF($C1096="","",IFERROR(VLOOKUP($C1096,Map_Register!$A$2:$C$5,3,FALSE()),""))</f>
        <v>Toponym Labels</v>
      </c>
      <c r="E1096" s="20" t="s">
        <v>15</v>
      </c>
      <c r="F1096" s="22">
        <v>795073</v>
      </c>
      <c r="G1096" s="19" t="s">
        <v>2306</v>
      </c>
      <c r="H1096" s="19" t="s">
        <v>2805</v>
      </c>
      <c r="I1096" s="19" t="s">
        <v>2805</v>
      </c>
      <c r="J1096" s="19" t="s">
        <v>1117</v>
      </c>
      <c r="K1096" t="s">
        <v>1100</v>
      </c>
      <c r="L1096" t="s">
        <v>114</v>
      </c>
      <c r="M1096" t="s">
        <v>114</v>
      </c>
      <c r="N1096" s="19" t="s">
        <v>2806</v>
      </c>
      <c r="O1096" s="19" t="s">
        <v>116</v>
      </c>
      <c r="R1096" t="s">
        <v>1097</v>
      </c>
    </row>
    <row r="1097" spans="1:18" x14ac:dyDescent="0.3">
      <c r="A1097" s="19">
        <f t="shared" si="17"/>
        <v>1096</v>
      </c>
      <c r="B1097" s="20" t="s">
        <v>87</v>
      </c>
      <c r="C1097" s="20" t="s">
        <v>102</v>
      </c>
      <c r="D1097" s="21" t="str">
        <f>IF($C1097="","",IFERROR(VLOOKUP($C1097,Map_Register!$A$2:$C$5,3,FALSE()),""))</f>
        <v>Toponym Labels</v>
      </c>
      <c r="E1097" s="20" t="s">
        <v>15</v>
      </c>
      <c r="F1097" s="22">
        <v>795074</v>
      </c>
      <c r="G1097" s="19" t="s">
        <v>1179</v>
      </c>
      <c r="H1097" s="19" t="s">
        <v>2807</v>
      </c>
      <c r="I1097" s="19" t="s">
        <v>2807</v>
      </c>
      <c r="J1097" s="19" t="s">
        <v>1110</v>
      </c>
      <c r="K1097" t="s">
        <v>1100</v>
      </c>
      <c r="L1097" t="s">
        <v>114</v>
      </c>
      <c r="M1097" t="s">
        <v>116</v>
      </c>
      <c r="N1097" s="19" t="s">
        <v>1512</v>
      </c>
      <c r="O1097" s="19" t="s">
        <v>116</v>
      </c>
      <c r="R1097" t="s">
        <v>1097</v>
      </c>
    </row>
    <row r="1098" spans="1:18" hidden="1" x14ac:dyDescent="0.3">
      <c r="A1098" s="19">
        <f t="shared" si="17"/>
        <v>1097</v>
      </c>
      <c r="B1098" s="20" t="s">
        <v>87</v>
      </c>
      <c r="C1098" s="20" t="s">
        <v>102</v>
      </c>
      <c r="D1098" s="21" t="str">
        <f>IF($C1098="","",IFERROR(VLOOKUP($C1098,Map_Register!$A$2:$C$5,3,FALSE()),""))</f>
        <v>Toponym Labels</v>
      </c>
      <c r="E1098" s="20" t="s">
        <v>15</v>
      </c>
      <c r="F1098" s="22">
        <v>795084</v>
      </c>
      <c r="G1098" s="19" t="s">
        <v>1091</v>
      </c>
      <c r="H1098" s="19" t="s">
        <v>2808</v>
      </c>
      <c r="I1098" s="19" t="s">
        <v>2808</v>
      </c>
      <c r="J1098" s="19" t="s">
        <v>1117</v>
      </c>
      <c r="K1098" s="19" t="s">
        <v>6</v>
      </c>
      <c r="L1098" s="19" t="s">
        <v>1095</v>
      </c>
      <c r="M1098" s="19" t="s">
        <v>1095</v>
      </c>
      <c r="N1098" s="19" t="s">
        <v>1300</v>
      </c>
      <c r="R1098" t="s">
        <v>1097</v>
      </c>
    </row>
    <row r="1099" spans="1:18" hidden="1" x14ac:dyDescent="0.3">
      <c r="A1099" s="19">
        <f t="shared" si="17"/>
        <v>1098</v>
      </c>
      <c r="B1099" s="20" t="s">
        <v>87</v>
      </c>
      <c r="C1099" s="20" t="s">
        <v>102</v>
      </c>
      <c r="D1099" s="21" t="str">
        <f>IF($C1099="","",IFERROR(VLOOKUP($C1099,Map_Register!$A$2:$C$5,3,FALSE()),""))</f>
        <v>Toponym Labels</v>
      </c>
      <c r="E1099" s="20" t="s">
        <v>15</v>
      </c>
      <c r="F1099" s="22">
        <v>795085</v>
      </c>
      <c r="G1099" s="19" t="s">
        <v>1118</v>
      </c>
      <c r="H1099" s="19" t="s">
        <v>2809</v>
      </c>
      <c r="I1099" s="19" t="s">
        <v>2810</v>
      </c>
      <c r="J1099" s="19" t="s">
        <v>1094</v>
      </c>
      <c r="K1099" t="s">
        <v>1100</v>
      </c>
      <c r="L1099" s="19" t="s">
        <v>114</v>
      </c>
      <c r="M1099" s="19" t="s">
        <v>114</v>
      </c>
      <c r="N1099" s="19" t="s">
        <v>2774</v>
      </c>
      <c r="O1099" s="19" t="s">
        <v>116</v>
      </c>
      <c r="R1099" t="s">
        <v>1097</v>
      </c>
    </row>
    <row r="1100" spans="1:18" hidden="1" x14ac:dyDescent="0.3">
      <c r="A1100" s="19">
        <f t="shared" si="17"/>
        <v>1099</v>
      </c>
      <c r="B1100" s="20" t="s">
        <v>87</v>
      </c>
      <c r="C1100" s="20" t="s">
        <v>102</v>
      </c>
      <c r="D1100" s="21" t="str">
        <f>IF($C1100="","",IFERROR(VLOOKUP($C1100,Map_Register!$A$2:$C$5,3,FALSE()),""))</f>
        <v>Toponym Labels</v>
      </c>
      <c r="E1100" s="20" t="s">
        <v>15</v>
      </c>
      <c r="F1100" s="22">
        <v>796106</v>
      </c>
      <c r="G1100" s="19" t="s">
        <v>2811</v>
      </c>
      <c r="H1100" s="19" t="s">
        <v>2812</v>
      </c>
      <c r="I1100" s="19" t="s">
        <v>2812</v>
      </c>
      <c r="J1100" s="19" t="s">
        <v>1110</v>
      </c>
      <c r="K1100" s="19" t="s">
        <v>8</v>
      </c>
      <c r="L1100" s="19" t="s">
        <v>114</v>
      </c>
      <c r="M1100" s="19" t="s">
        <v>114</v>
      </c>
      <c r="N1100" s="19" t="s">
        <v>2813</v>
      </c>
      <c r="O1100" s="19" t="s">
        <v>116</v>
      </c>
      <c r="R1100" t="s">
        <v>1097</v>
      </c>
    </row>
    <row r="1101" spans="1:18" hidden="1" x14ac:dyDescent="0.3">
      <c r="A1101" s="19">
        <f t="shared" si="17"/>
        <v>1100</v>
      </c>
      <c r="B1101" s="20" t="s">
        <v>87</v>
      </c>
      <c r="C1101" s="20" t="s">
        <v>102</v>
      </c>
      <c r="D1101" s="21" t="str">
        <f>IF($C1101="","",IFERROR(VLOOKUP($C1101,Map_Register!$A$2:$C$5,3,FALSE()),""))</f>
        <v>Toponym Labels</v>
      </c>
      <c r="E1101" s="20" t="s">
        <v>15</v>
      </c>
      <c r="F1101" s="22">
        <v>796107</v>
      </c>
      <c r="G1101" s="19" t="s">
        <v>1125</v>
      </c>
      <c r="H1101" s="19" t="s">
        <v>1576</v>
      </c>
      <c r="I1101" s="19" t="s">
        <v>2814</v>
      </c>
      <c r="J1101" s="19" t="s">
        <v>1094</v>
      </c>
      <c r="K1101" s="19" t="s">
        <v>6</v>
      </c>
      <c r="L1101" s="19" t="s">
        <v>1095</v>
      </c>
      <c r="M1101" s="19" t="s">
        <v>1095</v>
      </c>
      <c r="N1101" s="19" t="s">
        <v>1105</v>
      </c>
      <c r="R1101" t="s">
        <v>1097</v>
      </c>
    </row>
    <row r="1102" spans="1:18" hidden="1" x14ac:dyDescent="0.3">
      <c r="A1102" s="19">
        <f t="shared" si="17"/>
        <v>1101</v>
      </c>
      <c r="B1102" s="20" t="s">
        <v>87</v>
      </c>
      <c r="C1102" s="20" t="s">
        <v>102</v>
      </c>
      <c r="D1102" s="21" t="str">
        <f>IF($C1102="","",IFERROR(VLOOKUP($C1102,Map_Register!$A$2:$C$5,3,FALSE()),""))</f>
        <v>Toponym Labels</v>
      </c>
      <c r="E1102" s="20" t="s">
        <v>15</v>
      </c>
      <c r="F1102" s="22">
        <v>796637</v>
      </c>
      <c r="G1102" s="19" t="s">
        <v>1145</v>
      </c>
      <c r="H1102" s="19" t="s">
        <v>2815</v>
      </c>
      <c r="I1102" s="19" t="s">
        <v>2815</v>
      </c>
      <c r="J1102" s="19" t="s">
        <v>1117</v>
      </c>
      <c r="K1102" s="19" t="s">
        <v>6</v>
      </c>
      <c r="L1102" s="19" t="s">
        <v>1095</v>
      </c>
      <c r="M1102" s="19" t="s">
        <v>1095</v>
      </c>
      <c r="N1102" s="19" t="s">
        <v>1638</v>
      </c>
      <c r="R1102" t="s">
        <v>1097</v>
      </c>
    </row>
    <row r="1103" spans="1:18" hidden="1" x14ac:dyDescent="0.3">
      <c r="A1103" s="19">
        <f t="shared" si="17"/>
        <v>1102</v>
      </c>
      <c r="B1103" s="20" t="s">
        <v>87</v>
      </c>
      <c r="C1103" s="20" t="s">
        <v>102</v>
      </c>
      <c r="D1103" s="21" t="str">
        <f>IF($C1103="","",IFERROR(VLOOKUP($C1103,Map_Register!$A$2:$C$5,3,FALSE()),""))</f>
        <v>Toponym Labels</v>
      </c>
      <c r="E1103" s="20" t="s">
        <v>15</v>
      </c>
      <c r="F1103" s="22">
        <v>796745</v>
      </c>
      <c r="G1103" s="19" t="s">
        <v>2816</v>
      </c>
      <c r="H1103" s="19" t="s">
        <v>1557</v>
      </c>
      <c r="I1103" s="19" t="s">
        <v>2817</v>
      </c>
      <c r="J1103" s="19" t="s">
        <v>2818</v>
      </c>
      <c r="K1103" s="19" t="s">
        <v>1030</v>
      </c>
      <c r="L1103" s="19" t="s">
        <v>1095</v>
      </c>
      <c r="M1103" s="19" t="s">
        <v>1095</v>
      </c>
      <c r="N1103" s="19" t="s">
        <v>2819</v>
      </c>
      <c r="Q1103" s="19" t="s">
        <v>2569</v>
      </c>
      <c r="R1103" t="s">
        <v>1097</v>
      </c>
    </row>
    <row r="1104" spans="1:18" hidden="1" x14ac:dyDescent="0.3">
      <c r="A1104" s="19">
        <f t="shared" si="17"/>
        <v>1103</v>
      </c>
      <c r="B1104" s="20" t="s">
        <v>87</v>
      </c>
      <c r="C1104" s="20" t="s">
        <v>102</v>
      </c>
      <c r="D1104" s="21" t="str">
        <f>IF($C1104="","",IFERROR(VLOOKUP($C1104,Map_Register!$A$2:$C$5,3,FALSE()),""))</f>
        <v>Toponym Labels</v>
      </c>
      <c r="E1104" s="20" t="s">
        <v>15</v>
      </c>
      <c r="F1104" s="22">
        <v>797280</v>
      </c>
      <c r="G1104" s="19" t="s">
        <v>1179</v>
      </c>
      <c r="H1104" s="19" t="s">
        <v>2820</v>
      </c>
      <c r="I1104" s="19" t="s">
        <v>2821</v>
      </c>
      <c r="J1104" s="19" t="s">
        <v>1104</v>
      </c>
      <c r="K1104" s="19" t="s">
        <v>6</v>
      </c>
      <c r="L1104" s="19" t="s">
        <v>1095</v>
      </c>
      <c r="M1104" s="19" t="s">
        <v>1095</v>
      </c>
      <c r="N1104" s="19" t="s">
        <v>1105</v>
      </c>
      <c r="R1104" t="s">
        <v>1097</v>
      </c>
    </row>
    <row r="1105" spans="1:18" hidden="1" x14ac:dyDescent="0.3">
      <c r="A1105" s="19">
        <f t="shared" si="17"/>
        <v>1104</v>
      </c>
      <c r="B1105" s="20" t="s">
        <v>87</v>
      </c>
      <c r="C1105" s="20" t="s">
        <v>102</v>
      </c>
      <c r="D1105" s="21" t="str">
        <f>IF($C1105="","",IFERROR(VLOOKUP($C1105,Map_Register!$A$2:$C$5,3,FALSE()),""))</f>
        <v>Toponym Labels</v>
      </c>
      <c r="E1105" s="20" t="s">
        <v>15</v>
      </c>
      <c r="F1105" s="22">
        <v>799139</v>
      </c>
      <c r="G1105" s="19" t="s">
        <v>1028</v>
      </c>
      <c r="H1105" s="19" t="s">
        <v>2822</v>
      </c>
      <c r="I1105" s="19" t="s">
        <v>2822</v>
      </c>
      <c r="J1105" s="19" t="s">
        <v>1110</v>
      </c>
      <c r="K1105" t="s">
        <v>1100</v>
      </c>
      <c r="L1105" s="19" t="s">
        <v>114</v>
      </c>
      <c r="M1105" s="19" t="s">
        <v>114</v>
      </c>
      <c r="N1105" s="19" t="s">
        <v>2823</v>
      </c>
      <c r="O1105" s="19" t="s">
        <v>116</v>
      </c>
      <c r="R1105" t="s">
        <v>1097</v>
      </c>
    </row>
    <row r="1106" spans="1:18" hidden="1" x14ac:dyDescent="0.3">
      <c r="A1106" s="19">
        <f t="shared" si="17"/>
        <v>1105</v>
      </c>
      <c r="B1106" s="20" t="s">
        <v>87</v>
      </c>
      <c r="C1106" s="20" t="s">
        <v>102</v>
      </c>
      <c r="D1106" s="21" t="str">
        <f>IF($C1106="","",IFERROR(VLOOKUP($C1106,Map_Register!$A$2:$C$5,3,FALSE()),""))</f>
        <v>Toponym Labels</v>
      </c>
      <c r="E1106" s="20" t="s">
        <v>15</v>
      </c>
      <c r="F1106" s="22">
        <v>799140</v>
      </c>
      <c r="G1106" s="19" t="s">
        <v>1028</v>
      </c>
      <c r="H1106" s="19" t="s">
        <v>1041</v>
      </c>
      <c r="I1106" s="19" t="s">
        <v>1041</v>
      </c>
      <c r="J1106" s="19" t="s">
        <v>1110</v>
      </c>
      <c r="K1106" t="s">
        <v>1100</v>
      </c>
      <c r="L1106" s="19" t="s">
        <v>114</v>
      </c>
      <c r="M1106" s="19" t="s">
        <v>114</v>
      </c>
      <c r="N1106" s="19" t="s">
        <v>2824</v>
      </c>
      <c r="O1106" s="19" t="s">
        <v>116</v>
      </c>
      <c r="R1106" t="s">
        <v>1097</v>
      </c>
    </row>
    <row r="1107" spans="1:18" hidden="1" x14ac:dyDescent="0.3">
      <c r="A1107" s="19">
        <f t="shared" si="17"/>
        <v>1106</v>
      </c>
      <c r="B1107" s="20" t="s">
        <v>87</v>
      </c>
      <c r="C1107" s="20" t="s">
        <v>102</v>
      </c>
      <c r="D1107" s="21" t="str">
        <f>IF($C1107="","",IFERROR(VLOOKUP($C1107,Map_Register!$A$2:$C$5,3,FALSE()),""))</f>
        <v>Toponym Labels</v>
      </c>
      <c r="E1107" s="20" t="s">
        <v>15</v>
      </c>
      <c r="F1107" s="22">
        <v>799700</v>
      </c>
      <c r="G1107" s="19" t="s">
        <v>2825</v>
      </c>
      <c r="H1107" s="19" t="s">
        <v>2826</v>
      </c>
      <c r="I1107" s="19" t="s">
        <v>2827</v>
      </c>
      <c r="J1107" s="19" t="s">
        <v>2828</v>
      </c>
      <c r="K1107" t="s">
        <v>1100</v>
      </c>
      <c r="L1107" t="s">
        <v>114</v>
      </c>
      <c r="M1107" t="s">
        <v>114</v>
      </c>
      <c r="N1107" s="19" t="s">
        <v>2829</v>
      </c>
      <c r="O1107" s="19" t="s">
        <v>116</v>
      </c>
      <c r="R1107" t="s">
        <v>1097</v>
      </c>
    </row>
    <row r="1108" spans="1:18" hidden="1" x14ac:dyDescent="0.3">
      <c r="A1108" s="19">
        <f t="shared" si="17"/>
        <v>1107</v>
      </c>
      <c r="B1108" s="20" t="s">
        <v>87</v>
      </c>
      <c r="C1108" s="20" t="s">
        <v>102</v>
      </c>
      <c r="D1108" s="21" t="str">
        <f>IF($C1108="","",IFERROR(VLOOKUP($C1108,Map_Register!$A$2:$C$5,3,FALSE()),""))</f>
        <v>Toponym Labels</v>
      </c>
      <c r="E1108" s="20" t="s">
        <v>15</v>
      </c>
      <c r="F1108" s="22">
        <v>799854</v>
      </c>
      <c r="G1108" s="19" t="s">
        <v>1943</v>
      </c>
      <c r="H1108" s="19" t="s">
        <v>2428</v>
      </c>
      <c r="I1108" s="19" t="s">
        <v>2429</v>
      </c>
      <c r="J1108" s="19" t="s">
        <v>1104</v>
      </c>
      <c r="K1108" s="19" t="s">
        <v>6</v>
      </c>
      <c r="L1108" s="19" t="s">
        <v>1095</v>
      </c>
      <c r="M1108" s="19" t="s">
        <v>1095</v>
      </c>
      <c r="N1108" s="19" t="s">
        <v>1105</v>
      </c>
      <c r="R1108" t="s">
        <v>1097</v>
      </c>
    </row>
    <row r="1109" spans="1:18" hidden="1" x14ac:dyDescent="0.3">
      <c r="A1109" s="19">
        <f t="shared" si="17"/>
        <v>1108</v>
      </c>
      <c r="B1109" s="20" t="s">
        <v>87</v>
      </c>
      <c r="C1109" s="20" t="s">
        <v>102</v>
      </c>
      <c r="D1109" s="21" t="str">
        <f>IF($C1109="","",IFERROR(VLOOKUP($C1109,Map_Register!$A$2:$C$5,3,FALSE()),""))</f>
        <v>Toponym Labels</v>
      </c>
      <c r="E1109" s="20" t="s">
        <v>15</v>
      </c>
      <c r="F1109" s="22">
        <v>799856</v>
      </c>
      <c r="G1109" s="19" t="s">
        <v>2691</v>
      </c>
      <c r="H1109" s="19" t="s">
        <v>1546</v>
      </c>
      <c r="I1109" s="19" t="s">
        <v>1547</v>
      </c>
      <c r="J1109" s="19" t="s">
        <v>1094</v>
      </c>
      <c r="K1109" s="19" t="s">
        <v>6</v>
      </c>
      <c r="L1109" s="19" t="s">
        <v>1095</v>
      </c>
      <c r="M1109" s="19" t="s">
        <v>1095</v>
      </c>
      <c r="N1109" s="19" t="s">
        <v>1105</v>
      </c>
      <c r="R1109" t="s">
        <v>1097</v>
      </c>
    </row>
    <row r="1110" spans="1:18" hidden="1" x14ac:dyDescent="0.3">
      <c r="A1110" s="19">
        <f t="shared" si="17"/>
        <v>1109</v>
      </c>
      <c r="B1110" s="20" t="s">
        <v>87</v>
      </c>
      <c r="C1110" s="20" t="s">
        <v>102</v>
      </c>
      <c r="D1110" s="21" t="str">
        <f>IF($C1110="","",IFERROR(VLOOKUP($C1110,Map_Register!$A$2:$C$5,3,FALSE()),""))</f>
        <v>Toponym Labels</v>
      </c>
      <c r="E1110" s="20" t="s">
        <v>15</v>
      </c>
      <c r="F1110" s="22">
        <v>804756</v>
      </c>
      <c r="G1110" s="19" t="s">
        <v>1179</v>
      </c>
      <c r="H1110" s="19" t="s">
        <v>2830</v>
      </c>
      <c r="I1110" s="19" t="s">
        <v>2830</v>
      </c>
      <c r="J1110" s="19" t="s">
        <v>1117</v>
      </c>
      <c r="K1110" s="19" t="s">
        <v>6</v>
      </c>
      <c r="L1110" s="19" t="s">
        <v>1095</v>
      </c>
      <c r="M1110" s="19" t="s">
        <v>1095</v>
      </c>
      <c r="N1110" s="19" t="s">
        <v>2831</v>
      </c>
      <c r="R1110" t="s">
        <v>1097</v>
      </c>
    </row>
    <row r="1111" spans="1:18" hidden="1" x14ac:dyDescent="0.3">
      <c r="A1111" s="19">
        <f t="shared" si="17"/>
        <v>1110</v>
      </c>
      <c r="B1111" s="20" t="s">
        <v>87</v>
      </c>
      <c r="C1111" s="20" t="s">
        <v>102</v>
      </c>
      <c r="D1111" s="21" t="str">
        <f>IF($C1111="","",IFERROR(VLOOKUP($C1111,Map_Register!$A$2:$C$5,3,FALSE()),""))</f>
        <v>Toponym Labels</v>
      </c>
      <c r="E1111" s="20" t="s">
        <v>15</v>
      </c>
      <c r="F1111" s="22">
        <v>804757</v>
      </c>
      <c r="G1111" s="19" t="s">
        <v>1179</v>
      </c>
      <c r="H1111" s="19" t="s">
        <v>2832</v>
      </c>
      <c r="I1111" s="19" t="s">
        <v>2832</v>
      </c>
      <c r="J1111" s="19" t="s">
        <v>1117</v>
      </c>
      <c r="K1111" t="s">
        <v>1100</v>
      </c>
      <c r="L1111" t="s">
        <v>114</v>
      </c>
      <c r="M1111" t="s">
        <v>114</v>
      </c>
      <c r="N1111" s="19" t="s">
        <v>1184</v>
      </c>
      <c r="O1111" s="19" t="s">
        <v>116</v>
      </c>
      <c r="R1111" t="s">
        <v>1097</v>
      </c>
    </row>
    <row r="1112" spans="1:18" hidden="1" x14ac:dyDescent="0.3">
      <c r="A1112" s="19">
        <f t="shared" si="17"/>
        <v>1111</v>
      </c>
      <c r="B1112" s="20" t="s">
        <v>87</v>
      </c>
      <c r="C1112" s="20" t="s">
        <v>86</v>
      </c>
      <c r="D1112" s="21" t="str">
        <f>IF($C1112="","",IFERROR(VLOOKUP($C1112,Map_Register!$A$2:$C$5,3,FALSE()),""))</f>
        <v>Border Region</v>
      </c>
      <c r="E1112" s="20" t="s">
        <v>15</v>
      </c>
      <c r="F1112" s="22">
        <v>722636</v>
      </c>
      <c r="G1112" s="19" t="s">
        <v>1091</v>
      </c>
      <c r="H1112" s="19" t="s">
        <v>2833</v>
      </c>
      <c r="I1112" s="19" t="s">
        <v>2834</v>
      </c>
      <c r="J1112" s="19" t="s">
        <v>1094</v>
      </c>
      <c r="K1112" s="19" t="s">
        <v>8</v>
      </c>
      <c r="L1112" s="19" t="s">
        <v>114</v>
      </c>
      <c r="M1112" s="19" t="s">
        <v>114</v>
      </c>
      <c r="N1112" s="19" t="s">
        <v>2835</v>
      </c>
      <c r="O1112" s="19" t="s">
        <v>116</v>
      </c>
      <c r="R1112" t="s">
        <v>1097</v>
      </c>
    </row>
    <row r="1113" spans="1:18" hidden="1" x14ac:dyDescent="0.3">
      <c r="A1113" s="19">
        <f t="shared" si="17"/>
        <v>1112</v>
      </c>
      <c r="B1113" s="20" t="s">
        <v>87</v>
      </c>
      <c r="C1113" s="20" t="s">
        <v>86</v>
      </c>
      <c r="D1113" s="21" t="str">
        <f>IF($C1113="","",IFERROR(VLOOKUP($C1113,Map_Register!$A$2:$C$5,3,FALSE()),""))</f>
        <v>Border Region</v>
      </c>
      <c r="E1113" s="20" t="s">
        <v>15</v>
      </c>
      <c r="F1113" s="22">
        <v>722637</v>
      </c>
      <c r="G1113" s="19" t="s">
        <v>1091</v>
      </c>
      <c r="H1113" s="19" t="s">
        <v>2836</v>
      </c>
      <c r="I1113" s="19" t="s">
        <v>2837</v>
      </c>
      <c r="J1113" s="19" t="s">
        <v>1104</v>
      </c>
      <c r="K1113" s="19" t="s">
        <v>8</v>
      </c>
      <c r="L1113" s="19" t="s">
        <v>114</v>
      </c>
      <c r="M1113" s="19" t="s">
        <v>114</v>
      </c>
      <c r="N1113" s="19" t="s">
        <v>2835</v>
      </c>
      <c r="O1113" s="19" t="s">
        <v>116</v>
      </c>
      <c r="R1113" t="s">
        <v>1097</v>
      </c>
    </row>
    <row r="1114" spans="1:18" hidden="1" x14ac:dyDescent="0.3">
      <c r="A1114" s="19">
        <f t="shared" si="17"/>
        <v>1113</v>
      </c>
      <c r="B1114" s="20" t="s">
        <v>87</v>
      </c>
      <c r="C1114" s="20" t="s">
        <v>86</v>
      </c>
      <c r="D1114" s="21" t="str">
        <f>IF($C1114="","",IFERROR(VLOOKUP($C1114,Map_Register!$A$2:$C$5,3,FALSE()),""))</f>
        <v>Border Region</v>
      </c>
      <c r="E1114" s="20" t="s">
        <v>15</v>
      </c>
      <c r="F1114" s="22">
        <v>722638</v>
      </c>
      <c r="G1114" s="19" t="s">
        <v>1108</v>
      </c>
      <c r="H1114" s="19" t="s">
        <v>2838</v>
      </c>
      <c r="I1114" s="19" t="s">
        <v>2839</v>
      </c>
      <c r="J1114" s="19" t="s">
        <v>1094</v>
      </c>
      <c r="K1114" s="19" t="s">
        <v>6</v>
      </c>
      <c r="L1114" s="19" t="s">
        <v>1095</v>
      </c>
      <c r="M1114" s="19" t="s">
        <v>1095</v>
      </c>
      <c r="N1114" s="19" t="s">
        <v>1105</v>
      </c>
      <c r="R1114" t="s">
        <v>1097</v>
      </c>
    </row>
    <row r="1115" spans="1:18" hidden="1" x14ac:dyDescent="0.3">
      <c r="A1115" s="19">
        <f t="shared" si="17"/>
        <v>1114</v>
      </c>
      <c r="B1115" s="20" t="s">
        <v>87</v>
      </c>
      <c r="C1115" s="20" t="s">
        <v>86</v>
      </c>
      <c r="D1115" s="21" t="str">
        <f>IF($C1115="","",IFERROR(VLOOKUP($C1115,Map_Register!$A$2:$C$5,3,FALSE()),""))</f>
        <v>Border Region</v>
      </c>
      <c r="E1115" s="20" t="s">
        <v>15</v>
      </c>
      <c r="F1115" s="22">
        <v>722650</v>
      </c>
      <c r="G1115" s="19" t="s">
        <v>1223</v>
      </c>
      <c r="H1115" s="19" t="s">
        <v>2840</v>
      </c>
      <c r="I1115" s="19" t="s">
        <v>2841</v>
      </c>
      <c r="J1115" s="19" t="s">
        <v>1104</v>
      </c>
      <c r="K1115" s="19" t="s">
        <v>6</v>
      </c>
      <c r="L1115" s="19" t="s">
        <v>1095</v>
      </c>
      <c r="M1115" s="19" t="s">
        <v>1095</v>
      </c>
      <c r="N1115" s="19" t="s">
        <v>1105</v>
      </c>
      <c r="R1115" t="s">
        <v>1097</v>
      </c>
    </row>
    <row r="1116" spans="1:18" hidden="1" x14ac:dyDescent="0.3">
      <c r="A1116" s="19">
        <f t="shared" si="17"/>
        <v>1115</v>
      </c>
      <c r="B1116" s="20" t="s">
        <v>87</v>
      </c>
      <c r="C1116" s="20" t="s">
        <v>86</v>
      </c>
      <c r="D1116" s="21" t="str">
        <f>IF($C1116="","",IFERROR(VLOOKUP($C1116,Map_Register!$A$2:$C$5,3,FALSE()),""))</f>
        <v>Border Region</v>
      </c>
      <c r="E1116" s="20" t="s">
        <v>15</v>
      </c>
      <c r="F1116" s="22">
        <v>722670</v>
      </c>
      <c r="G1116" s="19" t="s">
        <v>1091</v>
      </c>
      <c r="H1116" s="19" t="s">
        <v>2842</v>
      </c>
      <c r="I1116" s="19" t="s">
        <v>2842</v>
      </c>
      <c r="J1116" s="19" t="s">
        <v>1117</v>
      </c>
      <c r="K1116" s="19" t="s">
        <v>8</v>
      </c>
      <c r="L1116" s="19" t="s">
        <v>114</v>
      </c>
      <c r="M1116" s="19" t="s">
        <v>114</v>
      </c>
      <c r="N1116" s="19" t="s">
        <v>2835</v>
      </c>
      <c r="O1116" s="19" t="s">
        <v>116</v>
      </c>
      <c r="R1116" t="s">
        <v>1097</v>
      </c>
    </row>
    <row r="1117" spans="1:18" hidden="1" x14ac:dyDescent="0.3">
      <c r="A1117" s="19">
        <f t="shared" si="17"/>
        <v>1116</v>
      </c>
      <c r="B1117" s="20" t="s">
        <v>87</v>
      </c>
      <c r="C1117" s="20" t="s">
        <v>86</v>
      </c>
      <c r="D1117" s="21" t="str">
        <f>IF($C1117="","",IFERROR(VLOOKUP($C1117,Map_Register!$A$2:$C$5,3,FALSE()),""))</f>
        <v>Border Region</v>
      </c>
      <c r="E1117" s="20" t="s">
        <v>15</v>
      </c>
      <c r="F1117" s="22">
        <v>722685</v>
      </c>
      <c r="G1117" s="19" t="s">
        <v>1091</v>
      </c>
      <c r="H1117" s="19" t="s">
        <v>2843</v>
      </c>
      <c r="I1117" s="19" t="s">
        <v>2844</v>
      </c>
      <c r="J1117" s="19" t="s">
        <v>1104</v>
      </c>
      <c r="K1117" s="19" t="s">
        <v>8</v>
      </c>
      <c r="L1117" s="19" t="s">
        <v>114</v>
      </c>
      <c r="M1117" s="19" t="s">
        <v>114</v>
      </c>
      <c r="N1117" s="19" t="s">
        <v>2835</v>
      </c>
      <c r="O1117" s="19" t="s">
        <v>116</v>
      </c>
      <c r="R1117" t="s">
        <v>1097</v>
      </c>
    </row>
    <row r="1118" spans="1:18" hidden="1" x14ac:dyDescent="0.3">
      <c r="A1118" s="19">
        <f t="shared" si="17"/>
        <v>1117</v>
      </c>
      <c r="B1118" s="20" t="s">
        <v>87</v>
      </c>
      <c r="C1118" s="20" t="s">
        <v>86</v>
      </c>
      <c r="D1118" s="21" t="str">
        <f>IF($C1118="","",IFERROR(VLOOKUP($C1118,Map_Register!$A$2:$C$5,3,FALSE()),""))</f>
        <v>Border Region</v>
      </c>
      <c r="E1118" s="20" t="s">
        <v>15</v>
      </c>
      <c r="F1118" s="22">
        <v>722686</v>
      </c>
      <c r="G1118" s="19" t="s">
        <v>1118</v>
      </c>
      <c r="H1118" s="19" t="s">
        <v>2845</v>
      </c>
      <c r="I1118" s="19" t="s">
        <v>2845</v>
      </c>
      <c r="J1118" s="19" t="s">
        <v>1117</v>
      </c>
      <c r="K1118" s="19" t="s">
        <v>6</v>
      </c>
      <c r="L1118" s="19" t="s">
        <v>1095</v>
      </c>
      <c r="M1118" s="19" t="s">
        <v>1095</v>
      </c>
      <c r="N1118" s="19" t="s">
        <v>2549</v>
      </c>
      <c r="R1118" t="s">
        <v>1097</v>
      </c>
    </row>
    <row r="1119" spans="1:18" hidden="1" x14ac:dyDescent="0.3">
      <c r="A1119" s="19">
        <f t="shared" si="17"/>
        <v>1118</v>
      </c>
      <c r="B1119" s="20" t="s">
        <v>87</v>
      </c>
      <c r="C1119" s="20" t="s">
        <v>86</v>
      </c>
      <c r="D1119" s="21" t="str">
        <f>IF($C1119="","",IFERROR(VLOOKUP($C1119,Map_Register!$A$2:$C$5,3,FALSE()),""))</f>
        <v>Border Region</v>
      </c>
      <c r="E1119" s="20" t="s">
        <v>15</v>
      </c>
      <c r="F1119" s="22">
        <v>722814</v>
      </c>
      <c r="G1119" s="19" t="s">
        <v>1091</v>
      </c>
      <c r="H1119" s="19" t="s">
        <v>2846</v>
      </c>
      <c r="I1119" s="19" t="s">
        <v>2847</v>
      </c>
      <c r="J1119" s="19" t="s">
        <v>1094</v>
      </c>
      <c r="K1119" s="19" t="s">
        <v>6</v>
      </c>
      <c r="L1119" s="19" t="s">
        <v>1095</v>
      </c>
      <c r="M1119" s="19" t="s">
        <v>1095</v>
      </c>
      <c r="N1119" s="19" t="s">
        <v>1105</v>
      </c>
      <c r="R1119" t="s">
        <v>1097</v>
      </c>
    </row>
    <row r="1120" spans="1:18" hidden="1" x14ac:dyDescent="0.3">
      <c r="A1120" s="19">
        <f t="shared" si="17"/>
        <v>1119</v>
      </c>
      <c r="B1120" s="20" t="s">
        <v>87</v>
      </c>
      <c r="C1120" s="20" t="s">
        <v>86</v>
      </c>
      <c r="D1120" s="21" t="str">
        <f>IF($C1120="","",IFERROR(VLOOKUP($C1120,Map_Register!$A$2:$C$5,3,FALSE()),""))</f>
        <v>Border Region</v>
      </c>
      <c r="E1120" s="20" t="s">
        <v>15</v>
      </c>
      <c r="F1120" s="22">
        <v>722815</v>
      </c>
      <c r="G1120" s="19" t="s">
        <v>1091</v>
      </c>
      <c r="H1120" s="19" t="s">
        <v>2848</v>
      </c>
      <c r="I1120" s="19" t="s">
        <v>2849</v>
      </c>
      <c r="J1120" s="19" t="s">
        <v>1094</v>
      </c>
      <c r="K1120" s="19" t="s">
        <v>8</v>
      </c>
      <c r="L1120" s="19" t="s">
        <v>114</v>
      </c>
      <c r="M1120" s="19" t="s">
        <v>114</v>
      </c>
      <c r="N1120" s="19" t="s">
        <v>2835</v>
      </c>
      <c r="O1120" s="19" t="s">
        <v>116</v>
      </c>
      <c r="R1120" t="s">
        <v>1097</v>
      </c>
    </row>
    <row r="1121" spans="1:18" hidden="1" x14ac:dyDescent="0.3">
      <c r="A1121" s="19">
        <f t="shared" si="17"/>
        <v>1120</v>
      </c>
      <c r="B1121" s="20" t="s">
        <v>87</v>
      </c>
      <c r="C1121" s="20" t="s">
        <v>86</v>
      </c>
      <c r="D1121" s="21" t="str">
        <f>IF($C1121="","",IFERROR(VLOOKUP($C1121,Map_Register!$A$2:$C$5,3,FALSE()),""))</f>
        <v>Border Region</v>
      </c>
      <c r="E1121" s="20" t="s">
        <v>15</v>
      </c>
      <c r="F1121" s="22">
        <v>722816</v>
      </c>
      <c r="G1121" s="19" t="s">
        <v>1091</v>
      </c>
      <c r="H1121" s="19" t="s">
        <v>2850</v>
      </c>
      <c r="I1121" s="19" t="s">
        <v>2851</v>
      </c>
      <c r="J1121" s="19" t="s">
        <v>1094</v>
      </c>
      <c r="K1121" s="19" t="s">
        <v>8</v>
      </c>
      <c r="L1121" s="19" t="s">
        <v>114</v>
      </c>
      <c r="M1121" s="19" t="s">
        <v>114</v>
      </c>
      <c r="N1121" s="19" t="s">
        <v>2835</v>
      </c>
      <c r="O1121" s="19" t="s">
        <v>116</v>
      </c>
      <c r="R1121" t="s">
        <v>1097</v>
      </c>
    </row>
    <row r="1122" spans="1:18" hidden="1" x14ac:dyDescent="0.3">
      <c r="A1122" s="19">
        <f t="shared" si="17"/>
        <v>1121</v>
      </c>
      <c r="B1122" s="20" t="s">
        <v>87</v>
      </c>
      <c r="C1122" s="20" t="s">
        <v>86</v>
      </c>
      <c r="D1122" s="21" t="str">
        <f>IF($C1122="","",IFERROR(VLOOKUP($C1122,Map_Register!$A$2:$C$5,3,FALSE()),""))</f>
        <v>Border Region</v>
      </c>
      <c r="E1122" s="20" t="s">
        <v>15</v>
      </c>
      <c r="F1122" s="22">
        <v>722817</v>
      </c>
      <c r="G1122" s="19" t="s">
        <v>1091</v>
      </c>
      <c r="H1122" s="19" t="s">
        <v>2852</v>
      </c>
      <c r="I1122" s="19" t="s">
        <v>2853</v>
      </c>
      <c r="J1122" s="19" t="s">
        <v>1094</v>
      </c>
      <c r="K1122" s="19" t="s">
        <v>6</v>
      </c>
      <c r="L1122" s="19" t="s">
        <v>1095</v>
      </c>
      <c r="M1122" s="19" t="s">
        <v>1095</v>
      </c>
      <c r="N1122" s="19" t="s">
        <v>1105</v>
      </c>
      <c r="R1122" t="s">
        <v>1097</v>
      </c>
    </row>
    <row r="1123" spans="1:18" hidden="1" x14ac:dyDescent="0.3">
      <c r="A1123" s="19">
        <f t="shared" si="17"/>
        <v>1122</v>
      </c>
      <c r="B1123" s="20" t="s">
        <v>87</v>
      </c>
      <c r="C1123" s="20" t="s">
        <v>86</v>
      </c>
      <c r="D1123" s="21" t="str">
        <f>IF($C1123="","",IFERROR(VLOOKUP($C1123,Map_Register!$A$2:$C$5,3,FALSE()),""))</f>
        <v>Border Region</v>
      </c>
      <c r="E1123" s="20" t="s">
        <v>15</v>
      </c>
      <c r="F1123" s="22">
        <v>722818</v>
      </c>
      <c r="G1123" s="19" t="s">
        <v>1108</v>
      </c>
      <c r="H1123" s="19" t="s">
        <v>2854</v>
      </c>
      <c r="I1123" s="19" t="s">
        <v>2855</v>
      </c>
      <c r="J1123" s="19" t="s">
        <v>1104</v>
      </c>
      <c r="K1123" s="19" t="s">
        <v>6</v>
      </c>
      <c r="L1123" s="19" t="s">
        <v>1095</v>
      </c>
      <c r="M1123" s="19" t="s">
        <v>1095</v>
      </c>
      <c r="N1123" s="19" t="s">
        <v>1105</v>
      </c>
      <c r="R1123" t="s">
        <v>1097</v>
      </c>
    </row>
    <row r="1124" spans="1:18" hidden="1" x14ac:dyDescent="0.3">
      <c r="A1124" s="19">
        <f t="shared" si="17"/>
        <v>1123</v>
      </c>
      <c r="B1124" s="20" t="s">
        <v>87</v>
      </c>
      <c r="C1124" s="20" t="s">
        <v>86</v>
      </c>
      <c r="D1124" s="21" t="str">
        <f>IF($C1124="","",IFERROR(VLOOKUP($C1124,Map_Register!$A$2:$C$5,3,FALSE()),""))</f>
        <v>Border Region</v>
      </c>
      <c r="E1124" s="20" t="s">
        <v>15</v>
      </c>
      <c r="F1124" s="22">
        <v>722819</v>
      </c>
      <c r="G1124" s="19" t="s">
        <v>1118</v>
      </c>
      <c r="H1124" s="19" t="s">
        <v>2856</v>
      </c>
      <c r="I1124" s="19" t="s">
        <v>2857</v>
      </c>
      <c r="J1124" s="19" t="s">
        <v>1094</v>
      </c>
      <c r="K1124" s="19" t="s">
        <v>6</v>
      </c>
      <c r="L1124" s="19" t="s">
        <v>1095</v>
      </c>
      <c r="M1124" s="19" t="s">
        <v>1095</v>
      </c>
      <c r="N1124" s="19" t="s">
        <v>1105</v>
      </c>
      <c r="R1124" t="s">
        <v>1097</v>
      </c>
    </row>
    <row r="1125" spans="1:18" hidden="1" x14ac:dyDescent="0.3">
      <c r="A1125" s="19">
        <f t="shared" si="17"/>
        <v>1124</v>
      </c>
      <c r="B1125" s="20" t="s">
        <v>87</v>
      </c>
      <c r="C1125" s="20" t="s">
        <v>86</v>
      </c>
      <c r="D1125" s="21" t="str">
        <f>IF($C1125="","",IFERROR(VLOOKUP($C1125,Map_Register!$A$2:$C$5,3,FALSE()),""))</f>
        <v>Border Region</v>
      </c>
      <c r="E1125" s="20" t="s">
        <v>15</v>
      </c>
      <c r="F1125" s="22">
        <v>722820</v>
      </c>
      <c r="G1125" s="19" t="s">
        <v>1108</v>
      </c>
      <c r="H1125" s="19" t="s">
        <v>2858</v>
      </c>
      <c r="I1125" s="19" t="s">
        <v>2859</v>
      </c>
      <c r="J1125" s="19" t="s">
        <v>1104</v>
      </c>
      <c r="K1125" s="19" t="s">
        <v>6</v>
      </c>
      <c r="L1125" s="19" t="s">
        <v>1095</v>
      </c>
      <c r="M1125" s="19" t="s">
        <v>1095</v>
      </c>
      <c r="N1125" s="19" t="s">
        <v>1105</v>
      </c>
      <c r="R1125" t="s">
        <v>1097</v>
      </c>
    </row>
    <row r="1126" spans="1:18" hidden="1" x14ac:dyDescent="0.3">
      <c r="A1126" s="19">
        <f t="shared" si="17"/>
        <v>1125</v>
      </c>
      <c r="B1126" s="20" t="s">
        <v>87</v>
      </c>
      <c r="C1126" s="20" t="s">
        <v>86</v>
      </c>
      <c r="D1126" s="21" t="str">
        <f>IF($C1126="","",IFERROR(VLOOKUP($C1126,Map_Register!$A$2:$C$5,3,FALSE()),""))</f>
        <v>Border Region</v>
      </c>
      <c r="E1126" s="20" t="s">
        <v>15</v>
      </c>
      <c r="F1126" s="22">
        <v>722821</v>
      </c>
      <c r="G1126" s="19" t="s">
        <v>1091</v>
      </c>
      <c r="H1126" s="19" t="s">
        <v>2860</v>
      </c>
      <c r="I1126" s="19" t="s">
        <v>2861</v>
      </c>
      <c r="J1126" s="19" t="s">
        <v>1094</v>
      </c>
      <c r="K1126" s="19" t="s">
        <v>6</v>
      </c>
      <c r="L1126" s="19" t="s">
        <v>1095</v>
      </c>
      <c r="M1126" s="19" t="s">
        <v>1095</v>
      </c>
      <c r="N1126" s="19" t="s">
        <v>1105</v>
      </c>
      <c r="R1126" t="s">
        <v>1097</v>
      </c>
    </row>
    <row r="1127" spans="1:18" hidden="1" x14ac:dyDescent="0.3">
      <c r="A1127" s="19">
        <f t="shared" si="17"/>
        <v>1126</v>
      </c>
      <c r="B1127" s="20" t="s">
        <v>87</v>
      </c>
      <c r="C1127" s="20" t="s">
        <v>86</v>
      </c>
      <c r="D1127" s="21" t="str">
        <f>IF($C1127="","",IFERROR(VLOOKUP($C1127,Map_Register!$A$2:$C$5,3,FALSE()),""))</f>
        <v>Border Region</v>
      </c>
      <c r="E1127" s="20" t="s">
        <v>15</v>
      </c>
      <c r="F1127" s="22">
        <v>722822</v>
      </c>
      <c r="G1127" s="19" t="s">
        <v>1091</v>
      </c>
      <c r="H1127" s="19" t="s">
        <v>2862</v>
      </c>
      <c r="I1127" s="19" t="s">
        <v>2863</v>
      </c>
      <c r="J1127" s="19" t="s">
        <v>1094</v>
      </c>
      <c r="K1127" s="19" t="s">
        <v>6</v>
      </c>
      <c r="L1127" s="19" t="s">
        <v>1095</v>
      </c>
      <c r="M1127" s="19" t="s">
        <v>1095</v>
      </c>
      <c r="N1127" s="19" t="s">
        <v>1105</v>
      </c>
      <c r="R1127" t="s">
        <v>1097</v>
      </c>
    </row>
    <row r="1128" spans="1:18" hidden="1" x14ac:dyDescent="0.3">
      <c r="A1128" s="19">
        <f t="shared" si="17"/>
        <v>1127</v>
      </c>
      <c r="B1128" s="20" t="s">
        <v>87</v>
      </c>
      <c r="C1128" s="20" t="s">
        <v>86</v>
      </c>
      <c r="D1128" s="21" t="str">
        <f>IF($C1128="","",IFERROR(VLOOKUP($C1128,Map_Register!$A$2:$C$5,3,FALSE()),""))</f>
        <v>Border Region</v>
      </c>
      <c r="E1128" s="20" t="s">
        <v>15</v>
      </c>
      <c r="F1128" s="22">
        <v>722823</v>
      </c>
      <c r="G1128" s="19" t="s">
        <v>1091</v>
      </c>
      <c r="H1128" s="19" t="s">
        <v>2864</v>
      </c>
      <c r="I1128" s="19" t="s">
        <v>2865</v>
      </c>
      <c r="J1128" s="19" t="s">
        <v>1104</v>
      </c>
      <c r="K1128" s="19" t="s">
        <v>6</v>
      </c>
      <c r="L1128" s="19" t="s">
        <v>1095</v>
      </c>
      <c r="M1128" s="19" t="s">
        <v>1095</v>
      </c>
      <c r="N1128" s="19" t="s">
        <v>1105</v>
      </c>
      <c r="R1128" t="s">
        <v>1097</v>
      </c>
    </row>
    <row r="1129" spans="1:18" hidden="1" x14ac:dyDescent="0.3">
      <c r="A1129" s="19">
        <f t="shared" si="17"/>
        <v>1128</v>
      </c>
      <c r="B1129" s="20" t="s">
        <v>87</v>
      </c>
      <c r="C1129" s="20" t="s">
        <v>86</v>
      </c>
      <c r="D1129" s="21" t="str">
        <f>IF($C1129="","",IFERROR(VLOOKUP($C1129,Map_Register!$A$2:$C$5,3,FALSE()),""))</f>
        <v>Border Region</v>
      </c>
      <c r="E1129" s="20" t="s">
        <v>15</v>
      </c>
      <c r="F1129" s="22">
        <v>722824</v>
      </c>
      <c r="G1129" s="19" t="s">
        <v>1091</v>
      </c>
      <c r="H1129" s="19" t="s">
        <v>2866</v>
      </c>
      <c r="I1129" s="19" t="s">
        <v>2867</v>
      </c>
      <c r="J1129" s="19" t="s">
        <v>1104</v>
      </c>
      <c r="K1129" s="19" t="s">
        <v>6</v>
      </c>
      <c r="L1129" s="19" t="s">
        <v>1095</v>
      </c>
      <c r="M1129" s="19" t="s">
        <v>1095</v>
      </c>
      <c r="N1129" s="19" t="s">
        <v>1105</v>
      </c>
      <c r="R1129" t="s">
        <v>1097</v>
      </c>
    </row>
    <row r="1130" spans="1:18" hidden="1" x14ac:dyDescent="0.3">
      <c r="A1130" s="19">
        <f t="shared" si="17"/>
        <v>1129</v>
      </c>
      <c r="B1130" s="20" t="s">
        <v>87</v>
      </c>
      <c r="C1130" s="20" t="s">
        <v>86</v>
      </c>
      <c r="D1130" s="21" t="str">
        <f>IF($C1130="","",IFERROR(VLOOKUP($C1130,Map_Register!$A$2:$C$5,3,FALSE()),""))</f>
        <v>Border Region</v>
      </c>
      <c r="E1130" s="20" t="s">
        <v>15</v>
      </c>
      <c r="F1130" s="22">
        <v>722825</v>
      </c>
      <c r="G1130" s="19" t="s">
        <v>1091</v>
      </c>
      <c r="H1130" s="19" t="s">
        <v>2868</v>
      </c>
      <c r="I1130" s="19" t="s">
        <v>2869</v>
      </c>
      <c r="J1130" s="19" t="s">
        <v>1104</v>
      </c>
      <c r="K1130" s="19" t="s">
        <v>6</v>
      </c>
      <c r="L1130" s="19" t="s">
        <v>1095</v>
      </c>
      <c r="M1130" s="19" t="s">
        <v>1095</v>
      </c>
      <c r="N1130" s="19" t="s">
        <v>1105</v>
      </c>
      <c r="R1130" t="s">
        <v>1097</v>
      </c>
    </row>
    <row r="1131" spans="1:18" hidden="1" x14ac:dyDescent="0.3">
      <c r="A1131" s="19">
        <f t="shared" si="17"/>
        <v>1130</v>
      </c>
      <c r="B1131" s="20" t="s">
        <v>87</v>
      </c>
      <c r="C1131" s="20" t="s">
        <v>86</v>
      </c>
      <c r="D1131" s="21" t="str">
        <f>IF($C1131="","",IFERROR(VLOOKUP($C1131,Map_Register!$A$2:$C$5,3,FALSE()),""))</f>
        <v>Border Region</v>
      </c>
      <c r="E1131" s="20" t="s">
        <v>15</v>
      </c>
      <c r="F1131" s="22">
        <v>722826</v>
      </c>
      <c r="G1131" s="19" t="s">
        <v>1091</v>
      </c>
      <c r="H1131" s="19" t="s">
        <v>2870</v>
      </c>
      <c r="I1131" s="19" t="s">
        <v>2870</v>
      </c>
      <c r="J1131" s="19" t="s">
        <v>1117</v>
      </c>
      <c r="K1131" s="19" t="s">
        <v>6</v>
      </c>
      <c r="L1131" s="19" t="s">
        <v>1095</v>
      </c>
      <c r="M1131" s="19" t="s">
        <v>1095</v>
      </c>
      <c r="N1131" s="19" t="s">
        <v>1300</v>
      </c>
      <c r="R1131" t="s">
        <v>1097</v>
      </c>
    </row>
    <row r="1132" spans="1:18" hidden="1" x14ac:dyDescent="0.3">
      <c r="A1132" s="19">
        <f t="shared" si="17"/>
        <v>1131</v>
      </c>
      <c r="B1132" s="20" t="s">
        <v>87</v>
      </c>
      <c r="C1132" s="20" t="s">
        <v>86</v>
      </c>
      <c r="D1132" s="21" t="str">
        <f>IF($C1132="","",IFERROR(VLOOKUP($C1132,Map_Register!$A$2:$C$5,3,FALSE()),""))</f>
        <v>Border Region</v>
      </c>
      <c r="E1132" s="20" t="s">
        <v>15</v>
      </c>
      <c r="F1132" s="22">
        <v>722827</v>
      </c>
      <c r="G1132" s="19" t="s">
        <v>1091</v>
      </c>
      <c r="H1132" s="19" t="s">
        <v>2871</v>
      </c>
      <c r="I1132" s="19" t="s">
        <v>2872</v>
      </c>
      <c r="J1132" s="19" t="s">
        <v>1094</v>
      </c>
      <c r="K1132" s="19" t="s">
        <v>6</v>
      </c>
      <c r="L1132" s="19" t="s">
        <v>1095</v>
      </c>
      <c r="M1132" s="19" t="s">
        <v>1095</v>
      </c>
      <c r="N1132" s="19" t="s">
        <v>1105</v>
      </c>
      <c r="R1132" t="s">
        <v>1097</v>
      </c>
    </row>
    <row r="1133" spans="1:18" hidden="1" x14ac:dyDescent="0.3">
      <c r="A1133" s="19">
        <f t="shared" si="17"/>
        <v>1132</v>
      </c>
      <c r="B1133" s="20" t="s">
        <v>87</v>
      </c>
      <c r="C1133" s="20" t="s">
        <v>86</v>
      </c>
      <c r="D1133" s="21" t="str">
        <f>IF($C1133="","",IFERROR(VLOOKUP($C1133,Map_Register!$A$2:$C$5,3,FALSE()),""))</f>
        <v>Border Region</v>
      </c>
      <c r="E1133" s="20" t="s">
        <v>15</v>
      </c>
      <c r="F1133" s="22">
        <v>722828</v>
      </c>
      <c r="G1133" s="19" t="s">
        <v>1091</v>
      </c>
      <c r="H1133" s="19" t="s">
        <v>2873</v>
      </c>
      <c r="I1133" s="19" t="s">
        <v>2874</v>
      </c>
      <c r="J1133" s="19" t="s">
        <v>1104</v>
      </c>
      <c r="K1133" s="19" t="s">
        <v>6</v>
      </c>
      <c r="L1133" s="19" t="s">
        <v>1095</v>
      </c>
      <c r="M1133" s="19" t="s">
        <v>1095</v>
      </c>
      <c r="N1133" s="19" t="s">
        <v>1105</v>
      </c>
      <c r="R1133" t="s">
        <v>1097</v>
      </c>
    </row>
    <row r="1134" spans="1:18" hidden="1" x14ac:dyDescent="0.3">
      <c r="A1134" s="19">
        <f t="shared" si="17"/>
        <v>1133</v>
      </c>
      <c r="B1134" s="20" t="s">
        <v>87</v>
      </c>
      <c r="C1134" s="20" t="s">
        <v>86</v>
      </c>
      <c r="D1134" s="21" t="str">
        <f>IF($C1134="","",IFERROR(VLOOKUP($C1134,Map_Register!$A$2:$C$5,3,FALSE()),""))</f>
        <v>Border Region</v>
      </c>
      <c r="E1134" s="20" t="s">
        <v>15</v>
      </c>
      <c r="F1134" s="22">
        <v>722829</v>
      </c>
      <c r="G1134" s="19" t="s">
        <v>1091</v>
      </c>
      <c r="H1134" s="19" t="s">
        <v>2875</v>
      </c>
      <c r="I1134" s="19" t="s">
        <v>2875</v>
      </c>
      <c r="J1134" s="19" t="s">
        <v>1117</v>
      </c>
      <c r="K1134" s="19" t="s">
        <v>6</v>
      </c>
      <c r="L1134" s="19" t="s">
        <v>1095</v>
      </c>
      <c r="M1134" s="19" t="s">
        <v>1095</v>
      </c>
      <c r="N1134" s="19" t="s">
        <v>1300</v>
      </c>
      <c r="R1134" t="s">
        <v>1097</v>
      </c>
    </row>
    <row r="1135" spans="1:18" hidden="1" x14ac:dyDescent="0.3">
      <c r="A1135" s="19">
        <f t="shared" si="17"/>
        <v>1134</v>
      </c>
      <c r="B1135" s="20" t="s">
        <v>87</v>
      </c>
      <c r="C1135" s="20" t="s">
        <v>86</v>
      </c>
      <c r="D1135" s="21" t="str">
        <f>IF($C1135="","",IFERROR(VLOOKUP($C1135,Map_Register!$A$2:$C$5,3,FALSE()),""))</f>
        <v>Border Region</v>
      </c>
      <c r="E1135" s="20" t="s">
        <v>15</v>
      </c>
      <c r="F1135" s="22">
        <v>722830</v>
      </c>
      <c r="G1135" s="19" t="s">
        <v>1091</v>
      </c>
      <c r="H1135" s="19" t="s">
        <v>2876</v>
      </c>
      <c r="I1135" s="19" t="s">
        <v>2876</v>
      </c>
      <c r="J1135" s="19" t="s">
        <v>1117</v>
      </c>
      <c r="K1135" s="19" t="s">
        <v>6</v>
      </c>
      <c r="L1135" s="19" t="s">
        <v>1095</v>
      </c>
      <c r="M1135" s="19" t="s">
        <v>1095</v>
      </c>
      <c r="N1135" s="19" t="s">
        <v>1300</v>
      </c>
      <c r="R1135" t="s">
        <v>1097</v>
      </c>
    </row>
    <row r="1136" spans="1:18" hidden="1" x14ac:dyDescent="0.3">
      <c r="A1136" s="19">
        <f t="shared" si="17"/>
        <v>1135</v>
      </c>
      <c r="B1136" s="20" t="s">
        <v>87</v>
      </c>
      <c r="C1136" s="20" t="s">
        <v>86</v>
      </c>
      <c r="D1136" s="21" t="str">
        <f>IF($C1136="","",IFERROR(VLOOKUP($C1136,Map_Register!$A$2:$C$5,3,FALSE()),""))</f>
        <v>Border Region</v>
      </c>
      <c r="E1136" s="20" t="s">
        <v>15</v>
      </c>
      <c r="F1136" s="22">
        <v>722835</v>
      </c>
      <c r="G1136" s="19" t="s">
        <v>1108</v>
      </c>
      <c r="H1136" s="19" t="s">
        <v>2877</v>
      </c>
      <c r="I1136" s="19" t="s">
        <v>2878</v>
      </c>
      <c r="J1136" s="19" t="s">
        <v>1104</v>
      </c>
      <c r="K1136" s="19" t="s">
        <v>6</v>
      </c>
      <c r="L1136" s="19" t="s">
        <v>1095</v>
      </c>
      <c r="M1136" s="19" t="s">
        <v>1095</v>
      </c>
      <c r="N1136" s="19" t="s">
        <v>1105</v>
      </c>
      <c r="R1136" t="s">
        <v>1097</v>
      </c>
    </row>
    <row r="1137" spans="1:18" hidden="1" x14ac:dyDescent="0.3">
      <c r="A1137" s="19">
        <f t="shared" si="17"/>
        <v>1136</v>
      </c>
      <c r="B1137" s="20" t="s">
        <v>87</v>
      </c>
      <c r="C1137" s="20" t="s">
        <v>86</v>
      </c>
      <c r="D1137" s="21" t="str">
        <f>IF($C1137="","",IFERROR(VLOOKUP($C1137,Map_Register!$A$2:$C$5,3,FALSE()),""))</f>
        <v>Border Region</v>
      </c>
      <c r="E1137" s="20" t="s">
        <v>15</v>
      </c>
      <c r="F1137" s="22">
        <v>722836</v>
      </c>
      <c r="G1137" s="19" t="s">
        <v>1091</v>
      </c>
      <c r="H1137" s="19" t="s">
        <v>2879</v>
      </c>
      <c r="I1137" s="19" t="s">
        <v>2880</v>
      </c>
      <c r="J1137" s="19" t="s">
        <v>1104</v>
      </c>
      <c r="K1137" s="19" t="s">
        <v>6</v>
      </c>
      <c r="L1137" s="19" t="s">
        <v>1095</v>
      </c>
      <c r="M1137" s="19" t="s">
        <v>1095</v>
      </c>
      <c r="N1137" s="19" t="s">
        <v>1105</v>
      </c>
      <c r="R1137" t="s">
        <v>1097</v>
      </c>
    </row>
    <row r="1138" spans="1:18" hidden="1" x14ac:dyDescent="0.3">
      <c r="A1138" s="19">
        <f t="shared" si="17"/>
        <v>1137</v>
      </c>
      <c r="B1138" s="20" t="s">
        <v>87</v>
      </c>
      <c r="C1138" s="20" t="s">
        <v>86</v>
      </c>
      <c r="D1138" s="21" t="str">
        <f>IF($C1138="","",IFERROR(VLOOKUP($C1138,Map_Register!$A$2:$C$5,3,FALSE()),""))</f>
        <v>Border Region</v>
      </c>
      <c r="E1138" s="20" t="s">
        <v>15</v>
      </c>
      <c r="F1138" s="22">
        <v>722837</v>
      </c>
      <c r="G1138" s="19" t="s">
        <v>1091</v>
      </c>
      <c r="H1138" s="19" t="s">
        <v>2881</v>
      </c>
      <c r="I1138" s="19" t="s">
        <v>2882</v>
      </c>
      <c r="J1138" s="19" t="s">
        <v>1094</v>
      </c>
      <c r="K1138" s="19" t="s">
        <v>6</v>
      </c>
      <c r="L1138" s="19" t="s">
        <v>1095</v>
      </c>
      <c r="M1138" s="19" t="s">
        <v>1095</v>
      </c>
      <c r="N1138" s="19" t="s">
        <v>1105</v>
      </c>
      <c r="R1138" t="s">
        <v>1097</v>
      </c>
    </row>
    <row r="1139" spans="1:18" hidden="1" x14ac:dyDescent="0.3">
      <c r="A1139" s="19">
        <f t="shared" si="17"/>
        <v>1138</v>
      </c>
      <c r="B1139" s="20" t="s">
        <v>87</v>
      </c>
      <c r="C1139" s="20" t="s">
        <v>86</v>
      </c>
      <c r="D1139" s="21" t="str">
        <f>IF($C1139="","",IFERROR(VLOOKUP($C1139,Map_Register!$A$2:$C$5,3,FALSE()),""))</f>
        <v>Border Region</v>
      </c>
      <c r="E1139" s="20" t="s">
        <v>15</v>
      </c>
      <c r="F1139" s="22">
        <v>722838</v>
      </c>
      <c r="G1139" s="19" t="s">
        <v>1091</v>
      </c>
      <c r="H1139" s="19" t="s">
        <v>2883</v>
      </c>
      <c r="I1139" s="19" t="s">
        <v>2884</v>
      </c>
      <c r="J1139" s="19" t="s">
        <v>1104</v>
      </c>
      <c r="K1139" s="19" t="s">
        <v>6</v>
      </c>
      <c r="L1139" s="19" t="s">
        <v>1095</v>
      </c>
      <c r="M1139" s="19" t="s">
        <v>1095</v>
      </c>
      <c r="N1139" s="19" t="s">
        <v>1105</v>
      </c>
      <c r="R1139" t="s">
        <v>1097</v>
      </c>
    </row>
    <row r="1140" spans="1:18" hidden="1" x14ac:dyDescent="0.3">
      <c r="A1140" s="19">
        <f t="shared" si="17"/>
        <v>1139</v>
      </c>
      <c r="B1140" s="20" t="s">
        <v>87</v>
      </c>
      <c r="C1140" s="20" t="s">
        <v>86</v>
      </c>
      <c r="D1140" s="21" t="str">
        <f>IF($C1140="","",IFERROR(VLOOKUP($C1140,Map_Register!$A$2:$C$5,3,FALSE()),""))</f>
        <v>Border Region</v>
      </c>
      <c r="E1140" s="20" t="s">
        <v>15</v>
      </c>
      <c r="F1140" s="22">
        <v>722839</v>
      </c>
      <c r="G1140" s="19" t="s">
        <v>1091</v>
      </c>
      <c r="H1140" s="19" t="s">
        <v>2885</v>
      </c>
      <c r="I1140" s="19" t="s">
        <v>2886</v>
      </c>
      <c r="J1140" s="19" t="s">
        <v>1094</v>
      </c>
      <c r="K1140" s="19" t="s">
        <v>6</v>
      </c>
      <c r="L1140" s="19" t="s">
        <v>1095</v>
      </c>
      <c r="M1140" s="19" t="s">
        <v>1095</v>
      </c>
      <c r="N1140" s="19" t="s">
        <v>1105</v>
      </c>
      <c r="R1140" t="s">
        <v>1097</v>
      </c>
    </row>
    <row r="1141" spans="1:18" hidden="1" x14ac:dyDescent="0.3">
      <c r="A1141" s="19">
        <f t="shared" si="17"/>
        <v>1140</v>
      </c>
      <c r="B1141" s="20" t="s">
        <v>87</v>
      </c>
      <c r="C1141" s="20" t="s">
        <v>86</v>
      </c>
      <c r="D1141" s="21" t="str">
        <f>IF($C1141="","",IFERROR(VLOOKUP($C1141,Map_Register!$A$2:$C$5,3,FALSE()),""))</f>
        <v>Border Region</v>
      </c>
      <c r="E1141" s="20" t="s">
        <v>15</v>
      </c>
      <c r="F1141" s="22">
        <v>722840</v>
      </c>
      <c r="G1141" s="19" t="s">
        <v>1108</v>
      </c>
      <c r="H1141" s="19" t="s">
        <v>2887</v>
      </c>
      <c r="I1141" s="19" t="s">
        <v>2888</v>
      </c>
      <c r="J1141" s="19" t="s">
        <v>1094</v>
      </c>
      <c r="K1141" s="19" t="s">
        <v>6</v>
      </c>
      <c r="L1141" s="19" t="s">
        <v>1095</v>
      </c>
      <c r="M1141" s="19" t="s">
        <v>1095</v>
      </c>
      <c r="N1141" s="19" t="s">
        <v>1105</v>
      </c>
      <c r="R1141" t="s">
        <v>1097</v>
      </c>
    </row>
    <row r="1142" spans="1:18" hidden="1" x14ac:dyDescent="0.3">
      <c r="A1142" s="19">
        <f t="shared" si="17"/>
        <v>1141</v>
      </c>
      <c r="B1142" s="20" t="s">
        <v>87</v>
      </c>
      <c r="C1142" s="20" t="s">
        <v>86</v>
      </c>
      <c r="D1142" s="21" t="str">
        <f>IF($C1142="","",IFERROR(VLOOKUP($C1142,Map_Register!$A$2:$C$5,3,FALSE()),""))</f>
        <v>Border Region</v>
      </c>
      <c r="E1142" s="20" t="s">
        <v>15</v>
      </c>
      <c r="F1142" s="22">
        <v>722841</v>
      </c>
      <c r="G1142" s="19" t="s">
        <v>1091</v>
      </c>
      <c r="H1142" s="19" t="s">
        <v>2889</v>
      </c>
      <c r="I1142" s="19" t="s">
        <v>2890</v>
      </c>
      <c r="J1142" s="19" t="s">
        <v>1104</v>
      </c>
      <c r="K1142" s="19" t="s">
        <v>6</v>
      </c>
      <c r="L1142" s="19" t="s">
        <v>1095</v>
      </c>
      <c r="M1142" s="19" t="s">
        <v>1095</v>
      </c>
      <c r="N1142" s="19" t="s">
        <v>1105</v>
      </c>
      <c r="R1142" t="s">
        <v>1097</v>
      </c>
    </row>
    <row r="1143" spans="1:18" hidden="1" x14ac:dyDescent="0.3">
      <c r="A1143" s="19">
        <f t="shared" si="17"/>
        <v>1142</v>
      </c>
      <c r="B1143" s="20" t="s">
        <v>87</v>
      </c>
      <c r="C1143" s="20" t="s">
        <v>86</v>
      </c>
      <c r="D1143" s="21" t="str">
        <f>IF($C1143="","",IFERROR(VLOOKUP($C1143,Map_Register!$A$2:$C$5,3,FALSE()),""))</f>
        <v>Border Region</v>
      </c>
      <c r="E1143" s="20" t="s">
        <v>15</v>
      </c>
      <c r="F1143" s="22">
        <v>722842</v>
      </c>
      <c r="G1143" s="19" t="s">
        <v>1091</v>
      </c>
      <c r="H1143" s="19" t="s">
        <v>2891</v>
      </c>
      <c r="I1143" s="19" t="s">
        <v>2892</v>
      </c>
      <c r="J1143" s="19" t="s">
        <v>1104</v>
      </c>
      <c r="K1143" s="19" t="s">
        <v>6</v>
      </c>
      <c r="L1143" s="19" t="s">
        <v>1095</v>
      </c>
      <c r="M1143" s="19" t="s">
        <v>1095</v>
      </c>
      <c r="N1143" s="19" t="s">
        <v>1105</v>
      </c>
      <c r="R1143" t="s">
        <v>1097</v>
      </c>
    </row>
    <row r="1144" spans="1:18" hidden="1" x14ac:dyDescent="0.3">
      <c r="A1144" s="19">
        <f t="shared" si="17"/>
        <v>1143</v>
      </c>
      <c r="B1144" s="20" t="s">
        <v>87</v>
      </c>
      <c r="C1144" s="20" t="s">
        <v>86</v>
      </c>
      <c r="D1144" s="21" t="str">
        <f>IF($C1144="","",IFERROR(VLOOKUP($C1144,Map_Register!$A$2:$C$5,3,FALSE()),""))</f>
        <v>Border Region</v>
      </c>
      <c r="E1144" s="20" t="s">
        <v>15</v>
      </c>
      <c r="F1144" s="22">
        <v>722843</v>
      </c>
      <c r="G1144" s="19" t="s">
        <v>1223</v>
      </c>
      <c r="H1144" s="19" t="s">
        <v>2893</v>
      </c>
      <c r="I1144" s="19" t="s">
        <v>2894</v>
      </c>
      <c r="J1144" s="19" t="s">
        <v>1104</v>
      </c>
      <c r="K1144" s="19" t="s">
        <v>6</v>
      </c>
      <c r="L1144" s="19" t="s">
        <v>1095</v>
      </c>
      <c r="M1144" s="19" t="s">
        <v>1095</v>
      </c>
      <c r="N1144" s="19" t="s">
        <v>1105</v>
      </c>
      <c r="R1144" t="s">
        <v>1097</v>
      </c>
    </row>
    <row r="1145" spans="1:18" hidden="1" x14ac:dyDescent="0.3">
      <c r="A1145" s="19">
        <f t="shared" si="17"/>
        <v>1144</v>
      </c>
      <c r="B1145" s="20" t="s">
        <v>87</v>
      </c>
      <c r="C1145" s="20" t="s">
        <v>86</v>
      </c>
      <c r="D1145" s="21" t="str">
        <f>IF($C1145="","",IFERROR(VLOOKUP($C1145,Map_Register!$A$2:$C$5,3,FALSE()),""))</f>
        <v>Border Region</v>
      </c>
      <c r="E1145" s="20" t="s">
        <v>15</v>
      </c>
      <c r="F1145" s="22">
        <v>722844</v>
      </c>
      <c r="G1145" s="19" t="s">
        <v>1108</v>
      </c>
      <c r="H1145" s="19" t="s">
        <v>2895</v>
      </c>
      <c r="I1145" s="19" t="s">
        <v>2896</v>
      </c>
      <c r="J1145" s="19" t="s">
        <v>1094</v>
      </c>
      <c r="K1145" s="19" t="s">
        <v>6</v>
      </c>
      <c r="L1145" s="19" t="s">
        <v>1095</v>
      </c>
      <c r="M1145" s="19" t="s">
        <v>1095</v>
      </c>
      <c r="N1145" s="19" t="s">
        <v>1105</v>
      </c>
      <c r="R1145" t="s">
        <v>1097</v>
      </c>
    </row>
    <row r="1146" spans="1:18" hidden="1" x14ac:dyDescent="0.3">
      <c r="A1146" s="19">
        <f t="shared" si="17"/>
        <v>1145</v>
      </c>
      <c r="B1146" s="20" t="s">
        <v>87</v>
      </c>
      <c r="C1146" s="20" t="s">
        <v>86</v>
      </c>
      <c r="D1146" s="21" t="str">
        <f>IF($C1146="","",IFERROR(VLOOKUP($C1146,Map_Register!$A$2:$C$5,3,FALSE()),""))</f>
        <v>Border Region</v>
      </c>
      <c r="E1146" s="20" t="s">
        <v>15</v>
      </c>
      <c r="F1146" s="22">
        <v>722845</v>
      </c>
      <c r="G1146" s="19" t="s">
        <v>1091</v>
      </c>
      <c r="H1146" s="19" t="s">
        <v>2897</v>
      </c>
      <c r="I1146" s="19" t="s">
        <v>2898</v>
      </c>
      <c r="J1146" s="19" t="s">
        <v>1094</v>
      </c>
      <c r="K1146" s="19" t="s">
        <v>8</v>
      </c>
      <c r="L1146" s="19" t="s">
        <v>114</v>
      </c>
      <c r="M1146" s="19" t="s">
        <v>114</v>
      </c>
      <c r="N1146" s="19" t="s">
        <v>2835</v>
      </c>
      <c r="O1146" s="19" t="s">
        <v>116</v>
      </c>
      <c r="R1146" t="s">
        <v>1097</v>
      </c>
    </row>
    <row r="1147" spans="1:18" hidden="1" x14ac:dyDescent="0.3">
      <c r="A1147" s="19">
        <f t="shared" si="17"/>
        <v>1146</v>
      </c>
      <c r="B1147" s="20" t="s">
        <v>87</v>
      </c>
      <c r="C1147" s="20" t="s">
        <v>86</v>
      </c>
      <c r="D1147" s="21" t="str">
        <f>IF($C1147="","",IFERROR(VLOOKUP($C1147,Map_Register!$A$2:$C$5,3,FALSE()),""))</f>
        <v>Border Region</v>
      </c>
      <c r="E1147" s="20" t="s">
        <v>15</v>
      </c>
      <c r="F1147" s="22">
        <v>722846</v>
      </c>
      <c r="G1147" s="19" t="s">
        <v>1091</v>
      </c>
      <c r="H1147" s="19" t="s">
        <v>2899</v>
      </c>
      <c r="I1147" s="19" t="s">
        <v>2900</v>
      </c>
      <c r="J1147" s="19" t="s">
        <v>1104</v>
      </c>
      <c r="K1147" s="19" t="s">
        <v>8</v>
      </c>
      <c r="L1147" s="19" t="s">
        <v>114</v>
      </c>
      <c r="M1147" s="19" t="s">
        <v>114</v>
      </c>
      <c r="N1147" s="19" t="s">
        <v>2835</v>
      </c>
      <c r="O1147" s="19" t="s">
        <v>116</v>
      </c>
      <c r="R1147" t="s">
        <v>1097</v>
      </c>
    </row>
    <row r="1148" spans="1:18" hidden="1" x14ac:dyDescent="0.3">
      <c r="A1148" s="19">
        <f t="shared" si="17"/>
        <v>1147</v>
      </c>
      <c r="B1148" s="20" t="s">
        <v>87</v>
      </c>
      <c r="C1148" s="20" t="s">
        <v>86</v>
      </c>
      <c r="D1148" s="21" t="str">
        <f>IF($C1148="","",IFERROR(VLOOKUP($C1148,Map_Register!$A$2:$C$5,3,FALSE()),""))</f>
        <v>Border Region</v>
      </c>
      <c r="E1148" s="20" t="s">
        <v>15</v>
      </c>
      <c r="F1148" s="22">
        <v>722849</v>
      </c>
      <c r="G1148" s="19" t="s">
        <v>1223</v>
      </c>
      <c r="H1148" s="19" t="s">
        <v>2901</v>
      </c>
      <c r="I1148" s="19" t="s">
        <v>2902</v>
      </c>
      <c r="J1148" s="19" t="s">
        <v>1094</v>
      </c>
      <c r="K1148" s="19" t="s">
        <v>6</v>
      </c>
      <c r="L1148" s="19" t="s">
        <v>1095</v>
      </c>
      <c r="M1148" s="19" t="s">
        <v>1095</v>
      </c>
      <c r="N1148" s="19" t="s">
        <v>1105</v>
      </c>
      <c r="R1148" t="s">
        <v>1097</v>
      </c>
    </row>
    <row r="1149" spans="1:18" hidden="1" x14ac:dyDescent="0.3">
      <c r="A1149" s="19">
        <f t="shared" si="17"/>
        <v>1148</v>
      </c>
      <c r="B1149" s="20" t="s">
        <v>87</v>
      </c>
      <c r="C1149" s="20" t="s">
        <v>86</v>
      </c>
      <c r="D1149" s="21" t="str">
        <f>IF($C1149="","",IFERROR(VLOOKUP($C1149,Map_Register!$A$2:$C$5,3,FALSE()),""))</f>
        <v>Border Region</v>
      </c>
      <c r="E1149" s="20" t="s">
        <v>15</v>
      </c>
      <c r="F1149" s="22">
        <v>722850</v>
      </c>
      <c r="G1149" s="19" t="s">
        <v>1223</v>
      </c>
      <c r="H1149" s="19" t="s">
        <v>2903</v>
      </c>
      <c r="I1149" s="19" t="s">
        <v>2904</v>
      </c>
      <c r="J1149" s="19" t="s">
        <v>1094</v>
      </c>
      <c r="K1149" s="19" t="s">
        <v>6</v>
      </c>
      <c r="L1149" s="19" t="s">
        <v>1095</v>
      </c>
      <c r="M1149" s="19" t="s">
        <v>1095</v>
      </c>
      <c r="N1149" s="19" t="s">
        <v>1105</v>
      </c>
      <c r="R1149" t="s">
        <v>1097</v>
      </c>
    </row>
    <row r="1150" spans="1:18" hidden="1" x14ac:dyDescent="0.3">
      <c r="A1150" s="19">
        <f t="shared" si="17"/>
        <v>1149</v>
      </c>
      <c r="B1150" s="20" t="s">
        <v>87</v>
      </c>
      <c r="C1150" s="20" t="s">
        <v>86</v>
      </c>
      <c r="D1150" s="21" t="str">
        <f>IF($C1150="","",IFERROR(VLOOKUP($C1150,Map_Register!$A$2:$C$5,3,FALSE()),""))</f>
        <v>Border Region</v>
      </c>
      <c r="E1150" s="20" t="s">
        <v>15</v>
      </c>
      <c r="F1150" s="22">
        <v>722853</v>
      </c>
      <c r="G1150" s="19" t="s">
        <v>1091</v>
      </c>
      <c r="H1150" s="19" t="s">
        <v>2905</v>
      </c>
      <c r="I1150" s="19" t="s">
        <v>2906</v>
      </c>
      <c r="J1150" s="19" t="s">
        <v>1104</v>
      </c>
      <c r="K1150" s="19" t="s">
        <v>6</v>
      </c>
      <c r="L1150" s="19" t="s">
        <v>1095</v>
      </c>
      <c r="M1150" s="19" t="s">
        <v>1095</v>
      </c>
      <c r="N1150" s="19" t="s">
        <v>1105</v>
      </c>
      <c r="R1150" t="s">
        <v>1097</v>
      </c>
    </row>
    <row r="1151" spans="1:18" hidden="1" x14ac:dyDescent="0.3">
      <c r="A1151" s="19">
        <f t="shared" si="17"/>
        <v>1150</v>
      </c>
      <c r="B1151" s="20" t="s">
        <v>87</v>
      </c>
      <c r="C1151" s="20" t="s">
        <v>86</v>
      </c>
      <c r="D1151" s="21" t="str">
        <f>IF($C1151="","",IFERROR(VLOOKUP($C1151,Map_Register!$A$2:$C$5,3,FALSE()),""))</f>
        <v>Border Region</v>
      </c>
      <c r="E1151" s="20" t="s">
        <v>15</v>
      </c>
      <c r="F1151" s="22">
        <v>722854</v>
      </c>
      <c r="G1151" s="19" t="s">
        <v>1223</v>
      </c>
      <c r="H1151" s="19" t="s">
        <v>2907</v>
      </c>
      <c r="I1151" s="19" t="s">
        <v>2908</v>
      </c>
      <c r="J1151" s="19" t="s">
        <v>1104</v>
      </c>
      <c r="K1151" s="19" t="s">
        <v>6</v>
      </c>
      <c r="L1151" s="19" t="s">
        <v>1095</v>
      </c>
      <c r="M1151" s="19" t="s">
        <v>1095</v>
      </c>
      <c r="N1151" s="19" t="s">
        <v>1105</v>
      </c>
      <c r="R1151" t="s">
        <v>1097</v>
      </c>
    </row>
    <row r="1152" spans="1:18" hidden="1" x14ac:dyDescent="0.3">
      <c r="A1152" s="19">
        <f t="shared" si="17"/>
        <v>1151</v>
      </c>
      <c r="B1152" s="20" t="s">
        <v>87</v>
      </c>
      <c r="C1152" s="20" t="s">
        <v>86</v>
      </c>
      <c r="D1152" s="21" t="str">
        <f>IF($C1152="","",IFERROR(VLOOKUP($C1152,Map_Register!$A$2:$C$5,3,FALSE()),""))</f>
        <v>Border Region</v>
      </c>
      <c r="E1152" s="20" t="s">
        <v>15</v>
      </c>
      <c r="F1152" s="22">
        <v>722859</v>
      </c>
      <c r="G1152" s="19" t="s">
        <v>1205</v>
      </c>
      <c r="H1152" s="19" t="s">
        <v>1134</v>
      </c>
      <c r="I1152" s="19" t="s">
        <v>1134</v>
      </c>
      <c r="J1152" s="19" t="s">
        <v>1110</v>
      </c>
      <c r="K1152" s="19" t="s">
        <v>6</v>
      </c>
      <c r="L1152" s="19" t="s">
        <v>1095</v>
      </c>
      <c r="M1152" s="19" t="s">
        <v>1095</v>
      </c>
      <c r="N1152" s="19" t="s">
        <v>2909</v>
      </c>
      <c r="R1152" t="s">
        <v>1097</v>
      </c>
    </row>
    <row r="1153" spans="1:18" hidden="1" x14ac:dyDescent="0.3">
      <c r="A1153" s="19">
        <f t="shared" si="17"/>
        <v>1152</v>
      </c>
      <c r="B1153" s="20" t="s">
        <v>87</v>
      </c>
      <c r="C1153" s="20" t="s">
        <v>86</v>
      </c>
      <c r="D1153" s="21" t="str">
        <f>IF($C1153="","",IFERROR(VLOOKUP($C1153,Map_Register!$A$2:$C$5,3,FALSE()),""))</f>
        <v>Border Region</v>
      </c>
      <c r="E1153" s="20" t="s">
        <v>15</v>
      </c>
      <c r="F1153" s="22">
        <v>722860</v>
      </c>
      <c r="G1153" s="19" t="s">
        <v>1091</v>
      </c>
      <c r="H1153" s="19" t="s">
        <v>2910</v>
      </c>
      <c r="I1153" s="19" t="s">
        <v>2911</v>
      </c>
      <c r="J1153" s="19" t="s">
        <v>1104</v>
      </c>
      <c r="K1153" s="19" t="s">
        <v>6</v>
      </c>
      <c r="L1153" s="19" t="s">
        <v>1095</v>
      </c>
      <c r="M1153" s="19" t="s">
        <v>1095</v>
      </c>
      <c r="N1153" s="19" t="s">
        <v>1105</v>
      </c>
      <c r="R1153" t="s">
        <v>1097</v>
      </c>
    </row>
    <row r="1154" spans="1:18" hidden="1" x14ac:dyDescent="0.3">
      <c r="A1154" s="19">
        <f t="shared" ref="A1154:A1217" si="18">IF($B1154="","",ROW()-1)</f>
        <v>1153</v>
      </c>
      <c r="B1154" s="20" t="s">
        <v>87</v>
      </c>
      <c r="C1154" s="20" t="s">
        <v>86</v>
      </c>
      <c r="D1154" s="21" t="str">
        <f>IF($C1154="","",IFERROR(VLOOKUP($C1154,Map_Register!$A$2:$C$5,3,FALSE()),""))</f>
        <v>Border Region</v>
      </c>
      <c r="E1154" s="20" t="s">
        <v>15</v>
      </c>
      <c r="F1154" s="22">
        <v>722862</v>
      </c>
      <c r="G1154" s="19" t="s">
        <v>1136</v>
      </c>
      <c r="H1154" s="19" t="s">
        <v>1630</v>
      </c>
      <c r="I1154" s="19" t="s">
        <v>2912</v>
      </c>
      <c r="J1154" s="19" t="s">
        <v>1094</v>
      </c>
      <c r="K1154" s="19" t="s">
        <v>6</v>
      </c>
      <c r="L1154" s="19" t="s">
        <v>1095</v>
      </c>
      <c r="M1154" s="19" t="s">
        <v>1095</v>
      </c>
      <c r="N1154" s="19" t="s">
        <v>1105</v>
      </c>
      <c r="R1154" t="s">
        <v>1097</v>
      </c>
    </row>
    <row r="1155" spans="1:18" hidden="1" x14ac:dyDescent="0.3">
      <c r="A1155" s="19">
        <f t="shared" si="18"/>
        <v>1154</v>
      </c>
      <c r="B1155" s="20" t="s">
        <v>87</v>
      </c>
      <c r="C1155" s="20" t="s">
        <v>86</v>
      </c>
      <c r="D1155" s="21" t="str">
        <f>IF($C1155="","",IFERROR(VLOOKUP($C1155,Map_Register!$A$2:$C$5,3,FALSE()),""))</f>
        <v>Border Region</v>
      </c>
      <c r="E1155" s="20" t="s">
        <v>15</v>
      </c>
      <c r="F1155" s="22">
        <v>722863</v>
      </c>
      <c r="G1155" s="19" t="s">
        <v>1125</v>
      </c>
      <c r="H1155" s="19" t="s">
        <v>2913</v>
      </c>
      <c r="I1155" s="19" t="s">
        <v>2914</v>
      </c>
      <c r="J1155" s="19" t="s">
        <v>1104</v>
      </c>
      <c r="K1155" s="19" t="s">
        <v>6</v>
      </c>
      <c r="L1155" s="19" t="s">
        <v>1095</v>
      </c>
      <c r="M1155" s="19" t="s">
        <v>1095</v>
      </c>
      <c r="N1155" s="19" t="s">
        <v>1105</v>
      </c>
      <c r="R1155" t="s">
        <v>1097</v>
      </c>
    </row>
    <row r="1156" spans="1:18" hidden="1" x14ac:dyDescent="0.3">
      <c r="A1156" s="19">
        <f t="shared" si="18"/>
        <v>1155</v>
      </c>
      <c r="B1156" s="20" t="s">
        <v>87</v>
      </c>
      <c r="C1156" s="20" t="s">
        <v>86</v>
      </c>
      <c r="D1156" s="21" t="str">
        <f>IF($C1156="","",IFERROR(VLOOKUP($C1156,Map_Register!$A$2:$C$5,3,FALSE()),""))</f>
        <v>Border Region</v>
      </c>
      <c r="E1156" s="20" t="s">
        <v>15</v>
      </c>
      <c r="F1156" s="22">
        <v>722864</v>
      </c>
      <c r="G1156" s="19" t="s">
        <v>1125</v>
      </c>
      <c r="H1156" s="19" t="s">
        <v>2915</v>
      </c>
      <c r="I1156" s="19" t="s">
        <v>2916</v>
      </c>
      <c r="J1156" s="19" t="s">
        <v>1094</v>
      </c>
      <c r="K1156" s="19" t="s">
        <v>6</v>
      </c>
      <c r="L1156" s="19" t="s">
        <v>1095</v>
      </c>
      <c r="M1156" s="19" t="s">
        <v>1095</v>
      </c>
      <c r="N1156" s="19" t="s">
        <v>1105</v>
      </c>
      <c r="R1156" t="s">
        <v>1097</v>
      </c>
    </row>
    <row r="1157" spans="1:18" hidden="1" x14ac:dyDescent="0.3">
      <c r="A1157" s="19">
        <f t="shared" si="18"/>
        <v>1156</v>
      </c>
      <c r="B1157" s="20" t="s">
        <v>87</v>
      </c>
      <c r="C1157" s="20" t="s">
        <v>86</v>
      </c>
      <c r="D1157" s="21" t="str">
        <f>IF($C1157="","",IFERROR(VLOOKUP($C1157,Map_Register!$A$2:$C$5,3,FALSE()),""))</f>
        <v>Border Region</v>
      </c>
      <c r="E1157" s="20" t="s">
        <v>15</v>
      </c>
      <c r="F1157" s="22">
        <v>722865</v>
      </c>
      <c r="G1157" s="19" t="s">
        <v>1136</v>
      </c>
      <c r="H1157" s="19" t="s">
        <v>2917</v>
      </c>
      <c r="I1157" s="19" t="s">
        <v>2918</v>
      </c>
      <c r="J1157" s="19" t="s">
        <v>1104</v>
      </c>
      <c r="K1157" s="19" t="s">
        <v>6</v>
      </c>
      <c r="L1157" s="19" t="s">
        <v>1095</v>
      </c>
      <c r="M1157" s="19" t="s">
        <v>1095</v>
      </c>
      <c r="N1157" s="19" t="s">
        <v>1105</v>
      </c>
      <c r="R1157" t="s">
        <v>1097</v>
      </c>
    </row>
    <row r="1158" spans="1:18" hidden="1" x14ac:dyDescent="0.3">
      <c r="A1158" s="19">
        <f t="shared" si="18"/>
        <v>1157</v>
      </c>
      <c r="B1158" s="20" t="s">
        <v>87</v>
      </c>
      <c r="C1158" s="20" t="s">
        <v>86</v>
      </c>
      <c r="D1158" s="21" t="str">
        <f>IF($C1158="","",IFERROR(VLOOKUP($C1158,Map_Register!$A$2:$C$5,3,FALSE()),""))</f>
        <v>Border Region</v>
      </c>
      <c r="E1158" s="20" t="s">
        <v>15</v>
      </c>
      <c r="F1158" s="22">
        <v>722866</v>
      </c>
      <c r="G1158" s="19" t="s">
        <v>1125</v>
      </c>
      <c r="H1158" s="19" t="s">
        <v>2919</v>
      </c>
      <c r="I1158" s="19" t="s">
        <v>2919</v>
      </c>
      <c r="J1158" s="19" t="s">
        <v>1117</v>
      </c>
      <c r="K1158" s="19" t="s">
        <v>6</v>
      </c>
      <c r="L1158" s="19" t="s">
        <v>1095</v>
      </c>
      <c r="M1158" s="19" t="s">
        <v>1095</v>
      </c>
      <c r="N1158" s="19" t="s">
        <v>1155</v>
      </c>
      <c r="R1158" t="s">
        <v>1097</v>
      </c>
    </row>
    <row r="1159" spans="1:18" hidden="1" x14ac:dyDescent="0.3">
      <c r="A1159" s="19">
        <f t="shared" si="18"/>
        <v>1158</v>
      </c>
      <c r="B1159" s="20" t="s">
        <v>87</v>
      </c>
      <c r="C1159" s="20" t="s">
        <v>86</v>
      </c>
      <c r="D1159" s="21" t="str">
        <f>IF($C1159="","",IFERROR(VLOOKUP($C1159,Map_Register!$A$2:$C$5,3,FALSE()),""))</f>
        <v>Border Region</v>
      </c>
      <c r="E1159" s="20" t="s">
        <v>15</v>
      </c>
      <c r="F1159" s="22">
        <v>722868</v>
      </c>
      <c r="G1159" s="19" t="s">
        <v>1091</v>
      </c>
      <c r="H1159" s="19" t="s">
        <v>2920</v>
      </c>
      <c r="I1159" s="19" t="s">
        <v>2921</v>
      </c>
      <c r="J1159" s="19" t="s">
        <v>1094</v>
      </c>
      <c r="K1159" s="19" t="s">
        <v>6</v>
      </c>
      <c r="L1159" s="19" t="s">
        <v>1095</v>
      </c>
      <c r="M1159" s="19" t="s">
        <v>1095</v>
      </c>
      <c r="N1159" s="19" t="s">
        <v>1105</v>
      </c>
      <c r="R1159" t="s">
        <v>1097</v>
      </c>
    </row>
    <row r="1160" spans="1:18" hidden="1" x14ac:dyDescent="0.3">
      <c r="A1160" s="19">
        <f t="shared" si="18"/>
        <v>1159</v>
      </c>
      <c r="B1160" s="20" t="s">
        <v>87</v>
      </c>
      <c r="C1160" s="20" t="s">
        <v>86</v>
      </c>
      <c r="D1160" s="21" t="str">
        <f>IF($C1160="","",IFERROR(VLOOKUP($C1160,Map_Register!$A$2:$C$5,3,FALSE()),""))</f>
        <v>Border Region</v>
      </c>
      <c r="E1160" s="20" t="s">
        <v>15</v>
      </c>
      <c r="F1160" s="22">
        <v>722869</v>
      </c>
      <c r="G1160" s="19" t="s">
        <v>1108</v>
      </c>
      <c r="H1160" s="19" t="s">
        <v>2922</v>
      </c>
      <c r="I1160" s="19" t="s">
        <v>2923</v>
      </c>
      <c r="J1160" s="19" t="s">
        <v>1094</v>
      </c>
      <c r="K1160" s="19" t="s">
        <v>6</v>
      </c>
      <c r="L1160" s="19" t="s">
        <v>1095</v>
      </c>
      <c r="M1160" s="19" t="s">
        <v>1095</v>
      </c>
      <c r="N1160" s="19" t="s">
        <v>1105</v>
      </c>
      <c r="R1160" t="s">
        <v>1097</v>
      </c>
    </row>
    <row r="1161" spans="1:18" hidden="1" x14ac:dyDescent="0.3">
      <c r="A1161" s="19">
        <f t="shared" si="18"/>
        <v>1160</v>
      </c>
      <c r="B1161" s="20" t="s">
        <v>87</v>
      </c>
      <c r="C1161" s="20" t="s">
        <v>86</v>
      </c>
      <c r="D1161" s="21" t="str">
        <f>IF($C1161="","",IFERROR(VLOOKUP($C1161,Map_Register!$A$2:$C$5,3,FALSE()),""))</f>
        <v>Border Region</v>
      </c>
      <c r="E1161" s="20" t="s">
        <v>15</v>
      </c>
      <c r="F1161" s="22">
        <v>722870</v>
      </c>
      <c r="G1161" s="19" t="s">
        <v>1091</v>
      </c>
      <c r="H1161" s="19" t="s">
        <v>2924</v>
      </c>
      <c r="I1161" s="19" t="s">
        <v>2925</v>
      </c>
      <c r="J1161" s="19" t="s">
        <v>1094</v>
      </c>
      <c r="K1161" s="19" t="s">
        <v>6</v>
      </c>
      <c r="L1161" s="19" t="s">
        <v>1095</v>
      </c>
      <c r="M1161" s="19" t="s">
        <v>1095</v>
      </c>
      <c r="N1161" s="19" t="s">
        <v>1105</v>
      </c>
      <c r="R1161" t="s">
        <v>1097</v>
      </c>
    </row>
    <row r="1162" spans="1:18" hidden="1" x14ac:dyDescent="0.3">
      <c r="A1162" s="19">
        <f t="shared" si="18"/>
        <v>1161</v>
      </c>
      <c r="B1162" s="20" t="s">
        <v>87</v>
      </c>
      <c r="C1162" s="20" t="s">
        <v>86</v>
      </c>
      <c r="D1162" s="21" t="str">
        <f>IF($C1162="","",IFERROR(VLOOKUP($C1162,Map_Register!$A$2:$C$5,3,FALSE()),""))</f>
        <v>Border Region</v>
      </c>
      <c r="E1162" s="20" t="s">
        <v>15</v>
      </c>
      <c r="F1162" s="22">
        <v>722871</v>
      </c>
      <c r="G1162" s="19" t="s">
        <v>1091</v>
      </c>
      <c r="H1162" s="19" t="s">
        <v>2592</v>
      </c>
      <c r="I1162" s="19" t="s">
        <v>2926</v>
      </c>
      <c r="J1162" s="19" t="s">
        <v>1094</v>
      </c>
      <c r="K1162" s="19" t="s">
        <v>6</v>
      </c>
      <c r="L1162" s="19" t="s">
        <v>1095</v>
      </c>
      <c r="M1162" s="19" t="s">
        <v>1095</v>
      </c>
      <c r="N1162" s="19" t="s">
        <v>1105</v>
      </c>
      <c r="R1162" t="s">
        <v>1097</v>
      </c>
    </row>
    <row r="1163" spans="1:18" hidden="1" x14ac:dyDescent="0.3">
      <c r="A1163" s="19">
        <f t="shared" si="18"/>
        <v>1162</v>
      </c>
      <c r="B1163" s="20" t="s">
        <v>87</v>
      </c>
      <c r="C1163" s="20" t="s">
        <v>86</v>
      </c>
      <c r="D1163" s="21" t="str">
        <f>IF($C1163="","",IFERROR(VLOOKUP($C1163,Map_Register!$A$2:$C$5,3,FALSE()),""))</f>
        <v>Border Region</v>
      </c>
      <c r="E1163" s="20" t="s">
        <v>15</v>
      </c>
      <c r="F1163" s="22">
        <v>722872</v>
      </c>
      <c r="G1163" s="19" t="s">
        <v>1118</v>
      </c>
      <c r="H1163" s="19" t="s">
        <v>2927</v>
      </c>
      <c r="I1163" s="19" t="s">
        <v>2928</v>
      </c>
      <c r="J1163" s="19" t="s">
        <v>1104</v>
      </c>
      <c r="K1163" s="19" t="s">
        <v>6</v>
      </c>
      <c r="L1163" s="19" t="s">
        <v>1095</v>
      </c>
      <c r="M1163" s="19" t="s">
        <v>1095</v>
      </c>
      <c r="N1163" s="19" t="s">
        <v>1105</v>
      </c>
      <c r="R1163" t="s">
        <v>1097</v>
      </c>
    </row>
    <row r="1164" spans="1:18" hidden="1" x14ac:dyDescent="0.3">
      <c r="A1164" s="19">
        <f t="shared" si="18"/>
        <v>1163</v>
      </c>
      <c r="B1164" s="20" t="s">
        <v>87</v>
      </c>
      <c r="C1164" s="20" t="s">
        <v>86</v>
      </c>
      <c r="D1164" s="21" t="str">
        <f>IF($C1164="","",IFERROR(VLOOKUP($C1164,Map_Register!$A$2:$C$5,3,FALSE()),""))</f>
        <v>Border Region</v>
      </c>
      <c r="E1164" s="20" t="s">
        <v>15</v>
      </c>
      <c r="F1164" s="22">
        <v>722873</v>
      </c>
      <c r="G1164" s="19" t="s">
        <v>1091</v>
      </c>
      <c r="H1164" s="19" t="s">
        <v>2929</v>
      </c>
      <c r="I1164" s="19" t="s">
        <v>2930</v>
      </c>
      <c r="J1164" s="19" t="s">
        <v>1104</v>
      </c>
      <c r="K1164" s="19" t="s">
        <v>6</v>
      </c>
      <c r="L1164" s="19" t="s">
        <v>1095</v>
      </c>
      <c r="M1164" s="19" t="s">
        <v>1095</v>
      </c>
      <c r="N1164" s="19" t="s">
        <v>1105</v>
      </c>
      <c r="R1164" t="s">
        <v>1097</v>
      </c>
    </row>
    <row r="1165" spans="1:18" hidden="1" x14ac:dyDescent="0.3">
      <c r="A1165" s="19">
        <f t="shared" si="18"/>
        <v>1164</v>
      </c>
      <c r="B1165" s="20" t="s">
        <v>87</v>
      </c>
      <c r="C1165" s="20" t="s">
        <v>86</v>
      </c>
      <c r="D1165" s="21" t="str">
        <f>IF($C1165="","",IFERROR(VLOOKUP($C1165,Map_Register!$A$2:$C$5,3,FALSE()),""))</f>
        <v>Border Region</v>
      </c>
      <c r="E1165" s="20" t="s">
        <v>15</v>
      </c>
      <c r="F1165" s="22">
        <v>722874</v>
      </c>
      <c r="G1165" s="19" t="s">
        <v>1118</v>
      </c>
      <c r="H1165" s="19" t="s">
        <v>2931</v>
      </c>
      <c r="I1165" s="19" t="s">
        <v>2932</v>
      </c>
      <c r="J1165" s="19" t="s">
        <v>1104</v>
      </c>
      <c r="K1165" s="19" t="s">
        <v>8</v>
      </c>
      <c r="L1165" s="19" t="s">
        <v>114</v>
      </c>
      <c r="M1165" s="19" t="s">
        <v>114</v>
      </c>
      <c r="N1165" s="19" t="s">
        <v>2774</v>
      </c>
      <c r="O1165" s="19" t="s">
        <v>116</v>
      </c>
      <c r="R1165" t="s">
        <v>1097</v>
      </c>
    </row>
    <row r="1166" spans="1:18" hidden="1" x14ac:dyDescent="0.3">
      <c r="A1166" s="19">
        <f t="shared" si="18"/>
        <v>1165</v>
      </c>
      <c r="B1166" s="20" t="s">
        <v>87</v>
      </c>
      <c r="C1166" s="20" t="s">
        <v>86</v>
      </c>
      <c r="D1166" s="21" t="str">
        <f>IF($C1166="","",IFERROR(VLOOKUP($C1166,Map_Register!$A$2:$C$5,3,FALSE()),""))</f>
        <v>Border Region</v>
      </c>
      <c r="E1166" s="20" t="s">
        <v>15</v>
      </c>
      <c r="F1166" s="22">
        <v>722875</v>
      </c>
      <c r="G1166" s="19" t="s">
        <v>1091</v>
      </c>
      <c r="H1166" s="19" t="s">
        <v>2933</v>
      </c>
      <c r="I1166" s="19" t="s">
        <v>2934</v>
      </c>
      <c r="J1166" s="19" t="s">
        <v>1104</v>
      </c>
      <c r="K1166" s="19" t="s">
        <v>6</v>
      </c>
      <c r="L1166" s="19" t="s">
        <v>1095</v>
      </c>
      <c r="M1166" s="19" t="s">
        <v>1095</v>
      </c>
      <c r="N1166" s="19" t="s">
        <v>1105</v>
      </c>
      <c r="R1166" t="s">
        <v>1097</v>
      </c>
    </row>
    <row r="1167" spans="1:18" hidden="1" x14ac:dyDescent="0.3">
      <c r="A1167" s="19">
        <f t="shared" si="18"/>
        <v>1166</v>
      </c>
      <c r="B1167" s="20" t="s">
        <v>87</v>
      </c>
      <c r="C1167" s="20" t="s">
        <v>86</v>
      </c>
      <c r="D1167" s="21" t="str">
        <f>IF($C1167="","",IFERROR(VLOOKUP($C1167,Map_Register!$A$2:$C$5,3,FALSE()),""))</f>
        <v>Border Region</v>
      </c>
      <c r="E1167" s="20" t="s">
        <v>15</v>
      </c>
      <c r="F1167" s="22">
        <v>722876</v>
      </c>
      <c r="G1167" s="19" t="s">
        <v>1091</v>
      </c>
      <c r="H1167" s="19" t="s">
        <v>2935</v>
      </c>
      <c r="I1167" s="19" t="s">
        <v>2936</v>
      </c>
      <c r="J1167" s="19" t="s">
        <v>1104</v>
      </c>
      <c r="K1167" s="19" t="s">
        <v>6</v>
      </c>
      <c r="L1167" s="19" t="s">
        <v>1095</v>
      </c>
      <c r="M1167" s="19" t="s">
        <v>1095</v>
      </c>
      <c r="N1167" s="19" t="s">
        <v>1105</v>
      </c>
      <c r="R1167" t="s">
        <v>1097</v>
      </c>
    </row>
    <row r="1168" spans="1:18" hidden="1" x14ac:dyDescent="0.3">
      <c r="A1168" s="19">
        <f t="shared" si="18"/>
        <v>1167</v>
      </c>
      <c r="B1168" s="20" t="s">
        <v>87</v>
      </c>
      <c r="C1168" s="20" t="s">
        <v>86</v>
      </c>
      <c r="D1168" s="21" t="str">
        <f>IF($C1168="","",IFERROR(VLOOKUP($C1168,Map_Register!$A$2:$C$5,3,FALSE()),""))</f>
        <v>Border Region</v>
      </c>
      <c r="E1168" s="20" t="s">
        <v>15</v>
      </c>
      <c r="F1168" s="22">
        <v>722879</v>
      </c>
      <c r="G1168" s="19" t="s">
        <v>1125</v>
      </c>
      <c r="H1168" s="19" t="s">
        <v>2937</v>
      </c>
      <c r="I1168" s="19" t="s">
        <v>2938</v>
      </c>
      <c r="J1168" s="19" t="s">
        <v>1094</v>
      </c>
      <c r="K1168" s="19" t="s">
        <v>6</v>
      </c>
      <c r="L1168" s="19" t="s">
        <v>1095</v>
      </c>
      <c r="M1168" s="19" t="s">
        <v>1095</v>
      </c>
      <c r="N1168" s="19" t="s">
        <v>1105</v>
      </c>
      <c r="R1168" t="s">
        <v>1097</v>
      </c>
    </row>
    <row r="1169" spans="1:18" hidden="1" x14ac:dyDescent="0.3">
      <c r="A1169" s="19">
        <f t="shared" si="18"/>
        <v>1168</v>
      </c>
      <c r="B1169" s="20" t="s">
        <v>87</v>
      </c>
      <c r="C1169" s="20" t="s">
        <v>86</v>
      </c>
      <c r="D1169" s="21" t="str">
        <f>IF($C1169="","",IFERROR(VLOOKUP($C1169,Map_Register!$A$2:$C$5,3,FALSE()),""))</f>
        <v>Border Region</v>
      </c>
      <c r="E1169" s="20" t="s">
        <v>15</v>
      </c>
      <c r="F1169" s="22">
        <v>722880</v>
      </c>
      <c r="G1169" s="19" t="s">
        <v>1223</v>
      </c>
      <c r="H1169" s="19" t="s">
        <v>2939</v>
      </c>
      <c r="I1169" s="19" t="s">
        <v>2940</v>
      </c>
      <c r="J1169" s="19" t="s">
        <v>1104</v>
      </c>
      <c r="K1169" s="19" t="s">
        <v>6</v>
      </c>
      <c r="L1169" s="19" t="s">
        <v>1095</v>
      </c>
      <c r="M1169" s="19" t="s">
        <v>1095</v>
      </c>
      <c r="N1169" s="19" t="s">
        <v>1105</v>
      </c>
      <c r="R1169" t="s">
        <v>1097</v>
      </c>
    </row>
    <row r="1170" spans="1:18" hidden="1" x14ac:dyDescent="0.3">
      <c r="A1170" s="19">
        <f t="shared" si="18"/>
        <v>1169</v>
      </c>
      <c r="B1170" s="20" t="s">
        <v>87</v>
      </c>
      <c r="C1170" s="20" t="s">
        <v>86</v>
      </c>
      <c r="D1170" s="21" t="str">
        <f>IF($C1170="","",IFERROR(VLOOKUP($C1170,Map_Register!$A$2:$C$5,3,FALSE()),""))</f>
        <v>Border Region</v>
      </c>
      <c r="E1170" s="20" t="s">
        <v>15</v>
      </c>
      <c r="F1170" s="22">
        <v>722881</v>
      </c>
      <c r="G1170" s="19" t="s">
        <v>1136</v>
      </c>
      <c r="H1170" s="19" t="s">
        <v>2941</v>
      </c>
      <c r="I1170" s="19" t="s">
        <v>2942</v>
      </c>
      <c r="J1170" s="19" t="s">
        <v>1104</v>
      </c>
      <c r="K1170" s="19" t="s">
        <v>6</v>
      </c>
      <c r="L1170" s="19" t="s">
        <v>1095</v>
      </c>
      <c r="M1170" s="19" t="s">
        <v>1095</v>
      </c>
      <c r="N1170" s="19" t="s">
        <v>1105</v>
      </c>
      <c r="R1170" t="s">
        <v>1097</v>
      </c>
    </row>
    <row r="1171" spans="1:18" hidden="1" x14ac:dyDescent="0.3">
      <c r="A1171" s="19">
        <f t="shared" si="18"/>
        <v>1170</v>
      </c>
      <c r="B1171" s="20" t="s">
        <v>87</v>
      </c>
      <c r="C1171" s="20" t="s">
        <v>86</v>
      </c>
      <c r="D1171" s="21" t="str">
        <f>IF($C1171="","",IFERROR(VLOOKUP($C1171,Map_Register!$A$2:$C$5,3,FALSE()),""))</f>
        <v>Border Region</v>
      </c>
      <c r="E1171" s="20" t="s">
        <v>15</v>
      </c>
      <c r="F1171" s="22">
        <v>722882</v>
      </c>
      <c r="G1171" s="19" t="s">
        <v>1125</v>
      </c>
      <c r="H1171" s="19" t="s">
        <v>2943</v>
      </c>
      <c r="I1171" s="19" t="s">
        <v>2943</v>
      </c>
      <c r="J1171" s="19" t="s">
        <v>1117</v>
      </c>
      <c r="K1171" s="19" t="s">
        <v>6</v>
      </c>
      <c r="L1171" s="19" t="s">
        <v>1095</v>
      </c>
      <c r="M1171" s="19" t="s">
        <v>1095</v>
      </c>
      <c r="N1171" s="19" t="s">
        <v>2944</v>
      </c>
      <c r="R1171" t="s">
        <v>1097</v>
      </c>
    </row>
    <row r="1172" spans="1:18" hidden="1" x14ac:dyDescent="0.3">
      <c r="A1172" s="19">
        <f t="shared" si="18"/>
        <v>1171</v>
      </c>
      <c r="B1172" s="20" t="s">
        <v>87</v>
      </c>
      <c r="C1172" s="20" t="s">
        <v>86</v>
      </c>
      <c r="D1172" s="21" t="str">
        <f>IF($C1172="","",IFERROR(VLOOKUP($C1172,Map_Register!$A$2:$C$5,3,FALSE()),""))</f>
        <v>Border Region</v>
      </c>
      <c r="E1172" s="20" t="s">
        <v>15</v>
      </c>
      <c r="F1172" s="22">
        <v>722883</v>
      </c>
      <c r="G1172" s="19" t="s">
        <v>1091</v>
      </c>
      <c r="H1172" s="19" t="s">
        <v>2945</v>
      </c>
      <c r="I1172" s="19" t="s">
        <v>2946</v>
      </c>
      <c r="J1172" s="19" t="s">
        <v>1094</v>
      </c>
      <c r="K1172" s="19" t="s">
        <v>6</v>
      </c>
      <c r="L1172" s="19" t="s">
        <v>1095</v>
      </c>
      <c r="M1172" s="19" t="s">
        <v>1095</v>
      </c>
      <c r="N1172" s="19" t="s">
        <v>1105</v>
      </c>
      <c r="R1172" t="s">
        <v>1097</v>
      </c>
    </row>
    <row r="1173" spans="1:18" hidden="1" x14ac:dyDescent="0.3">
      <c r="A1173" s="19">
        <f t="shared" si="18"/>
        <v>1172</v>
      </c>
      <c r="B1173" s="20" t="s">
        <v>87</v>
      </c>
      <c r="C1173" s="20" t="s">
        <v>86</v>
      </c>
      <c r="D1173" s="21" t="str">
        <f>IF($C1173="","",IFERROR(VLOOKUP($C1173,Map_Register!$A$2:$C$5,3,FALSE()),""))</f>
        <v>Border Region</v>
      </c>
      <c r="E1173" s="20" t="s">
        <v>15</v>
      </c>
      <c r="F1173" s="22">
        <v>722884</v>
      </c>
      <c r="G1173" s="19" t="s">
        <v>1136</v>
      </c>
      <c r="H1173" s="19" t="s">
        <v>2947</v>
      </c>
      <c r="I1173" s="19" t="s">
        <v>2947</v>
      </c>
      <c r="J1173" s="19" t="s">
        <v>1117</v>
      </c>
      <c r="K1173" s="19" t="s">
        <v>6</v>
      </c>
      <c r="L1173" s="19" t="s">
        <v>1095</v>
      </c>
      <c r="M1173" s="19" t="s">
        <v>1095</v>
      </c>
      <c r="N1173" s="19" t="s">
        <v>1406</v>
      </c>
      <c r="R1173" t="s">
        <v>1097</v>
      </c>
    </row>
    <row r="1174" spans="1:18" hidden="1" x14ac:dyDescent="0.3">
      <c r="A1174" s="19">
        <f t="shared" si="18"/>
        <v>1173</v>
      </c>
      <c r="B1174" s="20" t="s">
        <v>87</v>
      </c>
      <c r="C1174" s="20" t="s">
        <v>86</v>
      </c>
      <c r="D1174" s="21" t="str">
        <f>IF($C1174="","",IFERROR(VLOOKUP($C1174,Map_Register!$A$2:$C$5,3,FALSE()),""))</f>
        <v>Border Region</v>
      </c>
      <c r="E1174" s="20" t="s">
        <v>15</v>
      </c>
      <c r="F1174" s="22">
        <v>722896</v>
      </c>
      <c r="G1174" s="19" t="s">
        <v>1205</v>
      </c>
      <c r="H1174" s="19" t="s">
        <v>2948</v>
      </c>
      <c r="I1174" s="19" t="s">
        <v>2948</v>
      </c>
      <c r="J1174" s="19" t="s">
        <v>1110</v>
      </c>
      <c r="K1174" s="19" t="s">
        <v>6</v>
      </c>
      <c r="L1174" s="19" t="s">
        <v>1095</v>
      </c>
      <c r="M1174" s="19" t="s">
        <v>1095</v>
      </c>
      <c r="N1174" s="19" t="s">
        <v>2949</v>
      </c>
      <c r="R1174" t="s">
        <v>1097</v>
      </c>
    </row>
    <row r="1175" spans="1:18" hidden="1" x14ac:dyDescent="0.3">
      <c r="A1175" s="19">
        <f t="shared" si="18"/>
        <v>1174</v>
      </c>
      <c r="B1175" s="20" t="s">
        <v>87</v>
      </c>
      <c r="C1175" s="20" t="s">
        <v>86</v>
      </c>
      <c r="D1175" s="21" t="str">
        <f>IF($C1175="","",IFERROR(VLOOKUP($C1175,Map_Register!$A$2:$C$5,3,FALSE()),""))</f>
        <v>Border Region</v>
      </c>
      <c r="E1175" s="20" t="s">
        <v>15</v>
      </c>
      <c r="F1175" s="22">
        <v>722897</v>
      </c>
      <c r="G1175" s="19" t="s">
        <v>1205</v>
      </c>
      <c r="H1175" s="19" t="s">
        <v>2950</v>
      </c>
      <c r="I1175" s="19" t="s">
        <v>2950</v>
      </c>
      <c r="J1175" s="19" t="s">
        <v>1110</v>
      </c>
      <c r="K1175" s="19" t="s">
        <v>8</v>
      </c>
      <c r="L1175" s="19" t="s">
        <v>114</v>
      </c>
      <c r="M1175" s="19" t="s">
        <v>114</v>
      </c>
      <c r="N1175" s="19" t="s">
        <v>2210</v>
      </c>
      <c r="O1175" s="19" t="s">
        <v>116</v>
      </c>
      <c r="R1175" t="s">
        <v>1097</v>
      </c>
    </row>
    <row r="1176" spans="1:18" hidden="1" x14ac:dyDescent="0.3">
      <c r="A1176" s="19">
        <f t="shared" si="18"/>
        <v>1175</v>
      </c>
      <c r="B1176" s="20" t="s">
        <v>87</v>
      </c>
      <c r="C1176" s="20" t="s">
        <v>86</v>
      </c>
      <c r="D1176" s="21" t="str">
        <f>IF($C1176="","",IFERROR(VLOOKUP($C1176,Map_Register!$A$2:$C$5,3,FALSE()),""))</f>
        <v>Border Region</v>
      </c>
      <c r="E1176" s="20" t="s">
        <v>15</v>
      </c>
      <c r="F1176" s="22">
        <v>724717</v>
      </c>
      <c r="G1176" s="19" t="s">
        <v>1223</v>
      </c>
      <c r="H1176" s="19" t="s">
        <v>2951</v>
      </c>
      <c r="I1176" s="19" t="s">
        <v>2952</v>
      </c>
      <c r="J1176" s="19" t="s">
        <v>1094</v>
      </c>
      <c r="K1176" s="19" t="s">
        <v>6</v>
      </c>
      <c r="L1176" s="19" t="s">
        <v>1095</v>
      </c>
      <c r="M1176" s="19" t="s">
        <v>1095</v>
      </c>
      <c r="N1176" s="19" t="s">
        <v>1105</v>
      </c>
      <c r="R1176" t="s">
        <v>1097</v>
      </c>
    </row>
    <row r="1177" spans="1:18" hidden="1" x14ac:dyDescent="0.3">
      <c r="A1177" s="19">
        <f t="shared" si="18"/>
        <v>1176</v>
      </c>
      <c r="B1177" s="20" t="s">
        <v>87</v>
      </c>
      <c r="C1177" s="20" t="s">
        <v>86</v>
      </c>
      <c r="D1177" s="21" t="str">
        <f>IF($C1177="","",IFERROR(VLOOKUP($C1177,Map_Register!$A$2:$C$5,3,FALSE()),""))</f>
        <v>Border Region</v>
      </c>
      <c r="E1177" s="20" t="s">
        <v>15</v>
      </c>
      <c r="F1177" s="22">
        <v>724718</v>
      </c>
      <c r="G1177" s="19" t="s">
        <v>1223</v>
      </c>
      <c r="H1177" s="19" t="s">
        <v>2953</v>
      </c>
      <c r="I1177" s="19" t="s">
        <v>2954</v>
      </c>
      <c r="J1177" s="19" t="s">
        <v>1104</v>
      </c>
      <c r="K1177" s="19" t="s">
        <v>6</v>
      </c>
      <c r="L1177" s="19" t="s">
        <v>1095</v>
      </c>
      <c r="M1177" s="19" t="s">
        <v>1095</v>
      </c>
      <c r="N1177" s="19" t="s">
        <v>1105</v>
      </c>
      <c r="R1177" t="s">
        <v>1097</v>
      </c>
    </row>
    <row r="1178" spans="1:18" hidden="1" x14ac:dyDescent="0.3">
      <c r="A1178" s="19">
        <f t="shared" si="18"/>
        <v>1177</v>
      </c>
      <c r="B1178" s="20" t="s">
        <v>87</v>
      </c>
      <c r="C1178" s="20" t="s">
        <v>86</v>
      </c>
      <c r="D1178" s="21" t="str">
        <f>IF($C1178="","",IFERROR(VLOOKUP($C1178,Map_Register!$A$2:$C$5,3,FALSE()),""))</f>
        <v>Border Region</v>
      </c>
      <c r="E1178" s="20" t="s">
        <v>15</v>
      </c>
      <c r="F1178" s="22">
        <v>724719</v>
      </c>
      <c r="G1178" s="19" t="s">
        <v>1091</v>
      </c>
      <c r="H1178" s="19" t="s">
        <v>2955</v>
      </c>
      <c r="I1178" s="19" t="s">
        <v>2956</v>
      </c>
      <c r="J1178" s="19" t="s">
        <v>1094</v>
      </c>
      <c r="K1178" s="19" t="s">
        <v>6</v>
      </c>
      <c r="L1178" s="19" t="s">
        <v>1095</v>
      </c>
      <c r="M1178" s="19" t="s">
        <v>1095</v>
      </c>
      <c r="N1178" s="19" t="s">
        <v>1105</v>
      </c>
      <c r="R1178" t="s">
        <v>1097</v>
      </c>
    </row>
    <row r="1179" spans="1:18" hidden="1" x14ac:dyDescent="0.3">
      <c r="A1179" s="19">
        <f t="shared" si="18"/>
        <v>1178</v>
      </c>
      <c r="B1179" s="20" t="s">
        <v>87</v>
      </c>
      <c r="C1179" s="20" t="s">
        <v>86</v>
      </c>
      <c r="D1179" s="21" t="str">
        <f>IF($C1179="","",IFERROR(VLOOKUP($C1179,Map_Register!$A$2:$C$5,3,FALSE()),""))</f>
        <v>Border Region</v>
      </c>
      <c r="E1179" s="20" t="s">
        <v>15</v>
      </c>
      <c r="F1179" s="22">
        <v>724721</v>
      </c>
      <c r="G1179" s="19" t="s">
        <v>1108</v>
      </c>
      <c r="H1179" s="19" t="s">
        <v>2957</v>
      </c>
      <c r="I1179" s="19" t="s">
        <v>2957</v>
      </c>
      <c r="J1179" s="19" t="s">
        <v>1117</v>
      </c>
      <c r="K1179" s="19" t="s">
        <v>6</v>
      </c>
      <c r="L1179" s="19" t="s">
        <v>1095</v>
      </c>
      <c r="M1179" s="19" t="s">
        <v>1095</v>
      </c>
      <c r="N1179" s="19" t="s">
        <v>1111</v>
      </c>
      <c r="R1179" t="s">
        <v>1097</v>
      </c>
    </row>
    <row r="1180" spans="1:18" hidden="1" x14ac:dyDescent="0.3">
      <c r="A1180" s="19">
        <f t="shared" si="18"/>
        <v>1179</v>
      </c>
      <c r="B1180" s="20" t="s">
        <v>87</v>
      </c>
      <c r="C1180" s="20" t="s">
        <v>86</v>
      </c>
      <c r="D1180" s="21" t="str">
        <f>IF($C1180="","",IFERROR(VLOOKUP($C1180,Map_Register!$A$2:$C$5,3,FALSE()),""))</f>
        <v>Border Region</v>
      </c>
      <c r="E1180" s="20" t="s">
        <v>15</v>
      </c>
      <c r="F1180" s="22">
        <v>724722</v>
      </c>
      <c r="G1180" s="19" t="s">
        <v>1091</v>
      </c>
      <c r="H1180" s="19" t="s">
        <v>2958</v>
      </c>
      <c r="I1180" s="19" t="s">
        <v>2959</v>
      </c>
      <c r="J1180" s="19" t="s">
        <v>1104</v>
      </c>
      <c r="K1180" s="19" t="s">
        <v>6</v>
      </c>
      <c r="L1180" s="19" t="s">
        <v>1095</v>
      </c>
      <c r="M1180" s="19" t="s">
        <v>1095</v>
      </c>
      <c r="N1180" s="19" t="s">
        <v>1105</v>
      </c>
      <c r="R1180" t="s">
        <v>1097</v>
      </c>
    </row>
    <row r="1181" spans="1:18" x14ac:dyDescent="0.3">
      <c r="A1181" s="19">
        <f t="shared" si="18"/>
        <v>1180</v>
      </c>
      <c r="B1181" s="20" t="s">
        <v>87</v>
      </c>
      <c r="C1181" s="20" t="s">
        <v>86</v>
      </c>
      <c r="D1181" s="21" t="str">
        <f>IF($C1181="","",IFERROR(VLOOKUP($C1181,Map_Register!$A$2:$C$5,3,FALSE()),""))</f>
        <v>Border Region</v>
      </c>
      <c r="E1181" s="20" t="s">
        <v>15</v>
      </c>
      <c r="F1181" s="22">
        <v>724724</v>
      </c>
      <c r="G1181" s="19" t="s">
        <v>1125</v>
      </c>
      <c r="H1181" s="19" t="s">
        <v>2960</v>
      </c>
      <c r="I1181" s="19" t="s">
        <v>2960</v>
      </c>
      <c r="J1181" s="19" t="s">
        <v>1117</v>
      </c>
      <c r="K1181" s="19" t="s">
        <v>8</v>
      </c>
      <c r="L1181" s="19" t="s">
        <v>114</v>
      </c>
      <c r="M1181" s="19" t="s">
        <v>116</v>
      </c>
      <c r="N1181" s="19" t="s">
        <v>2961</v>
      </c>
      <c r="O1181" s="19" t="s">
        <v>116</v>
      </c>
      <c r="R1181" t="s">
        <v>1097</v>
      </c>
    </row>
    <row r="1182" spans="1:18" hidden="1" x14ac:dyDescent="0.3">
      <c r="A1182" s="19">
        <f t="shared" si="18"/>
        <v>1181</v>
      </c>
      <c r="B1182" s="20" t="s">
        <v>87</v>
      </c>
      <c r="C1182" s="20" t="s">
        <v>86</v>
      </c>
      <c r="D1182" s="21" t="str">
        <f>IF($C1182="","",IFERROR(VLOOKUP($C1182,Map_Register!$A$2:$C$5,3,FALSE()),""))</f>
        <v>Border Region</v>
      </c>
      <c r="E1182" s="20" t="s">
        <v>15</v>
      </c>
      <c r="F1182" s="22">
        <v>724725</v>
      </c>
      <c r="G1182" s="19" t="s">
        <v>1125</v>
      </c>
      <c r="H1182" s="19" t="s">
        <v>2962</v>
      </c>
      <c r="I1182" s="19" t="s">
        <v>2962</v>
      </c>
      <c r="J1182" s="19" t="s">
        <v>1117</v>
      </c>
      <c r="K1182" s="19" t="s">
        <v>6</v>
      </c>
      <c r="L1182" s="19" t="s">
        <v>1095</v>
      </c>
      <c r="M1182" s="19" t="s">
        <v>1095</v>
      </c>
      <c r="N1182" s="19" t="s">
        <v>1155</v>
      </c>
      <c r="R1182" t="s">
        <v>1097</v>
      </c>
    </row>
    <row r="1183" spans="1:18" x14ac:dyDescent="0.3">
      <c r="A1183" s="19">
        <f t="shared" si="18"/>
        <v>1182</v>
      </c>
      <c r="B1183" s="20" t="s">
        <v>87</v>
      </c>
      <c r="C1183" s="20" t="s">
        <v>86</v>
      </c>
      <c r="D1183" s="21" t="str">
        <f>IF($C1183="","",IFERROR(VLOOKUP($C1183,Map_Register!$A$2:$C$5,3,FALSE()),""))</f>
        <v>Border Region</v>
      </c>
      <c r="E1183" s="20" t="s">
        <v>15</v>
      </c>
      <c r="F1183" s="22">
        <v>724726</v>
      </c>
      <c r="G1183" s="19" t="s">
        <v>1125</v>
      </c>
      <c r="H1183" s="19" t="s">
        <v>2963</v>
      </c>
      <c r="I1183" s="19" t="s">
        <v>2963</v>
      </c>
      <c r="J1183" s="19" t="s">
        <v>1117</v>
      </c>
      <c r="K1183" s="19" t="s">
        <v>8</v>
      </c>
      <c r="L1183" s="19" t="s">
        <v>114</v>
      </c>
      <c r="M1183" s="19" t="s">
        <v>116</v>
      </c>
      <c r="N1183" s="19" t="s">
        <v>2961</v>
      </c>
      <c r="O1183" s="19" t="s">
        <v>116</v>
      </c>
      <c r="R1183" t="s">
        <v>1097</v>
      </c>
    </row>
    <row r="1184" spans="1:18" hidden="1" x14ac:dyDescent="0.3">
      <c r="A1184" s="19">
        <f t="shared" si="18"/>
        <v>1183</v>
      </c>
      <c r="B1184" s="20" t="s">
        <v>87</v>
      </c>
      <c r="C1184" s="20" t="s">
        <v>86</v>
      </c>
      <c r="D1184" s="21" t="str">
        <f>IF($C1184="","",IFERROR(VLOOKUP($C1184,Map_Register!$A$2:$C$5,3,FALSE()),""))</f>
        <v>Border Region</v>
      </c>
      <c r="E1184" s="20" t="s">
        <v>15</v>
      </c>
      <c r="F1184" s="22">
        <v>724727</v>
      </c>
      <c r="G1184" s="19" t="s">
        <v>1136</v>
      </c>
      <c r="H1184" s="19" t="s">
        <v>2964</v>
      </c>
      <c r="I1184" s="19" t="s">
        <v>2964</v>
      </c>
      <c r="J1184" s="19" t="s">
        <v>1117</v>
      </c>
      <c r="K1184" s="19" t="s">
        <v>8</v>
      </c>
      <c r="L1184" s="19" t="s">
        <v>114</v>
      </c>
      <c r="M1184" s="19" t="s">
        <v>114</v>
      </c>
      <c r="N1184" s="19" t="s">
        <v>2050</v>
      </c>
      <c r="O1184" s="19" t="s">
        <v>116</v>
      </c>
      <c r="R1184" t="s">
        <v>1097</v>
      </c>
    </row>
    <row r="1185" spans="1:18" hidden="1" x14ac:dyDescent="0.3">
      <c r="A1185" s="19">
        <f t="shared" si="18"/>
        <v>1184</v>
      </c>
      <c r="B1185" s="20" t="s">
        <v>87</v>
      </c>
      <c r="C1185" s="20" t="s">
        <v>86</v>
      </c>
      <c r="D1185" s="21" t="str">
        <f>IF($C1185="","",IFERROR(VLOOKUP($C1185,Map_Register!$A$2:$C$5,3,FALSE()),""))</f>
        <v>Border Region</v>
      </c>
      <c r="E1185" s="20" t="s">
        <v>15</v>
      </c>
      <c r="F1185" s="22">
        <v>724728</v>
      </c>
      <c r="G1185" s="19" t="s">
        <v>1136</v>
      </c>
      <c r="H1185" s="19" t="s">
        <v>2965</v>
      </c>
      <c r="I1185" s="19" t="s">
        <v>2965</v>
      </c>
      <c r="J1185" s="19" t="s">
        <v>1117</v>
      </c>
      <c r="K1185" s="19" t="s">
        <v>6</v>
      </c>
      <c r="L1185" s="19" t="s">
        <v>1095</v>
      </c>
      <c r="M1185" s="19" t="s">
        <v>1095</v>
      </c>
      <c r="N1185" s="19" t="s">
        <v>1406</v>
      </c>
      <c r="R1185" t="s">
        <v>1097</v>
      </c>
    </row>
    <row r="1186" spans="1:18" hidden="1" x14ac:dyDescent="0.3">
      <c r="A1186" s="19">
        <f t="shared" si="18"/>
        <v>1185</v>
      </c>
      <c r="B1186" s="20" t="s">
        <v>87</v>
      </c>
      <c r="C1186" s="20" t="s">
        <v>86</v>
      </c>
      <c r="D1186" s="21" t="str">
        <f>IF($C1186="","",IFERROR(VLOOKUP($C1186,Map_Register!$A$2:$C$5,3,FALSE()),""))</f>
        <v>Border Region</v>
      </c>
      <c r="E1186" s="20" t="s">
        <v>15</v>
      </c>
      <c r="F1186" s="22">
        <v>724729</v>
      </c>
      <c r="G1186" s="19" t="s">
        <v>1118</v>
      </c>
      <c r="H1186" s="19" t="s">
        <v>2966</v>
      </c>
      <c r="I1186" s="19" t="s">
        <v>2966</v>
      </c>
      <c r="J1186" s="19" t="s">
        <v>1117</v>
      </c>
      <c r="K1186" s="19" t="s">
        <v>481</v>
      </c>
      <c r="L1186" s="19" t="s">
        <v>114</v>
      </c>
      <c r="M1186" s="19" t="s">
        <v>114</v>
      </c>
      <c r="N1186" s="19" t="s">
        <v>2774</v>
      </c>
      <c r="O1186" s="19" t="s">
        <v>116</v>
      </c>
      <c r="R1186" t="s">
        <v>1097</v>
      </c>
    </row>
    <row r="1187" spans="1:18" x14ac:dyDescent="0.3">
      <c r="A1187" s="19">
        <f t="shared" si="18"/>
        <v>1186</v>
      </c>
      <c r="B1187" s="20" t="s">
        <v>87</v>
      </c>
      <c r="C1187" s="20" t="s">
        <v>86</v>
      </c>
      <c r="D1187" s="21" t="str">
        <f>IF($C1187="","",IFERROR(VLOOKUP($C1187,Map_Register!$A$2:$C$5,3,FALSE()),""))</f>
        <v>Border Region</v>
      </c>
      <c r="E1187" s="20" t="s">
        <v>15</v>
      </c>
      <c r="F1187" s="22">
        <v>724730</v>
      </c>
      <c r="G1187" s="19" t="s">
        <v>1125</v>
      </c>
      <c r="H1187" s="19" t="s">
        <v>2967</v>
      </c>
      <c r="I1187" s="19" t="s">
        <v>2967</v>
      </c>
      <c r="J1187" s="19" t="s">
        <v>1117</v>
      </c>
      <c r="K1187" s="19" t="s">
        <v>8</v>
      </c>
      <c r="L1187" s="19" t="s">
        <v>114</v>
      </c>
      <c r="M1187" s="19" t="s">
        <v>116</v>
      </c>
      <c r="N1187" s="19" t="s">
        <v>2961</v>
      </c>
      <c r="O1187" s="19" t="s">
        <v>116</v>
      </c>
      <c r="R1187" t="s">
        <v>1097</v>
      </c>
    </row>
    <row r="1188" spans="1:18" x14ac:dyDescent="0.3">
      <c r="A1188" s="19">
        <f t="shared" si="18"/>
        <v>1187</v>
      </c>
      <c r="B1188" s="20" t="s">
        <v>87</v>
      </c>
      <c r="C1188" s="20" t="s">
        <v>86</v>
      </c>
      <c r="D1188" s="21" t="str">
        <f>IF($C1188="","",IFERROR(VLOOKUP($C1188,Map_Register!$A$2:$C$5,3,FALSE()),""))</f>
        <v>Border Region</v>
      </c>
      <c r="E1188" s="20" t="s">
        <v>15</v>
      </c>
      <c r="F1188" s="22">
        <v>724731</v>
      </c>
      <c r="G1188" s="19" t="s">
        <v>1125</v>
      </c>
      <c r="H1188" s="19" t="s">
        <v>2968</v>
      </c>
      <c r="I1188" s="19" t="s">
        <v>2968</v>
      </c>
      <c r="J1188" s="19" t="s">
        <v>1117</v>
      </c>
      <c r="K1188" s="19" t="s">
        <v>8</v>
      </c>
      <c r="L1188" s="19" t="s">
        <v>114</v>
      </c>
      <c r="M1188" s="19" t="s">
        <v>116</v>
      </c>
      <c r="N1188" s="19" t="s">
        <v>2961</v>
      </c>
      <c r="O1188" s="19" t="s">
        <v>116</v>
      </c>
      <c r="R1188" t="s">
        <v>1097</v>
      </c>
    </row>
    <row r="1189" spans="1:18" hidden="1" x14ac:dyDescent="0.3">
      <c r="A1189" s="19">
        <f t="shared" si="18"/>
        <v>1188</v>
      </c>
      <c r="B1189" s="20" t="s">
        <v>87</v>
      </c>
      <c r="C1189" s="20" t="s">
        <v>86</v>
      </c>
      <c r="D1189" s="21" t="str">
        <f>IF($C1189="","",IFERROR(VLOOKUP($C1189,Map_Register!$A$2:$C$5,3,FALSE()),""))</f>
        <v>Border Region</v>
      </c>
      <c r="E1189" s="20" t="s">
        <v>15</v>
      </c>
      <c r="F1189" s="22">
        <v>724732</v>
      </c>
      <c r="G1189" s="19" t="s">
        <v>1136</v>
      </c>
      <c r="H1189" s="19" t="s">
        <v>2969</v>
      </c>
      <c r="I1189" s="19" t="s">
        <v>2969</v>
      </c>
      <c r="J1189" s="19" t="s">
        <v>1117</v>
      </c>
      <c r="K1189" s="19" t="s">
        <v>6</v>
      </c>
      <c r="L1189" s="19" t="s">
        <v>1095</v>
      </c>
      <c r="M1189" s="19" t="s">
        <v>1095</v>
      </c>
      <c r="N1189" s="19" t="s">
        <v>1406</v>
      </c>
      <c r="R1189" t="s">
        <v>1097</v>
      </c>
    </row>
    <row r="1190" spans="1:18" hidden="1" x14ac:dyDescent="0.3">
      <c r="A1190" s="19">
        <f t="shared" si="18"/>
        <v>1189</v>
      </c>
      <c r="B1190" s="20" t="s">
        <v>87</v>
      </c>
      <c r="C1190" s="20" t="s">
        <v>86</v>
      </c>
      <c r="D1190" s="21" t="str">
        <f>IF($C1190="","",IFERROR(VLOOKUP($C1190,Map_Register!$A$2:$C$5,3,FALSE()),""))</f>
        <v>Border Region</v>
      </c>
      <c r="E1190" s="20" t="s">
        <v>15</v>
      </c>
      <c r="F1190" s="22">
        <v>724733</v>
      </c>
      <c r="G1190" s="19" t="s">
        <v>1136</v>
      </c>
      <c r="H1190" s="19" t="s">
        <v>2970</v>
      </c>
      <c r="I1190" s="19" t="s">
        <v>2970</v>
      </c>
      <c r="J1190" s="19" t="s">
        <v>1117</v>
      </c>
      <c r="K1190" s="19" t="s">
        <v>6</v>
      </c>
      <c r="L1190" s="19" t="s">
        <v>1095</v>
      </c>
      <c r="M1190" s="19" t="s">
        <v>1095</v>
      </c>
      <c r="N1190" s="19" t="s">
        <v>1406</v>
      </c>
      <c r="R1190" t="s">
        <v>1097</v>
      </c>
    </row>
    <row r="1191" spans="1:18" hidden="1" x14ac:dyDescent="0.3">
      <c r="A1191" s="19">
        <f t="shared" si="18"/>
        <v>1190</v>
      </c>
      <c r="B1191" s="20" t="s">
        <v>87</v>
      </c>
      <c r="C1191" s="20" t="s">
        <v>86</v>
      </c>
      <c r="D1191" s="21" t="str">
        <f>IF($C1191="","",IFERROR(VLOOKUP($C1191,Map_Register!$A$2:$C$5,3,FALSE()),""))</f>
        <v>Border Region</v>
      </c>
      <c r="E1191" s="20" t="s">
        <v>15</v>
      </c>
      <c r="F1191" s="22">
        <v>724735</v>
      </c>
      <c r="G1191" s="19" t="s">
        <v>1136</v>
      </c>
      <c r="H1191" s="19" t="s">
        <v>2971</v>
      </c>
      <c r="I1191" s="19" t="s">
        <v>2971</v>
      </c>
      <c r="J1191" s="19" t="s">
        <v>1117</v>
      </c>
      <c r="K1191" s="19" t="s">
        <v>6</v>
      </c>
      <c r="L1191" s="19" t="s">
        <v>1095</v>
      </c>
      <c r="M1191" s="19" t="s">
        <v>1095</v>
      </c>
      <c r="N1191" s="19" t="s">
        <v>1406</v>
      </c>
      <c r="R1191" t="s">
        <v>1097</v>
      </c>
    </row>
    <row r="1192" spans="1:18" hidden="1" x14ac:dyDescent="0.3">
      <c r="A1192" s="19">
        <f t="shared" si="18"/>
        <v>1191</v>
      </c>
      <c r="B1192" s="20" t="s">
        <v>87</v>
      </c>
      <c r="C1192" s="20" t="s">
        <v>86</v>
      </c>
      <c r="D1192" s="21" t="str">
        <f>IF($C1192="","",IFERROR(VLOOKUP($C1192,Map_Register!$A$2:$C$5,3,FALSE()),""))</f>
        <v>Border Region</v>
      </c>
      <c r="E1192" s="20" t="s">
        <v>15</v>
      </c>
      <c r="F1192" s="22">
        <v>724736</v>
      </c>
      <c r="G1192" s="19" t="s">
        <v>1091</v>
      </c>
      <c r="H1192" s="19" t="s">
        <v>2972</v>
      </c>
      <c r="I1192" s="19" t="s">
        <v>2973</v>
      </c>
      <c r="J1192" s="19" t="s">
        <v>1104</v>
      </c>
      <c r="K1192" s="19" t="s">
        <v>6</v>
      </c>
      <c r="L1192" s="19" t="s">
        <v>1095</v>
      </c>
      <c r="M1192" s="19" t="s">
        <v>1095</v>
      </c>
      <c r="N1192" s="19" t="s">
        <v>1105</v>
      </c>
      <c r="R1192" t="s">
        <v>1097</v>
      </c>
    </row>
    <row r="1193" spans="1:18" hidden="1" x14ac:dyDescent="0.3">
      <c r="A1193" s="19">
        <f t="shared" si="18"/>
        <v>1192</v>
      </c>
      <c r="B1193" s="20" t="s">
        <v>87</v>
      </c>
      <c r="C1193" s="20" t="s">
        <v>86</v>
      </c>
      <c r="D1193" s="21" t="str">
        <f>IF($C1193="","",IFERROR(VLOOKUP($C1193,Map_Register!$A$2:$C$5,3,FALSE()),""))</f>
        <v>Border Region</v>
      </c>
      <c r="E1193" s="20" t="s">
        <v>15</v>
      </c>
      <c r="F1193" s="22">
        <v>724737</v>
      </c>
      <c r="G1193" s="19" t="s">
        <v>1136</v>
      </c>
      <c r="H1193" s="19" t="s">
        <v>2974</v>
      </c>
      <c r="I1193" s="19" t="s">
        <v>2974</v>
      </c>
      <c r="J1193" s="19" t="s">
        <v>1117</v>
      </c>
      <c r="K1193" s="19" t="s">
        <v>6</v>
      </c>
      <c r="L1193" s="19" t="s">
        <v>1095</v>
      </c>
      <c r="M1193" s="19" t="s">
        <v>1095</v>
      </c>
      <c r="N1193" s="19" t="s">
        <v>1406</v>
      </c>
      <c r="R1193" t="s">
        <v>1097</v>
      </c>
    </row>
    <row r="1194" spans="1:18" hidden="1" x14ac:dyDescent="0.3">
      <c r="A1194" s="19">
        <f t="shared" si="18"/>
        <v>1193</v>
      </c>
      <c r="B1194" s="20" t="s">
        <v>87</v>
      </c>
      <c r="C1194" s="20" t="s">
        <v>86</v>
      </c>
      <c r="D1194" s="21" t="str">
        <f>IF($C1194="","",IFERROR(VLOOKUP($C1194,Map_Register!$A$2:$C$5,3,FALSE()),""))</f>
        <v>Border Region</v>
      </c>
      <c r="E1194" s="20" t="s">
        <v>15</v>
      </c>
      <c r="F1194" s="22">
        <v>724738</v>
      </c>
      <c r="G1194" s="19" t="s">
        <v>1136</v>
      </c>
      <c r="H1194" s="19" t="s">
        <v>2975</v>
      </c>
      <c r="I1194" s="19" t="s">
        <v>2975</v>
      </c>
      <c r="J1194" s="19" t="s">
        <v>1117</v>
      </c>
      <c r="K1194" s="19" t="s">
        <v>6</v>
      </c>
      <c r="L1194" s="19" t="s">
        <v>1095</v>
      </c>
      <c r="M1194" s="19" t="s">
        <v>1095</v>
      </c>
      <c r="N1194" s="19" t="s">
        <v>1406</v>
      </c>
      <c r="R1194" t="s">
        <v>1097</v>
      </c>
    </row>
    <row r="1195" spans="1:18" hidden="1" x14ac:dyDescent="0.3">
      <c r="A1195" s="19">
        <f t="shared" si="18"/>
        <v>1194</v>
      </c>
      <c r="B1195" s="20" t="s">
        <v>87</v>
      </c>
      <c r="C1195" s="20" t="s">
        <v>86</v>
      </c>
      <c r="D1195" s="21" t="str">
        <f>IF($C1195="","",IFERROR(VLOOKUP($C1195,Map_Register!$A$2:$C$5,3,FALSE()),""))</f>
        <v>Border Region</v>
      </c>
      <c r="E1195" s="20" t="s">
        <v>15</v>
      </c>
      <c r="F1195" s="22">
        <v>724739</v>
      </c>
      <c r="G1195" s="19" t="s">
        <v>1136</v>
      </c>
      <c r="H1195" s="19" t="s">
        <v>1949</v>
      </c>
      <c r="I1195" s="19" t="s">
        <v>1950</v>
      </c>
      <c r="J1195" s="19" t="s">
        <v>1094</v>
      </c>
      <c r="K1195" s="19" t="s">
        <v>6</v>
      </c>
      <c r="L1195" s="19" t="s">
        <v>1095</v>
      </c>
      <c r="M1195" s="19" t="s">
        <v>1095</v>
      </c>
      <c r="N1195" s="19" t="s">
        <v>1105</v>
      </c>
      <c r="R1195" t="s">
        <v>1097</v>
      </c>
    </row>
    <row r="1196" spans="1:18" hidden="1" x14ac:dyDescent="0.3">
      <c r="A1196" s="19">
        <f t="shared" si="18"/>
        <v>1195</v>
      </c>
      <c r="B1196" s="20" t="s">
        <v>87</v>
      </c>
      <c r="C1196" s="20" t="s">
        <v>86</v>
      </c>
      <c r="D1196" s="21" t="str">
        <f>IF($C1196="","",IFERROR(VLOOKUP($C1196,Map_Register!$A$2:$C$5,3,FALSE()),""))</f>
        <v>Border Region</v>
      </c>
      <c r="E1196" s="20" t="s">
        <v>15</v>
      </c>
      <c r="F1196" s="22">
        <v>724740</v>
      </c>
      <c r="G1196" s="19" t="s">
        <v>1136</v>
      </c>
      <c r="H1196" s="19" t="s">
        <v>2976</v>
      </c>
      <c r="I1196" s="19" t="s">
        <v>2976</v>
      </c>
      <c r="J1196" s="19" t="s">
        <v>1117</v>
      </c>
      <c r="K1196" s="19" t="s">
        <v>8</v>
      </c>
      <c r="L1196" s="19" t="s">
        <v>114</v>
      </c>
      <c r="M1196" s="19" t="s">
        <v>114</v>
      </c>
      <c r="N1196" s="19" t="s">
        <v>2050</v>
      </c>
      <c r="O1196" s="19" t="s">
        <v>116</v>
      </c>
      <c r="R1196" t="s">
        <v>1097</v>
      </c>
    </row>
    <row r="1197" spans="1:18" hidden="1" x14ac:dyDescent="0.3">
      <c r="A1197" s="19">
        <f t="shared" si="18"/>
        <v>1196</v>
      </c>
      <c r="B1197" s="20" t="s">
        <v>87</v>
      </c>
      <c r="C1197" s="20" t="s">
        <v>86</v>
      </c>
      <c r="D1197" s="21" t="str">
        <f>IF($C1197="","",IFERROR(VLOOKUP($C1197,Map_Register!$A$2:$C$5,3,FALSE()),""))</f>
        <v>Border Region</v>
      </c>
      <c r="E1197" s="20" t="s">
        <v>15</v>
      </c>
      <c r="F1197" s="22">
        <v>724741</v>
      </c>
      <c r="G1197" s="19" t="s">
        <v>1125</v>
      </c>
      <c r="H1197" s="19" t="s">
        <v>2977</v>
      </c>
      <c r="I1197" s="19" t="s">
        <v>2977</v>
      </c>
      <c r="J1197" s="19" t="s">
        <v>1117</v>
      </c>
      <c r="K1197" s="19" t="s">
        <v>8</v>
      </c>
      <c r="L1197" s="19" t="s">
        <v>114</v>
      </c>
      <c r="M1197" s="19" t="s">
        <v>114</v>
      </c>
      <c r="N1197" s="19" t="s">
        <v>2978</v>
      </c>
      <c r="O1197" s="19" t="s">
        <v>116</v>
      </c>
      <c r="R1197" t="s">
        <v>1097</v>
      </c>
    </row>
    <row r="1198" spans="1:18" hidden="1" x14ac:dyDescent="0.3">
      <c r="A1198" s="19">
        <f t="shared" si="18"/>
        <v>1197</v>
      </c>
      <c r="B1198" s="20" t="s">
        <v>87</v>
      </c>
      <c r="C1198" s="20" t="s">
        <v>86</v>
      </c>
      <c r="D1198" s="21" t="str">
        <f>IF($C1198="","",IFERROR(VLOOKUP($C1198,Map_Register!$A$2:$C$5,3,FALSE()),""))</f>
        <v>Border Region</v>
      </c>
      <c r="E1198" s="20" t="s">
        <v>15</v>
      </c>
      <c r="F1198" s="22">
        <v>724742</v>
      </c>
      <c r="G1198" s="19" t="s">
        <v>1108</v>
      </c>
      <c r="H1198" s="19" t="s">
        <v>2979</v>
      </c>
      <c r="I1198" s="19" t="s">
        <v>2980</v>
      </c>
      <c r="J1198" s="19" t="s">
        <v>1094</v>
      </c>
      <c r="K1198" s="19" t="s">
        <v>6</v>
      </c>
      <c r="L1198" s="19" t="s">
        <v>1095</v>
      </c>
      <c r="M1198" s="19" t="s">
        <v>1095</v>
      </c>
      <c r="N1198" s="19" t="s">
        <v>1105</v>
      </c>
      <c r="R1198" t="s">
        <v>1097</v>
      </c>
    </row>
    <row r="1199" spans="1:18" hidden="1" x14ac:dyDescent="0.3">
      <c r="A1199" s="19">
        <f t="shared" si="18"/>
        <v>1198</v>
      </c>
      <c r="B1199" s="20" t="s">
        <v>87</v>
      </c>
      <c r="C1199" s="20" t="s">
        <v>86</v>
      </c>
      <c r="D1199" s="21" t="str">
        <f>IF($C1199="","",IFERROR(VLOOKUP($C1199,Map_Register!$A$2:$C$5,3,FALSE()),""))</f>
        <v>Border Region</v>
      </c>
      <c r="E1199" s="20" t="s">
        <v>15</v>
      </c>
      <c r="F1199" s="22">
        <v>724743</v>
      </c>
      <c r="G1199" s="19" t="s">
        <v>1108</v>
      </c>
      <c r="H1199" s="19" t="s">
        <v>2981</v>
      </c>
      <c r="I1199" s="19" t="s">
        <v>2982</v>
      </c>
      <c r="J1199" s="19" t="s">
        <v>1104</v>
      </c>
      <c r="K1199" s="19" t="s">
        <v>6</v>
      </c>
      <c r="L1199" s="19" t="s">
        <v>1095</v>
      </c>
      <c r="M1199" s="19" t="s">
        <v>1095</v>
      </c>
      <c r="N1199" s="19" t="s">
        <v>1105</v>
      </c>
      <c r="R1199" t="s">
        <v>1097</v>
      </c>
    </row>
    <row r="1200" spans="1:18" hidden="1" x14ac:dyDescent="0.3">
      <c r="A1200" s="19">
        <f t="shared" si="18"/>
        <v>1199</v>
      </c>
      <c r="B1200" s="20" t="s">
        <v>87</v>
      </c>
      <c r="C1200" s="20" t="s">
        <v>86</v>
      </c>
      <c r="D1200" s="21" t="str">
        <f>IF($C1200="","",IFERROR(VLOOKUP($C1200,Map_Register!$A$2:$C$5,3,FALSE()),""))</f>
        <v>Border Region</v>
      </c>
      <c r="E1200" s="20" t="s">
        <v>15</v>
      </c>
      <c r="F1200" s="22">
        <v>724757</v>
      </c>
      <c r="G1200" s="19" t="s">
        <v>1205</v>
      </c>
      <c r="H1200" s="19" t="s">
        <v>2983</v>
      </c>
      <c r="I1200" s="19" t="s">
        <v>2983</v>
      </c>
      <c r="J1200" s="19" t="s">
        <v>1110</v>
      </c>
      <c r="K1200" s="19" t="s">
        <v>6</v>
      </c>
      <c r="L1200" s="19" t="s">
        <v>1095</v>
      </c>
      <c r="M1200" s="19" t="s">
        <v>1095</v>
      </c>
      <c r="N1200" s="19" t="s">
        <v>2984</v>
      </c>
      <c r="R1200" t="s">
        <v>1097</v>
      </c>
    </row>
    <row r="1201" spans="1:18" hidden="1" x14ac:dyDescent="0.3">
      <c r="A1201" s="19">
        <f t="shared" si="18"/>
        <v>1200</v>
      </c>
      <c r="B1201" s="20" t="s">
        <v>87</v>
      </c>
      <c r="C1201" s="20" t="s">
        <v>86</v>
      </c>
      <c r="D1201" s="21" t="str">
        <f>IF($C1201="","",IFERROR(VLOOKUP($C1201,Map_Register!$A$2:$C$5,3,FALSE()),""))</f>
        <v>Border Region</v>
      </c>
      <c r="E1201" s="20" t="s">
        <v>15</v>
      </c>
      <c r="F1201" s="22">
        <v>724800</v>
      </c>
      <c r="G1201" s="19" t="s">
        <v>1091</v>
      </c>
      <c r="H1201" s="19" t="s">
        <v>2985</v>
      </c>
      <c r="I1201" s="19" t="s">
        <v>2986</v>
      </c>
      <c r="J1201" s="19" t="s">
        <v>1094</v>
      </c>
      <c r="K1201" s="19" t="s">
        <v>6</v>
      </c>
      <c r="L1201" s="19" t="s">
        <v>1095</v>
      </c>
      <c r="M1201" s="19" t="s">
        <v>1095</v>
      </c>
      <c r="N1201" s="19" t="s">
        <v>1105</v>
      </c>
      <c r="R1201" t="s">
        <v>1097</v>
      </c>
    </row>
    <row r="1202" spans="1:18" hidden="1" x14ac:dyDescent="0.3">
      <c r="A1202" s="19">
        <f t="shared" si="18"/>
        <v>1201</v>
      </c>
      <c r="B1202" s="20" t="s">
        <v>87</v>
      </c>
      <c r="C1202" s="20" t="s">
        <v>86</v>
      </c>
      <c r="D1202" s="21" t="str">
        <f>IF($C1202="","",IFERROR(VLOOKUP($C1202,Map_Register!$A$2:$C$5,3,FALSE()),""))</f>
        <v>Border Region</v>
      </c>
      <c r="E1202" s="20" t="s">
        <v>15</v>
      </c>
      <c r="F1202" s="22">
        <v>724801</v>
      </c>
      <c r="G1202" s="19" t="s">
        <v>1223</v>
      </c>
      <c r="H1202" s="19" t="s">
        <v>2987</v>
      </c>
      <c r="I1202" s="19" t="s">
        <v>2988</v>
      </c>
      <c r="J1202" s="19" t="s">
        <v>1094</v>
      </c>
      <c r="K1202" s="19" t="s">
        <v>6</v>
      </c>
      <c r="L1202" s="19" t="s">
        <v>1095</v>
      </c>
      <c r="M1202" s="19" t="s">
        <v>1095</v>
      </c>
      <c r="N1202" s="19" t="s">
        <v>1105</v>
      </c>
      <c r="R1202" t="s">
        <v>1097</v>
      </c>
    </row>
    <row r="1203" spans="1:18" hidden="1" x14ac:dyDescent="0.3">
      <c r="A1203" s="19">
        <f t="shared" si="18"/>
        <v>1202</v>
      </c>
      <c r="B1203" s="20" t="s">
        <v>87</v>
      </c>
      <c r="C1203" s="20" t="s">
        <v>86</v>
      </c>
      <c r="D1203" s="21" t="str">
        <f>IF($C1203="","",IFERROR(VLOOKUP($C1203,Map_Register!$A$2:$C$5,3,FALSE()),""))</f>
        <v>Border Region</v>
      </c>
      <c r="E1203" s="20" t="s">
        <v>15</v>
      </c>
      <c r="F1203" s="22">
        <v>724802</v>
      </c>
      <c r="G1203" s="19" t="s">
        <v>1108</v>
      </c>
      <c r="H1203" s="19" t="s">
        <v>2989</v>
      </c>
      <c r="I1203" s="19" t="s">
        <v>2989</v>
      </c>
      <c r="J1203" s="19" t="s">
        <v>1117</v>
      </c>
      <c r="K1203" s="19" t="s">
        <v>6</v>
      </c>
      <c r="L1203" s="19" t="s">
        <v>1095</v>
      </c>
      <c r="M1203" s="19" t="s">
        <v>1095</v>
      </c>
      <c r="N1203" s="19" t="s">
        <v>1111</v>
      </c>
      <c r="R1203" t="s">
        <v>1097</v>
      </c>
    </row>
    <row r="1204" spans="1:18" hidden="1" x14ac:dyDescent="0.3">
      <c r="A1204" s="19">
        <f t="shared" si="18"/>
        <v>1203</v>
      </c>
      <c r="B1204" s="20" t="s">
        <v>87</v>
      </c>
      <c r="C1204" s="20" t="s">
        <v>86</v>
      </c>
      <c r="D1204" s="21" t="str">
        <f>IF($C1204="","",IFERROR(VLOOKUP($C1204,Map_Register!$A$2:$C$5,3,FALSE()),""))</f>
        <v>Border Region</v>
      </c>
      <c r="E1204" s="20" t="s">
        <v>15</v>
      </c>
      <c r="F1204" s="22">
        <v>724803</v>
      </c>
      <c r="G1204" s="19" t="s">
        <v>1091</v>
      </c>
      <c r="H1204" s="19" t="s">
        <v>2990</v>
      </c>
      <c r="I1204" s="19" t="s">
        <v>2991</v>
      </c>
      <c r="J1204" s="19" t="s">
        <v>1104</v>
      </c>
      <c r="K1204" s="19" t="s">
        <v>6</v>
      </c>
      <c r="L1204" s="19" t="s">
        <v>1095</v>
      </c>
      <c r="M1204" s="19" t="s">
        <v>1095</v>
      </c>
      <c r="N1204" s="19" t="s">
        <v>1105</v>
      </c>
      <c r="R1204" t="s">
        <v>1097</v>
      </c>
    </row>
    <row r="1205" spans="1:18" hidden="1" x14ac:dyDescent="0.3">
      <c r="A1205" s="19">
        <f t="shared" si="18"/>
        <v>1204</v>
      </c>
      <c r="B1205" s="20" t="s">
        <v>87</v>
      </c>
      <c r="C1205" s="20" t="s">
        <v>86</v>
      </c>
      <c r="D1205" s="21" t="str">
        <f>IF($C1205="","",IFERROR(VLOOKUP($C1205,Map_Register!$A$2:$C$5,3,FALSE()),""))</f>
        <v>Border Region</v>
      </c>
      <c r="E1205" s="20" t="s">
        <v>15</v>
      </c>
      <c r="F1205" s="22">
        <v>724804</v>
      </c>
      <c r="G1205" s="19" t="s">
        <v>1223</v>
      </c>
      <c r="H1205" s="19" t="s">
        <v>2992</v>
      </c>
      <c r="I1205" s="19" t="s">
        <v>2993</v>
      </c>
      <c r="J1205" s="19" t="s">
        <v>1104</v>
      </c>
      <c r="K1205" s="19" t="s">
        <v>6</v>
      </c>
      <c r="L1205" s="19" t="s">
        <v>1095</v>
      </c>
      <c r="M1205" s="19" t="s">
        <v>1095</v>
      </c>
      <c r="N1205" s="19" t="s">
        <v>1105</v>
      </c>
      <c r="R1205" t="s">
        <v>1097</v>
      </c>
    </row>
    <row r="1206" spans="1:18" x14ac:dyDescent="0.3">
      <c r="A1206" s="19">
        <f t="shared" si="18"/>
        <v>1205</v>
      </c>
      <c r="B1206" s="20" t="s">
        <v>87</v>
      </c>
      <c r="C1206" s="20" t="s">
        <v>86</v>
      </c>
      <c r="D1206" s="21" t="str">
        <f>IF($C1206="","",IFERROR(VLOOKUP($C1206,Map_Register!$A$2:$C$5,3,FALSE()),""))</f>
        <v>Border Region</v>
      </c>
      <c r="E1206" s="20" t="s">
        <v>15</v>
      </c>
      <c r="F1206" s="22">
        <v>724805</v>
      </c>
      <c r="G1206" s="19" t="s">
        <v>1108</v>
      </c>
      <c r="H1206" s="19" t="s">
        <v>2994</v>
      </c>
      <c r="I1206" s="19" t="s">
        <v>2994</v>
      </c>
      <c r="J1206" s="19" t="s">
        <v>1117</v>
      </c>
      <c r="K1206" s="19" t="s">
        <v>8</v>
      </c>
      <c r="L1206" s="19" t="s">
        <v>114</v>
      </c>
      <c r="M1206" s="19" t="s">
        <v>116</v>
      </c>
      <c r="N1206" s="19" t="s">
        <v>2995</v>
      </c>
      <c r="O1206" s="19" t="s">
        <v>116</v>
      </c>
      <c r="R1206" t="s">
        <v>1097</v>
      </c>
    </row>
    <row r="1207" spans="1:18" hidden="1" x14ac:dyDescent="0.3">
      <c r="A1207" s="19">
        <f t="shared" si="18"/>
        <v>1206</v>
      </c>
      <c r="B1207" s="20" t="s">
        <v>87</v>
      </c>
      <c r="C1207" s="20" t="s">
        <v>86</v>
      </c>
      <c r="D1207" s="21" t="str">
        <f>IF($C1207="","",IFERROR(VLOOKUP($C1207,Map_Register!$A$2:$C$5,3,FALSE()),""))</f>
        <v>Border Region</v>
      </c>
      <c r="E1207" s="20" t="s">
        <v>15</v>
      </c>
      <c r="F1207" s="22">
        <v>724806</v>
      </c>
      <c r="G1207" s="19" t="s">
        <v>1108</v>
      </c>
      <c r="H1207" s="19" t="s">
        <v>2996</v>
      </c>
      <c r="I1207" s="19" t="s">
        <v>2997</v>
      </c>
      <c r="J1207" s="19" t="s">
        <v>1094</v>
      </c>
      <c r="K1207" s="19" t="s">
        <v>6</v>
      </c>
      <c r="L1207" s="19" t="s">
        <v>1095</v>
      </c>
      <c r="M1207" s="19" t="s">
        <v>1095</v>
      </c>
      <c r="N1207" s="19" t="s">
        <v>1105</v>
      </c>
      <c r="R1207" t="s">
        <v>1097</v>
      </c>
    </row>
    <row r="1208" spans="1:18" hidden="1" x14ac:dyDescent="0.3">
      <c r="A1208" s="19">
        <f t="shared" si="18"/>
        <v>1207</v>
      </c>
      <c r="B1208" s="20" t="s">
        <v>87</v>
      </c>
      <c r="C1208" s="20" t="s">
        <v>86</v>
      </c>
      <c r="D1208" s="21" t="str">
        <f>IF($C1208="","",IFERROR(VLOOKUP($C1208,Map_Register!$A$2:$C$5,3,FALSE()),""))</f>
        <v>Border Region</v>
      </c>
      <c r="E1208" s="20" t="s">
        <v>15</v>
      </c>
      <c r="F1208" s="22">
        <v>724807</v>
      </c>
      <c r="G1208" s="19" t="s">
        <v>1108</v>
      </c>
      <c r="H1208" s="19" t="s">
        <v>2998</v>
      </c>
      <c r="I1208" s="19" t="s">
        <v>2998</v>
      </c>
      <c r="J1208" s="19" t="s">
        <v>1117</v>
      </c>
      <c r="K1208" s="19" t="s">
        <v>6</v>
      </c>
      <c r="L1208" s="19" t="s">
        <v>1095</v>
      </c>
      <c r="M1208" s="19" t="s">
        <v>1095</v>
      </c>
      <c r="N1208" s="19" t="s">
        <v>1105</v>
      </c>
      <c r="R1208" t="s">
        <v>1097</v>
      </c>
    </row>
    <row r="1209" spans="1:18" hidden="1" x14ac:dyDescent="0.3">
      <c r="A1209" s="19">
        <f t="shared" si="18"/>
        <v>1208</v>
      </c>
      <c r="B1209" s="20" t="s">
        <v>87</v>
      </c>
      <c r="C1209" s="20" t="s">
        <v>86</v>
      </c>
      <c r="D1209" s="21" t="str">
        <f>IF($C1209="","",IFERROR(VLOOKUP($C1209,Map_Register!$A$2:$C$5,3,FALSE()),""))</f>
        <v>Border Region</v>
      </c>
      <c r="E1209" s="20" t="s">
        <v>15</v>
      </c>
      <c r="F1209" s="22">
        <v>724808</v>
      </c>
      <c r="G1209" s="19" t="s">
        <v>1091</v>
      </c>
      <c r="H1209" s="19" t="s">
        <v>2999</v>
      </c>
      <c r="I1209" s="19" t="s">
        <v>3000</v>
      </c>
      <c r="J1209" s="19" t="s">
        <v>1094</v>
      </c>
      <c r="K1209" s="19" t="s">
        <v>6</v>
      </c>
      <c r="L1209" s="19" t="s">
        <v>1095</v>
      </c>
      <c r="M1209" s="19" t="s">
        <v>1095</v>
      </c>
      <c r="N1209" s="19" t="s">
        <v>1105</v>
      </c>
      <c r="R1209" t="s">
        <v>1097</v>
      </c>
    </row>
    <row r="1210" spans="1:18" hidden="1" x14ac:dyDescent="0.3">
      <c r="A1210" s="19">
        <f t="shared" si="18"/>
        <v>1209</v>
      </c>
      <c r="B1210" s="20" t="s">
        <v>87</v>
      </c>
      <c r="C1210" s="20" t="s">
        <v>86</v>
      </c>
      <c r="D1210" s="21" t="str">
        <f>IF($C1210="","",IFERROR(VLOOKUP($C1210,Map_Register!$A$2:$C$5,3,FALSE()),""))</f>
        <v>Border Region</v>
      </c>
      <c r="E1210" s="20" t="s">
        <v>15</v>
      </c>
      <c r="F1210" s="22">
        <v>724809</v>
      </c>
      <c r="G1210" s="19" t="s">
        <v>1091</v>
      </c>
      <c r="H1210" s="19" t="s">
        <v>3001</v>
      </c>
      <c r="I1210" s="19" t="s">
        <v>3002</v>
      </c>
      <c r="J1210" s="19" t="s">
        <v>1104</v>
      </c>
      <c r="K1210" s="19" t="s">
        <v>6</v>
      </c>
      <c r="L1210" s="19" t="s">
        <v>1095</v>
      </c>
      <c r="M1210" s="19" t="s">
        <v>1095</v>
      </c>
      <c r="N1210" s="19" t="s">
        <v>1105</v>
      </c>
      <c r="R1210" t="s">
        <v>1097</v>
      </c>
    </row>
    <row r="1211" spans="1:18" hidden="1" x14ac:dyDescent="0.3">
      <c r="A1211" s="19">
        <f t="shared" si="18"/>
        <v>1210</v>
      </c>
      <c r="B1211" s="20" t="s">
        <v>87</v>
      </c>
      <c r="C1211" s="20" t="s">
        <v>86</v>
      </c>
      <c r="D1211" s="21" t="str">
        <f>IF($C1211="","",IFERROR(VLOOKUP($C1211,Map_Register!$A$2:$C$5,3,FALSE()),""))</f>
        <v>Border Region</v>
      </c>
      <c r="E1211" s="20" t="s">
        <v>15</v>
      </c>
      <c r="F1211" s="22">
        <v>724810</v>
      </c>
      <c r="G1211" s="19" t="s">
        <v>1091</v>
      </c>
      <c r="H1211" s="19" t="s">
        <v>3003</v>
      </c>
      <c r="I1211" s="19" t="s">
        <v>3003</v>
      </c>
      <c r="J1211" s="19" t="s">
        <v>1110</v>
      </c>
      <c r="K1211" s="19" t="s">
        <v>6</v>
      </c>
      <c r="L1211" s="19" t="s">
        <v>1095</v>
      </c>
      <c r="M1211" s="19" t="s">
        <v>1095</v>
      </c>
      <c r="N1211" s="19" t="s">
        <v>1300</v>
      </c>
      <c r="R1211" t="s">
        <v>1097</v>
      </c>
    </row>
    <row r="1212" spans="1:18" hidden="1" x14ac:dyDescent="0.3">
      <c r="A1212" s="19">
        <f t="shared" si="18"/>
        <v>1211</v>
      </c>
      <c r="B1212" s="20" t="s">
        <v>87</v>
      </c>
      <c r="C1212" s="20" t="s">
        <v>86</v>
      </c>
      <c r="D1212" s="21" t="str">
        <f>IF($C1212="","",IFERROR(VLOOKUP($C1212,Map_Register!$A$2:$C$5,3,FALSE()),""))</f>
        <v>Border Region</v>
      </c>
      <c r="E1212" s="20" t="s">
        <v>15</v>
      </c>
      <c r="F1212" s="22">
        <v>725082</v>
      </c>
      <c r="G1212" s="19" t="s">
        <v>1136</v>
      </c>
      <c r="H1212" s="19" t="s">
        <v>3004</v>
      </c>
      <c r="I1212" s="19" t="s">
        <v>3004</v>
      </c>
      <c r="J1212" s="19" t="s">
        <v>1117</v>
      </c>
      <c r="K1212" s="19" t="s">
        <v>6</v>
      </c>
      <c r="L1212" s="19" t="s">
        <v>1095</v>
      </c>
      <c r="M1212" s="19" t="s">
        <v>1095</v>
      </c>
      <c r="N1212" s="19" t="s">
        <v>1406</v>
      </c>
      <c r="R1212" t="s">
        <v>1097</v>
      </c>
    </row>
    <row r="1213" spans="1:18" hidden="1" x14ac:dyDescent="0.3">
      <c r="A1213" s="19">
        <f t="shared" si="18"/>
        <v>1212</v>
      </c>
      <c r="B1213" s="20" t="s">
        <v>87</v>
      </c>
      <c r="C1213" s="20" t="s">
        <v>86</v>
      </c>
      <c r="D1213" s="21" t="str">
        <f>IF($C1213="","",IFERROR(VLOOKUP($C1213,Map_Register!$A$2:$C$5,3,FALSE()),""))</f>
        <v>Border Region</v>
      </c>
      <c r="E1213" s="20" t="s">
        <v>15</v>
      </c>
      <c r="F1213" s="22">
        <v>725211</v>
      </c>
      <c r="G1213" s="19" t="s">
        <v>1136</v>
      </c>
      <c r="H1213" s="19" t="s">
        <v>3005</v>
      </c>
      <c r="I1213" s="19" t="s">
        <v>3006</v>
      </c>
      <c r="J1213" s="19" t="s">
        <v>1991</v>
      </c>
      <c r="K1213" s="19" t="s">
        <v>6</v>
      </c>
      <c r="L1213" s="19" t="s">
        <v>1095</v>
      </c>
      <c r="M1213" s="19" t="s">
        <v>1095</v>
      </c>
      <c r="N1213" s="19" t="s">
        <v>3007</v>
      </c>
      <c r="R1213" t="s">
        <v>1097</v>
      </c>
    </row>
    <row r="1214" spans="1:18" hidden="1" x14ac:dyDescent="0.3">
      <c r="A1214" s="19">
        <f t="shared" si="18"/>
        <v>1213</v>
      </c>
      <c r="B1214" s="20" t="s">
        <v>87</v>
      </c>
      <c r="C1214" s="20" t="s">
        <v>86</v>
      </c>
      <c r="D1214" s="21" t="str">
        <f>IF($C1214="","",IFERROR(VLOOKUP($C1214,Map_Register!$A$2:$C$5,3,FALSE()),""))</f>
        <v>Border Region</v>
      </c>
      <c r="E1214" s="20" t="s">
        <v>15</v>
      </c>
      <c r="F1214" s="22">
        <v>725212</v>
      </c>
      <c r="G1214" s="19" t="s">
        <v>1136</v>
      </c>
      <c r="H1214" s="19" t="s">
        <v>3008</v>
      </c>
      <c r="I1214" s="19" t="s">
        <v>3008</v>
      </c>
      <c r="J1214" s="19" t="s">
        <v>1110</v>
      </c>
      <c r="K1214" s="19" t="s">
        <v>6</v>
      </c>
      <c r="L1214" s="19" t="s">
        <v>1095</v>
      </c>
      <c r="M1214" s="19" t="s">
        <v>1095</v>
      </c>
      <c r="N1214" s="19" t="s">
        <v>1406</v>
      </c>
      <c r="R1214" t="s">
        <v>1097</v>
      </c>
    </row>
    <row r="1215" spans="1:18" hidden="1" x14ac:dyDescent="0.3">
      <c r="A1215" s="19">
        <f t="shared" si="18"/>
        <v>1214</v>
      </c>
      <c r="B1215" s="20" t="s">
        <v>87</v>
      </c>
      <c r="C1215" s="20" t="s">
        <v>86</v>
      </c>
      <c r="D1215" s="21" t="str">
        <f>IF($C1215="","",IFERROR(VLOOKUP($C1215,Map_Register!$A$2:$C$5,3,FALSE()),""))</f>
        <v>Border Region</v>
      </c>
      <c r="E1215" s="20" t="s">
        <v>15</v>
      </c>
      <c r="F1215" s="22">
        <v>725213</v>
      </c>
      <c r="G1215" s="19" t="s">
        <v>1136</v>
      </c>
      <c r="H1215" s="19" t="s">
        <v>3009</v>
      </c>
      <c r="I1215" s="19" t="s">
        <v>3010</v>
      </c>
      <c r="J1215" s="19" t="s">
        <v>1094</v>
      </c>
      <c r="K1215" s="19" t="s">
        <v>6</v>
      </c>
      <c r="L1215" s="19" t="s">
        <v>1095</v>
      </c>
      <c r="M1215" s="19" t="s">
        <v>1095</v>
      </c>
      <c r="N1215" s="19" t="s">
        <v>1105</v>
      </c>
      <c r="R1215" t="s">
        <v>1097</v>
      </c>
    </row>
    <row r="1216" spans="1:18" hidden="1" x14ac:dyDescent="0.3">
      <c r="A1216" s="19">
        <f t="shared" si="18"/>
        <v>1215</v>
      </c>
      <c r="B1216" s="20" t="s">
        <v>87</v>
      </c>
      <c r="C1216" s="20" t="s">
        <v>86</v>
      </c>
      <c r="D1216" s="21" t="str">
        <f>IF($C1216="","",IFERROR(VLOOKUP($C1216,Map_Register!$A$2:$C$5,3,FALSE()),""))</f>
        <v>Border Region</v>
      </c>
      <c r="E1216" s="20" t="s">
        <v>15</v>
      </c>
      <c r="F1216" s="22">
        <v>725215</v>
      </c>
      <c r="G1216" s="19" t="s">
        <v>1136</v>
      </c>
      <c r="H1216" s="19" t="s">
        <v>3011</v>
      </c>
      <c r="I1216" s="19" t="s">
        <v>3011</v>
      </c>
      <c r="J1216" s="19" t="s">
        <v>1117</v>
      </c>
      <c r="K1216" s="19" t="s">
        <v>6</v>
      </c>
      <c r="L1216" s="19" t="s">
        <v>1095</v>
      </c>
      <c r="M1216" s="19" t="s">
        <v>1095</v>
      </c>
      <c r="N1216" s="19" t="s">
        <v>1406</v>
      </c>
      <c r="R1216" t="s">
        <v>1097</v>
      </c>
    </row>
    <row r="1217" spans="1:18" hidden="1" x14ac:dyDescent="0.3">
      <c r="A1217" s="19">
        <f t="shared" si="18"/>
        <v>1216</v>
      </c>
      <c r="B1217" s="20" t="s">
        <v>87</v>
      </c>
      <c r="C1217" s="20" t="s">
        <v>86</v>
      </c>
      <c r="D1217" s="21" t="str">
        <f>IF($C1217="","",IFERROR(VLOOKUP($C1217,Map_Register!$A$2:$C$5,3,FALSE()),""))</f>
        <v>Border Region</v>
      </c>
      <c r="E1217" s="20" t="s">
        <v>15</v>
      </c>
      <c r="F1217" s="22">
        <v>725217</v>
      </c>
      <c r="G1217" s="19" t="s">
        <v>1125</v>
      </c>
      <c r="H1217" s="19" t="s">
        <v>3012</v>
      </c>
      <c r="I1217" s="19" t="s">
        <v>3013</v>
      </c>
      <c r="J1217" s="19" t="s">
        <v>3014</v>
      </c>
      <c r="K1217" s="19" t="s">
        <v>6</v>
      </c>
      <c r="L1217" s="19" t="s">
        <v>1095</v>
      </c>
      <c r="M1217" s="19" t="s">
        <v>1095</v>
      </c>
      <c r="N1217" s="19" t="s">
        <v>3015</v>
      </c>
      <c r="R1217" t="s">
        <v>1097</v>
      </c>
    </row>
    <row r="1218" spans="1:18" hidden="1" x14ac:dyDescent="0.3">
      <c r="A1218" s="19">
        <f t="shared" ref="A1218:A1281" si="19">IF($B1218="","",ROW()-1)</f>
        <v>1217</v>
      </c>
      <c r="B1218" s="20" t="s">
        <v>87</v>
      </c>
      <c r="C1218" s="20" t="s">
        <v>86</v>
      </c>
      <c r="D1218" s="21" t="str">
        <f>IF($C1218="","",IFERROR(VLOOKUP($C1218,Map_Register!$A$2:$C$5,3,FALSE()),""))</f>
        <v>Border Region</v>
      </c>
      <c r="E1218" s="20" t="s">
        <v>15</v>
      </c>
      <c r="F1218" s="22">
        <v>725219</v>
      </c>
      <c r="G1218" s="19" t="s">
        <v>1091</v>
      </c>
      <c r="H1218" s="19" t="s">
        <v>3016</v>
      </c>
      <c r="I1218" s="19" t="s">
        <v>3016</v>
      </c>
      <c r="J1218" s="19" t="s">
        <v>1117</v>
      </c>
      <c r="K1218" s="19" t="s">
        <v>6</v>
      </c>
      <c r="L1218" s="19" t="s">
        <v>1095</v>
      </c>
      <c r="M1218" s="19" t="s">
        <v>1095</v>
      </c>
      <c r="N1218" s="19" t="s">
        <v>1300</v>
      </c>
      <c r="R1218" t="s">
        <v>1097</v>
      </c>
    </row>
    <row r="1219" spans="1:18" hidden="1" x14ac:dyDescent="0.3">
      <c r="A1219" s="19">
        <f t="shared" si="19"/>
        <v>1218</v>
      </c>
      <c r="B1219" s="20" t="s">
        <v>87</v>
      </c>
      <c r="C1219" s="20" t="s">
        <v>86</v>
      </c>
      <c r="D1219" s="21" t="str">
        <f>IF($C1219="","",IFERROR(VLOOKUP($C1219,Map_Register!$A$2:$C$5,3,FALSE()),""))</f>
        <v>Border Region</v>
      </c>
      <c r="E1219" s="20" t="s">
        <v>15</v>
      </c>
      <c r="F1219" s="22">
        <v>725220</v>
      </c>
      <c r="G1219" s="19" t="s">
        <v>1091</v>
      </c>
      <c r="H1219" s="19" t="s">
        <v>3017</v>
      </c>
      <c r="I1219" s="19" t="s">
        <v>3017</v>
      </c>
      <c r="J1219" s="19" t="s">
        <v>1117</v>
      </c>
      <c r="K1219" s="19" t="s">
        <v>6</v>
      </c>
      <c r="L1219" s="19" t="s">
        <v>1095</v>
      </c>
      <c r="M1219" s="19" t="s">
        <v>1095</v>
      </c>
      <c r="N1219" s="19" t="s">
        <v>3018</v>
      </c>
      <c r="R1219" t="s">
        <v>1097</v>
      </c>
    </row>
    <row r="1220" spans="1:18" hidden="1" x14ac:dyDescent="0.3">
      <c r="A1220" s="19">
        <f t="shared" si="19"/>
        <v>1219</v>
      </c>
      <c r="B1220" s="20" t="s">
        <v>87</v>
      </c>
      <c r="C1220" s="20" t="s">
        <v>86</v>
      </c>
      <c r="D1220" s="21" t="str">
        <f>IF($C1220="","",IFERROR(VLOOKUP($C1220,Map_Register!$A$2:$C$5,3,FALSE()),""))</f>
        <v>Border Region</v>
      </c>
      <c r="E1220" s="20" t="s">
        <v>15</v>
      </c>
      <c r="F1220" s="22">
        <v>725221</v>
      </c>
      <c r="G1220" s="19" t="s">
        <v>1091</v>
      </c>
      <c r="H1220" s="19" t="s">
        <v>3019</v>
      </c>
      <c r="I1220" s="19" t="s">
        <v>3020</v>
      </c>
      <c r="J1220" s="19" t="s">
        <v>1104</v>
      </c>
      <c r="K1220" s="19" t="s">
        <v>6</v>
      </c>
      <c r="L1220" s="19" t="s">
        <v>1095</v>
      </c>
      <c r="M1220" s="19" t="s">
        <v>1095</v>
      </c>
      <c r="N1220" s="19" t="s">
        <v>1105</v>
      </c>
      <c r="R1220" t="s">
        <v>1097</v>
      </c>
    </row>
    <row r="1221" spans="1:18" hidden="1" x14ac:dyDescent="0.3">
      <c r="A1221" s="19">
        <f t="shared" si="19"/>
        <v>1220</v>
      </c>
      <c r="B1221" s="20" t="s">
        <v>87</v>
      </c>
      <c r="C1221" s="20" t="s">
        <v>86</v>
      </c>
      <c r="D1221" s="21" t="str">
        <f>IF($C1221="","",IFERROR(VLOOKUP($C1221,Map_Register!$A$2:$C$5,3,FALSE()),""))</f>
        <v>Border Region</v>
      </c>
      <c r="E1221" s="20" t="s">
        <v>15</v>
      </c>
      <c r="F1221" s="22">
        <v>725222</v>
      </c>
      <c r="G1221" s="19" t="s">
        <v>1125</v>
      </c>
      <c r="H1221" s="19" t="s">
        <v>3021</v>
      </c>
      <c r="I1221" s="19" t="s">
        <v>3022</v>
      </c>
      <c r="J1221" s="19" t="s">
        <v>3014</v>
      </c>
      <c r="K1221" s="19" t="s">
        <v>6</v>
      </c>
      <c r="L1221" s="19" t="s">
        <v>1095</v>
      </c>
      <c r="M1221" s="19" t="s">
        <v>1095</v>
      </c>
      <c r="N1221" s="19" t="s">
        <v>3023</v>
      </c>
      <c r="R1221" t="s">
        <v>1097</v>
      </c>
    </row>
    <row r="1222" spans="1:18" hidden="1" x14ac:dyDescent="0.3">
      <c r="A1222" s="19">
        <f t="shared" si="19"/>
        <v>1221</v>
      </c>
      <c r="B1222" s="20" t="s">
        <v>87</v>
      </c>
      <c r="C1222" s="20" t="s">
        <v>86</v>
      </c>
      <c r="D1222" s="21" t="str">
        <f>IF($C1222="","",IFERROR(VLOOKUP($C1222,Map_Register!$A$2:$C$5,3,FALSE()),""))</f>
        <v>Border Region</v>
      </c>
      <c r="E1222" s="20" t="s">
        <v>15</v>
      </c>
      <c r="F1222" s="22">
        <v>725223</v>
      </c>
      <c r="G1222" s="19" t="s">
        <v>1091</v>
      </c>
      <c r="H1222" s="19" t="s">
        <v>3024</v>
      </c>
      <c r="I1222" s="19" t="s">
        <v>3025</v>
      </c>
      <c r="J1222" s="19" t="s">
        <v>3026</v>
      </c>
      <c r="K1222" s="19" t="s">
        <v>6</v>
      </c>
      <c r="L1222" s="19" t="s">
        <v>1095</v>
      </c>
      <c r="M1222" s="19" t="s">
        <v>1095</v>
      </c>
      <c r="N1222" s="19" t="s">
        <v>3027</v>
      </c>
      <c r="R1222" t="s">
        <v>1097</v>
      </c>
    </row>
    <row r="1223" spans="1:18" hidden="1" x14ac:dyDescent="0.3">
      <c r="A1223" s="19">
        <f t="shared" si="19"/>
        <v>1222</v>
      </c>
      <c r="B1223" s="20" t="s">
        <v>87</v>
      </c>
      <c r="C1223" s="20" t="s">
        <v>86</v>
      </c>
      <c r="D1223" s="21" t="str">
        <f>IF($C1223="","",IFERROR(VLOOKUP($C1223,Map_Register!$A$2:$C$5,3,FALSE()),""))</f>
        <v>Border Region</v>
      </c>
      <c r="E1223" s="20" t="s">
        <v>15</v>
      </c>
      <c r="F1223" s="22">
        <v>725224</v>
      </c>
      <c r="G1223" s="19" t="s">
        <v>1091</v>
      </c>
      <c r="H1223" s="19" t="s">
        <v>3028</v>
      </c>
      <c r="I1223" s="19" t="s">
        <v>3028</v>
      </c>
      <c r="J1223" s="19" t="s">
        <v>1117</v>
      </c>
      <c r="K1223" s="19" t="s">
        <v>6</v>
      </c>
      <c r="L1223" s="19" t="s">
        <v>1095</v>
      </c>
      <c r="M1223" s="19" t="s">
        <v>1095</v>
      </c>
      <c r="N1223" s="19" t="s">
        <v>1300</v>
      </c>
      <c r="R1223" t="s">
        <v>1097</v>
      </c>
    </row>
    <row r="1224" spans="1:18" hidden="1" x14ac:dyDescent="0.3">
      <c r="A1224" s="19">
        <f t="shared" si="19"/>
        <v>1223</v>
      </c>
      <c r="B1224" s="20" t="s">
        <v>87</v>
      </c>
      <c r="C1224" s="20" t="s">
        <v>86</v>
      </c>
      <c r="D1224" s="21" t="str">
        <f>IF($C1224="","",IFERROR(VLOOKUP($C1224,Map_Register!$A$2:$C$5,3,FALSE()),""))</f>
        <v>Border Region</v>
      </c>
      <c r="E1224" s="20" t="s">
        <v>15</v>
      </c>
      <c r="F1224" s="22">
        <v>725225</v>
      </c>
      <c r="G1224" s="19" t="s">
        <v>1108</v>
      </c>
      <c r="H1224" s="19" t="s">
        <v>3029</v>
      </c>
      <c r="I1224" s="19" t="s">
        <v>3029</v>
      </c>
      <c r="J1224" s="19" t="s">
        <v>1117</v>
      </c>
      <c r="K1224" s="19" t="s">
        <v>6</v>
      </c>
      <c r="L1224" s="19" t="s">
        <v>1095</v>
      </c>
      <c r="M1224" s="19" t="s">
        <v>1095</v>
      </c>
      <c r="N1224" s="19" t="s">
        <v>1111</v>
      </c>
      <c r="R1224" t="s">
        <v>1097</v>
      </c>
    </row>
    <row r="1225" spans="1:18" hidden="1" x14ac:dyDescent="0.3">
      <c r="A1225" s="19">
        <f t="shared" si="19"/>
        <v>1224</v>
      </c>
      <c r="B1225" s="20" t="s">
        <v>87</v>
      </c>
      <c r="C1225" s="20" t="s">
        <v>86</v>
      </c>
      <c r="D1225" s="21" t="str">
        <f>IF($C1225="","",IFERROR(VLOOKUP($C1225,Map_Register!$A$2:$C$5,3,FALSE()),""))</f>
        <v>Border Region</v>
      </c>
      <c r="E1225" s="20" t="s">
        <v>15</v>
      </c>
      <c r="F1225" s="22">
        <v>725227</v>
      </c>
      <c r="G1225" s="19" t="s">
        <v>1091</v>
      </c>
      <c r="H1225" s="19" t="s">
        <v>3030</v>
      </c>
      <c r="I1225" s="19" t="s">
        <v>3031</v>
      </c>
      <c r="J1225" s="19" t="s">
        <v>3014</v>
      </c>
      <c r="K1225" s="19" t="s">
        <v>6</v>
      </c>
      <c r="L1225" s="19" t="s">
        <v>1095</v>
      </c>
      <c r="M1225" s="19" t="s">
        <v>1095</v>
      </c>
      <c r="N1225" s="19" t="s">
        <v>3032</v>
      </c>
      <c r="R1225" t="s">
        <v>1097</v>
      </c>
    </row>
    <row r="1226" spans="1:18" hidden="1" x14ac:dyDescent="0.3">
      <c r="A1226" s="19">
        <f t="shared" si="19"/>
        <v>1225</v>
      </c>
      <c r="B1226" s="20" t="s">
        <v>87</v>
      </c>
      <c r="C1226" s="20" t="s">
        <v>86</v>
      </c>
      <c r="D1226" s="21" t="str">
        <f>IF($C1226="","",IFERROR(VLOOKUP($C1226,Map_Register!$A$2:$C$5,3,FALSE()),""))</f>
        <v>Border Region</v>
      </c>
      <c r="E1226" s="20" t="s">
        <v>15</v>
      </c>
      <c r="F1226" s="22">
        <v>725239</v>
      </c>
      <c r="G1226" s="19" t="s">
        <v>1205</v>
      </c>
      <c r="H1226" s="19" t="s">
        <v>3033</v>
      </c>
      <c r="I1226" s="19" t="s">
        <v>3033</v>
      </c>
      <c r="J1226" s="19" t="s">
        <v>1110</v>
      </c>
      <c r="K1226" s="19" t="s">
        <v>6</v>
      </c>
      <c r="L1226" s="19" t="s">
        <v>1095</v>
      </c>
      <c r="M1226" s="19" t="s">
        <v>1095</v>
      </c>
      <c r="N1226" s="19" t="s">
        <v>1205</v>
      </c>
      <c r="R1226" t="s">
        <v>1097</v>
      </c>
    </row>
    <row r="1227" spans="1:18" hidden="1" x14ac:dyDescent="0.3">
      <c r="A1227" s="19">
        <f t="shared" si="19"/>
        <v>1226</v>
      </c>
      <c r="B1227" s="20" t="s">
        <v>87</v>
      </c>
      <c r="C1227" s="20" t="s">
        <v>86</v>
      </c>
      <c r="D1227" s="21" t="str">
        <f>IF($C1227="","",IFERROR(VLOOKUP($C1227,Map_Register!$A$2:$C$5,3,FALSE()),""))</f>
        <v>Border Region</v>
      </c>
      <c r="E1227" s="20" t="s">
        <v>15</v>
      </c>
      <c r="F1227" s="22">
        <v>725722</v>
      </c>
      <c r="G1227" s="19" t="s">
        <v>1118</v>
      </c>
      <c r="H1227" s="19" t="s">
        <v>3034</v>
      </c>
      <c r="I1227" s="19" t="s">
        <v>3034</v>
      </c>
      <c r="J1227" s="19" t="s">
        <v>1117</v>
      </c>
      <c r="K1227" s="19" t="s">
        <v>8</v>
      </c>
      <c r="L1227" s="19" t="s">
        <v>114</v>
      </c>
      <c r="M1227" s="19" t="s">
        <v>114</v>
      </c>
      <c r="N1227" s="19" t="s">
        <v>2774</v>
      </c>
      <c r="O1227" s="19" t="s">
        <v>116</v>
      </c>
      <c r="R1227" t="s">
        <v>1097</v>
      </c>
    </row>
    <row r="1228" spans="1:18" hidden="1" x14ac:dyDescent="0.3">
      <c r="A1228" s="19">
        <f t="shared" si="19"/>
        <v>1227</v>
      </c>
      <c r="B1228" s="20" t="s">
        <v>87</v>
      </c>
      <c r="C1228" s="20" t="s">
        <v>86</v>
      </c>
      <c r="D1228" s="21" t="str">
        <f>IF($C1228="","",IFERROR(VLOOKUP($C1228,Map_Register!$A$2:$C$5,3,FALSE()),""))</f>
        <v>Border Region</v>
      </c>
      <c r="E1228" s="20" t="s">
        <v>15</v>
      </c>
      <c r="F1228" s="22">
        <v>725723</v>
      </c>
      <c r="G1228" s="19" t="s">
        <v>1108</v>
      </c>
      <c r="H1228" s="19" t="s">
        <v>3035</v>
      </c>
      <c r="I1228" s="19" t="s">
        <v>3036</v>
      </c>
      <c r="J1228" s="19" t="s">
        <v>1104</v>
      </c>
      <c r="K1228" s="19" t="s">
        <v>6</v>
      </c>
      <c r="L1228" s="19" t="s">
        <v>1095</v>
      </c>
      <c r="M1228" s="19" t="s">
        <v>1095</v>
      </c>
      <c r="N1228" s="19" t="s">
        <v>1105</v>
      </c>
      <c r="R1228" t="s">
        <v>1097</v>
      </c>
    </row>
    <row r="1229" spans="1:18" hidden="1" x14ac:dyDescent="0.3">
      <c r="A1229" s="19">
        <f t="shared" si="19"/>
        <v>1228</v>
      </c>
      <c r="B1229" s="20" t="s">
        <v>87</v>
      </c>
      <c r="C1229" s="20" t="s">
        <v>86</v>
      </c>
      <c r="D1229" s="21" t="str">
        <f>IF($C1229="","",IFERROR(VLOOKUP($C1229,Map_Register!$A$2:$C$5,3,FALSE()),""))</f>
        <v>Border Region</v>
      </c>
      <c r="E1229" s="20" t="s">
        <v>15</v>
      </c>
      <c r="F1229" s="22">
        <v>725724</v>
      </c>
      <c r="G1229" s="19" t="s">
        <v>1091</v>
      </c>
      <c r="H1229" s="19" t="s">
        <v>3037</v>
      </c>
      <c r="I1229" s="19" t="s">
        <v>3038</v>
      </c>
      <c r="J1229" s="19" t="s">
        <v>1094</v>
      </c>
      <c r="K1229" s="19" t="s">
        <v>6</v>
      </c>
      <c r="L1229" s="19" t="s">
        <v>1095</v>
      </c>
      <c r="M1229" s="19" t="s">
        <v>1095</v>
      </c>
      <c r="N1229" s="19" t="s">
        <v>1105</v>
      </c>
      <c r="R1229" t="s">
        <v>1097</v>
      </c>
    </row>
    <row r="1230" spans="1:18" hidden="1" x14ac:dyDescent="0.3">
      <c r="A1230" s="19">
        <f t="shared" si="19"/>
        <v>1229</v>
      </c>
      <c r="B1230" s="20" t="s">
        <v>87</v>
      </c>
      <c r="C1230" s="20" t="s">
        <v>86</v>
      </c>
      <c r="D1230" s="21" t="str">
        <f>IF($C1230="","",IFERROR(VLOOKUP($C1230,Map_Register!$A$2:$C$5,3,FALSE()),""))</f>
        <v>Border Region</v>
      </c>
      <c r="E1230" s="20" t="s">
        <v>15</v>
      </c>
      <c r="F1230" s="22">
        <v>725725</v>
      </c>
      <c r="G1230" s="19" t="s">
        <v>1091</v>
      </c>
      <c r="H1230" s="19" t="s">
        <v>3039</v>
      </c>
      <c r="I1230" s="19" t="s">
        <v>3040</v>
      </c>
      <c r="J1230" s="19" t="s">
        <v>1094</v>
      </c>
      <c r="K1230" s="19" t="s">
        <v>6</v>
      </c>
      <c r="L1230" s="19" t="s">
        <v>1095</v>
      </c>
      <c r="M1230" s="19" t="s">
        <v>1095</v>
      </c>
      <c r="N1230" s="19" t="s">
        <v>1105</v>
      </c>
      <c r="R1230" t="s">
        <v>1097</v>
      </c>
    </row>
    <row r="1231" spans="1:18" hidden="1" x14ac:dyDescent="0.3">
      <c r="A1231" s="19">
        <f t="shared" si="19"/>
        <v>1230</v>
      </c>
      <c r="B1231" s="20" t="s">
        <v>87</v>
      </c>
      <c r="C1231" s="20" t="s">
        <v>86</v>
      </c>
      <c r="D1231" s="21" t="str">
        <f>IF($C1231="","",IFERROR(VLOOKUP($C1231,Map_Register!$A$2:$C$5,3,FALSE()),""))</f>
        <v>Border Region</v>
      </c>
      <c r="E1231" s="20" t="s">
        <v>15</v>
      </c>
      <c r="F1231" s="22">
        <v>725726</v>
      </c>
      <c r="G1231" s="19" t="s">
        <v>1091</v>
      </c>
      <c r="H1231" s="19" t="s">
        <v>3041</v>
      </c>
      <c r="I1231" s="19" t="s">
        <v>3042</v>
      </c>
      <c r="J1231" s="19" t="s">
        <v>1104</v>
      </c>
      <c r="K1231" s="19" t="s">
        <v>6</v>
      </c>
      <c r="L1231" s="19" t="s">
        <v>1095</v>
      </c>
      <c r="M1231" s="19" t="s">
        <v>1095</v>
      </c>
      <c r="N1231" s="19" t="s">
        <v>1105</v>
      </c>
      <c r="R1231" t="s">
        <v>1097</v>
      </c>
    </row>
    <row r="1232" spans="1:18" hidden="1" x14ac:dyDescent="0.3">
      <c r="A1232" s="19">
        <f t="shared" si="19"/>
        <v>1231</v>
      </c>
      <c r="B1232" s="20" t="s">
        <v>87</v>
      </c>
      <c r="C1232" s="20" t="s">
        <v>86</v>
      </c>
      <c r="D1232" s="21" t="str">
        <f>IF($C1232="","",IFERROR(VLOOKUP($C1232,Map_Register!$A$2:$C$5,3,FALSE()),""))</f>
        <v>Border Region</v>
      </c>
      <c r="E1232" s="20" t="s">
        <v>15</v>
      </c>
      <c r="F1232" s="22">
        <v>725727</v>
      </c>
      <c r="G1232" s="19" t="s">
        <v>1091</v>
      </c>
      <c r="H1232" s="19" t="s">
        <v>3043</v>
      </c>
      <c r="I1232" s="19" t="s">
        <v>3044</v>
      </c>
      <c r="J1232" s="19" t="s">
        <v>1094</v>
      </c>
      <c r="K1232" s="19" t="s">
        <v>6</v>
      </c>
      <c r="L1232" s="19" t="s">
        <v>1095</v>
      </c>
      <c r="M1232" s="19" t="s">
        <v>1095</v>
      </c>
      <c r="N1232" s="19" t="s">
        <v>1105</v>
      </c>
      <c r="R1232" t="s">
        <v>1097</v>
      </c>
    </row>
    <row r="1233" spans="1:18" hidden="1" x14ac:dyDescent="0.3">
      <c r="A1233" s="19">
        <f t="shared" si="19"/>
        <v>1232</v>
      </c>
      <c r="B1233" s="20" t="s">
        <v>87</v>
      </c>
      <c r="C1233" s="20" t="s">
        <v>86</v>
      </c>
      <c r="D1233" s="21" t="str">
        <f>IF($C1233="","",IFERROR(VLOOKUP($C1233,Map_Register!$A$2:$C$5,3,FALSE()),""))</f>
        <v>Border Region</v>
      </c>
      <c r="E1233" s="20" t="s">
        <v>15</v>
      </c>
      <c r="F1233" s="22">
        <v>725728</v>
      </c>
      <c r="G1233" s="19" t="s">
        <v>1091</v>
      </c>
      <c r="H1233" s="19" t="s">
        <v>3045</v>
      </c>
      <c r="I1233" s="19" t="s">
        <v>3046</v>
      </c>
      <c r="J1233" s="19" t="s">
        <v>1104</v>
      </c>
      <c r="K1233" s="19" t="s">
        <v>6</v>
      </c>
      <c r="L1233" s="19" t="s">
        <v>1095</v>
      </c>
      <c r="M1233" s="19" t="s">
        <v>1095</v>
      </c>
      <c r="N1233" s="19" t="s">
        <v>1105</v>
      </c>
      <c r="R1233" t="s">
        <v>1097</v>
      </c>
    </row>
    <row r="1234" spans="1:18" hidden="1" x14ac:dyDescent="0.3">
      <c r="A1234" s="19">
        <f t="shared" si="19"/>
        <v>1233</v>
      </c>
      <c r="B1234" s="20" t="s">
        <v>87</v>
      </c>
      <c r="C1234" s="20" t="s">
        <v>86</v>
      </c>
      <c r="D1234" s="21" t="str">
        <f>IF($C1234="","",IFERROR(VLOOKUP($C1234,Map_Register!$A$2:$C$5,3,FALSE()),""))</f>
        <v>Border Region</v>
      </c>
      <c r="E1234" s="20" t="s">
        <v>15</v>
      </c>
      <c r="F1234" s="22">
        <v>725729</v>
      </c>
      <c r="G1234" s="19" t="s">
        <v>1091</v>
      </c>
      <c r="H1234" s="19" t="s">
        <v>3047</v>
      </c>
      <c r="I1234" s="19" t="s">
        <v>3048</v>
      </c>
      <c r="J1234" s="19" t="s">
        <v>1094</v>
      </c>
      <c r="K1234" s="19" t="s">
        <v>6</v>
      </c>
      <c r="L1234" s="19" t="s">
        <v>1095</v>
      </c>
      <c r="M1234" s="19" t="s">
        <v>1095</v>
      </c>
      <c r="N1234" s="19" t="s">
        <v>1105</v>
      </c>
      <c r="R1234" t="s">
        <v>1097</v>
      </c>
    </row>
    <row r="1235" spans="1:18" hidden="1" x14ac:dyDescent="0.3">
      <c r="A1235" s="19">
        <f t="shared" si="19"/>
        <v>1234</v>
      </c>
      <c r="B1235" s="20" t="s">
        <v>87</v>
      </c>
      <c r="C1235" s="20" t="s">
        <v>86</v>
      </c>
      <c r="D1235" s="21" t="str">
        <f>IF($C1235="","",IFERROR(VLOOKUP($C1235,Map_Register!$A$2:$C$5,3,FALSE()),""))</f>
        <v>Border Region</v>
      </c>
      <c r="E1235" s="20" t="s">
        <v>15</v>
      </c>
      <c r="F1235" s="22">
        <v>725730</v>
      </c>
      <c r="G1235" s="19" t="s">
        <v>1108</v>
      </c>
      <c r="H1235" s="19" t="s">
        <v>3049</v>
      </c>
      <c r="I1235" s="19" t="s">
        <v>3049</v>
      </c>
      <c r="J1235" s="19" t="s">
        <v>1117</v>
      </c>
      <c r="K1235" s="19" t="s">
        <v>6</v>
      </c>
      <c r="L1235" s="19" t="s">
        <v>1095</v>
      </c>
      <c r="M1235" s="19" t="s">
        <v>1095</v>
      </c>
      <c r="N1235" s="19" t="s">
        <v>1111</v>
      </c>
      <c r="R1235" t="s">
        <v>1097</v>
      </c>
    </row>
    <row r="1236" spans="1:18" hidden="1" x14ac:dyDescent="0.3">
      <c r="A1236" s="19">
        <f t="shared" si="19"/>
        <v>1235</v>
      </c>
      <c r="B1236" s="20" t="s">
        <v>87</v>
      </c>
      <c r="C1236" s="20" t="s">
        <v>86</v>
      </c>
      <c r="D1236" s="21" t="str">
        <f>IF($C1236="","",IFERROR(VLOOKUP($C1236,Map_Register!$A$2:$C$5,3,FALSE()),""))</f>
        <v>Border Region</v>
      </c>
      <c r="E1236" s="20" t="s">
        <v>15</v>
      </c>
      <c r="F1236" s="22">
        <v>725731</v>
      </c>
      <c r="G1236" s="19" t="s">
        <v>1223</v>
      </c>
      <c r="H1236" s="19" t="s">
        <v>3050</v>
      </c>
      <c r="I1236" s="19" t="s">
        <v>3051</v>
      </c>
      <c r="J1236" s="19" t="s">
        <v>1094</v>
      </c>
      <c r="K1236" s="19" t="s">
        <v>6</v>
      </c>
      <c r="L1236" s="19" t="s">
        <v>1095</v>
      </c>
      <c r="M1236" s="19" t="s">
        <v>1095</v>
      </c>
      <c r="N1236" s="19" t="s">
        <v>1105</v>
      </c>
      <c r="R1236" t="s">
        <v>1097</v>
      </c>
    </row>
    <row r="1237" spans="1:18" hidden="1" x14ac:dyDescent="0.3">
      <c r="A1237" s="19">
        <f t="shared" si="19"/>
        <v>1236</v>
      </c>
      <c r="B1237" s="20" t="s">
        <v>87</v>
      </c>
      <c r="C1237" s="20" t="s">
        <v>86</v>
      </c>
      <c r="D1237" s="21" t="str">
        <f>IF($C1237="","",IFERROR(VLOOKUP($C1237,Map_Register!$A$2:$C$5,3,FALSE()),""))</f>
        <v>Border Region</v>
      </c>
      <c r="E1237" s="20" t="s">
        <v>15</v>
      </c>
      <c r="F1237" s="22">
        <v>725732</v>
      </c>
      <c r="G1237" s="19" t="s">
        <v>1091</v>
      </c>
      <c r="H1237" s="19" t="s">
        <v>3052</v>
      </c>
      <c r="I1237" s="19" t="s">
        <v>3053</v>
      </c>
      <c r="J1237" s="19" t="s">
        <v>1104</v>
      </c>
      <c r="K1237" s="19" t="s">
        <v>6</v>
      </c>
      <c r="L1237" s="19" t="s">
        <v>1095</v>
      </c>
      <c r="M1237" s="19" t="s">
        <v>1095</v>
      </c>
      <c r="N1237" s="19" t="s">
        <v>1105</v>
      </c>
      <c r="R1237" t="s">
        <v>1097</v>
      </c>
    </row>
    <row r="1238" spans="1:18" hidden="1" x14ac:dyDescent="0.3">
      <c r="A1238" s="19">
        <f t="shared" si="19"/>
        <v>1237</v>
      </c>
      <c r="B1238" s="20" t="s">
        <v>87</v>
      </c>
      <c r="C1238" s="20" t="s">
        <v>86</v>
      </c>
      <c r="D1238" s="21" t="str">
        <f>IF($C1238="","",IFERROR(VLOOKUP($C1238,Map_Register!$A$2:$C$5,3,FALSE()),""))</f>
        <v>Border Region</v>
      </c>
      <c r="E1238" s="20" t="s">
        <v>15</v>
      </c>
      <c r="F1238" s="22">
        <v>725733</v>
      </c>
      <c r="G1238" s="19" t="s">
        <v>1223</v>
      </c>
      <c r="H1238" s="19" t="s">
        <v>3054</v>
      </c>
      <c r="I1238" s="19" t="s">
        <v>3054</v>
      </c>
      <c r="J1238" s="19" t="s">
        <v>1117</v>
      </c>
      <c r="K1238" s="19" t="s">
        <v>6</v>
      </c>
      <c r="L1238" s="19" t="s">
        <v>1095</v>
      </c>
      <c r="M1238" s="19" t="s">
        <v>1095</v>
      </c>
      <c r="N1238" s="19" t="s">
        <v>1389</v>
      </c>
      <c r="R1238" t="s">
        <v>1097</v>
      </c>
    </row>
    <row r="1239" spans="1:18" hidden="1" x14ac:dyDescent="0.3">
      <c r="A1239" s="19">
        <f t="shared" si="19"/>
        <v>1238</v>
      </c>
      <c r="B1239" s="20" t="s">
        <v>87</v>
      </c>
      <c r="C1239" s="20" t="s">
        <v>86</v>
      </c>
      <c r="D1239" s="21" t="str">
        <f>IF($C1239="","",IFERROR(VLOOKUP($C1239,Map_Register!$A$2:$C$5,3,FALSE()),""))</f>
        <v>Border Region</v>
      </c>
      <c r="E1239" s="20" t="s">
        <v>15</v>
      </c>
      <c r="F1239" s="22">
        <v>725734</v>
      </c>
      <c r="G1239" s="19" t="s">
        <v>1091</v>
      </c>
      <c r="H1239" s="19" t="s">
        <v>3055</v>
      </c>
      <c r="I1239" s="19" t="s">
        <v>3056</v>
      </c>
      <c r="J1239" s="19" t="s">
        <v>1094</v>
      </c>
      <c r="K1239" s="19" t="s">
        <v>6</v>
      </c>
      <c r="L1239" s="19" t="s">
        <v>1095</v>
      </c>
      <c r="M1239" s="19" t="s">
        <v>1095</v>
      </c>
      <c r="N1239" s="19" t="s">
        <v>1105</v>
      </c>
      <c r="R1239" t="s">
        <v>1097</v>
      </c>
    </row>
    <row r="1240" spans="1:18" hidden="1" x14ac:dyDescent="0.3">
      <c r="A1240" s="19">
        <f t="shared" si="19"/>
        <v>1239</v>
      </c>
      <c r="B1240" s="20" t="s">
        <v>87</v>
      </c>
      <c r="C1240" s="20" t="s">
        <v>86</v>
      </c>
      <c r="D1240" s="21" t="str">
        <f>IF($C1240="","",IFERROR(VLOOKUP($C1240,Map_Register!$A$2:$C$5,3,FALSE()),""))</f>
        <v>Border Region</v>
      </c>
      <c r="E1240" s="20" t="s">
        <v>15</v>
      </c>
      <c r="F1240" s="22">
        <v>725735</v>
      </c>
      <c r="G1240" s="19" t="s">
        <v>1091</v>
      </c>
      <c r="H1240" s="19" t="s">
        <v>3057</v>
      </c>
      <c r="I1240" s="19" t="s">
        <v>3058</v>
      </c>
      <c r="J1240" s="19" t="s">
        <v>1094</v>
      </c>
      <c r="K1240" s="19" t="s">
        <v>6</v>
      </c>
      <c r="L1240" s="19" t="s">
        <v>1095</v>
      </c>
      <c r="M1240" s="19" t="s">
        <v>1095</v>
      </c>
      <c r="N1240" s="19" t="s">
        <v>1105</v>
      </c>
      <c r="R1240" t="s">
        <v>1097</v>
      </c>
    </row>
    <row r="1241" spans="1:18" hidden="1" x14ac:dyDescent="0.3">
      <c r="A1241" s="19">
        <f t="shared" si="19"/>
        <v>1240</v>
      </c>
      <c r="B1241" s="20" t="s">
        <v>87</v>
      </c>
      <c r="C1241" s="20" t="s">
        <v>86</v>
      </c>
      <c r="D1241" s="21" t="str">
        <f>IF($C1241="","",IFERROR(VLOOKUP($C1241,Map_Register!$A$2:$C$5,3,FALSE()),""))</f>
        <v>Border Region</v>
      </c>
      <c r="E1241" s="20" t="s">
        <v>15</v>
      </c>
      <c r="F1241" s="22">
        <v>725736</v>
      </c>
      <c r="G1241" s="19" t="s">
        <v>1091</v>
      </c>
      <c r="H1241" s="19" t="s">
        <v>3059</v>
      </c>
      <c r="I1241" s="19" t="s">
        <v>3060</v>
      </c>
      <c r="J1241" s="19" t="s">
        <v>1104</v>
      </c>
      <c r="K1241" s="19" t="s">
        <v>6</v>
      </c>
      <c r="L1241" s="19" t="s">
        <v>1095</v>
      </c>
      <c r="M1241" s="19" t="s">
        <v>1095</v>
      </c>
      <c r="N1241" s="19" t="s">
        <v>1105</v>
      </c>
      <c r="R1241" t="s">
        <v>1097</v>
      </c>
    </row>
    <row r="1242" spans="1:18" hidden="1" x14ac:dyDescent="0.3">
      <c r="A1242" s="19">
        <f t="shared" si="19"/>
        <v>1241</v>
      </c>
      <c r="B1242" s="20" t="s">
        <v>87</v>
      </c>
      <c r="C1242" s="20" t="s">
        <v>86</v>
      </c>
      <c r="D1242" s="21" t="str">
        <f>IF($C1242="","",IFERROR(VLOOKUP($C1242,Map_Register!$A$2:$C$5,3,FALSE()),""))</f>
        <v>Border Region</v>
      </c>
      <c r="E1242" s="20" t="s">
        <v>15</v>
      </c>
      <c r="F1242" s="22">
        <v>725737</v>
      </c>
      <c r="G1242" s="19" t="s">
        <v>1091</v>
      </c>
      <c r="H1242" s="19" t="s">
        <v>3061</v>
      </c>
      <c r="I1242" s="19" t="s">
        <v>3062</v>
      </c>
      <c r="J1242" s="19" t="s">
        <v>1104</v>
      </c>
      <c r="K1242" s="19" t="s">
        <v>6</v>
      </c>
      <c r="L1242" s="19" t="s">
        <v>1095</v>
      </c>
      <c r="M1242" s="19" t="s">
        <v>1095</v>
      </c>
      <c r="N1242" s="19" t="s">
        <v>1105</v>
      </c>
      <c r="R1242" t="s">
        <v>1097</v>
      </c>
    </row>
    <row r="1243" spans="1:18" hidden="1" x14ac:dyDescent="0.3">
      <c r="A1243" s="19">
        <f t="shared" si="19"/>
        <v>1242</v>
      </c>
      <c r="B1243" s="20" t="s">
        <v>87</v>
      </c>
      <c r="C1243" s="20" t="s">
        <v>86</v>
      </c>
      <c r="D1243" s="21" t="str">
        <f>IF($C1243="","",IFERROR(VLOOKUP($C1243,Map_Register!$A$2:$C$5,3,FALSE()),""))</f>
        <v>Border Region</v>
      </c>
      <c r="E1243" s="20" t="s">
        <v>15</v>
      </c>
      <c r="F1243" s="22">
        <v>725738</v>
      </c>
      <c r="G1243" s="19" t="s">
        <v>1118</v>
      </c>
      <c r="H1243" s="19" t="s">
        <v>3063</v>
      </c>
      <c r="I1243" s="19" t="s">
        <v>3064</v>
      </c>
      <c r="J1243" s="19" t="s">
        <v>1104</v>
      </c>
      <c r="K1243" s="19" t="s">
        <v>6</v>
      </c>
      <c r="L1243" s="19" t="s">
        <v>1095</v>
      </c>
      <c r="M1243" s="19" t="s">
        <v>1095</v>
      </c>
      <c r="N1243" s="19" t="s">
        <v>3065</v>
      </c>
      <c r="R1243" t="s">
        <v>1097</v>
      </c>
    </row>
    <row r="1244" spans="1:18" hidden="1" x14ac:dyDescent="0.3">
      <c r="A1244" s="19">
        <f t="shared" si="19"/>
        <v>1243</v>
      </c>
      <c r="B1244" s="20" t="s">
        <v>87</v>
      </c>
      <c r="C1244" s="20" t="s">
        <v>86</v>
      </c>
      <c r="D1244" s="21" t="str">
        <f>IF($C1244="","",IFERROR(VLOOKUP($C1244,Map_Register!$A$2:$C$5,3,FALSE()),""))</f>
        <v>Border Region</v>
      </c>
      <c r="E1244" s="20" t="s">
        <v>15</v>
      </c>
      <c r="F1244" s="22">
        <v>725739</v>
      </c>
      <c r="G1244" s="19" t="s">
        <v>1223</v>
      </c>
      <c r="H1244" s="19" t="s">
        <v>3066</v>
      </c>
      <c r="I1244" s="19" t="s">
        <v>3067</v>
      </c>
      <c r="J1244" s="19" t="s">
        <v>1094</v>
      </c>
      <c r="K1244" s="19" t="s">
        <v>6</v>
      </c>
      <c r="L1244" s="19" t="s">
        <v>1095</v>
      </c>
      <c r="M1244" s="19" t="s">
        <v>1095</v>
      </c>
      <c r="N1244" s="19" t="s">
        <v>1105</v>
      </c>
      <c r="R1244" t="s">
        <v>1097</v>
      </c>
    </row>
    <row r="1245" spans="1:18" hidden="1" x14ac:dyDescent="0.3">
      <c r="A1245" s="19">
        <f t="shared" si="19"/>
        <v>1244</v>
      </c>
      <c r="B1245" s="20" t="s">
        <v>87</v>
      </c>
      <c r="C1245" s="20" t="s">
        <v>86</v>
      </c>
      <c r="D1245" s="21" t="str">
        <f>IF($C1245="","",IFERROR(VLOOKUP($C1245,Map_Register!$A$2:$C$5,3,FALSE()),""))</f>
        <v>Border Region</v>
      </c>
      <c r="E1245" s="20" t="s">
        <v>15</v>
      </c>
      <c r="F1245" s="22">
        <v>725740</v>
      </c>
      <c r="G1245" s="19" t="s">
        <v>1091</v>
      </c>
      <c r="H1245" s="19" t="s">
        <v>3068</v>
      </c>
      <c r="I1245" s="19" t="s">
        <v>3069</v>
      </c>
      <c r="J1245" s="19" t="s">
        <v>1104</v>
      </c>
      <c r="K1245" s="19" t="s">
        <v>6</v>
      </c>
      <c r="L1245" s="19" t="s">
        <v>1095</v>
      </c>
      <c r="M1245" s="19" t="s">
        <v>1095</v>
      </c>
      <c r="N1245" s="19" t="s">
        <v>1105</v>
      </c>
      <c r="R1245" t="s">
        <v>1097</v>
      </c>
    </row>
    <row r="1246" spans="1:18" hidden="1" x14ac:dyDescent="0.3">
      <c r="A1246" s="19">
        <f t="shared" si="19"/>
        <v>1245</v>
      </c>
      <c r="B1246" s="20" t="s">
        <v>87</v>
      </c>
      <c r="C1246" s="20" t="s">
        <v>86</v>
      </c>
      <c r="D1246" s="21" t="str">
        <f>IF($C1246="","",IFERROR(VLOOKUP($C1246,Map_Register!$A$2:$C$5,3,FALSE()),""))</f>
        <v>Border Region</v>
      </c>
      <c r="E1246" s="20" t="s">
        <v>15</v>
      </c>
      <c r="F1246" s="22">
        <v>725742</v>
      </c>
      <c r="G1246" s="19" t="s">
        <v>1091</v>
      </c>
      <c r="H1246" s="19" t="s">
        <v>3070</v>
      </c>
      <c r="I1246" s="19" t="s">
        <v>3071</v>
      </c>
      <c r="J1246" s="19" t="s">
        <v>1104</v>
      </c>
      <c r="K1246" s="19" t="s">
        <v>6</v>
      </c>
      <c r="L1246" s="19" t="s">
        <v>1095</v>
      </c>
      <c r="M1246" s="19" t="s">
        <v>1095</v>
      </c>
      <c r="N1246" s="19" t="s">
        <v>1105</v>
      </c>
      <c r="R1246" t="s">
        <v>1097</v>
      </c>
    </row>
    <row r="1247" spans="1:18" hidden="1" x14ac:dyDescent="0.3">
      <c r="A1247" s="19">
        <f t="shared" si="19"/>
        <v>1246</v>
      </c>
      <c r="B1247" s="20" t="s">
        <v>87</v>
      </c>
      <c r="C1247" s="20" t="s">
        <v>86</v>
      </c>
      <c r="D1247" s="21" t="str">
        <f>IF($C1247="","",IFERROR(VLOOKUP($C1247,Map_Register!$A$2:$C$5,3,FALSE()),""))</f>
        <v>Border Region</v>
      </c>
      <c r="E1247" s="20" t="s">
        <v>15</v>
      </c>
      <c r="F1247" s="22">
        <v>725743</v>
      </c>
      <c r="G1247" s="19" t="s">
        <v>1118</v>
      </c>
      <c r="H1247" s="19" t="s">
        <v>3072</v>
      </c>
      <c r="I1247" s="19" t="s">
        <v>3072</v>
      </c>
      <c r="J1247" s="19" t="s">
        <v>1117</v>
      </c>
      <c r="K1247" s="19" t="s">
        <v>8</v>
      </c>
      <c r="L1247" s="19" t="s">
        <v>114</v>
      </c>
      <c r="M1247" s="19" t="s">
        <v>114</v>
      </c>
      <c r="N1247" s="19" t="s">
        <v>2774</v>
      </c>
      <c r="O1247" s="19" t="s">
        <v>116</v>
      </c>
      <c r="R1247" t="s">
        <v>1097</v>
      </c>
    </row>
    <row r="1248" spans="1:18" x14ac:dyDescent="0.3">
      <c r="A1248" s="19">
        <f t="shared" si="19"/>
        <v>1247</v>
      </c>
      <c r="B1248" s="20" t="s">
        <v>87</v>
      </c>
      <c r="C1248" s="20" t="s">
        <v>86</v>
      </c>
      <c r="D1248" s="21" t="str">
        <f>IF($C1248="","",IFERROR(VLOOKUP($C1248,Map_Register!$A$2:$C$5,3,FALSE()),""))</f>
        <v>Border Region</v>
      </c>
      <c r="E1248" s="20" t="s">
        <v>15</v>
      </c>
      <c r="F1248" s="22">
        <v>725745</v>
      </c>
      <c r="G1248" s="19" t="s">
        <v>1205</v>
      </c>
      <c r="H1248" s="19" t="s">
        <v>3047</v>
      </c>
      <c r="I1248" s="19" t="s">
        <v>3047</v>
      </c>
      <c r="J1248" s="19" t="s">
        <v>1110</v>
      </c>
      <c r="K1248" s="19" t="s">
        <v>8</v>
      </c>
      <c r="L1248" s="19" t="s">
        <v>114</v>
      </c>
      <c r="M1248" s="19" t="s">
        <v>116</v>
      </c>
      <c r="N1248" s="19" t="s">
        <v>2995</v>
      </c>
      <c r="O1248" s="19" t="s">
        <v>116</v>
      </c>
      <c r="R1248" t="s">
        <v>1097</v>
      </c>
    </row>
    <row r="1249" spans="1:18" x14ac:dyDescent="0.3">
      <c r="A1249" s="19">
        <f t="shared" si="19"/>
        <v>1248</v>
      </c>
      <c r="B1249" s="20" t="s">
        <v>87</v>
      </c>
      <c r="C1249" s="20" t="s">
        <v>86</v>
      </c>
      <c r="D1249" s="21" t="str">
        <f>IF($C1249="","",IFERROR(VLOOKUP($C1249,Map_Register!$A$2:$C$5,3,FALSE()),""))</f>
        <v>Border Region</v>
      </c>
      <c r="E1249" s="20" t="s">
        <v>15</v>
      </c>
      <c r="F1249" s="22">
        <v>725746</v>
      </c>
      <c r="G1249" s="19" t="s">
        <v>1205</v>
      </c>
      <c r="H1249" s="19" t="s">
        <v>3073</v>
      </c>
      <c r="I1249" s="19" t="s">
        <v>3073</v>
      </c>
      <c r="J1249" s="19" t="s">
        <v>1110</v>
      </c>
      <c r="K1249" s="19" t="s">
        <v>8</v>
      </c>
      <c r="L1249" s="19" t="s">
        <v>114</v>
      </c>
      <c r="M1249" s="19" t="s">
        <v>116</v>
      </c>
      <c r="N1249" s="19" t="s">
        <v>2995</v>
      </c>
      <c r="O1249" s="19" t="s">
        <v>116</v>
      </c>
      <c r="R1249" t="s">
        <v>1097</v>
      </c>
    </row>
    <row r="1250" spans="1:18" hidden="1" x14ac:dyDescent="0.3">
      <c r="A1250" s="19">
        <f t="shared" si="19"/>
        <v>1249</v>
      </c>
      <c r="B1250" s="20" t="s">
        <v>87</v>
      </c>
      <c r="C1250" s="20" t="s">
        <v>86</v>
      </c>
      <c r="D1250" s="21" t="str">
        <f>IF($C1250="","",IFERROR(VLOOKUP($C1250,Map_Register!$A$2:$C$5,3,FALSE()),""))</f>
        <v>Border Region</v>
      </c>
      <c r="E1250" s="20" t="s">
        <v>15</v>
      </c>
      <c r="F1250" s="22">
        <v>725747</v>
      </c>
      <c r="G1250" s="19" t="s">
        <v>1118</v>
      </c>
      <c r="H1250" s="19" t="s">
        <v>3074</v>
      </c>
      <c r="I1250" s="19" t="s">
        <v>3075</v>
      </c>
      <c r="J1250" s="19" t="s">
        <v>1104</v>
      </c>
      <c r="K1250" s="19" t="s">
        <v>6</v>
      </c>
      <c r="L1250" s="19" t="s">
        <v>1095</v>
      </c>
      <c r="M1250" s="19" t="s">
        <v>1095</v>
      </c>
      <c r="N1250" s="19" t="s">
        <v>3076</v>
      </c>
      <c r="R1250" t="s">
        <v>1097</v>
      </c>
    </row>
    <row r="1251" spans="1:18" hidden="1" x14ac:dyDescent="0.3">
      <c r="A1251" s="19">
        <f t="shared" si="19"/>
        <v>1250</v>
      </c>
      <c r="B1251" s="20" t="s">
        <v>87</v>
      </c>
      <c r="C1251" s="20" t="s">
        <v>86</v>
      </c>
      <c r="D1251" s="21" t="str">
        <f>IF($C1251="","",IFERROR(VLOOKUP($C1251,Map_Register!$A$2:$C$5,3,FALSE()),""))</f>
        <v>Border Region</v>
      </c>
      <c r="E1251" s="20" t="s">
        <v>15</v>
      </c>
      <c r="F1251" s="22">
        <v>725749</v>
      </c>
      <c r="G1251" s="19" t="s">
        <v>1091</v>
      </c>
      <c r="H1251" s="19" t="s">
        <v>3077</v>
      </c>
      <c r="I1251" s="19" t="s">
        <v>3078</v>
      </c>
      <c r="J1251" s="19" t="s">
        <v>1104</v>
      </c>
      <c r="K1251" s="19" t="s">
        <v>6</v>
      </c>
      <c r="L1251" s="19" t="s">
        <v>1095</v>
      </c>
      <c r="M1251" s="19" t="s">
        <v>1095</v>
      </c>
      <c r="N1251" s="19" t="s">
        <v>1105</v>
      </c>
      <c r="R1251" t="s">
        <v>1097</v>
      </c>
    </row>
    <row r="1252" spans="1:18" hidden="1" x14ac:dyDescent="0.3">
      <c r="A1252" s="19">
        <f t="shared" si="19"/>
        <v>1251</v>
      </c>
      <c r="B1252" s="20" t="s">
        <v>87</v>
      </c>
      <c r="C1252" s="20" t="s">
        <v>86</v>
      </c>
      <c r="D1252" s="21" t="str">
        <f>IF($C1252="","",IFERROR(VLOOKUP($C1252,Map_Register!$A$2:$C$5,3,FALSE()),""))</f>
        <v>Border Region</v>
      </c>
      <c r="E1252" s="20" t="s">
        <v>15</v>
      </c>
      <c r="F1252" s="22">
        <v>725750</v>
      </c>
      <c r="G1252" s="19" t="s">
        <v>1108</v>
      </c>
      <c r="H1252" s="19" t="s">
        <v>3079</v>
      </c>
      <c r="I1252" s="19" t="s">
        <v>3080</v>
      </c>
      <c r="J1252" s="19" t="s">
        <v>1094</v>
      </c>
      <c r="K1252" s="19" t="s">
        <v>6</v>
      </c>
      <c r="L1252" s="19" t="s">
        <v>1095</v>
      </c>
      <c r="M1252" s="19" t="s">
        <v>1095</v>
      </c>
      <c r="N1252" s="19" t="s">
        <v>1105</v>
      </c>
      <c r="R1252" t="s">
        <v>1097</v>
      </c>
    </row>
    <row r="1253" spans="1:18" hidden="1" x14ac:dyDescent="0.3">
      <c r="A1253" s="19">
        <f t="shared" si="19"/>
        <v>1252</v>
      </c>
      <c r="B1253" s="20" t="s">
        <v>87</v>
      </c>
      <c r="C1253" s="20" t="s">
        <v>86</v>
      </c>
      <c r="D1253" s="21" t="str">
        <f>IF($C1253="","",IFERROR(VLOOKUP($C1253,Map_Register!$A$2:$C$5,3,FALSE()),""))</f>
        <v>Border Region</v>
      </c>
      <c r="E1253" s="20" t="s">
        <v>15</v>
      </c>
      <c r="F1253" s="22">
        <v>725751</v>
      </c>
      <c r="G1253" s="19" t="s">
        <v>1091</v>
      </c>
      <c r="H1253" s="19" t="s">
        <v>3081</v>
      </c>
      <c r="I1253" s="19" t="s">
        <v>3082</v>
      </c>
      <c r="J1253" s="19" t="s">
        <v>1094</v>
      </c>
      <c r="K1253" s="19" t="s">
        <v>6</v>
      </c>
      <c r="L1253" s="19" t="s">
        <v>1095</v>
      </c>
      <c r="M1253" s="19" t="s">
        <v>1095</v>
      </c>
      <c r="N1253" s="19" t="s">
        <v>1105</v>
      </c>
      <c r="R1253" t="s">
        <v>1097</v>
      </c>
    </row>
    <row r="1254" spans="1:18" hidden="1" x14ac:dyDescent="0.3">
      <c r="A1254" s="19">
        <f t="shared" si="19"/>
        <v>1253</v>
      </c>
      <c r="B1254" s="20" t="s">
        <v>87</v>
      </c>
      <c r="C1254" s="20" t="s">
        <v>86</v>
      </c>
      <c r="D1254" s="21" t="str">
        <f>IF($C1254="","",IFERROR(VLOOKUP($C1254,Map_Register!$A$2:$C$5,3,FALSE()),""))</f>
        <v>Border Region</v>
      </c>
      <c r="E1254" s="20" t="s">
        <v>15</v>
      </c>
      <c r="F1254" s="22">
        <v>725752</v>
      </c>
      <c r="G1254" s="19" t="s">
        <v>1091</v>
      </c>
      <c r="H1254" s="19" t="s">
        <v>3083</v>
      </c>
      <c r="I1254" s="19" t="s">
        <v>3084</v>
      </c>
      <c r="J1254" s="19" t="s">
        <v>1094</v>
      </c>
      <c r="K1254" s="19" t="s">
        <v>6</v>
      </c>
      <c r="L1254" s="19" t="s">
        <v>1095</v>
      </c>
      <c r="M1254" s="19" t="s">
        <v>1095</v>
      </c>
      <c r="N1254" s="19" t="s">
        <v>1105</v>
      </c>
      <c r="R1254" t="s">
        <v>1097</v>
      </c>
    </row>
    <row r="1255" spans="1:18" hidden="1" x14ac:dyDescent="0.3">
      <c r="A1255" s="19">
        <f t="shared" si="19"/>
        <v>1254</v>
      </c>
      <c r="B1255" s="20" t="s">
        <v>87</v>
      </c>
      <c r="C1255" s="20" t="s">
        <v>86</v>
      </c>
      <c r="D1255" s="21" t="str">
        <f>IF($C1255="","",IFERROR(VLOOKUP($C1255,Map_Register!$A$2:$C$5,3,FALSE()),""))</f>
        <v>Border Region</v>
      </c>
      <c r="E1255" s="20" t="s">
        <v>15</v>
      </c>
      <c r="F1255" s="22">
        <v>725756</v>
      </c>
      <c r="G1255" s="19" t="s">
        <v>1118</v>
      </c>
      <c r="H1255" s="19" t="s">
        <v>3085</v>
      </c>
      <c r="I1255" s="19" t="s">
        <v>3086</v>
      </c>
      <c r="J1255" s="19" t="s">
        <v>1104</v>
      </c>
      <c r="K1255" s="19" t="s">
        <v>6</v>
      </c>
      <c r="L1255" s="19" t="s">
        <v>1095</v>
      </c>
      <c r="M1255" s="19" t="s">
        <v>1095</v>
      </c>
      <c r="N1255" s="19" t="s">
        <v>1105</v>
      </c>
      <c r="R1255" t="s">
        <v>1097</v>
      </c>
    </row>
    <row r="1256" spans="1:18" hidden="1" x14ac:dyDescent="0.3">
      <c r="A1256" s="19">
        <f t="shared" si="19"/>
        <v>1255</v>
      </c>
      <c r="B1256" s="20" t="s">
        <v>87</v>
      </c>
      <c r="C1256" s="20" t="s">
        <v>86</v>
      </c>
      <c r="D1256" s="21" t="str">
        <f>IF($C1256="","",IFERROR(VLOOKUP($C1256,Map_Register!$A$2:$C$5,3,FALSE()),""))</f>
        <v>Border Region</v>
      </c>
      <c r="E1256" s="20" t="s">
        <v>15</v>
      </c>
      <c r="F1256" s="22">
        <v>725757</v>
      </c>
      <c r="G1256" s="19" t="s">
        <v>1091</v>
      </c>
      <c r="H1256" s="19" t="s">
        <v>1702</v>
      </c>
      <c r="I1256" s="19" t="s">
        <v>3087</v>
      </c>
      <c r="J1256" s="19" t="s">
        <v>1094</v>
      </c>
      <c r="K1256" s="19" t="s">
        <v>6</v>
      </c>
      <c r="L1256" s="19" t="s">
        <v>1095</v>
      </c>
      <c r="M1256" s="19" t="s">
        <v>1095</v>
      </c>
      <c r="N1256" s="19" t="s">
        <v>1105</v>
      </c>
      <c r="R1256" t="s">
        <v>1097</v>
      </c>
    </row>
    <row r="1257" spans="1:18" hidden="1" x14ac:dyDescent="0.3">
      <c r="A1257" s="19">
        <f t="shared" si="19"/>
        <v>1256</v>
      </c>
      <c r="B1257" s="20" t="s">
        <v>87</v>
      </c>
      <c r="C1257" s="20" t="s">
        <v>86</v>
      </c>
      <c r="D1257" s="21" t="str">
        <f>IF($C1257="","",IFERROR(VLOOKUP($C1257,Map_Register!$A$2:$C$5,3,FALSE()),""))</f>
        <v>Border Region</v>
      </c>
      <c r="E1257" s="20" t="s">
        <v>15</v>
      </c>
      <c r="F1257" s="22">
        <v>725758</v>
      </c>
      <c r="G1257" s="19" t="s">
        <v>1091</v>
      </c>
      <c r="H1257" s="19" t="s">
        <v>3088</v>
      </c>
      <c r="I1257" s="19" t="s">
        <v>3089</v>
      </c>
      <c r="J1257" s="19" t="s">
        <v>1104</v>
      </c>
      <c r="K1257" s="19" t="s">
        <v>6</v>
      </c>
      <c r="L1257" s="19" t="s">
        <v>1095</v>
      </c>
      <c r="M1257" s="19" t="s">
        <v>1095</v>
      </c>
      <c r="N1257" s="19" t="s">
        <v>1105</v>
      </c>
      <c r="R1257" t="s">
        <v>1097</v>
      </c>
    </row>
    <row r="1258" spans="1:18" hidden="1" x14ac:dyDescent="0.3">
      <c r="A1258" s="19">
        <f t="shared" si="19"/>
        <v>1257</v>
      </c>
      <c r="B1258" s="20" t="s">
        <v>87</v>
      </c>
      <c r="C1258" s="20" t="s">
        <v>86</v>
      </c>
      <c r="D1258" s="21" t="str">
        <f>IF($C1258="","",IFERROR(VLOOKUP($C1258,Map_Register!$A$2:$C$5,3,FALSE()),""))</f>
        <v>Border Region</v>
      </c>
      <c r="E1258" s="20" t="s">
        <v>15</v>
      </c>
      <c r="F1258" s="22">
        <v>725759</v>
      </c>
      <c r="G1258" s="19" t="s">
        <v>1091</v>
      </c>
      <c r="H1258" s="19" t="s">
        <v>3090</v>
      </c>
      <c r="I1258" s="19" t="s">
        <v>3091</v>
      </c>
      <c r="J1258" s="19" t="s">
        <v>1104</v>
      </c>
      <c r="K1258" s="19" t="s">
        <v>8</v>
      </c>
      <c r="L1258" s="19" t="s">
        <v>114</v>
      </c>
      <c r="M1258" s="19" t="s">
        <v>114</v>
      </c>
      <c r="N1258" s="19" t="s">
        <v>2835</v>
      </c>
      <c r="O1258" s="19" t="s">
        <v>116</v>
      </c>
      <c r="R1258" t="s">
        <v>1097</v>
      </c>
    </row>
    <row r="1259" spans="1:18" hidden="1" x14ac:dyDescent="0.3">
      <c r="A1259" s="19">
        <f t="shared" si="19"/>
        <v>1258</v>
      </c>
      <c r="B1259" s="20" t="s">
        <v>87</v>
      </c>
      <c r="C1259" s="20" t="s">
        <v>86</v>
      </c>
      <c r="D1259" s="21" t="str">
        <f>IF($C1259="","",IFERROR(VLOOKUP($C1259,Map_Register!$A$2:$C$5,3,FALSE()),""))</f>
        <v>Border Region</v>
      </c>
      <c r="E1259" s="20" t="s">
        <v>15</v>
      </c>
      <c r="F1259" s="22">
        <v>725760</v>
      </c>
      <c r="G1259" s="19" t="s">
        <v>1108</v>
      </c>
      <c r="H1259" s="19" t="s">
        <v>3092</v>
      </c>
      <c r="I1259" s="19" t="s">
        <v>3093</v>
      </c>
      <c r="J1259" s="19" t="s">
        <v>1104</v>
      </c>
      <c r="K1259" s="19" t="s">
        <v>6</v>
      </c>
      <c r="L1259" s="19" t="s">
        <v>1095</v>
      </c>
      <c r="M1259" s="19" t="s">
        <v>1095</v>
      </c>
      <c r="N1259" s="19" t="s">
        <v>1105</v>
      </c>
      <c r="R1259" t="s">
        <v>1097</v>
      </c>
    </row>
    <row r="1260" spans="1:18" hidden="1" x14ac:dyDescent="0.3">
      <c r="A1260" s="19">
        <f t="shared" si="19"/>
        <v>1259</v>
      </c>
      <c r="B1260" s="20" t="s">
        <v>87</v>
      </c>
      <c r="C1260" s="20" t="s">
        <v>86</v>
      </c>
      <c r="D1260" s="21" t="str">
        <f>IF($C1260="","",IFERROR(VLOOKUP($C1260,Map_Register!$A$2:$C$5,3,FALSE()),""))</f>
        <v>Border Region</v>
      </c>
      <c r="E1260" s="20" t="s">
        <v>15</v>
      </c>
      <c r="F1260" s="22">
        <v>725761</v>
      </c>
      <c r="G1260" s="19" t="s">
        <v>1091</v>
      </c>
      <c r="H1260" s="19" t="s">
        <v>3094</v>
      </c>
      <c r="I1260" s="19" t="s">
        <v>3095</v>
      </c>
      <c r="J1260" s="19" t="s">
        <v>1104</v>
      </c>
      <c r="K1260" s="19" t="s">
        <v>6</v>
      </c>
      <c r="L1260" s="19" t="s">
        <v>1095</v>
      </c>
      <c r="M1260" s="19" t="s">
        <v>1095</v>
      </c>
      <c r="N1260" s="19" t="s">
        <v>1105</v>
      </c>
      <c r="R1260" t="s">
        <v>1097</v>
      </c>
    </row>
    <row r="1261" spans="1:18" hidden="1" x14ac:dyDescent="0.3">
      <c r="A1261" s="19">
        <f t="shared" si="19"/>
        <v>1260</v>
      </c>
      <c r="B1261" s="20" t="s">
        <v>87</v>
      </c>
      <c r="C1261" s="20" t="s">
        <v>86</v>
      </c>
      <c r="D1261" s="21" t="str">
        <f>IF($C1261="","",IFERROR(VLOOKUP($C1261,Map_Register!$A$2:$C$5,3,FALSE()),""))</f>
        <v>Border Region</v>
      </c>
      <c r="E1261" s="20" t="s">
        <v>15</v>
      </c>
      <c r="F1261" s="22">
        <v>725762</v>
      </c>
      <c r="G1261" s="19" t="s">
        <v>1091</v>
      </c>
      <c r="H1261" s="19" t="s">
        <v>3096</v>
      </c>
      <c r="I1261" s="19" t="s">
        <v>3096</v>
      </c>
      <c r="J1261" s="19" t="s">
        <v>1110</v>
      </c>
      <c r="K1261" s="19" t="s">
        <v>6</v>
      </c>
      <c r="L1261" s="19" t="s">
        <v>1095</v>
      </c>
      <c r="M1261" s="19" t="s">
        <v>1095</v>
      </c>
      <c r="N1261" s="19" t="s">
        <v>1300</v>
      </c>
      <c r="R1261" t="s">
        <v>1097</v>
      </c>
    </row>
    <row r="1262" spans="1:18" hidden="1" x14ac:dyDescent="0.3">
      <c r="A1262" s="19">
        <f t="shared" si="19"/>
        <v>1261</v>
      </c>
      <c r="B1262" s="20" t="s">
        <v>87</v>
      </c>
      <c r="C1262" s="20" t="s">
        <v>86</v>
      </c>
      <c r="D1262" s="21" t="str">
        <f>IF($C1262="","",IFERROR(VLOOKUP($C1262,Map_Register!$A$2:$C$5,3,FALSE()),""))</f>
        <v>Border Region</v>
      </c>
      <c r="E1262" s="20" t="s">
        <v>15</v>
      </c>
      <c r="F1262" s="22">
        <v>725763</v>
      </c>
      <c r="G1262" s="19" t="s">
        <v>1091</v>
      </c>
      <c r="H1262" s="19" t="s">
        <v>3097</v>
      </c>
      <c r="I1262" s="19" t="s">
        <v>3098</v>
      </c>
      <c r="J1262" s="19" t="s">
        <v>1104</v>
      </c>
      <c r="K1262" s="19" t="s">
        <v>6</v>
      </c>
      <c r="L1262" s="19" t="s">
        <v>1095</v>
      </c>
      <c r="M1262" s="19" t="s">
        <v>1095</v>
      </c>
      <c r="N1262" s="19" t="s">
        <v>1105</v>
      </c>
      <c r="R1262" t="s">
        <v>1097</v>
      </c>
    </row>
    <row r="1263" spans="1:18" hidden="1" x14ac:dyDescent="0.3">
      <c r="A1263" s="19">
        <f t="shared" si="19"/>
        <v>1262</v>
      </c>
      <c r="B1263" s="20" t="s">
        <v>87</v>
      </c>
      <c r="C1263" s="20" t="s">
        <v>86</v>
      </c>
      <c r="D1263" s="21" t="str">
        <f>IF($C1263="","",IFERROR(VLOOKUP($C1263,Map_Register!$A$2:$C$5,3,FALSE()),""))</f>
        <v>Border Region</v>
      </c>
      <c r="E1263" s="20" t="s">
        <v>15</v>
      </c>
      <c r="F1263" s="22">
        <v>725764</v>
      </c>
      <c r="G1263" s="19" t="s">
        <v>1091</v>
      </c>
      <c r="H1263" s="19" t="s">
        <v>3099</v>
      </c>
      <c r="I1263" s="19" t="s">
        <v>3100</v>
      </c>
      <c r="J1263" s="19" t="s">
        <v>1094</v>
      </c>
      <c r="K1263" s="19" t="s">
        <v>6</v>
      </c>
      <c r="L1263" s="19" t="s">
        <v>1095</v>
      </c>
      <c r="M1263" s="19" t="s">
        <v>1095</v>
      </c>
      <c r="N1263" s="19" t="s">
        <v>1105</v>
      </c>
      <c r="R1263" t="s">
        <v>1097</v>
      </c>
    </row>
    <row r="1264" spans="1:18" hidden="1" x14ac:dyDescent="0.3">
      <c r="A1264" s="19">
        <f t="shared" si="19"/>
        <v>1263</v>
      </c>
      <c r="B1264" s="20" t="s">
        <v>87</v>
      </c>
      <c r="C1264" s="20" t="s">
        <v>86</v>
      </c>
      <c r="D1264" s="21" t="str">
        <f>IF($C1264="","",IFERROR(VLOOKUP($C1264,Map_Register!$A$2:$C$5,3,FALSE()),""))</f>
        <v>Border Region</v>
      </c>
      <c r="E1264" s="20" t="s">
        <v>15</v>
      </c>
      <c r="F1264" s="22">
        <v>725765</v>
      </c>
      <c r="G1264" s="19" t="s">
        <v>1108</v>
      </c>
      <c r="H1264" s="19" t="s">
        <v>3101</v>
      </c>
      <c r="I1264" s="19" t="s">
        <v>3102</v>
      </c>
      <c r="J1264" s="19" t="s">
        <v>1094</v>
      </c>
      <c r="K1264" s="19" t="s">
        <v>6</v>
      </c>
      <c r="L1264" s="19" t="s">
        <v>1095</v>
      </c>
      <c r="M1264" s="19" t="s">
        <v>1095</v>
      </c>
      <c r="N1264" s="19" t="s">
        <v>1105</v>
      </c>
      <c r="R1264" t="s">
        <v>1097</v>
      </c>
    </row>
    <row r="1265" spans="1:18" hidden="1" x14ac:dyDescent="0.3">
      <c r="A1265" s="19">
        <f t="shared" si="19"/>
        <v>1264</v>
      </c>
      <c r="B1265" s="20" t="s">
        <v>87</v>
      </c>
      <c r="C1265" s="20" t="s">
        <v>86</v>
      </c>
      <c r="D1265" s="21" t="str">
        <f>IF($C1265="","",IFERROR(VLOOKUP($C1265,Map_Register!$A$2:$C$5,3,FALSE()),""))</f>
        <v>Border Region</v>
      </c>
      <c r="E1265" s="20" t="s">
        <v>15</v>
      </c>
      <c r="F1265" s="22">
        <v>725766</v>
      </c>
      <c r="G1265" s="19" t="s">
        <v>1091</v>
      </c>
      <c r="H1265" s="19" t="s">
        <v>3103</v>
      </c>
      <c r="I1265" s="19" t="s">
        <v>3103</v>
      </c>
      <c r="J1265" s="19" t="s">
        <v>1110</v>
      </c>
      <c r="K1265" s="19" t="s">
        <v>6</v>
      </c>
      <c r="L1265" s="19" t="s">
        <v>1095</v>
      </c>
      <c r="M1265" s="19" t="s">
        <v>1095</v>
      </c>
      <c r="N1265" s="19" t="s">
        <v>1300</v>
      </c>
      <c r="R1265" t="s">
        <v>1097</v>
      </c>
    </row>
    <row r="1266" spans="1:18" hidden="1" x14ac:dyDescent="0.3">
      <c r="A1266" s="19">
        <f t="shared" si="19"/>
        <v>1265</v>
      </c>
      <c r="B1266" s="20" t="s">
        <v>87</v>
      </c>
      <c r="C1266" s="20" t="s">
        <v>86</v>
      </c>
      <c r="D1266" s="21" t="str">
        <f>IF($C1266="","",IFERROR(VLOOKUP($C1266,Map_Register!$A$2:$C$5,3,FALSE()),""))</f>
        <v>Border Region</v>
      </c>
      <c r="E1266" s="20" t="s">
        <v>15</v>
      </c>
      <c r="F1266" s="22">
        <v>725767</v>
      </c>
      <c r="G1266" s="19" t="s">
        <v>1091</v>
      </c>
      <c r="H1266" s="19" t="s">
        <v>1323</v>
      </c>
      <c r="I1266" s="19" t="s">
        <v>3104</v>
      </c>
      <c r="J1266" s="19" t="s">
        <v>1094</v>
      </c>
      <c r="K1266" s="19" t="s">
        <v>6</v>
      </c>
      <c r="L1266" s="19" t="s">
        <v>1095</v>
      </c>
      <c r="M1266" s="19" t="s">
        <v>1095</v>
      </c>
      <c r="N1266" s="19" t="s">
        <v>1105</v>
      </c>
      <c r="R1266" t="s">
        <v>1097</v>
      </c>
    </row>
    <row r="1267" spans="1:18" hidden="1" x14ac:dyDescent="0.3">
      <c r="A1267" s="19">
        <f t="shared" si="19"/>
        <v>1266</v>
      </c>
      <c r="B1267" s="20" t="s">
        <v>87</v>
      </c>
      <c r="C1267" s="20" t="s">
        <v>86</v>
      </c>
      <c r="D1267" s="21" t="str">
        <f>IF($C1267="","",IFERROR(VLOOKUP($C1267,Map_Register!$A$2:$C$5,3,FALSE()),""))</f>
        <v>Border Region</v>
      </c>
      <c r="E1267" s="20" t="s">
        <v>15</v>
      </c>
      <c r="F1267" s="22">
        <v>725768</v>
      </c>
      <c r="G1267" s="19" t="s">
        <v>1118</v>
      </c>
      <c r="H1267" s="19" t="s">
        <v>3105</v>
      </c>
      <c r="I1267" s="19" t="s">
        <v>3106</v>
      </c>
      <c r="J1267" s="19" t="s">
        <v>1104</v>
      </c>
      <c r="K1267" s="19" t="s">
        <v>6</v>
      </c>
      <c r="L1267" s="19" t="s">
        <v>1095</v>
      </c>
      <c r="M1267" s="19" t="s">
        <v>1095</v>
      </c>
      <c r="N1267" s="19" t="s">
        <v>1105</v>
      </c>
      <c r="R1267" t="s">
        <v>1097</v>
      </c>
    </row>
    <row r="1268" spans="1:18" hidden="1" x14ac:dyDescent="0.3">
      <c r="A1268" s="19">
        <f t="shared" si="19"/>
        <v>1267</v>
      </c>
      <c r="B1268" s="20" t="s">
        <v>87</v>
      </c>
      <c r="C1268" s="20" t="s">
        <v>86</v>
      </c>
      <c r="D1268" s="21" t="str">
        <f>IF($C1268="","",IFERROR(VLOOKUP($C1268,Map_Register!$A$2:$C$5,3,FALSE()),""))</f>
        <v>Border Region</v>
      </c>
      <c r="E1268" s="20" t="s">
        <v>15</v>
      </c>
      <c r="F1268" s="22">
        <v>725769</v>
      </c>
      <c r="G1268" s="19" t="s">
        <v>1091</v>
      </c>
      <c r="H1268" s="19" t="s">
        <v>3107</v>
      </c>
      <c r="I1268" s="19" t="s">
        <v>3108</v>
      </c>
      <c r="J1268" s="19" t="s">
        <v>1104</v>
      </c>
      <c r="K1268" s="19" t="s">
        <v>6</v>
      </c>
      <c r="L1268" s="19" t="s">
        <v>1095</v>
      </c>
      <c r="M1268" s="19" t="s">
        <v>1095</v>
      </c>
      <c r="N1268" s="19" t="s">
        <v>1105</v>
      </c>
      <c r="R1268" t="s">
        <v>1097</v>
      </c>
    </row>
    <row r="1269" spans="1:18" hidden="1" x14ac:dyDescent="0.3">
      <c r="A1269" s="19">
        <f t="shared" si="19"/>
        <v>1268</v>
      </c>
      <c r="B1269" s="20" t="s">
        <v>87</v>
      </c>
      <c r="C1269" s="20" t="s">
        <v>86</v>
      </c>
      <c r="D1269" s="21" t="str">
        <f>IF($C1269="","",IFERROR(VLOOKUP($C1269,Map_Register!$A$2:$C$5,3,FALSE()),""))</f>
        <v>Border Region</v>
      </c>
      <c r="E1269" s="20" t="s">
        <v>15</v>
      </c>
      <c r="F1269" s="22">
        <v>725770</v>
      </c>
      <c r="G1269" s="19" t="s">
        <v>1108</v>
      </c>
      <c r="H1269" s="19" t="s">
        <v>3109</v>
      </c>
      <c r="I1269" s="19" t="s">
        <v>3110</v>
      </c>
      <c r="J1269" s="19" t="s">
        <v>1104</v>
      </c>
      <c r="K1269" s="19" t="s">
        <v>6</v>
      </c>
      <c r="L1269" s="19" t="s">
        <v>1095</v>
      </c>
      <c r="M1269" s="19" t="s">
        <v>1095</v>
      </c>
      <c r="N1269" s="19" t="s">
        <v>1105</v>
      </c>
      <c r="R1269" t="s">
        <v>1097</v>
      </c>
    </row>
    <row r="1270" spans="1:18" hidden="1" x14ac:dyDescent="0.3">
      <c r="A1270" s="19">
        <f t="shared" si="19"/>
        <v>1269</v>
      </c>
      <c r="B1270" s="20" t="s">
        <v>87</v>
      </c>
      <c r="C1270" s="20" t="s">
        <v>86</v>
      </c>
      <c r="D1270" s="21" t="str">
        <f>IF($C1270="","",IFERROR(VLOOKUP($C1270,Map_Register!$A$2:$C$5,3,FALSE()),""))</f>
        <v>Border Region</v>
      </c>
      <c r="E1270" s="20" t="s">
        <v>15</v>
      </c>
      <c r="F1270" s="22">
        <v>725771</v>
      </c>
      <c r="G1270" s="19" t="s">
        <v>1091</v>
      </c>
      <c r="H1270" s="19" t="s">
        <v>3111</v>
      </c>
      <c r="I1270" s="19" t="s">
        <v>3112</v>
      </c>
      <c r="J1270" s="19" t="s">
        <v>1094</v>
      </c>
      <c r="K1270" s="19" t="s">
        <v>6</v>
      </c>
      <c r="L1270" s="19" t="s">
        <v>1095</v>
      </c>
      <c r="M1270" s="19" t="s">
        <v>1095</v>
      </c>
      <c r="N1270" s="19" t="s">
        <v>1105</v>
      </c>
      <c r="R1270" t="s">
        <v>1097</v>
      </c>
    </row>
    <row r="1271" spans="1:18" hidden="1" x14ac:dyDescent="0.3">
      <c r="A1271" s="19">
        <f t="shared" si="19"/>
        <v>1270</v>
      </c>
      <c r="B1271" s="20" t="s">
        <v>87</v>
      </c>
      <c r="C1271" s="20" t="s">
        <v>86</v>
      </c>
      <c r="D1271" s="21" t="str">
        <f>IF($C1271="","",IFERROR(VLOOKUP($C1271,Map_Register!$A$2:$C$5,3,FALSE()),""))</f>
        <v>Border Region</v>
      </c>
      <c r="E1271" s="20" t="s">
        <v>15</v>
      </c>
      <c r="F1271" s="22">
        <v>725774</v>
      </c>
      <c r="G1271" s="19" t="s">
        <v>1091</v>
      </c>
      <c r="H1271" s="19" t="s">
        <v>3113</v>
      </c>
      <c r="I1271" s="19" t="s">
        <v>3114</v>
      </c>
      <c r="J1271" s="19" t="s">
        <v>1094</v>
      </c>
      <c r="K1271" s="19" t="s">
        <v>6</v>
      </c>
      <c r="L1271" s="19" t="s">
        <v>1095</v>
      </c>
      <c r="M1271" s="19" t="s">
        <v>1095</v>
      </c>
      <c r="N1271" s="19" t="s">
        <v>1105</v>
      </c>
      <c r="R1271" t="s">
        <v>1097</v>
      </c>
    </row>
    <row r="1272" spans="1:18" hidden="1" x14ac:dyDescent="0.3">
      <c r="A1272" s="19">
        <f t="shared" si="19"/>
        <v>1271</v>
      </c>
      <c r="B1272" s="20" t="s">
        <v>87</v>
      </c>
      <c r="C1272" s="20" t="s">
        <v>86</v>
      </c>
      <c r="D1272" s="21" t="str">
        <f>IF($C1272="","",IFERROR(VLOOKUP($C1272,Map_Register!$A$2:$C$5,3,FALSE()),""))</f>
        <v>Border Region</v>
      </c>
      <c r="E1272" s="20" t="s">
        <v>15</v>
      </c>
      <c r="F1272" s="22">
        <v>725776</v>
      </c>
      <c r="G1272" s="19" t="s">
        <v>1108</v>
      </c>
      <c r="H1272" s="19" t="s">
        <v>3115</v>
      </c>
      <c r="I1272" s="19" t="s">
        <v>3116</v>
      </c>
      <c r="J1272" s="19" t="s">
        <v>1094</v>
      </c>
      <c r="K1272" s="19" t="s">
        <v>6</v>
      </c>
      <c r="L1272" s="19" t="s">
        <v>1095</v>
      </c>
      <c r="M1272" s="19" t="s">
        <v>1095</v>
      </c>
      <c r="N1272" s="19" t="s">
        <v>1105</v>
      </c>
      <c r="R1272" t="s">
        <v>1097</v>
      </c>
    </row>
    <row r="1273" spans="1:18" hidden="1" x14ac:dyDescent="0.3">
      <c r="A1273" s="19">
        <f t="shared" si="19"/>
        <v>1272</v>
      </c>
      <c r="B1273" s="20" t="s">
        <v>87</v>
      </c>
      <c r="C1273" s="20" t="s">
        <v>86</v>
      </c>
      <c r="D1273" s="21" t="str">
        <f>IF($C1273="","",IFERROR(VLOOKUP($C1273,Map_Register!$A$2:$C$5,3,FALSE()),""))</f>
        <v>Border Region</v>
      </c>
      <c r="E1273" s="20" t="s">
        <v>15</v>
      </c>
      <c r="F1273" s="22">
        <v>725777</v>
      </c>
      <c r="G1273" s="19" t="s">
        <v>1108</v>
      </c>
      <c r="H1273" s="19" t="s">
        <v>3117</v>
      </c>
      <c r="I1273" s="19" t="s">
        <v>3118</v>
      </c>
      <c r="J1273" s="19" t="s">
        <v>1094</v>
      </c>
      <c r="K1273" s="19" t="s">
        <v>6</v>
      </c>
      <c r="L1273" s="19" t="s">
        <v>1095</v>
      </c>
      <c r="M1273" s="19" t="s">
        <v>1095</v>
      </c>
      <c r="N1273" s="19" t="s">
        <v>1105</v>
      </c>
      <c r="R1273" t="s">
        <v>1097</v>
      </c>
    </row>
    <row r="1274" spans="1:18" hidden="1" x14ac:dyDescent="0.3">
      <c r="A1274" s="19">
        <f t="shared" si="19"/>
        <v>1273</v>
      </c>
      <c r="B1274" s="20" t="s">
        <v>87</v>
      </c>
      <c r="C1274" s="20" t="s">
        <v>86</v>
      </c>
      <c r="D1274" s="21" t="str">
        <f>IF($C1274="","",IFERROR(VLOOKUP($C1274,Map_Register!$A$2:$C$5,3,FALSE()),""))</f>
        <v>Border Region</v>
      </c>
      <c r="E1274" s="20" t="s">
        <v>15</v>
      </c>
      <c r="F1274" s="22">
        <v>725779</v>
      </c>
      <c r="G1274" s="19" t="s">
        <v>1091</v>
      </c>
      <c r="H1274" s="19" t="s">
        <v>2340</v>
      </c>
      <c r="I1274" s="19" t="s">
        <v>2341</v>
      </c>
      <c r="J1274" s="19" t="s">
        <v>1094</v>
      </c>
      <c r="K1274" s="19" t="s">
        <v>6</v>
      </c>
      <c r="L1274" s="19" t="s">
        <v>1095</v>
      </c>
      <c r="M1274" s="19" t="s">
        <v>1095</v>
      </c>
      <c r="N1274" s="19" t="s">
        <v>1105</v>
      </c>
      <c r="R1274" t="s">
        <v>1097</v>
      </c>
    </row>
    <row r="1275" spans="1:18" hidden="1" x14ac:dyDescent="0.3">
      <c r="A1275" s="19">
        <f t="shared" si="19"/>
        <v>1274</v>
      </c>
      <c r="B1275" s="20" t="s">
        <v>87</v>
      </c>
      <c r="C1275" s="20" t="s">
        <v>86</v>
      </c>
      <c r="D1275" s="21" t="str">
        <f>IF($C1275="","",IFERROR(VLOOKUP($C1275,Map_Register!$A$2:$C$5,3,FALSE()),""))</f>
        <v>Border Region</v>
      </c>
      <c r="E1275" s="20" t="s">
        <v>15</v>
      </c>
      <c r="F1275" s="22">
        <v>725780</v>
      </c>
      <c r="G1275" s="19" t="s">
        <v>1091</v>
      </c>
      <c r="H1275" s="19" t="s">
        <v>3119</v>
      </c>
      <c r="I1275" s="19" t="s">
        <v>3120</v>
      </c>
      <c r="J1275" s="19" t="s">
        <v>1104</v>
      </c>
      <c r="K1275" s="19" t="s">
        <v>6</v>
      </c>
      <c r="L1275" s="19" t="s">
        <v>1095</v>
      </c>
      <c r="M1275" s="19" t="s">
        <v>1095</v>
      </c>
      <c r="N1275" s="19" t="s">
        <v>1105</v>
      </c>
      <c r="R1275" t="s">
        <v>1097</v>
      </c>
    </row>
    <row r="1276" spans="1:18" hidden="1" x14ac:dyDescent="0.3">
      <c r="A1276" s="19">
        <f t="shared" si="19"/>
        <v>1275</v>
      </c>
      <c r="B1276" s="20" t="s">
        <v>87</v>
      </c>
      <c r="C1276" s="20" t="s">
        <v>86</v>
      </c>
      <c r="D1276" s="21" t="str">
        <f>IF($C1276="","",IFERROR(VLOOKUP($C1276,Map_Register!$A$2:$C$5,3,FALSE()),""))</f>
        <v>Border Region</v>
      </c>
      <c r="E1276" s="20" t="s">
        <v>15</v>
      </c>
      <c r="F1276" s="22">
        <v>725781</v>
      </c>
      <c r="G1276" s="19" t="s">
        <v>1108</v>
      </c>
      <c r="H1276" s="19" t="s">
        <v>3121</v>
      </c>
      <c r="I1276" s="19" t="s">
        <v>3122</v>
      </c>
      <c r="J1276" s="19" t="s">
        <v>1104</v>
      </c>
      <c r="K1276" s="19" t="s">
        <v>6</v>
      </c>
      <c r="L1276" s="19" t="s">
        <v>1095</v>
      </c>
      <c r="M1276" s="19" t="s">
        <v>1095</v>
      </c>
      <c r="N1276" s="19" t="s">
        <v>1105</v>
      </c>
      <c r="R1276" t="s">
        <v>1097</v>
      </c>
    </row>
    <row r="1277" spans="1:18" hidden="1" x14ac:dyDescent="0.3">
      <c r="A1277" s="19">
        <f t="shared" si="19"/>
        <v>1276</v>
      </c>
      <c r="B1277" s="20" t="s">
        <v>87</v>
      </c>
      <c r="C1277" s="20" t="s">
        <v>86</v>
      </c>
      <c r="D1277" s="21" t="str">
        <f>IF($C1277="","",IFERROR(VLOOKUP($C1277,Map_Register!$A$2:$C$5,3,FALSE()),""))</f>
        <v>Border Region</v>
      </c>
      <c r="E1277" s="20" t="s">
        <v>15</v>
      </c>
      <c r="F1277" s="22">
        <v>725782</v>
      </c>
      <c r="G1277" s="19" t="s">
        <v>1091</v>
      </c>
      <c r="H1277" s="19" t="s">
        <v>3123</v>
      </c>
      <c r="I1277" s="19" t="s">
        <v>3124</v>
      </c>
      <c r="J1277" s="19" t="s">
        <v>1104</v>
      </c>
      <c r="K1277" s="19" t="s">
        <v>6</v>
      </c>
      <c r="L1277" s="19" t="s">
        <v>1095</v>
      </c>
      <c r="M1277" s="19" t="s">
        <v>1095</v>
      </c>
      <c r="N1277" s="19" t="s">
        <v>1105</v>
      </c>
      <c r="R1277" t="s">
        <v>1097</v>
      </c>
    </row>
    <row r="1278" spans="1:18" hidden="1" x14ac:dyDescent="0.3">
      <c r="A1278" s="19">
        <f t="shared" si="19"/>
        <v>1277</v>
      </c>
      <c r="B1278" s="20" t="s">
        <v>87</v>
      </c>
      <c r="C1278" s="20" t="s">
        <v>86</v>
      </c>
      <c r="D1278" s="21" t="str">
        <f>IF($C1278="","",IFERROR(VLOOKUP($C1278,Map_Register!$A$2:$C$5,3,FALSE()),""))</f>
        <v>Border Region</v>
      </c>
      <c r="E1278" s="20" t="s">
        <v>15</v>
      </c>
      <c r="F1278" s="22">
        <v>725783</v>
      </c>
      <c r="G1278" s="19" t="s">
        <v>1091</v>
      </c>
      <c r="H1278" s="19" t="s">
        <v>3125</v>
      </c>
      <c r="I1278" s="19" t="s">
        <v>3126</v>
      </c>
      <c r="J1278" s="19" t="s">
        <v>1094</v>
      </c>
      <c r="K1278" s="19" t="s">
        <v>6</v>
      </c>
      <c r="L1278" s="19" t="s">
        <v>1095</v>
      </c>
      <c r="M1278" s="19" t="s">
        <v>1095</v>
      </c>
      <c r="N1278" s="19" t="s">
        <v>1105</v>
      </c>
      <c r="R1278" t="s">
        <v>1097</v>
      </c>
    </row>
    <row r="1279" spans="1:18" hidden="1" x14ac:dyDescent="0.3">
      <c r="A1279" s="19">
        <f t="shared" si="19"/>
        <v>1278</v>
      </c>
      <c r="B1279" s="20" t="s">
        <v>87</v>
      </c>
      <c r="C1279" s="20" t="s">
        <v>86</v>
      </c>
      <c r="D1279" s="21" t="str">
        <f>IF($C1279="","",IFERROR(VLOOKUP($C1279,Map_Register!$A$2:$C$5,3,FALSE()),""))</f>
        <v>Border Region</v>
      </c>
      <c r="E1279" s="20" t="s">
        <v>15</v>
      </c>
      <c r="F1279" s="22">
        <v>725784</v>
      </c>
      <c r="G1279" s="19" t="s">
        <v>1091</v>
      </c>
      <c r="H1279" s="19" t="s">
        <v>3127</v>
      </c>
      <c r="I1279" s="19" t="s">
        <v>3128</v>
      </c>
      <c r="J1279" s="19" t="s">
        <v>1104</v>
      </c>
      <c r="K1279" s="19" t="s">
        <v>6</v>
      </c>
      <c r="L1279" s="19" t="s">
        <v>1095</v>
      </c>
      <c r="M1279" s="19" t="s">
        <v>1095</v>
      </c>
      <c r="N1279" s="19" t="s">
        <v>1105</v>
      </c>
      <c r="R1279" t="s">
        <v>1097</v>
      </c>
    </row>
    <row r="1280" spans="1:18" hidden="1" x14ac:dyDescent="0.3">
      <c r="A1280" s="19">
        <f t="shared" si="19"/>
        <v>1279</v>
      </c>
      <c r="B1280" s="20" t="s">
        <v>87</v>
      </c>
      <c r="C1280" s="20" t="s">
        <v>86</v>
      </c>
      <c r="D1280" s="21" t="str">
        <f>IF($C1280="","",IFERROR(VLOOKUP($C1280,Map_Register!$A$2:$C$5,3,FALSE()),""))</f>
        <v>Border Region</v>
      </c>
      <c r="E1280" s="20" t="s">
        <v>15</v>
      </c>
      <c r="F1280" s="22">
        <v>725785</v>
      </c>
      <c r="G1280" s="19" t="s">
        <v>1091</v>
      </c>
      <c r="H1280" s="19" t="s">
        <v>3129</v>
      </c>
      <c r="I1280" s="19" t="s">
        <v>3130</v>
      </c>
      <c r="J1280" s="19" t="s">
        <v>1104</v>
      </c>
      <c r="K1280" s="19" t="s">
        <v>8</v>
      </c>
      <c r="L1280" s="19" t="s">
        <v>114</v>
      </c>
      <c r="M1280" s="19" t="s">
        <v>114</v>
      </c>
      <c r="N1280" s="19" t="s">
        <v>2050</v>
      </c>
      <c r="O1280" s="19" t="s">
        <v>116</v>
      </c>
      <c r="R1280" t="s">
        <v>1097</v>
      </c>
    </row>
    <row r="1281" spans="1:18" hidden="1" x14ac:dyDescent="0.3">
      <c r="A1281" s="19">
        <f t="shared" si="19"/>
        <v>1280</v>
      </c>
      <c r="B1281" s="20" t="s">
        <v>87</v>
      </c>
      <c r="C1281" s="20" t="s">
        <v>86</v>
      </c>
      <c r="D1281" s="21" t="str">
        <f>IF($C1281="","",IFERROR(VLOOKUP($C1281,Map_Register!$A$2:$C$5,3,FALSE()),""))</f>
        <v>Border Region</v>
      </c>
      <c r="E1281" s="20" t="s">
        <v>15</v>
      </c>
      <c r="F1281" s="22">
        <v>725786</v>
      </c>
      <c r="G1281" s="19" t="s">
        <v>1108</v>
      </c>
      <c r="H1281" s="19" t="s">
        <v>3131</v>
      </c>
      <c r="I1281" s="19" t="s">
        <v>3132</v>
      </c>
      <c r="J1281" s="19" t="s">
        <v>1104</v>
      </c>
      <c r="K1281" s="19" t="s">
        <v>6</v>
      </c>
      <c r="L1281" s="19" t="s">
        <v>1095</v>
      </c>
      <c r="M1281" s="19" t="s">
        <v>1095</v>
      </c>
      <c r="N1281" s="19" t="s">
        <v>1105</v>
      </c>
      <c r="R1281" t="s">
        <v>1097</v>
      </c>
    </row>
    <row r="1282" spans="1:18" hidden="1" x14ac:dyDescent="0.3">
      <c r="A1282" s="19">
        <f t="shared" ref="A1282:A1345" si="20">IF($B1282="","",ROW()-1)</f>
        <v>1281</v>
      </c>
      <c r="B1282" s="20" t="s">
        <v>87</v>
      </c>
      <c r="C1282" s="20" t="s">
        <v>86</v>
      </c>
      <c r="D1282" s="21" t="str">
        <f>IF($C1282="","",IFERROR(VLOOKUP($C1282,Map_Register!$A$2:$C$5,3,FALSE()),""))</f>
        <v>Border Region</v>
      </c>
      <c r="E1282" s="20" t="s">
        <v>15</v>
      </c>
      <c r="F1282" s="22">
        <v>725787</v>
      </c>
      <c r="G1282" s="19" t="s">
        <v>1223</v>
      </c>
      <c r="H1282" s="19" t="s">
        <v>3133</v>
      </c>
      <c r="I1282" s="19" t="s">
        <v>3134</v>
      </c>
      <c r="J1282" s="19" t="s">
        <v>1094</v>
      </c>
      <c r="K1282" s="19" t="s">
        <v>6</v>
      </c>
      <c r="L1282" s="19" t="s">
        <v>1095</v>
      </c>
      <c r="M1282" s="19" t="s">
        <v>1095</v>
      </c>
      <c r="N1282" s="19" t="s">
        <v>1105</v>
      </c>
      <c r="R1282" t="s">
        <v>1097</v>
      </c>
    </row>
    <row r="1283" spans="1:18" hidden="1" x14ac:dyDescent="0.3">
      <c r="A1283" s="19">
        <f t="shared" si="20"/>
        <v>1282</v>
      </c>
      <c r="B1283" s="20" t="s">
        <v>87</v>
      </c>
      <c r="C1283" s="20" t="s">
        <v>86</v>
      </c>
      <c r="D1283" s="21" t="str">
        <f>IF($C1283="","",IFERROR(VLOOKUP($C1283,Map_Register!$A$2:$C$5,3,FALSE()),""))</f>
        <v>Border Region</v>
      </c>
      <c r="E1283" s="20" t="s">
        <v>15</v>
      </c>
      <c r="F1283" s="22">
        <v>725788</v>
      </c>
      <c r="G1283" s="19" t="s">
        <v>1091</v>
      </c>
      <c r="H1283" s="19" t="s">
        <v>3135</v>
      </c>
      <c r="I1283" s="19" t="s">
        <v>3136</v>
      </c>
      <c r="J1283" s="19" t="s">
        <v>1104</v>
      </c>
      <c r="K1283" s="19" t="s">
        <v>6</v>
      </c>
      <c r="L1283" s="19" t="s">
        <v>1095</v>
      </c>
      <c r="M1283" s="19" t="s">
        <v>1095</v>
      </c>
      <c r="N1283" s="19" t="s">
        <v>1105</v>
      </c>
      <c r="R1283" t="s">
        <v>1097</v>
      </c>
    </row>
    <row r="1284" spans="1:18" hidden="1" x14ac:dyDescent="0.3">
      <c r="A1284" s="19">
        <f t="shared" si="20"/>
        <v>1283</v>
      </c>
      <c r="B1284" s="20" t="s">
        <v>87</v>
      </c>
      <c r="C1284" s="20" t="s">
        <v>86</v>
      </c>
      <c r="D1284" s="21" t="str">
        <f>IF($C1284="","",IFERROR(VLOOKUP($C1284,Map_Register!$A$2:$C$5,3,FALSE()),""))</f>
        <v>Border Region</v>
      </c>
      <c r="E1284" s="20" t="s">
        <v>15</v>
      </c>
      <c r="F1284" s="22">
        <v>725789</v>
      </c>
      <c r="G1284" s="19" t="s">
        <v>1108</v>
      </c>
      <c r="H1284" s="19" t="s">
        <v>3137</v>
      </c>
      <c r="I1284" s="19" t="s">
        <v>3138</v>
      </c>
      <c r="J1284" s="19" t="s">
        <v>1094</v>
      </c>
      <c r="K1284" s="19" t="s">
        <v>6</v>
      </c>
      <c r="L1284" s="19" t="s">
        <v>1095</v>
      </c>
      <c r="M1284" s="19" t="s">
        <v>1095</v>
      </c>
      <c r="N1284" s="19" t="s">
        <v>1105</v>
      </c>
      <c r="R1284" t="s">
        <v>1097</v>
      </c>
    </row>
    <row r="1285" spans="1:18" hidden="1" x14ac:dyDescent="0.3">
      <c r="A1285" s="19">
        <f t="shared" si="20"/>
        <v>1284</v>
      </c>
      <c r="B1285" s="20" t="s">
        <v>87</v>
      </c>
      <c r="C1285" s="20" t="s">
        <v>86</v>
      </c>
      <c r="D1285" s="21" t="str">
        <f>IF($C1285="","",IFERROR(VLOOKUP($C1285,Map_Register!$A$2:$C$5,3,FALSE()),""))</f>
        <v>Border Region</v>
      </c>
      <c r="E1285" s="20" t="s">
        <v>15</v>
      </c>
      <c r="F1285" s="22">
        <v>725794</v>
      </c>
      <c r="G1285" s="19" t="s">
        <v>1091</v>
      </c>
      <c r="H1285" s="19" t="s">
        <v>3139</v>
      </c>
      <c r="I1285" s="19" t="s">
        <v>3140</v>
      </c>
      <c r="J1285" s="19" t="s">
        <v>3141</v>
      </c>
      <c r="K1285" s="19" t="s">
        <v>6</v>
      </c>
      <c r="L1285" s="19" t="s">
        <v>1095</v>
      </c>
      <c r="M1285" s="19" t="s">
        <v>1095</v>
      </c>
      <c r="N1285" s="19" t="s">
        <v>3142</v>
      </c>
      <c r="R1285" t="s">
        <v>1097</v>
      </c>
    </row>
    <row r="1286" spans="1:18" hidden="1" x14ac:dyDescent="0.3">
      <c r="A1286" s="19">
        <f t="shared" si="20"/>
        <v>1285</v>
      </c>
      <c r="B1286" s="20" t="s">
        <v>87</v>
      </c>
      <c r="C1286" s="20" t="s">
        <v>86</v>
      </c>
      <c r="D1286" s="21" t="str">
        <f>IF($C1286="","",IFERROR(VLOOKUP($C1286,Map_Register!$A$2:$C$5,3,FALSE()),""))</f>
        <v>Border Region</v>
      </c>
      <c r="E1286" s="20" t="s">
        <v>15</v>
      </c>
      <c r="F1286" s="22">
        <v>725795</v>
      </c>
      <c r="G1286" s="19" t="s">
        <v>1091</v>
      </c>
      <c r="H1286" s="19" t="s">
        <v>3143</v>
      </c>
      <c r="I1286" s="19" t="s">
        <v>3144</v>
      </c>
      <c r="J1286" s="19" t="s">
        <v>1094</v>
      </c>
      <c r="K1286" s="19" t="s">
        <v>6</v>
      </c>
      <c r="L1286" s="19" t="s">
        <v>1095</v>
      </c>
      <c r="M1286" s="19" t="s">
        <v>1095</v>
      </c>
      <c r="N1286" s="19" t="s">
        <v>1105</v>
      </c>
      <c r="R1286" t="s">
        <v>1097</v>
      </c>
    </row>
    <row r="1287" spans="1:18" hidden="1" x14ac:dyDescent="0.3">
      <c r="A1287" s="19">
        <f t="shared" si="20"/>
        <v>1286</v>
      </c>
      <c r="B1287" s="20" t="s">
        <v>87</v>
      </c>
      <c r="C1287" s="20" t="s">
        <v>86</v>
      </c>
      <c r="D1287" s="21" t="str">
        <f>IF($C1287="","",IFERROR(VLOOKUP($C1287,Map_Register!$A$2:$C$5,3,FALSE()),""))</f>
        <v>Border Region</v>
      </c>
      <c r="E1287" s="20" t="s">
        <v>15</v>
      </c>
      <c r="F1287" s="22">
        <v>725796</v>
      </c>
      <c r="G1287" s="19" t="s">
        <v>1108</v>
      </c>
      <c r="H1287" s="19" t="s">
        <v>3145</v>
      </c>
      <c r="I1287" s="19" t="s">
        <v>3146</v>
      </c>
      <c r="J1287" s="19" t="s">
        <v>1094</v>
      </c>
      <c r="K1287" s="19" t="s">
        <v>6</v>
      </c>
      <c r="L1287" s="19" t="s">
        <v>1095</v>
      </c>
      <c r="M1287" s="19" t="s">
        <v>1095</v>
      </c>
      <c r="N1287" s="19" t="s">
        <v>1105</v>
      </c>
      <c r="R1287" t="s">
        <v>1097</v>
      </c>
    </row>
    <row r="1288" spans="1:18" hidden="1" x14ac:dyDescent="0.3">
      <c r="A1288" s="19">
        <f t="shared" si="20"/>
        <v>1287</v>
      </c>
      <c r="B1288" s="20" t="s">
        <v>87</v>
      </c>
      <c r="C1288" s="20" t="s">
        <v>86</v>
      </c>
      <c r="D1288" s="21" t="str">
        <f>IF($C1288="","",IFERROR(VLOOKUP($C1288,Map_Register!$A$2:$C$5,3,FALSE()),""))</f>
        <v>Border Region</v>
      </c>
      <c r="E1288" s="20" t="s">
        <v>15</v>
      </c>
      <c r="F1288" s="22">
        <v>725797</v>
      </c>
      <c r="G1288" s="19" t="s">
        <v>1108</v>
      </c>
      <c r="H1288" s="19" t="s">
        <v>3147</v>
      </c>
      <c r="I1288" s="19" t="s">
        <v>3148</v>
      </c>
      <c r="J1288" s="19" t="s">
        <v>1094</v>
      </c>
      <c r="K1288" s="19" t="s">
        <v>6</v>
      </c>
      <c r="L1288" s="19" t="s">
        <v>1095</v>
      </c>
      <c r="M1288" s="19" t="s">
        <v>1095</v>
      </c>
      <c r="N1288" s="19" t="s">
        <v>1105</v>
      </c>
      <c r="R1288" t="s">
        <v>1097</v>
      </c>
    </row>
    <row r="1289" spans="1:18" hidden="1" x14ac:dyDescent="0.3">
      <c r="A1289" s="19">
        <f t="shared" si="20"/>
        <v>1288</v>
      </c>
      <c r="B1289" s="20" t="s">
        <v>87</v>
      </c>
      <c r="C1289" s="20" t="s">
        <v>86</v>
      </c>
      <c r="D1289" s="21" t="str">
        <f>IF($C1289="","",IFERROR(VLOOKUP($C1289,Map_Register!$A$2:$C$5,3,FALSE()),""))</f>
        <v>Border Region</v>
      </c>
      <c r="E1289" s="20" t="s">
        <v>15</v>
      </c>
      <c r="F1289" s="22">
        <v>725798</v>
      </c>
      <c r="G1289" s="19" t="s">
        <v>1108</v>
      </c>
      <c r="H1289" s="19" t="s">
        <v>1319</v>
      </c>
      <c r="I1289" s="19" t="s">
        <v>1320</v>
      </c>
      <c r="J1289" s="19" t="s">
        <v>1104</v>
      </c>
      <c r="K1289" s="19" t="s">
        <v>6</v>
      </c>
      <c r="L1289" s="19" t="s">
        <v>1095</v>
      </c>
      <c r="M1289" s="19" t="s">
        <v>1095</v>
      </c>
      <c r="N1289" s="19" t="s">
        <v>1105</v>
      </c>
      <c r="R1289" t="s">
        <v>1097</v>
      </c>
    </row>
    <row r="1290" spans="1:18" hidden="1" x14ac:dyDescent="0.3">
      <c r="A1290" s="19">
        <f t="shared" si="20"/>
        <v>1289</v>
      </c>
      <c r="B1290" s="20" t="s">
        <v>87</v>
      </c>
      <c r="C1290" s="20" t="s">
        <v>86</v>
      </c>
      <c r="D1290" s="21" t="str">
        <f>IF($C1290="","",IFERROR(VLOOKUP($C1290,Map_Register!$A$2:$C$5,3,FALSE()),""))</f>
        <v>Border Region</v>
      </c>
      <c r="E1290" s="20" t="s">
        <v>15</v>
      </c>
      <c r="F1290" s="22">
        <v>725799</v>
      </c>
      <c r="G1290" s="19" t="s">
        <v>1223</v>
      </c>
      <c r="H1290" s="19" t="s">
        <v>3149</v>
      </c>
      <c r="I1290" s="19" t="s">
        <v>3149</v>
      </c>
      <c r="J1290" s="19" t="s">
        <v>1110</v>
      </c>
      <c r="K1290" s="19" t="s">
        <v>6</v>
      </c>
      <c r="L1290" s="19" t="s">
        <v>1095</v>
      </c>
      <c r="M1290" s="19" t="s">
        <v>1095</v>
      </c>
      <c r="N1290" s="19" t="s">
        <v>1389</v>
      </c>
      <c r="R1290" t="s">
        <v>1097</v>
      </c>
    </row>
    <row r="1291" spans="1:18" hidden="1" x14ac:dyDescent="0.3">
      <c r="A1291" s="19">
        <f t="shared" si="20"/>
        <v>1290</v>
      </c>
      <c r="B1291" s="20" t="s">
        <v>87</v>
      </c>
      <c r="C1291" s="20" t="s">
        <v>86</v>
      </c>
      <c r="D1291" s="21" t="str">
        <f>IF($C1291="","",IFERROR(VLOOKUP($C1291,Map_Register!$A$2:$C$5,3,FALSE()),""))</f>
        <v>Border Region</v>
      </c>
      <c r="E1291" s="20" t="s">
        <v>15</v>
      </c>
      <c r="F1291" s="22">
        <v>725800</v>
      </c>
      <c r="G1291" s="19" t="s">
        <v>1108</v>
      </c>
      <c r="H1291" s="19" t="s">
        <v>3150</v>
      </c>
      <c r="I1291" s="19" t="s">
        <v>3151</v>
      </c>
      <c r="J1291" s="19" t="s">
        <v>1094</v>
      </c>
      <c r="K1291" s="19" t="s">
        <v>6</v>
      </c>
      <c r="L1291" s="19" t="s">
        <v>1095</v>
      </c>
      <c r="M1291" s="19" t="s">
        <v>1095</v>
      </c>
      <c r="N1291" s="19" t="s">
        <v>1105</v>
      </c>
      <c r="R1291" t="s">
        <v>1097</v>
      </c>
    </row>
    <row r="1292" spans="1:18" hidden="1" x14ac:dyDescent="0.3">
      <c r="A1292" s="19">
        <f t="shared" si="20"/>
        <v>1291</v>
      </c>
      <c r="B1292" s="20" t="s">
        <v>87</v>
      </c>
      <c r="C1292" s="20" t="s">
        <v>86</v>
      </c>
      <c r="D1292" s="21" t="str">
        <f>IF($C1292="","",IFERROR(VLOOKUP($C1292,Map_Register!$A$2:$C$5,3,FALSE()),""))</f>
        <v>Border Region</v>
      </c>
      <c r="E1292" s="20" t="s">
        <v>15</v>
      </c>
      <c r="F1292" s="22">
        <v>725801</v>
      </c>
      <c r="G1292" s="19" t="s">
        <v>1091</v>
      </c>
      <c r="H1292" s="19" t="s">
        <v>3152</v>
      </c>
      <c r="I1292" s="19" t="s">
        <v>3153</v>
      </c>
      <c r="J1292" s="19" t="s">
        <v>1104</v>
      </c>
      <c r="K1292" s="19" t="s">
        <v>6</v>
      </c>
      <c r="L1292" s="19" t="s">
        <v>1095</v>
      </c>
      <c r="M1292" s="19" t="s">
        <v>1095</v>
      </c>
      <c r="N1292" s="19" t="s">
        <v>1105</v>
      </c>
      <c r="R1292" t="s">
        <v>1097</v>
      </c>
    </row>
    <row r="1293" spans="1:18" hidden="1" x14ac:dyDescent="0.3">
      <c r="A1293" s="19">
        <f t="shared" si="20"/>
        <v>1292</v>
      </c>
      <c r="B1293" s="20" t="s">
        <v>87</v>
      </c>
      <c r="C1293" s="20" t="s">
        <v>86</v>
      </c>
      <c r="D1293" s="21" t="str">
        <f>IF($C1293="","",IFERROR(VLOOKUP($C1293,Map_Register!$A$2:$C$5,3,FALSE()),""))</f>
        <v>Border Region</v>
      </c>
      <c r="E1293" s="20" t="s">
        <v>15</v>
      </c>
      <c r="F1293" s="22">
        <v>725804</v>
      </c>
      <c r="G1293" s="19" t="s">
        <v>1091</v>
      </c>
      <c r="H1293" s="19" t="s">
        <v>3154</v>
      </c>
      <c r="I1293" s="19" t="s">
        <v>3155</v>
      </c>
      <c r="J1293" s="19" t="s">
        <v>1104</v>
      </c>
      <c r="K1293" s="19" t="s">
        <v>6</v>
      </c>
      <c r="L1293" s="19" t="s">
        <v>1095</v>
      </c>
      <c r="M1293" s="19" t="s">
        <v>1095</v>
      </c>
      <c r="N1293" s="19" t="s">
        <v>1105</v>
      </c>
      <c r="R1293" t="s">
        <v>1097</v>
      </c>
    </row>
    <row r="1294" spans="1:18" hidden="1" x14ac:dyDescent="0.3">
      <c r="A1294" s="19">
        <f t="shared" si="20"/>
        <v>1293</v>
      </c>
      <c r="B1294" s="20" t="s">
        <v>87</v>
      </c>
      <c r="C1294" s="20" t="s">
        <v>86</v>
      </c>
      <c r="D1294" s="21" t="str">
        <f>IF($C1294="","",IFERROR(VLOOKUP($C1294,Map_Register!$A$2:$C$5,3,FALSE()),""))</f>
        <v>Border Region</v>
      </c>
      <c r="E1294" s="20" t="s">
        <v>15</v>
      </c>
      <c r="F1294" s="22">
        <v>725805</v>
      </c>
      <c r="G1294" s="19" t="s">
        <v>1108</v>
      </c>
      <c r="H1294" s="19" t="s">
        <v>3156</v>
      </c>
      <c r="I1294" s="19" t="s">
        <v>3157</v>
      </c>
      <c r="J1294" s="19" t="s">
        <v>1094</v>
      </c>
      <c r="K1294" s="19" t="s">
        <v>6</v>
      </c>
      <c r="L1294" s="19" t="s">
        <v>1095</v>
      </c>
      <c r="M1294" s="19" t="s">
        <v>1095</v>
      </c>
      <c r="N1294" s="19" t="s">
        <v>1105</v>
      </c>
      <c r="R1294" t="s">
        <v>1097</v>
      </c>
    </row>
    <row r="1295" spans="1:18" hidden="1" x14ac:dyDescent="0.3">
      <c r="A1295" s="19">
        <f t="shared" si="20"/>
        <v>1294</v>
      </c>
      <c r="B1295" s="20" t="s">
        <v>87</v>
      </c>
      <c r="C1295" s="20" t="s">
        <v>86</v>
      </c>
      <c r="D1295" s="21" t="str">
        <f>IF($C1295="","",IFERROR(VLOOKUP($C1295,Map_Register!$A$2:$C$5,3,FALSE()),""))</f>
        <v>Border Region</v>
      </c>
      <c r="E1295" s="20" t="s">
        <v>15</v>
      </c>
      <c r="F1295" s="22">
        <v>725806</v>
      </c>
      <c r="G1295" s="19" t="s">
        <v>1118</v>
      </c>
      <c r="H1295" s="19" t="s">
        <v>3158</v>
      </c>
      <c r="I1295" s="19" t="s">
        <v>3158</v>
      </c>
      <c r="J1295" s="19" t="s">
        <v>1117</v>
      </c>
      <c r="K1295" s="19" t="s">
        <v>6</v>
      </c>
      <c r="L1295" s="19" t="s">
        <v>1095</v>
      </c>
      <c r="M1295" s="19" t="s">
        <v>1095</v>
      </c>
      <c r="N1295" s="19" t="s">
        <v>2549</v>
      </c>
      <c r="R1295" t="s">
        <v>1097</v>
      </c>
    </row>
    <row r="1296" spans="1:18" hidden="1" x14ac:dyDescent="0.3">
      <c r="A1296" s="19">
        <f t="shared" si="20"/>
        <v>1295</v>
      </c>
      <c r="B1296" s="20" t="s">
        <v>87</v>
      </c>
      <c r="C1296" s="20" t="s">
        <v>86</v>
      </c>
      <c r="D1296" s="21" t="str">
        <f>IF($C1296="","",IFERROR(VLOOKUP($C1296,Map_Register!$A$2:$C$5,3,FALSE()),""))</f>
        <v>Border Region</v>
      </c>
      <c r="E1296" s="20" t="s">
        <v>15</v>
      </c>
      <c r="F1296" s="22">
        <v>725807</v>
      </c>
      <c r="G1296" s="19" t="s">
        <v>1091</v>
      </c>
      <c r="H1296" s="19" t="s">
        <v>3159</v>
      </c>
      <c r="I1296" s="19" t="s">
        <v>3160</v>
      </c>
      <c r="J1296" s="19" t="s">
        <v>1104</v>
      </c>
      <c r="K1296" s="19" t="s">
        <v>6</v>
      </c>
      <c r="L1296" s="19" t="s">
        <v>1095</v>
      </c>
      <c r="M1296" s="19" t="s">
        <v>1095</v>
      </c>
      <c r="N1296" s="19" t="s">
        <v>1105</v>
      </c>
      <c r="R1296" t="s">
        <v>1097</v>
      </c>
    </row>
    <row r="1297" spans="1:18" hidden="1" x14ac:dyDescent="0.3">
      <c r="A1297" s="19">
        <f t="shared" si="20"/>
        <v>1296</v>
      </c>
      <c r="B1297" s="20" t="s">
        <v>87</v>
      </c>
      <c r="C1297" s="20" t="s">
        <v>86</v>
      </c>
      <c r="D1297" s="21" t="str">
        <f>IF($C1297="","",IFERROR(VLOOKUP($C1297,Map_Register!$A$2:$C$5,3,FALSE()),""))</f>
        <v>Border Region</v>
      </c>
      <c r="E1297" s="20" t="s">
        <v>15</v>
      </c>
      <c r="F1297" s="22">
        <v>725808</v>
      </c>
      <c r="G1297" s="19" t="s">
        <v>1091</v>
      </c>
      <c r="H1297" s="19" t="s">
        <v>3161</v>
      </c>
      <c r="I1297" s="19" t="s">
        <v>3162</v>
      </c>
      <c r="J1297" s="19" t="s">
        <v>1094</v>
      </c>
      <c r="K1297" s="19" t="s">
        <v>6</v>
      </c>
      <c r="L1297" s="19" t="s">
        <v>1095</v>
      </c>
      <c r="M1297" s="19" t="s">
        <v>1095</v>
      </c>
      <c r="N1297" s="19" t="s">
        <v>1105</v>
      </c>
      <c r="R1297" t="s">
        <v>1097</v>
      </c>
    </row>
    <row r="1298" spans="1:18" hidden="1" x14ac:dyDescent="0.3">
      <c r="A1298" s="19">
        <f t="shared" si="20"/>
        <v>1297</v>
      </c>
      <c r="B1298" s="20" t="s">
        <v>87</v>
      </c>
      <c r="C1298" s="20" t="s">
        <v>86</v>
      </c>
      <c r="D1298" s="21" t="str">
        <f>IF($C1298="","",IFERROR(VLOOKUP($C1298,Map_Register!$A$2:$C$5,3,FALSE()),""))</f>
        <v>Border Region</v>
      </c>
      <c r="E1298" s="20" t="s">
        <v>15</v>
      </c>
      <c r="F1298" s="22">
        <v>725809</v>
      </c>
      <c r="G1298" s="19" t="s">
        <v>1108</v>
      </c>
      <c r="H1298" s="19" t="s">
        <v>3163</v>
      </c>
      <c r="I1298" s="19" t="s">
        <v>3164</v>
      </c>
      <c r="J1298" s="19" t="s">
        <v>1104</v>
      </c>
      <c r="K1298" s="19" t="s">
        <v>6</v>
      </c>
      <c r="L1298" s="19" t="s">
        <v>1095</v>
      </c>
      <c r="M1298" s="19" t="s">
        <v>1095</v>
      </c>
      <c r="N1298" s="19" t="s">
        <v>1105</v>
      </c>
      <c r="R1298" t="s">
        <v>1097</v>
      </c>
    </row>
    <row r="1299" spans="1:18" hidden="1" x14ac:dyDescent="0.3">
      <c r="A1299" s="19">
        <f t="shared" si="20"/>
        <v>1298</v>
      </c>
      <c r="B1299" s="20" t="s">
        <v>87</v>
      </c>
      <c r="C1299" s="20" t="s">
        <v>86</v>
      </c>
      <c r="D1299" s="21" t="str">
        <f>IF($C1299="","",IFERROR(VLOOKUP($C1299,Map_Register!$A$2:$C$5,3,FALSE()),""))</f>
        <v>Border Region</v>
      </c>
      <c r="E1299" s="20" t="s">
        <v>15</v>
      </c>
      <c r="F1299" s="22">
        <v>725810</v>
      </c>
      <c r="G1299" s="19" t="s">
        <v>1091</v>
      </c>
      <c r="H1299" s="19" t="s">
        <v>3165</v>
      </c>
      <c r="I1299" s="19" t="s">
        <v>3166</v>
      </c>
      <c r="J1299" s="19" t="s">
        <v>1094</v>
      </c>
      <c r="K1299" s="19" t="s">
        <v>6</v>
      </c>
      <c r="L1299" s="19" t="s">
        <v>1095</v>
      </c>
      <c r="M1299" s="19" t="s">
        <v>1095</v>
      </c>
      <c r="N1299" s="19" t="s">
        <v>1105</v>
      </c>
      <c r="R1299" t="s">
        <v>1097</v>
      </c>
    </row>
    <row r="1300" spans="1:18" hidden="1" x14ac:dyDescent="0.3">
      <c r="A1300" s="19">
        <f t="shared" si="20"/>
        <v>1299</v>
      </c>
      <c r="B1300" s="20" t="s">
        <v>87</v>
      </c>
      <c r="C1300" s="20" t="s">
        <v>86</v>
      </c>
      <c r="D1300" s="21" t="str">
        <f>IF($C1300="","",IFERROR(VLOOKUP($C1300,Map_Register!$A$2:$C$5,3,FALSE()),""))</f>
        <v>Border Region</v>
      </c>
      <c r="E1300" s="20" t="s">
        <v>15</v>
      </c>
      <c r="F1300" s="22">
        <v>725811</v>
      </c>
      <c r="G1300" s="19" t="s">
        <v>1223</v>
      </c>
      <c r="H1300" s="19" t="s">
        <v>3167</v>
      </c>
      <c r="I1300" s="19" t="s">
        <v>3168</v>
      </c>
      <c r="J1300" s="19" t="s">
        <v>1094</v>
      </c>
      <c r="K1300" s="19" t="s">
        <v>6</v>
      </c>
      <c r="L1300" s="19" t="s">
        <v>1095</v>
      </c>
      <c r="M1300" s="19" t="s">
        <v>1095</v>
      </c>
      <c r="N1300" s="19" t="s">
        <v>1105</v>
      </c>
      <c r="R1300" t="s">
        <v>1097</v>
      </c>
    </row>
    <row r="1301" spans="1:18" hidden="1" x14ac:dyDescent="0.3">
      <c r="A1301" s="19">
        <f t="shared" si="20"/>
        <v>1300</v>
      </c>
      <c r="B1301" s="20" t="s">
        <v>87</v>
      </c>
      <c r="C1301" s="20" t="s">
        <v>86</v>
      </c>
      <c r="D1301" s="21" t="str">
        <f>IF($C1301="","",IFERROR(VLOOKUP($C1301,Map_Register!$A$2:$C$5,3,FALSE()),""))</f>
        <v>Border Region</v>
      </c>
      <c r="E1301" s="20" t="s">
        <v>15</v>
      </c>
      <c r="F1301" s="22">
        <v>725812</v>
      </c>
      <c r="G1301" s="19" t="s">
        <v>1118</v>
      </c>
      <c r="H1301" s="19" t="s">
        <v>3169</v>
      </c>
      <c r="I1301" s="19" t="s">
        <v>3170</v>
      </c>
      <c r="J1301" s="19" t="s">
        <v>1094</v>
      </c>
      <c r="K1301" s="19" t="s">
        <v>6</v>
      </c>
      <c r="L1301" s="19" t="s">
        <v>1095</v>
      </c>
      <c r="M1301" s="19" t="s">
        <v>1095</v>
      </c>
      <c r="N1301" s="19" t="s">
        <v>1105</v>
      </c>
      <c r="R1301" t="s">
        <v>1097</v>
      </c>
    </row>
    <row r="1302" spans="1:18" hidden="1" x14ac:dyDescent="0.3">
      <c r="A1302" s="19">
        <f t="shared" si="20"/>
        <v>1301</v>
      </c>
      <c r="B1302" s="20" t="s">
        <v>87</v>
      </c>
      <c r="C1302" s="20" t="s">
        <v>86</v>
      </c>
      <c r="D1302" s="21" t="str">
        <f>IF($C1302="","",IFERROR(VLOOKUP($C1302,Map_Register!$A$2:$C$5,3,FALSE()),""))</f>
        <v>Border Region</v>
      </c>
      <c r="E1302" s="20" t="s">
        <v>15</v>
      </c>
      <c r="F1302" s="22">
        <v>725813</v>
      </c>
      <c r="G1302" s="19" t="s">
        <v>1108</v>
      </c>
      <c r="H1302" s="19" t="s">
        <v>3171</v>
      </c>
      <c r="I1302" s="19" t="s">
        <v>3172</v>
      </c>
      <c r="J1302" s="19" t="s">
        <v>1104</v>
      </c>
      <c r="K1302" s="19" t="s">
        <v>6</v>
      </c>
      <c r="L1302" s="19" t="s">
        <v>1095</v>
      </c>
      <c r="M1302" s="19" t="s">
        <v>1095</v>
      </c>
      <c r="N1302" s="19" t="s">
        <v>1105</v>
      </c>
      <c r="R1302" t="s">
        <v>1097</v>
      </c>
    </row>
    <row r="1303" spans="1:18" hidden="1" x14ac:dyDescent="0.3">
      <c r="A1303" s="19">
        <f t="shared" si="20"/>
        <v>1302</v>
      </c>
      <c r="B1303" s="20" t="s">
        <v>87</v>
      </c>
      <c r="C1303" s="20" t="s">
        <v>86</v>
      </c>
      <c r="D1303" s="21" t="str">
        <f>IF($C1303="","",IFERROR(VLOOKUP($C1303,Map_Register!$A$2:$C$5,3,FALSE()),""))</f>
        <v>Border Region</v>
      </c>
      <c r="E1303" s="20" t="s">
        <v>15</v>
      </c>
      <c r="F1303" s="22">
        <v>791436</v>
      </c>
      <c r="G1303" s="19" t="s">
        <v>1136</v>
      </c>
      <c r="H1303" s="19" t="s">
        <v>3173</v>
      </c>
      <c r="I1303" s="19" t="s">
        <v>3174</v>
      </c>
      <c r="J1303" s="19" t="s">
        <v>1094</v>
      </c>
      <c r="K1303" s="19" t="s">
        <v>8</v>
      </c>
      <c r="L1303" s="19" t="s">
        <v>114</v>
      </c>
      <c r="M1303" s="19" t="s">
        <v>114</v>
      </c>
      <c r="N1303" s="19" t="s">
        <v>3175</v>
      </c>
      <c r="O1303" s="19" t="s">
        <v>116</v>
      </c>
      <c r="R1303" t="s">
        <v>1097</v>
      </c>
    </row>
    <row r="1304" spans="1:18" hidden="1" x14ac:dyDescent="0.3">
      <c r="A1304" s="19">
        <f t="shared" si="20"/>
        <v>1303</v>
      </c>
      <c r="B1304" s="20" t="s">
        <v>87</v>
      </c>
      <c r="C1304" s="20" t="s">
        <v>86</v>
      </c>
      <c r="D1304" s="21" t="str">
        <f>IF($C1304="","",IFERROR(VLOOKUP($C1304,Map_Register!$A$2:$C$5,3,FALSE()),""))</f>
        <v>Border Region</v>
      </c>
      <c r="E1304" s="20" t="s">
        <v>15</v>
      </c>
      <c r="F1304" s="22">
        <v>791438</v>
      </c>
      <c r="G1304" s="19" t="s">
        <v>1136</v>
      </c>
      <c r="H1304" s="19" t="s">
        <v>3176</v>
      </c>
      <c r="I1304" s="19" t="s">
        <v>3177</v>
      </c>
      <c r="J1304" s="19" t="s">
        <v>1104</v>
      </c>
      <c r="K1304" s="19" t="s">
        <v>6</v>
      </c>
      <c r="L1304" s="19" t="s">
        <v>1095</v>
      </c>
      <c r="M1304" s="19" t="s">
        <v>1095</v>
      </c>
      <c r="N1304" s="19" t="s">
        <v>1105</v>
      </c>
      <c r="R1304" t="s">
        <v>1097</v>
      </c>
    </row>
    <row r="1305" spans="1:18" hidden="1" x14ac:dyDescent="0.3">
      <c r="A1305" s="19">
        <f t="shared" si="20"/>
        <v>1304</v>
      </c>
      <c r="B1305" s="20" t="s">
        <v>87</v>
      </c>
      <c r="C1305" s="20" t="s">
        <v>86</v>
      </c>
      <c r="D1305" s="21" t="str">
        <f>IF($C1305="","",IFERROR(VLOOKUP($C1305,Map_Register!$A$2:$C$5,3,FALSE()),""))</f>
        <v>Border Region</v>
      </c>
      <c r="E1305" s="20" t="s">
        <v>15</v>
      </c>
      <c r="F1305" s="22">
        <v>791441</v>
      </c>
      <c r="G1305" s="19" t="s">
        <v>1125</v>
      </c>
      <c r="H1305" s="19" t="s">
        <v>3178</v>
      </c>
      <c r="I1305" s="19" t="s">
        <v>3179</v>
      </c>
      <c r="J1305" s="19" t="s">
        <v>1094</v>
      </c>
      <c r="K1305" s="19" t="s">
        <v>6</v>
      </c>
      <c r="L1305" s="19" t="s">
        <v>1095</v>
      </c>
      <c r="M1305" s="19" t="s">
        <v>1095</v>
      </c>
      <c r="N1305" s="19" t="s">
        <v>1105</v>
      </c>
      <c r="R1305" t="s">
        <v>1097</v>
      </c>
    </row>
    <row r="1306" spans="1:18" hidden="1" x14ac:dyDescent="0.3">
      <c r="A1306" s="19">
        <f t="shared" si="20"/>
        <v>1305</v>
      </c>
      <c r="B1306" s="20" t="s">
        <v>87</v>
      </c>
      <c r="C1306" s="20" t="s">
        <v>86</v>
      </c>
      <c r="D1306" s="21" t="str">
        <f>IF($C1306="","",IFERROR(VLOOKUP($C1306,Map_Register!$A$2:$C$5,3,FALSE()),""))</f>
        <v>Border Region</v>
      </c>
      <c r="E1306" s="20" t="s">
        <v>15</v>
      </c>
      <c r="F1306" s="22">
        <v>791442</v>
      </c>
      <c r="G1306" s="19" t="s">
        <v>1091</v>
      </c>
      <c r="H1306" s="19" t="s">
        <v>3180</v>
      </c>
      <c r="I1306" s="19" t="s">
        <v>3180</v>
      </c>
      <c r="J1306" s="19" t="s">
        <v>1110</v>
      </c>
      <c r="K1306" s="19" t="s">
        <v>6</v>
      </c>
      <c r="L1306" s="19" t="s">
        <v>1095</v>
      </c>
      <c r="M1306" s="19" t="s">
        <v>1095</v>
      </c>
      <c r="N1306" s="19" t="s">
        <v>1300</v>
      </c>
      <c r="R1306" t="s">
        <v>1097</v>
      </c>
    </row>
    <row r="1307" spans="1:18" hidden="1" x14ac:dyDescent="0.3">
      <c r="A1307" s="19">
        <f t="shared" si="20"/>
        <v>1306</v>
      </c>
      <c r="B1307" s="20" t="s">
        <v>87</v>
      </c>
      <c r="C1307" s="20" t="s">
        <v>86</v>
      </c>
      <c r="D1307" s="21" t="str">
        <f>IF($C1307="","",IFERROR(VLOOKUP($C1307,Map_Register!$A$2:$C$5,3,FALSE()),""))</f>
        <v>Border Region</v>
      </c>
      <c r="E1307" s="20" t="s">
        <v>15</v>
      </c>
      <c r="F1307" s="22">
        <v>791447</v>
      </c>
      <c r="G1307" s="19" t="s">
        <v>1136</v>
      </c>
      <c r="H1307" s="19" t="s">
        <v>3181</v>
      </c>
      <c r="I1307" s="19" t="s">
        <v>3182</v>
      </c>
      <c r="J1307" s="19" t="s">
        <v>1104</v>
      </c>
      <c r="K1307" s="19" t="s">
        <v>8</v>
      </c>
      <c r="L1307" s="19" t="s">
        <v>114</v>
      </c>
      <c r="M1307" s="19" t="s">
        <v>114</v>
      </c>
      <c r="N1307" s="19" t="s">
        <v>3183</v>
      </c>
      <c r="O1307" s="19" t="s">
        <v>116</v>
      </c>
      <c r="R1307" t="s">
        <v>1097</v>
      </c>
    </row>
    <row r="1308" spans="1:18" hidden="1" x14ac:dyDescent="0.3">
      <c r="A1308" s="19">
        <f t="shared" si="20"/>
        <v>1307</v>
      </c>
      <c r="B1308" s="20" t="s">
        <v>87</v>
      </c>
      <c r="C1308" s="20" t="s">
        <v>86</v>
      </c>
      <c r="D1308" s="21" t="str">
        <f>IF($C1308="","",IFERROR(VLOOKUP($C1308,Map_Register!$A$2:$C$5,3,FALSE()),""))</f>
        <v>Border Region</v>
      </c>
      <c r="E1308" s="20" t="s">
        <v>15</v>
      </c>
      <c r="F1308" s="22">
        <v>791448</v>
      </c>
      <c r="G1308" s="19" t="s">
        <v>1125</v>
      </c>
      <c r="H1308" s="19" t="s">
        <v>3184</v>
      </c>
      <c r="I1308" s="19" t="s">
        <v>3185</v>
      </c>
      <c r="J1308" s="19" t="s">
        <v>1104</v>
      </c>
      <c r="K1308" s="19" t="s">
        <v>6</v>
      </c>
      <c r="L1308" s="19" t="s">
        <v>1095</v>
      </c>
      <c r="M1308" s="19" t="s">
        <v>1095</v>
      </c>
      <c r="N1308" s="19" t="s">
        <v>1105</v>
      </c>
      <c r="R1308" t="s">
        <v>1097</v>
      </c>
    </row>
    <row r="1309" spans="1:18" hidden="1" x14ac:dyDescent="0.3">
      <c r="A1309" s="19">
        <f t="shared" si="20"/>
        <v>1308</v>
      </c>
      <c r="B1309" s="20" t="s">
        <v>87</v>
      </c>
      <c r="C1309" s="20" t="s">
        <v>86</v>
      </c>
      <c r="D1309" s="21" t="str">
        <f>IF($C1309="","",IFERROR(VLOOKUP($C1309,Map_Register!$A$2:$C$5,3,FALSE()),""))</f>
        <v>Border Region</v>
      </c>
      <c r="E1309" s="20" t="s">
        <v>15</v>
      </c>
      <c r="F1309" s="22">
        <v>791452</v>
      </c>
      <c r="G1309" s="19" t="s">
        <v>1091</v>
      </c>
      <c r="H1309" s="19" t="s">
        <v>3186</v>
      </c>
      <c r="I1309" s="19" t="s">
        <v>3187</v>
      </c>
      <c r="J1309" s="19" t="s">
        <v>1104</v>
      </c>
      <c r="K1309" s="19" t="s">
        <v>6</v>
      </c>
      <c r="L1309" s="19" t="s">
        <v>1095</v>
      </c>
      <c r="M1309" s="19" t="s">
        <v>1095</v>
      </c>
      <c r="N1309" s="19" t="s">
        <v>1105</v>
      </c>
      <c r="R1309" t="s">
        <v>1097</v>
      </c>
    </row>
    <row r="1310" spans="1:18" hidden="1" x14ac:dyDescent="0.3">
      <c r="A1310" s="19">
        <f t="shared" si="20"/>
        <v>1309</v>
      </c>
      <c r="B1310" s="20" t="s">
        <v>87</v>
      </c>
      <c r="C1310" s="20" t="s">
        <v>86</v>
      </c>
      <c r="D1310" s="21" t="str">
        <f>IF($C1310="","",IFERROR(VLOOKUP($C1310,Map_Register!$A$2:$C$5,3,FALSE()),""))</f>
        <v>Border Region</v>
      </c>
      <c r="E1310" s="20" t="s">
        <v>15</v>
      </c>
      <c r="F1310" s="22">
        <v>791453</v>
      </c>
      <c r="G1310" s="19" t="s">
        <v>1125</v>
      </c>
      <c r="H1310" s="19" t="s">
        <v>3188</v>
      </c>
      <c r="I1310" s="19" t="s">
        <v>3189</v>
      </c>
      <c r="J1310" s="19" t="s">
        <v>1094</v>
      </c>
      <c r="K1310" s="19" t="s">
        <v>6</v>
      </c>
      <c r="L1310" s="19" t="s">
        <v>1095</v>
      </c>
      <c r="M1310" s="19" t="s">
        <v>1095</v>
      </c>
      <c r="N1310" s="19" t="s">
        <v>1105</v>
      </c>
      <c r="R1310" t="s">
        <v>1097</v>
      </c>
    </row>
    <row r="1311" spans="1:18" hidden="1" x14ac:dyDescent="0.3">
      <c r="A1311" s="19">
        <f t="shared" si="20"/>
        <v>1310</v>
      </c>
      <c r="B1311" s="20" t="s">
        <v>87</v>
      </c>
      <c r="C1311" s="20" t="s">
        <v>86</v>
      </c>
      <c r="D1311" s="21" t="str">
        <f>IF($C1311="","",IFERROR(VLOOKUP($C1311,Map_Register!$A$2:$C$5,3,FALSE()),""))</f>
        <v>Border Region</v>
      </c>
      <c r="E1311" s="20" t="s">
        <v>15</v>
      </c>
      <c r="F1311" s="22">
        <v>791454</v>
      </c>
      <c r="G1311" s="19" t="s">
        <v>1091</v>
      </c>
      <c r="H1311" s="19" t="s">
        <v>2072</v>
      </c>
      <c r="I1311" s="19" t="s">
        <v>3190</v>
      </c>
      <c r="J1311" s="19" t="s">
        <v>1094</v>
      </c>
      <c r="K1311" s="19" t="s">
        <v>6</v>
      </c>
      <c r="L1311" s="19" t="s">
        <v>1095</v>
      </c>
      <c r="M1311" s="19" t="s">
        <v>1095</v>
      </c>
      <c r="N1311" s="19" t="s">
        <v>1105</v>
      </c>
      <c r="R1311" t="s">
        <v>1097</v>
      </c>
    </row>
    <row r="1312" spans="1:18" x14ac:dyDescent="0.3">
      <c r="A1312" s="19">
        <f t="shared" si="20"/>
        <v>1311</v>
      </c>
      <c r="B1312" s="20" t="s">
        <v>87</v>
      </c>
      <c r="C1312" s="20" t="s">
        <v>86</v>
      </c>
      <c r="D1312" s="21" t="str">
        <f>IF($C1312="","",IFERROR(VLOOKUP($C1312,Map_Register!$A$2:$C$5,3,FALSE()),""))</f>
        <v>Border Region</v>
      </c>
      <c r="E1312" s="20" t="s">
        <v>15</v>
      </c>
      <c r="F1312" s="22">
        <v>791456</v>
      </c>
      <c r="G1312" s="19" t="s">
        <v>1125</v>
      </c>
      <c r="H1312" s="19" t="s">
        <v>3191</v>
      </c>
      <c r="I1312" s="19" t="s">
        <v>3192</v>
      </c>
      <c r="J1312" s="19" t="s">
        <v>1104</v>
      </c>
      <c r="K1312" s="19" t="s">
        <v>8</v>
      </c>
      <c r="L1312" s="19" t="s">
        <v>114</v>
      </c>
      <c r="M1312" s="19" t="s">
        <v>116</v>
      </c>
      <c r="N1312" s="19" t="s">
        <v>2961</v>
      </c>
      <c r="O1312" s="19" t="s">
        <v>116</v>
      </c>
      <c r="R1312" t="s">
        <v>1097</v>
      </c>
    </row>
    <row r="1313" spans="1:18" hidden="1" x14ac:dyDescent="0.3">
      <c r="A1313" s="19">
        <f t="shared" si="20"/>
        <v>1312</v>
      </c>
      <c r="B1313" s="20" t="s">
        <v>87</v>
      </c>
      <c r="C1313" s="20" t="s">
        <v>86</v>
      </c>
      <c r="D1313" s="21" t="str">
        <f>IF($C1313="","",IFERROR(VLOOKUP($C1313,Map_Register!$A$2:$C$5,3,FALSE()),""))</f>
        <v>Border Region</v>
      </c>
      <c r="E1313" s="20" t="s">
        <v>15</v>
      </c>
      <c r="F1313" s="22">
        <v>791458</v>
      </c>
      <c r="G1313" s="19" t="s">
        <v>1136</v>
      </c>
      <c r="H1313" s="19" t="s">
        <v>3193</v>
      </c>
      <c r="I1313" s="19" t="s">
        <v>3194</v>
      </c>
      <c r="J1313" s="19" t="s">
        <v>1094</v>
      </c>
      <c r="K1313" s="19" t="s">
        <v>8</v>
      </c>
      <c r="L1313" s="19" t="s">
        <v>114</v>
      </c>
      <c r="M1313" s="19" t="s">
        <v>114</v>
      </c>
      <c r="N1313" s="19" t="s">
        <v>2050</v>
      </c>
      <c r="O1313" s="19" t="s">
        <v>116</v>
      </c>
      <c r="R1313" t="s">
        <v>1097</v>
      </c>
    </row>
    <row r="1314" spans="1:18" hidden="1" x14ac:dyDescent="0.3">
      <c r="A1314" s="19">
        <f t="shared" si="20"/>
        <v>1313</v>
      </c>
      <c r="B1314" s="20" t="s">
        <v>87</v>
      </c>
      <c r="C1314" s="20" t="s">
        <v>86</v>
      </c>
      <c r="D1314" s="21" t="str">
        <f>IF($C1314="","",IFERROR(VLOOKUP($C1314,Map_Register!$A$2:$C$5,3,FALSE()),""))</f>
        <v>Border Region</v>
      </c>
      <c r="E1314" s="20" t="s">
        <v>15</v>
      </c>
      <c r="F1314" s="22">
        <v>791460</v>
      </c>
      <c r="G1314" s="19" t="s">
        <v>1091</v>
      </c>
      <c r="H1314" s="19" t="s">
        <v>3195</v>
      </c>
      <c r="I1314" s="19" t="s">
        <v>3196</v>
      </c>
      <c r="J1314" s="19" t="s">
        <v>1094</v>
      </c>
      <c r="K1314" s="19" t="s">
        <v>6</v>
      </c>
      <c r="L1314" s="19" t="s">
        <v>1095</v>
      </c>
      <c r="M1314" s="19" t="s">
        <v>1095</v>
      </c>
      <c r="N1314" s="19" t="s">
        <v>1105</v>
      </c>
      <c r="R1314" t="s">
        <v>1097</v>
      </c>
    </row>
    <row r="1315" spans="1:18" x14ac:dyDescent="0.3">
      <c r="A1315" s="19">
        <f t="shared" si="20"/>
        <v>1314</v>
      </c>
      <c r="B1315" s="20" t="s">
        <v>87</v>
      </c>
      <c r="C1315" s="20" t="s">
        <v>86</v>
      </c>
      <c r="D1315" s="21" t="str">
        <f>IF($C1315="","",IFERROR(VLOOKUP($C1315,Map_Register!$A$2:$C$5,3,FALSE()),""))</f>
        <v>Border Region</v>
      </c>
      <c r="E1315" s="20" t="s">
        <v>15</v>
      </c>
      <c r="F1315" s="22">
        <v>791461</v>
      </c>
      <c r="G1315" s="19" t="s">
        <v>1125</v>
      </c>
      <c r="H1315" s="19" t="s">
        <v>3197</v>
      </c>
      <c r="I1315" s="19" t="s">
        <v>3198</v>
      </c>
      <c r="J1315" s="19" t="s">
        <v>1094</v>
      </c>
      <c r="K1315" s="19" t="s">
        <v>8</v>
      </c>
      <c r="L1315" s="19" t="s">
        <v>114</v>
      </c>
      <c r="M1315" s="19" t="s">
        <v>116</v>
      </c>
      <c r="N1315" s="19" t="s">
        <v>2961</v>
      </c>
      <c r="O1315" s="19" t="s">
        <v>116</v>
      </c>
      <c r="R1315" t="s">
        <v>1097</v>
      </c>
    </row>
    <row r="1316" spans="1:18" hidden="1" x14ac:dyDescent="0.3">
      <c r="A1316" s="19">
        <f t="shared" si="20"/>
        <v>1315</v>
      </c>
      <c r="B1316" s="20" t="s">
        <v>87</v>
      </c>
      <c r="C1316" s="20" t="s">
        <v>86</v>
      </c>
      <c r="D1316" s="21" t="str">
        <f>IF($C1316="","",IFERROR(VLOOKUP($C1316,Map_Register!$A$2:$C$5,3,FALSE()),""))</f>
        <v>Border Region</v>
      </c>
      <c r="E1316" s="20" t="s">
        <v>15</v>
      </c>
      <c r="F1316" s="22">
        <v>791462</v>
      </c>
      <c r="G1316" s="19" t="s">
        <v>1091</v>
      </c>
      <c r="H1316" s="19" t="s">
        <v>3199</v>
      </c>
      <c r="I1316" s="19" t="s">
        <v>3200</v>
      </c>
      <c r="J1316" s="19" t="s">
        <v>1094</v>
      </c>
      <c r="K1316" s="19" t="s">
        <v>6</v>
      </c>
      <c r="L1316" s="19" t="s">
        <v>1095</v>
      </c>
      <c r="M1316" s="19" t="s">
        <v>1095</v>
      </c>
      <c r="N1316" s="19" t="s">
        <v>1105</v>
      </c>
      <c r="R1316" t="s">
        <v>1097</v>
      </c>
    </row>
    <row r="1317" spans="1:18" hidden="1" x14ac:dyDescent="0.3">
      <c r="A1317" s="19">
        <f t="shared" si="20"/>
        <v>1316</v>
      </c>
      <c r="B1317" s="20" t="s">
        <v>87</v>
      </c>
      <c r="C1317" s="20" t="s">
        <v>86</v>
      </c>
      <c r="D1317" s="21" t="str">
        <f>IF($C1317="","",IFERROR(VLOOKUP($C1317,Map_Register!$A$2:$C$5,3,FALSE()),""))</f>
        <v>Border Region</v>
      </c>
      <c r="E1317" s="20" t="s">
        <v>15</v>
      </c>
      <c r="F1317" s="22">
        <v>791463</v>
      </c>
      <c r="G1317" s="19" t="s">
        <v>1091</v>
      </c>
      <c r="H1317" s="19" t="s">
        <v>3201</v>
      </c>
      <c r="I1317" s="19" t="s">
        <v>3202</v>
      </c>
      <c r="J1317" s="19" t="s">
        <v>1094</v>
      </c>
      <c r="K1317" s="19" t="s">
        <v>8</v>
      </c>
      <c r="L1317" s="19" t="s">
        <v>114</v>
      </c>
      <c r="M1317" s="19" t="s">
        <v>114</v>
      </c>
      <c r="N1317" s="19" t="s">
        <v>2835</v>
      </c>
      <c r="O1317" s="19" t="s">
        <v>116</v>
      </c>
      <c r="R1317" t="s">
        <v>1097</v>
      </c>
    </row>
    <row r="1318" spans="1:18" hidden="1" x14ac:dyDescent="0.3">
      <c r="A1318" s="19">
        <f t="shared" si="20"/>
        <v>1317</v>
      </c>
      <c r="B1318" s="20" t="s">
        <v>87</v>
      </c>
      <c r="C1318" s="20" t="s">
        <v>86</v>
      </c>
      <c r="D1318" s="21" t="str">
        <f>IF($C1318="","",IFERROR(VLOOKUP($C1318,Map_Register!$A$2:$C$5,3,FALSE()),""))</f>
        <v>Border Region</v>
      </c>
      <c r="E1318" s="20" t="s">
        <v>15</v>
      </c>
      <c r="F1318" s="22">
        <v>791464</v>
      </c>
      <c r="G1318" s="19" t="s">
        <v>1108</v>
      </c>
      <c r="H1318" s="19" t="s">
        <v>3203</v>
      </c>
      <c r="I1318" s="19" t="s">
        <v>3203</v>
      </c>
      <c r="J1318" s="19" t="s">
        <v>1110</v>
      </c>
      <c r="K1318" s="19" t="s">
        <v>6</v>
      </c>
      <c r="L1318" s="19" t="s">
        <v>1095</v>
      </c>
      <c r="M1318" s="19" t="s">
        <v>1095</v>
      </c>
      <c r="N1318" s="19" t="s">
        <v>1111</v>
      </c>
      <c r="R1318" t="s">
        <v>1097</v>
      </c>
    </row>
    <row r="1319" spans="1:18" hidden="1" x14ac:dyDescent="0.3">
      <c r="A1319" s="19">
        <f t="shared" si="20"/>
        <v>1318</v>
      </c>
      <c r="B1319" s="20" t="s">
        <v>87</v>
      </c>
      <c r="C1319" s="20" t="s">
        <v>86</v>
      </c>
      <c r="D1319" s="21" t="str">
        <f>IF($C1319="","",IFERROR(VLOOKUP($C1319,Map_Register!$A$2:$C$5,3,FALSE()),""))</f>
        <v>Border Region</v>
      </c>
      <c r="E1319" s="20" t="s">
        <v>15</v>
      </c>
      <c r="F1319" s="22">
        <v>791465</v>
      </c>
      <c r="G1319" s="19" t="s">
        <v>1091</v>
      </c>
      <c r="H1319" s="19" t="s">
        <v>3204</v>
      </c>
      <c r="I1319" s="19" t="s">
        <v>3205</v>
      </c>
      <c r="J1319" s="19" t="s">
        <v>1104</v>
      </c>
      <c r="K1319" s="19" t="s">
        <v>8</v>
      </c>
      <c r="L1319" s="19" t="s">
        <v>114</v>
      </c>
      <c r="M1319" s="19" t="s">
        <v>114</v>
      </c>
      <c r="N1319" s="19" t="s">
        <v>2835</v>
      </c>
      <c r="O1319" s="19" t="s">
        <v>116</v>
      </c>
      <c r="R1319" t="s">
        <v>1097</v>
      </c>
    </row>
    <row r="1320" spans="1:18" x14ac:dyDescent="0.3">
      <c r="A1320" s="19">
        <f t="shared" si="20"/>
        <v>1319</v>
      </c>
      <c r="B1320" s="20" t="s">
        <v>87</v>
      </c>
      <c r="C1320" s="20" t="s">
        <v>86</v>
      </c>
      <c r="D1320" s="21" t="str">
        <f>IF($C1320="","",IFERROR(VLOOKUP($C1320,Map_Register!$A$2:$C$5,3,FALSE()),""))</f>
        <v>Border Region</v>
      </c>
      <c r="E1320" s="20" t="s">
        <v>15</v>
      </c>
      <c r="F1320" s="22">
        <v>791466</v>
      </c>
      <c r="G1320" s="19" t="s">
        <v>1125</v>
      </c>
      <c r="H1320" s="19" t="s">
        <v>3206</v>
      </c>
      <c r="I1320" s="19" t="s">
        <v>3207</v>
      </c>
      <c r="J1320" s="19" t="s">
        <v>1104</v>
      </c>
      <c r="K1320" s="19" t="s">
        <v>8</v>
      </c>
      <c r="L1320" s="19" t="s">
        <v>114</v>
      </c>
      <c r="M1320" s="19" t="s">
        <v>116</v>
      </c>
      <c r="N1320" s="19" t="s">
        <v>2961</v>
      </c>
      <c r="O1320" s="19" t="s">
        <v>116</v>
      </c>
      <c r="R1320" t="s">
        <v>1097</v>
      </c>
    </row>
    <row r="1321" spans="1:18" hidden="1" x14ac:dyDescent="0.3">
      <c r="A1321" s="19">
        <f t="shared" si="20"/>
        <v>1320</v>
      </c>
      <c r="B1321" s="20" t="s">
        <v>87</v>
      </c>
      <c r="C1321" s="20" t="s">
        <v>86</v>
      </c>
      <c r="D1321" s="21" t="str">
        <f>IF($C1321="","",IFERROR(VLOOKUP($C1321,Map_Register!$A$2:$C$5,3,FALSE()),""))</f>
        <v>Border Region</v>
      </c>
      <c r="E1321" s="20" t="s">
        <v>15</v>
      </c>
      <c r="F1321" s="22">
        <v>791467</v>
      </c>
      <c r="G1321" s="19" t="s">
        <v>1091</v>
      </c>
      <c r="H1321" s="19" t="s">
        <v>3208</v>
      </c>
      <c r="I1321" s="19" t="s">
        <v>3209</v>
      </c>
      <c r="J1321" s="19" t="s">
        <v>1104</v>
      </c>
      <c r="K1321" s="19" t="s">
        <v>6</v>
      </c>
      <c r="L1321" s="19" t="s">
        <v>1095</v>
      </c>
      <c r="M1321" s="19" t="s">
        <v>1095</v>
      </c>
      <c r="N1321" s="19" t="s">
        <v>1105</v>
      </c>
      <c r="R1321" t="s">
        <v>1097</v>
      </c>
    </row>
    <row r="1322" spans="1:18" hidden="1" x14ac:dyDescent="0.3">
      <c r="A1322" s="19">
        <f t="shared" si="20"/>
        <v>1321</v>
      </c>
      <c r="B1322" s="20" t="s">
        <v>87</v>
      </c>
      <c r="C1322" s="20" t="s">
        <v>86</v>
      </c>
      <c r="D1322" s="21" t="str">
        <f>IF($C1322="","",IFERROR(VLOOKUP($C1322,Map_Register!$A$2:$C$5,3,FALSE()),""))</f>
        <v>Border Region</v>
      </c>
      <c r="E1322" s="20" t="s">
        <v>15</v>
      </c>
      <c r="F1322" s="22">
        <v>791468</v>
      </c>
      <c r="G1322" s="19" t="s">
        <v>1108</v>
      </c>
      <c r="H1322" s="19" t="s">
        <v>3210</v>
      </c>
      <c r="I1322" s="19" t="s">
        <v>3211</v>
      </c>
      <c r="J1322" s="19" t="s">
        <v>1104</v>
      </c>
      <c r="K1322" s="19" t="s">
        <v>6</v>
      </c>
      <c r="L1322" s="19" t="s">
        <v>1095</v>
      </c>
      <c r="M1322" s="19" t="s">
        <v>1095</v>
      </c>
      <c r="N1322" s="19" t="s">
        <v>1105</v>
      </c>
      <c r="R1322" t="s">
        <v>1097</v>
      </c>
    </row>
    <row r="1323" spans="1:18" hidden="1" x14ac:dyDescent="0.3">
      <c r="A1323" s="19">
        <f t="shared" si="20"/>
        <v>1322</v>
      </c>
      <c r="B1323" s="20" t="s">
        <v>87</v>
      </c>
      <c r="C1323" s="20" t="s">
        <v>86</v>
      </c>
      <c r="D1323" s="21" t="str">
        <f>IF($C1323="","",IFERROR(VLOOKUP($C1323,Map_Register!$A$2:$C$5,3,FALSE()),""))</f>
        <v>Border Region</v>
      </c>
      <c r="E1323" s="20" t="s">
        <v>15</v>
      </c>
      <c r="F1323" s="22">
        <v>791470</v>
      </c>
      <c r="G1323" s="19" t="s">
        <v>1118</v>
      </c>
      <c r="H1323" s="19" t="s">
        <v>3212</v>
      </c>
      <c r="I1323" s="19" t="s">
        <v>3213</v>
      </c>
      <c r="J1323" s="19" t="s">
        <v>1104</v>
      </c>
      <c r="K1323" s="19" t="s">
        <v>8</v>
      </c>
      <c r="L1323" s="19" t="s">
        <v>114</v>
      </c>
      <c r="M1323" s="19" t="s">
        <v>114</v>
      </c>
      <c r="N1323" s="19" t="s">
        <v>2774</v>
      </c>
      <c r="O1323" s="19" t="s">
        <v>116</v>
      </c>
      <c r="R1323" t="s">
        <v>1097</v>
      </c>
    </row>
    <row r="1324" spans="1:18" hidden="1" x14ac:dyDescent="0.3">
      <c r="A1324" s="19">
        <f t="shared" si="20"/>
        <v>1323</v>
      </c>
      <c r="B1324" s="20" t="s">
        <v>87</v>
      </c>
      <c r="C1324" s="20" t="s">
        <v>86</v>
      </c>
      <c r="D1324" s="21" t="str">
        <f>IF($C1324="","",IFERROR(VLOOKUP($C1324,Map_Register!$A$2:$C$5,3,FALSE()),""))</f>
        <v>Border Region</v>
      </c>
      <c r="E1324" s="20" t="s">
        <v>15</v>
      </c>
      <c r="F1324" s="22">
        <v>792072</v>
      </c>
      <c r="G1324" s="19" t="s">
        <v>1136</v>
      </c>
      <c r="H1324" s="19" t="s">
        <v>3214</v>
      </c>
      <c r="I1324" s="19" t="s">
        <v>3214</v>
      </c>
      <c r="J1324" s="19" t="s">
        <v>1117</v>
      </c>
      <c r="K1324" s="19" t="s">
        <v>8</v>
      </c>
      <c r="L1324" s="19" t="s">
        <v>114</v>
      </c>
      <c r="M1324" s="19" t="s">
        <v>114</v>
      </c>
      <c r="N1324" s="19" t="s">
        <v>3215</v>
      </c>
      <c r="O1324" s="19" t="s">
        <v>116</v>
      </c>
      <c r="R1324" t="s">
        <v>1097</v>
      </c>
    </row>
    <row r="1325" spans="1:18" s="31" customFormat="1" hidden="1" x14ac:dyDescent="0.3">
      <c r="A1325" s="27">
        <f t="shared" si="20"/>
        <v>1324</v>
      </c>
      <c r="B1325" s="28" t="s">
        <v>87</v>
      </c>
      <c r="C1325" s="28" t="s">
        <v>86</v>
      </c>
      <c r="D1325" s="29" t="str">
        <f>IF($C1325="","",IFERROR(VLOOKUP($C1325,Map_Register!$A$2:$C$5,3,FALSE()),""))</f>
        <v>Border Region</v>
      </c>
      <c r="E1325" s="28" t="s">
        <v>15</v>
      </c>
      <c r="F1325" s="30">
        <v>792073</v>
      </c>
      <c r="G1325" s="27" t="s">
        <v>1108</v>
      </c>
      <c r="H1325" s="27" t="s">
        <v>3216</v>
      </c>
      <c r="I1325" s="27" t="s">
        <v>3216</v>
      </c>
      <c r="J1325" s="27" t="s">
        <v>1110</v>
      </c>
      <c r="K1325" s="27" t="s">
        <v>6</v>
      </c>
      <c r="L1325" s="27"/>
      <c r="M1325" s="27"/>
      <c r="N1325" s="27" t="s">
        <v>3217</v>
      </c>
      <c r="R1325" s="31" t="s">
        <v>1097</v>
      </c>
    </row>
    <row r="1326" spans="1:18" hidden="1" x14ac:dyDescent="0.3">
      <c r="A1326" s="19">
        <f t="shared" si="20"/>
        <v>1325</v>
      </c>
      <c r="B1326" s="20" t="s">
        <v>87</v>
      </c>
      <c r="C1326" s="20" t="s">
        <v>86</v>
      </c>
      <c r="D1326" s="21" t="str">
        <f>IF($C1326="","",IFERROR(VLOOKUP($C1326,Map_Register!$A$2:$C$5,3,FALSE()),""))</f>
        <v>Border Region</v>
      </c>
      <c r="E1326" s="20" t="s">
        <v>15</v>
      </c>
      <c r="F1326" s="22">
        <v>792075</v>
      </c>
      <c r="G1326" s="19" t="s">
        <v>1091</v>
      </c>
      <c r="H1326" s="19" t="s">
        <v>3218</v>
      </c>
      <c r="I1326" s="19" t="s">
        <v>3219</v>
      </c>
      <c r="J1326" s="19" t="s">
        <v>2624</v>
      </c>
      <c r="K1326" s="19" t="s">
        <v>8</v>
      </c>
      <c r="L1326" s="19" t="s">
        <v>114</v>
      </c>
      <c r="M1326" s="19" t="s">
        <v>114</v>
      </c>
      <c r="N1326" s="19" t="s">
        <v>2835</v>
      </c>
      <c r="O1326" s="19" t="s">
        <v>116</v>
      </c>
      <c r="R1326" t="s">
        <v>1097</v>
      </c>
    </row>
    <row r="1327" spans="1:18" hidden="1" x14ac:dyDescent="0.3">
      <c r="A1327" s="19">
        <f t="shared" si="20"/>
        <v>1326</v>
      </c>
      <c r="B1327" s="20" t="s">
        <v>87</v>
      </c>
      <c r="C1327" s="20" t="s">
        <v>86</v>
      </c>
      <c r="D1327" s="21" t="str">
        <f>IF($C1327="","",IFERROR(VLOOKUP($C1327,Map_Register!$A$2:$C$5,3,FALSE()),""))</f>
        <v>Border Region</v>
      </c>
      <c r="E1327" s="20" t="s">
        <v>15</v>
      </c>
      <c r="F1327" s="22">
        <v>792157</v>
      </c>
      <c r="G1327" s="19" t="s">
        <v>1108</v>
      </c>
      <c r="H1327" s="19" t="s">
        <v>3220</v>
      </c>
      <c r="I1327" s="19" t="s">
        <v>3221</v>
      </c>
      <c r="J1327" s="19" t="s">
        <v>1094</v>
      </c>
      <c r="K1327" s="19" t="s">
        <v>6</v>
      </c>
      <c r="L1327" s="19" t="s">
        <v>1095</v>
      </c>
      <c r="M1327" s="19" t="s">
        <v>1095</v>
      </c>
      <c r="N1327" s="19" t="s">
        <v>1105</v>
      </c>
      <c r="R1327" t="s">
        <v>1097</v>
      </c>
    </row>
    <row r="1328" spans="1:18" hidden="1" x14ac:dyDescent="0.3">
      <c r="A1328" s="19">
        <f t="shared" si="20"/>
        <v>1327</v>
      </c>
      <c r="B1328" s="20" t="s">
        <v>87</v>
      </c>
      <c r="C1328" s="20" t="s">
        <v>86</v>
      </c>
      <c r="D1328" s="21" t="str">
        <f>IF($C1328="","",IFERROR(VLOOKUP($C1328,Map_Register!$A$2:$C$5,3,FALSE()),""))</f>
        <v>Border Region</v>
      </c>
      <c r="E1328" s="20" t="s">
        <v>15</v>
      </c>
      <c r="F1328" s="22">
        <v>792158</v>
      </c>
      <c r="G1328" s="19" t="s">
        <v>1136</v>
      </c>
      <c r="H1328" s="19" t="s">
        <v>3222</v>
      </c>
      <c r="I1328" s="19" t="s">
        <v>3222</v>
      </c>
      <c r="J1328" s="19" t="s">
        <v>1110</v>
      </c>
      <c r="K1328" s="19" t="s">
        <v>6</v>
      </c>
      <c r="L1328" s="19" t="s">
        <v>1095</v>
      </c>
      <c r="M1328" s="19" t="s">
        <v>1095</v>
      </c>
      <c r="N1328" s="19" t="s">
        <v>3223</v>
      </c>
      <c r="R1328" t="s">
        <v>1097</v>
      </c>
    </row>
    <row r="1329" spans="1:18" hidden="1" x14ac:dyDescent="0.3">
      <c r="A1329" s="19">
        <f t="shared" si="20"/>
        <v>1328</v>
      </c>
      <c r="B1329" s="20" t="s">
        <v>87</v>
      </c>
      <c r="C1329" s="20" t="s">
        <v>86</v>
      </c>
      <c r="D1329" s="21" t="str">
        <f>IF($C1329="","",IFERROR(VLOOKUP($C1329,Map_Register!$A$2:$C$5,3,FALSE()),""))</f>
        <v>Border Region</v>
      </c>
      <c r="E1329" s="20" t="s">
        <v>15</v>
      </c>
      <c r="F1329" s="22">
        <v>792159</v>
      </c>
      <c r="G1329" s="19" t="s">
        <v>1136</v>
      </c>
      <c r="H1329" s="19" t="s">
        <v>3224</v>
      </c>
      <c r="I1329" s="19" t="s">
        <v>3224</v>
      </c>
      <c r="J1329" s="19" t="s">
        <v>1110</v>
      </c>
      <c r="K1329" s="19" t="s">
        <v>481</v>
      </c>
      <c r="L1329" s="19" t="s">
        <v>114</v>
      </c>
      <c r="M1329" s="19" t="s">
        <v>114</v>
      </c>
      <c r="N1329" s="19" t="s">
        <v>3225</v>
      </c>
      <c r="O1329" s="19" t="s">
        <v>116</v>
      </c>
      <c r="R1329" t="s">
        <v>1097</v>
      </c>
    </row>
    <row r="1330" spans="1:18" hidden="1" x14ac:dyDescent="0.3">
      <c r="A1330" s="19">
        <f t="shared" si="20"/>
        <v>1329</v>
      </c>
      <c r="B1330" s="20" t="s">
        <v>87</v>
      </c>
      <c r="C1330" s="20" t="s">
        <v>86</v>
      </c>
      <c r="D1330" s="21" t="str">
        <f>IF($C1330="","",IFERROR(VLOOKUP($C1330,Map_Register!$A$2:$C$5,3,FALSE()),""))</f>
        <v>Border Region</v>
      </c>
      <c r="E1330" s="20" t="s">
        <v>15</v>
      </c>
      <c r="F1330" s="22">
        <v>792249</v>
      </c>
      <c r="G1330" s="19" t="s">
        <v>1091</v>
      </c>
      <c r="H1330" s="19" t="s">
        <v>3226</v>
      </c>
      <c r="I1330" s="19" t="s">
        <v>3227</v>
      </c>
      <c r="J1330" s="19" t="s">
        <v>1094</v>
      </c>
      <c r="K1330" s="19" t="s">
        <v>6</v>
      </c>
      <c r="L1330" s="19" t="s">
        <v>1095</v>
      </c>
      <c r="M1330" s="19" t="s">
        <v>1095</v>
      </c>
      <c r="N1330" s="19" t="s">
        <v>1105</v>
      </c>
      <c r="R1330" t="s">
        <v>1097</v>
      </c>
    </row>
    <row r="1331" spans="1:18" hidden="1" x14ac:dyDescent="0.3">
      <c r="A1331" s="19">
        <f t="shared" si="20"/>
        <v>1330</v>
      </c>
      <c r="B1331" s="20" t="s">
        <v>87</v>
      </c>
      <c r="C1331" s="20" t="s">
        <v>86</v>
      </c>
      <c r="D1331" s="21" t="str">
        <f>IF($C1331="","",IFERROR(VLOOKUP($C1331,Map_Register!$A$2:$C$5,3,FALSE()),""))</f>
        <v>Border Region</v>
      </c>
      <c r="E1331" s="20" t="s">
        <v>15</v>
      </c>
      <c r="F1331" s="22">
        <v>792250</v>
      </c>
      <c r="G1331" s="19" t="s">
        <v>1091</v>
      </c>
      <c r="H1331" s="19" t="s">
        <v>3228</v>
      </c>
      <c r="I1331" s="19" t="s">
        <v>3229</v>
      </c>
      <c r="J1331" s="19" t="s">
        <v>1104</v>
      </c>
      <c r="K1331" s="19" t="s">
        <v>6</v>
      </c>
      <c r="L1331" s="19" t="s">
        <v>1095</v>
      </c>
      <c r="M1331" s="19" t="s">
        <v>1095</v>
      </c>
      <c r="N1331" s="19" t="s">
        <v>1105</v>
      </c>
      <c r="R1331" t="s">
        <v>1097</v>
      </c>
    </row>
    <row r="1332" spans="1:18" hidden="1" x14ac:dyDescent="0.3">
      <c r="A1332" s="19">
        <f t="shared" si="20"/>
        <v>1331</v>
      </c>
      <c r="B1332" s="20" t="s">
        <v>87</v>
      </c>
      <c r="C1332" s="20" t="s">
        <v>86</v>
      </c>
      <c r="D1332" s="21" t="str">
        <f>IF($C1332="","",IFERROR(VLOOKUP($C1332,Map_Register!$A$2:$C$5,3,FALSE()),""))</f>
        <v>Border Region</v>
      </c>
      <c r="E1332" s="20" t="s">
        <v>15</v>
      </c>
      <c r="F1332" s="22">
        <v>792251</v>
      </c>
      <c r="G1332" s="19" t="s">
        <v>1223</v>
      </c>
      <c r="H1332" s="19" t="s">
        <v>3230</v>
      </c>
      <c r="I1332" s="19" t="s">
        <v>3230</v>
      </c>
      <c r="J1332" s="19" t="s">
        <v>1110</v>
      </c>
      <c r="K1332" s="19" t="s">
        <v>6</v>
      </c>
      <c r="L1332" s="19" t="s">
        <v>1095</v>
      </c>
      <c r="M1332" s="19" t="s">
        <v>1095</v>
      </c>
      <c r="N1332" s="19" t="s">
        <v>1389</v>
      </c>
      <c r="R1332" t="s">
        <v>1097</v>
      </c>
    </row>
    <row r="1333" spans="1:18" hidden="1" x14ac:dyDescent="0.3">
      <c r="A1333" s="19">
        <f t="shared" si="20"/>
        <v>1332</v>
      </c>
      <c r="B1333" s="20" t="s">
        <v>87</v>
      </c>
      <c r="C1333" s="20" t="s">
        <v>86</v>
      </c>
      <c r="D1333" s="21" t="str">
        <f>IF($C1333="","",IFERROR(VLOOKUP($C1333,Map_Register!$A$2:$C$5,3,FALSE()),""))</f>
        <v>Border Region</v>
      </c>
      <c r="E1333" s="20" t="s">
        <v>15</v>
      </c>
      <c r="F1333" s="22">
        <v>792252</v>
      </c>
      <c r="G1333" s="19" t="s">
        <v>1118</v>
      </c>
      <c r="H1333" s="19" t="s">
        <v>3231</v>
      </c>
      <c r="I1333" s="19" t="s">
        <v>3232</v>
      </c>
      <c r="J1333" s="19" t="s">
        <v>1094</v>
      </c>
      <c r="K1333" s="19" t="s">
        <v>481</v>
      </c>
      <c r="L1333" s="19" t="s">
        <v>114</v>
      </c>
      <c r="M1333" s="19" t="s">
        <v>114</v>
      </c>
      <c r="N1333" s="19" t="s">
        <v>2774</v>
      </c>
      <c r="O1333" s="19" t="s">
        <v>116</v>
      </c>
      <c r="R1333" t="s">
        <v>1097</v>
      </c>
    </row>
    <row r="1334" spans="1:18" hidden="1" x14ac:dyDescent="0.3">
      <c r="A1334" s="19">
        <f t="shared" si="20"/>
        <v>1333</v>
      </c>
      <c r="B1334" s="20" t="s">
        <v>87</v>
      </c>
      <c r="C1334" s="20" t="s">
        <v>86</v>
      </c>
      <c r="D1334" s="21" t="str">
        <f>IF($C1334="","",IFERROR(VLOOKUP($C1334,Map_Register!$A$2:$C$5,3,FALSE()),""))</f>
        <v>Border Region</v>
      </c>
      <c r="E1334" s="20" t="s">
        <v>15</v>
      </c>
      <c r="F1334" s="22">
        <v>792254</v>
      </c>
      <c r="G1334" s="19" t="s">
        <v>1223</v>
      </c>
      <c r="H1334" s="19" t="s">
        <v>3233</v>
      </c>
      <c r="I1334" s="19" t="s">
        <v>3234</v>
      </c>
      <c r="J1334" s="19" t="s">
        <v>1104</v>
      </c>
      <c r="K1334" s="19" t="s">
        <v>8</v>
      </c>
      <c r="L1334" s="19" t="s">
        <v>114</v>
      </c>
      <c r="M1334" s="19" t="s">
        <v>114</v>
      </c>
      <c r="N1334" s="19" t="s">
        <v>3235</v>
      </c>
      <c r="O1334" s="19" t="s">
        <v>116</v>
      </c>
      <c r="R1334" t="s">
        <v>1097</v>
      </c>
    </row>
    <row r="1335" spans="1:18" hidden="1" x14ac:dyDescent="0.3">
      <c r="A1335" s="19">
        <f t="shared" si="20"/>
        <v>1334</v>
      </c>
      <c r="B1335" s="20" t="s">
        <v>87</v>
      </c>
      <c r="C1335" s="20" t="s">
        <v>86</v>
      </c>
      <c r="D1335" s="21" t="str">
        <f>IF($C1335="","",IFERROR(VLOOKUP($C1335,Map_Register!$A$2:$C$5,3,FALSE()),""))</f>
        <v>Border Region</v>
      </c>
      <c r="E1335" s="20" t="s">
        <v>15</v>
      </c>
      <c r="F1335" s="22">
        <v>792258</v>
      </c>
      <c r="G1335" s="19" t="s">
        <v>1091</v>
      </c>
      <c r="H1335" s="19" t="s">
        <v>3236</v>
      </c>
      <c r="I1335" s="19" t="s">
        <v>3237</v>
      </c>
      <c r="J1335" s="19" t="s">
        <v>1094</v>
      </c>
      <c r="K1335" s="19" t="s">
        <v>8</v>
      </c>
      <c r="L1335" s="19" t="s">
        <v>114</v>
      </c>
      <c r="M1335" s="19" t="s">
        <v>114</v>
      </c>
      <c r="N1335" s="19" t="s">
        <v>2050</v>
      </c>
      <c r="O1335" s="19" t="s">
        <v>116</v>
      </c>
      <c r="R1335" t="s">
        <v>1097</v>
      </c>
    </row>
    <row r="1336" spans="1:18" x14ac:dyDescent="0.3">
      <c r="A1336" s="19">
        <f t="shared" si="20"/>
        <v>1335</v>
      </c>
      <c r="B1336" s="20" t="s">
        <v>87</v>
      </c>
      <c r="C1336" s="20" t="s">
        <v>86</v>
      </c>
      <c r="D1336" s="21" t="str">
        <f>IF($C1336="","",IFERROR(VLOOKUP($C1336,Map_Register!$A$2:$C$5,3,FALSE()),""))</f>
        <v>Border Region</v>
      </c>
      <c r="E1336" s="20" t="s">
        <v>15</v>
      </c>
      <c r="F1336" s="22">
        <v>792261</v>
      </c>
      <c r="G1336" s="19" t="s">
        <v>1125</v>
      </c>
      <c r="H1336" s="19" t="s">
        <v>3238</v>
      </c>
      <c r="I1336" s="19" t="s">
        <v>3239</v>
      </c>
      <c r="J1336" s="19" t="s">
        <v>1094</v>
      </c>
      <c r="K1336" s="19" t="s">
        <v>8</v>
      </c>
      <c r="L1336" s="19" t="s">
        <v>114</v>
      </c>
      <c r="M1336" s="19" t="s">
        <v>116</v>
      </c>
      <c r="N1336" s="19" t="s">
        <v>2961</v>
      </c>
      <c r="O1336" s="19" t="s">
        <v>116</v>
      </c>
      <c r="R1336" t="s">
        <v>1097</v>
      </c>
    </row>
    <row r="1337" spans="1:18" x14ac:dyDescent="0.3">
      <c r="A1337" s="19">
        <f t="shared" si="20"/>
        <v>1336</v>
      </c>
      <c r="B1337" s="20" t="s">
        <v>87</v>
      </c>
      <c r="C1337" s="20" t="s">
        <v>86</v>
      </c>
      <c r="D1337" s="21" t="str">
        <f>IF($C1337="","",IFERROR(VLOOKUP($C1337,Map_Register!$A$2:$C$5,3,FALSE()),""))</f>
        <v>Border Region</v>
      </c>
      <c r="E1337" s="20" t="s">
        <v>15</v>
      </c>
      <c r="F1337" s="22">
        <v>792262</v>
      </c>
      <c r="G1337" s="19" t="s">
        <v>1125</v>
      </c>
      <c r="H1337" s="19" t="s">
        <v>3240</v>
      </c>
      <c r="I1337" s="19" t="s">
        <v>3240</v>
      </c>
      <c r="J1337" s="19" t="s">
        <v>1110</v>
      </c>
      <c r="K1337" s="19" t="s">
        <v>8</v>
      </c>
      <c r="L1337" s="19" t="s">
        <v>114</v>
      </c>
      <c r="M1337" s="19" t="s">
        <v>116</v>
      </c>
      <c r="N1337" s="19" t="s">
        <v>2961</v>
      </c>
      <c r="O1337" s="19" t="s">
        <v>116</v>
      </c>
      <c r="R1337" t="s">
        <v>1097</v>
      </c>
    </row>
    <row r="1338" spans="1:18" hidden="1" x14ac:dyDescent="0.3">
      <c r="A1338" s="19">
        <f t="shared" si="20"/>
        <v>1337</v>
      </c>
      <c r="B1338" s="20" t="s">
        <v>87</v>
      </c>
      <c r="C1338" s="20" t="s">
        <v>86</v>
      </c>
      <c r="D1338" s="21" t="str">
        <f>IF($C1338="","",IFERROR(VLOOKUP($C1338,Map_Register!$A$2:$C$5,3,FALSE()),""))</f>
        <v>Border Region</v>
      </c>
      <c r="E1338" s="20" t="s">
        <v>15</v>
      </c>
      <c r="F1338" s="22">
        <v>792264</v>
      </c>
      <c r="G1338" s="19" t="s">
        <v>1136</v>
      </c>
      <c r="H1338" s="19" t="s">
        <v>3241</v>
      </c>
      <c r="I1338" s="19" t="s">
        <v>3242</v>
      </c>
      <c r="J1338" s="19" t="s">
        <v>1094</v>
      </c>
      <c r="K1338" s="19" t="s">
        <v>8</v>
      </c>
      <c r="L1338" s="19" t="s">
        <v>114</v>
      </c>
      <c r="M1338" s="19" t="s">
        <v>114</v>
      </c>
      <c r="N1338" s="19" t="s">
        <v>2050</v>
      </c>
      <c r="O1338" s="19" t="s">
        <v>116</v>
      </c>
      <c r="R1338" t="s">
        <v>1097</v>
      </c>
    </row>
    <row r="1339" spans="1:18" hidden="1" x14ac:dyDescent="0.3">
      <c r="A1339" s="19">
        <f t="shared" si="20"/>
        <v>1338</v>
      </c>
      <c r="B1339" s="20" t="s">
        <v>87</v>
      </c>
      <c r="C1339" s="20" t="s">
        <v>86</v>
      </c>
      <c r="D1339" s="21" t="str">
        <f>IF($C1339="","",IFERROR(VLOOKUP($C1339,Map_Register!$A$2:$C$5,3,FALSE()),""))</f>
        <v>Border Region</v>
      </c>
      <c r="E1339" s="20" t="s">
        <v>15</v>
      </c>
      <c r="F1339" s="22">
        <v>792265</v>
      </c>
      <c r="G1339" s="19" t="s">
        <v>1091</v>
      </c>
      <c r="H1339" s="19" t="s">
        <v>3243</v>
      </c>
      <c r="I1339" s="19" t="s">
        <v>3243</v>
      </c>
      <c r="J1339" s="19" t="s">
        <v>1110</v>
      </c>
      <c r="K1339" s="19" t="s">
        <v>6</v>
      </c>
      <c r="L1339" s="19" t="s">
        <v>1095</v>
      </c>
      <c r="M1339" s="19" t="s">
        <v>1095</v>
      </c>
      <c r="N1339" s="19" t="s">
        <v>1300</v>
      </c>
      <c r="R1339" t="s">
        <v>1097</v>
      </c>
    </row>
    <row r="1340" spans="1:18" hidden="1" x14ac:dyDescent="0.3">
      <c r="A1340" s="19">
        <f t="shared" si="20"/>
        <v>1339</v>
      </c>
      <c r="B1340" s="20" t="s">
        <v>87</v>
      </c>
      <c r="C1340" s="20" t="s">
        <v>86</v>
      </c>
      <c r="D1340" s="21" t="str">
        <f>IF($C1340="","",IFERROR(VLOOKUP($C1340,Map_Register!$A$2:$C$5,3,FALSE()),""))</f>
        <v>Border Region</v>
      </c>
      <c r="E1340" s="20" t="s">
        <v>15</v>
      </c>
      <c r="F1340" s="22">
        <v>792267</v>
      </c>
      <c r="G1340" s="19" t="s">
        <v>1091</v>
      </c>
      <c r="H1340" s="19" t="s">
        <v>3244</v>
      </c>
      <c r="I1340" s="19" t="s">
        <v>3244</v>
      </c>
      <c r="J1340" s="19" t="s">
        <v>1110</v>
      </c>
      <c r="K1340" s="19" t="s">
        <v>6</v>
      </c>
      <c r="L1340" s="19" t="s">
        <v>1095</v>
      </c>
      <c r="M1340" s="19" t="s">
        <v>1095</v>
      </c>
      <c r="N1340" s="19" t="s">
        <v>1300</v>
      </c>
      <c r="R1340" t="s">
        <v>1097</v>
      </c>
    </row>
    <row r="1341" spans="1:18" hidden="1" x14ac:dyDescent="0.3">
      <c r="A1341" s="19">
        <f t="shared" si="20"/>
        <v>1340</v>
      </c>
      <c r="B1341" s="20" t="s">
        <v>87</v>
      </c>
      <c r="C1341" s="20" t="s">
        <v>86</v>
      </c>
      <c r="D1341" s="21" t="str">
        <f>IF($C1341="","",IFERROR(VLOOKUP($C1341,Map_Register!$A$2:$C$5,3,FALSE()),""))</f>
        <v>Border Region</v>
      </c>
      <c r="E1341" s="20" t="s">
        <v>15</v>
      </c>
      <c r="F1341" s="22">
        <v>792268</v>
      </c>
      <c r="G1341" s="19" t="s">
        <v>1118</v>
      </c>
      <c r="H1341" s="19" t="s">
        <v>3245</v>
      </c>
      <c r="I1341" s="19" t="s">
        <v>3246</v>
      </c>
      <c r="J1341" s="19" t="s">
        <v>1104</v>
      </c>
      <c r="K1341" s="19" t="s">
        <v>6</v>
      </c>
      <c r="L1341" s="19" t="s">
        <v>1095</v>
      </c>
      <c r="M1341" s="19" t="s">
        <v>1095</v>
      </c>
      <c r="N1341" s="19" t="s">
        <v>1105</v>
      </c>
      <c r="R1341" t="s">
        <v>1097</v>
      </c>
    </row>
    <row r="1342" spans="1:18" hidden="1" x14ac:dyDescent="0.3">
      <c r="A1342" s="19">
        <f t="shared" si="20"/>
        <v>1341</v>
      </c>
      <c r="B1342" s="20" t="s">
        <v>87</v>
      </c>
      <c r="C1342" s="20" t="s">
        <v>86</v>
      </c>
      <c r="D1342" s="21" t="str">
        <f>IF($C1342="","",IFERROR(VLOOKUP($C1342,Map_Register!$A$2:$C$5,3,FALSE()),""))</f>
        <v>Border Region</v>
      </c>
      <c r="E1342" s="20" t="s">
        <v>15</v>
      </c>
      <c r="F1342" s="22">
        <v>792269</v>
      </c>
      <c r="G1342" s="19" t="s">
        <v>1136</v>
      </c>
      <c r="H1342" s="19" t="s">
        <v>1987</v>
      </c>
      <c r="I1342" s="19" t="s">
        <v>1987</v>
      </c>
      <c r="J1342" s="19" t="s">
        <v>1110</v>
      </c>
      <c r="K1342" s="19" t="s">
        <v>8</v>
      </c>
      <c r="L1342" s="19" t="s">
        <v>114</v>
      </c>
      <c r="M1342" s="19" t="s">
        <v>114</v>
      </c>
      <c r="N1342" s="19" t="s">
        <v>2050</v>
      </c>
      <c r="O1342" s="19" t="s">
        <v>116</v>
      </c>
      <c r="R1342" t="s">
        <v>1097</v>
      </c>
    </row>
    <row r="1343" spans="1:18" x14ac:dyDescent="0.3">
      <c r="A1343" s="19">
        <f t="shared" si="20"/>
        <v>1342</v>
      </c>
      <c r="B1343" s="20" t="s">
        <v>87</v>
      </c>
      <c r="C1343" s="20" t="s">
        <v>86</v>
      </c>
      <c r="D1343" s="21" t="str">
        <f>IF($C1343="","",IFERROR(VLOOKUP($C1343,Map_Register!$A$2:$C$5,3,FALSE()),""))</f>
        <v>Border Region</v>
      </c>
      <c r="E1343" s="20" t="s">
        <v>15</v>
      </c>
      <c r="F1343" s="22">
        <v>792270</v>
      </c>
      <c r="G1343" s="19" t="s">
        <v>1125</v>
      </c>
      <c r="H1343" s="19" t="s">
        <v>3247</v>
      </c>
      <c r="I1343" s="19" t="s">
        <v>3248</v>
      </c>
      <c r="J1343" s="19" t="s">
        <v>1104</v>
      </c>
      <c r="K1343" s="19" t="s">
        <v>8</v>
      </c>
      <c r="L1343" s="19" t="s">
        <v>114</v>
      </c>
      <c r="M1343" s="19" t="s">
        <v>116</v>
      </c>
      <c r="N1343" s="19" t="s">
        <v>2961</v>
      </c>
      <c r="O1343" s="19" t="s">
        <v>116</v>
      </c>
      <c r="R1343" t="s">
        <v>1097</v>
      </c>
    </row>
    <row r="1344" spans="1:18" x14ac:dyDescent="0.3">
      <c r="A1344" s="19">
        <f t="shared" si="20"/>
        <v>1343</v>
      </c>
      <c r="B1344" s="20" t="s">
        <v>87</v>
      </c>
      <c r="C1344" s="20" t="s">
        <v>86</v>
      </c>
      <c r="D1344" s="21" t="str">
        <f>IF($C1344="","",IFERROR(VLOOKUP($C1344,Map_Register!$A$2:$C$5,3,FALSE()),""))</f>
        <v>Border Region</v>
      </c>
      <c r="E1344" s="20" t="s">
        <v>15</v>
      </c>
      <c r="F1344" s="22">
        <v>792271</v>
      </c>
      <c r="G1344" s="19" t="s">
        <v>1125</v>
      </c>
      <c r="H1344" s="19" t="s">
        <v>3249</v>
      </c>
      <c r="I1344" s="19" t="s">
        <v>3249</v>
      </c>
      <c r="J1344" s="19" t="s">
        <v>1110</v>
      </c>
      <c r="K1344" s="19" t="s">
        <v>8</v>
      </c>
      <c r="L1344" s="19" t="s">
        <v>114</v>
      </c>
      <c r="M1344" s="19" t="s">
        <v>116</v>
      </c>
      <c r="N1344" s="19" t="s">
        <v>2961</v>
      </c>
      <c r="O1344" s="19" t="s">
        <v>116</v>
      </c>
      <c r="R1344" t="s">
        <v>1097</v>
      </c>
    </row>
    <row r="1345" spans="1:18" hidden="1" x14ac:dyDescent="0.3">
      <c r="A1345" s="19">
        <f t="shared" si="20"/>
        <v>1344</v>
      </c>
      <c r="B1345" s="20" t="s">
        <v>87</v>
      </c>
      <c r="C1345" s="20" t="s">
        <v>86</v>
      </c>
      <c r="D1345" s="21" t="str">
        <f>IF($C1345="","",IFERROR(VLOOKUP($C1345,Map_Register!$A$2:$C$5,3,FALSE()),""))</f>
        <v>Border Region</v>
      </c>
      <c r="E1345" s="20" t="s">
        <v>15</v>
      </c>
      <c r="F1345" s="22">
        <v>792272</v>
      </c>
      <c r="G1345" s="19" t="s">
        <v>1136</v>
      </c>
      <c r="H1345" s="19" t="s">
        <v>3250</v>
      </c>
      <c r="I1345" s="19" t="s">
        <v>3250</v>
      </c>
      <c r="J1345" s="19" t="s">
        <v>1110</v>
      </c>
      <c r="K1345" s="19" t="s">
        <v>8</v>
      </c>
      <c r="L1345" s="19" t="s">
        <v>114</v>
      </c>
      <c r="M1345" s="19" t="s">
        <v>114</v>
      </c>
      <c r="N1345" s="19" t="s">
        <v>2050</v>
      </c>
      <c r="O1345" s="19" t="s">
        <v>116</v>
      </c>
      <c r="R1345" t="s">
        <v>1097</v>
      </c>
    </row>
    <row r="1346" spans="1:18" hidden="1" x14ac:dyDescent="0.3">
      <c r="A1346" s="19">
        <f t="shared" ref="A1346:A1409" si="21">IF($B1346="","",ROW()-1)</f>
        <v>1345</v>
      </c>
      <c r="B1346" s="20" t="s">
        <v>87</v>
      </c>
      <c r="C1346" s="20" t="s">
        <v>86</v>
      </c>
      <c r="D1346" s="21" t="str">
        <f>IF($C1346="","",IFERROR(VLOOKUP($C1346,Map_Register!$A$2:$C$5,3,FALSE()),""))</f>
        <v>Border Region</v>
      </c>
      <c r="E1346" s="20" t="s">
        <v>15</v>
      </c>
      <c r="F1346" s="22">
        <v>792273</v>
      </c>
      <c r="G1346" s="19" t="s">
        <v>1091</v>
      </c>
      <c r="H1346" s="19" t="s">
        <v>3251</v>
      </c>
      <c r="I1346" s="19" t="s">
        <v>3252</v>
      </c>
      <c r="J1346" s="19" t="s">
        <v>1094</v>
      </c>
      <c r="K1346" s="19" t="s">
        <v>8</v>
      </c>
      <c r="L1346" s="19" t="s">
        <v>114</v>
      </c>
      <c r="M1346" s="19" t="s">
        <v>114</v>
      </c>
      <c r="N1346" s="19" t="s">
        <v>2050</v>
      </c>
      <c r="O1346" s="19" t="s">
        <v>116</v>
      </c>
      <c r="R1346" t="s">
        <v>1097</v>
      </c>
    </row>
    <row r="1347" spans="1:18" x14ac:dyDescent="0.3">
      <c r="A1347" s="19">
        <f t="shared" si="21"/>
        <v>1346</v>
      </c>
      <c r="B1347" s="20" t="s">
        <v>87</v>
      </c>
      <c r="C1347" s="20" t="s">
        <v>86</v>
      </c>
      <c r="D1347" s="21" t="str">
        <f>IF($C1347="","",IFERROR(VLOOKUP($C1347,Map_Register!$A$2:$C$5,3,FALSE()),""))</f>
        <v>Border Region</v>
      </c>
      <c r="E1347" s="20" t="s">
        <v>15</v>
      </c>
      <c r="F1347" s="22">
        <v>792274</v>
      </c>
      <c r="G1347" s="19" t="s">
        <v>1125</v>
      </c>
      <c r="H1347" s="19" t="s">
        <v>3253</v>
      </c>
      <c r="I1347" s="19" t="s">
        <v>3254</v>
      </c>
      <c r="J1347" s="19" t="s">
        <v>1094</v>
      </c>
      <c r="K1347" s="19" t="s">
        <v>8</v>
      </c>
      <c r="L1347" s="19" t="s">
        <v>114</v>
      </c>
      <c r="M1347" s="19" t="s">
        <v>116</v>
      </c>
      <c r="N1347" s="19" t="s">
        <v>2961</v>
      </c>
      <c r="O1347" s="19" t="s">
        <v>116</v>
      </c>
      <c r="R1347" t="s">
        <v>1097</v>
      </c>
    </row>
    <row r="1348" spans="1:18" x14ac:dyDescent="0.3">
      <c r="A1348" s="19">
        <f t="shared" si="21"/>
        <v>1347</v>
      </c>
      <c r="B1348" s="20" t="s">
        <v>87</v>
      </c>
      <c r="C1348" s="20" t="s">
        <v>86</v>
      </c>
      <c r="D1348" s="21" t="str">
        <f>IF($C1348="","",IFERROR(VLOOKUP($C1348,Map_Register!$A$2:$C$5,3,FALSE()),""))</f>
        <v>Border Region</v>
      </c>
      <c r="E1348" s="20" t="s">
        <v>15</v>
      </c>
      <c r="F1348" s="22">
        <v>792276</v>
      </c>
      <c r="G1348" s="19" t="s">
        <v>1125</v>
      </c>
      <c r="H1348" s="19" t="s">
        <v>3191</v>
      </c>
      <c r="I1348" s="19" t="s">
        <v>3255</v>
      </c>
      <c r="J1348" s="19" t="s">
        <v>1104</v>
      </c>
      <c r="K1348" s="19" t="s">
        <v>8</v>
      </c>
      <c r="L1348" s="19" t="s">
        <v>114</v>
      </c>
      <c r="M1348" s="19" t="s">
        <v>116</v>
      </c>
      <c r="N1348" s="19" t="s">
        <v>2961</v>
      </c>
      <c r="O1348" s="19" t="s">
        <v>116</v>
      </c>
      <c r="R1348" t="s">
        <v>1097</v>
      </c>
    </row>
    <row r="1349" spans="1:18" x14ac:dyDescent="0.3">
      <c r="A1349" s="19">
        <f t="shared" si="21"/>
        <v>1348</v>
      </c>
      <c r="B1349" s="20" t="s">
        <v>87</v>
      </c>
      <c r="C1349" s="20" t="s">
        <v>86</v>
      </c>
      <c r="D1349" s="21" t="str">
        <f>IF($C1349="","",IFERROR(VLOOKUP($C1349,Map_Register!$A$2:$C$5,3,FALSE()),""))</f>
        <v>Border Region</v>
      </c>
      <c r="E1349" s="20" t="s">
        <v>15</v>
      </c>
      <c r="F1349" s="22">
        <v>792277</v>
      </c>
      <c r="G1349" s="19" t="s">
        <v>1125</v>
      </c>
      <c r="H1349" s="19" t="s">
        <v>3256</v>
      </c>
      <c r="I1349" s="19" t="s">
        <v>3257</v>
      </c>
      <c r="J1349" s="19" t="s">
        <v>1104</v>
      </c>
      <c r="K1349" s="19" t="s">
        <v>8</v>
      </c>
      <c r="L1349" s="19" t="s">
        <v>114</v>
      </c>
      <c r="M1349" s="19" t="s">
        <v>116</v>
      </c>
      <c r="N1349" s="19" t="s">
        <v>2961</v>
      </c>
      <c r="O1349" s="19" t="s">
        <v>116</v>
      </c>
      <c r="R1349" t="s">
        <v>1097</v>
      </c>
    </row>
    <row r="1350" spans="1:18" hidden="1" x14ac:dyDescent="0.3">
      <c r="A1350" s="19">
        <f t="shared" si="21"/>
        <v>1349</v>
      </c>
      <c r="B1350" s="20" t="s">
        <v>87</v>
      </c>
      <c r="C1350" s="20" t="s">
        <v>86</v>
      </c>
      <c r="D1350" s="21" t="str">
        <f>IF($C1350="","",IFERROR(VLOOKUP($C1350,Map_Register!$A$2:$C$5,3,FALSE()),""))</f>
        <v>Border Region</v>
      </c>
      <c r="E1350" s="20" t="s">
        <v>15</v>
      </c>
      <c r="F1350" s="22">
        <v>792280</v>
      </c>
      <c r="G1350" s="19" t="s">
        <v>1136</v>
      </c>
      <c r="H1350" s="19" t="s">
        <v>3258</v>
      </c>
      <c r="I1350" s="19" t="s">
        <v>3259</v>
      </c>
      <c r="J1350" s="19" t="s">
        <v>1104</v>
      </c>
      <c r="K1350" s="19" t="s">
        <v>8</v>
      </c>
      <c r="L1350" s="19" t="s">
        <v>114</v>
      </c>
      <c r="M1350" s="19" t="s">
        <v>114</v>
      </c>
      <c r="N1350" s="19" t="s">
        <v>3260</v>
      </c>
      <c r="O1350" s="19" t="s">
        <v>116</v>
      </c>
      <c r="R1350" t="s">
        <v>1097</v>
      </c>
    </row>
    <row r="1351" spans="1:18" hidden="1" x14ac:dyDescent="0.3">
      <c r="A1351" s="19">
        <f t="shared" si="21"/>
        <v>1350</v>
      </c>
      <c r="B1351" s="20" t="s">
        <v>87</v>
      </c>
      <c r="C1351" s="20" t="s">
        <v>86</v>
      </c>
      <c r="D1351" s="21" t="str">
        <f>IF($C1351="","",IFERROR(VLOOKUP($C1351,Map_Register!$A$2:$C$5,3,FALSE()),""))</f>
        <v>Border Region</v>
      </c>
      <c r="E1351" s="20" t="s">
        <v>15</v>
      </c>
      <c r="F1351" s="22">
        <v>792281</v>
      </c>
      <c r="G1351" s="19" t="s">
        <v>1136</v>
      </c>
      <c r="H1351" s="19" t="s">
        <v>3261</v>
      </c>
      <c r="I1351" s="19" t="s">
        <v>3262</v>
      </c>
      <c r="J1351" s="19" t="s">
        <v>1094</v>
      </c>
      <c r="K1351" s="19" t="s">
        <v>8</v>
      </c>
      <c r="L1351" s="19" t="s">
        <v>114</v>
      </c>
      <c r="M1351" s="19" t="s">
        <v>114</v>
      </c>
      <c r="N1351" s="19" t="s">
        <v>3263</v>
      </c>
      <c r="O1351" s="19" t="s">
        <v>116</v>
      </c>
      <c r="R1351" t="s">
        <v>1097</v>
      </c>
    </row>
    <row r="1352" spans="1:18" hidden="1" x14ac:dyDescent="0.3">
      <c r="A1352" s="19">
        <f t="shared" si="21"/>
        <v>1351</v>
      </c>
      <c r="B1352" s="20" t="s">
        <v>87</v>
      </c>
      <c r="C1352" s="20" t="s">
        <v>86</v>
      </c>
      <c r="D1352" s="21" t="str">
        <f>IF($C1352="","",IFERROR(VLOOKUP($C1352,Map_Register!$A$2:$C$5,3,FALSE()),""))</f>
        <v>Border Region</v>
      </c>
      <c r="E1352" s="20" t="s">
        <v>15</v>
      </c>
      <c r="F1352" s="22">
        <v>792282</v>
      </c>
      <c r="G1352" s="19" t="s">
        <v>1136</v>
      </c>
      <c r="H1352" s="19" t="s">
        <v>1987</v>
      </c>
      <c r="I1352" s="19" t="s">
        <v>3264</v>
      </c>
      <c r="J1352" s="19" t="s">
        <v>1094</v>
      </c>
      <c r="K1352" s="19" t="s">
        <v>8</v>
      </c>
      <c r="L1352" s="19" t="s">
        <v>114</v>
      </c>
      <c r="M1352" s="19" t="s">
        <v>114</v>
      </c>
      <c r="N1352" s="19" t="s">
        <v>3265</v>
      </c>
      <c r="O1352" s="19" t="s">
        <v>116</v>
      </c>
      <c r="R1352" t="s">
        <v>1097</v>
      </c>
    </row>
    <row r="1353" spans="1:18" hidden="1" x14ac:dyDescent="0.3">
      <c r="A1353" s="19">
        <f t="shared" si="21"/>
        <v>1352</v>
      </c>
      <c r="B1353" s="20" t="s">
        <v>87</v>
      </c>
      <c r="C1353" s="20" t="s">
        <v>86</v>
      </c>
      <c r="D1353" s="21" t="str">
        <f>IF($C1353="","",IFERROR(VLOOKUP($C1353,Map_Register!$A$2:$C$5,3,FALSE()),""))</f>
        <v>Border Region</v>
      </c>
      <c r="E1353" s="20" t="s">
        <v>15</v>
      </c>
      <c r="F1353" s="22">
        <v>792283</v>
      </c>
      <c r="G1353" s="19" t="s">
        <v>1136</v>
      </c>
      <c r="H1353" s="19" t="s">
        <v>3266</v>
      </c>
      <c r="I1353" s="19" t="s">
        <v>3267</v>
      </c>
      <c r="J1353" s="19" t="s">
        <v>1094</v>
      </c>
      <c r="K1353" s="19" t="s">
        <v>8</v>
      </c>
      <c r="L1353" s="19" t="s">
        <v>114</v>
      </c>
      <c r="M1353" s="19" t="s">
        <v>114</v>
      </c>
      <c r="N1353" s="19" t="s">
        <v>3268</v>
      </c>
      <c r="O1353" s="19" t="s">
        <v>116</v>
      </c>
      <c r="R1353" t="s">
        <v>1097</v>
      </c>
    </row>
    <row r="1354" spans="1:18" hidden="1" x14ac:dyDescent="0.3">
      <c r="A1354" s="19">
        <f t="shared" si="21"/>
        <v>1353</v>
      </c>
      <c r="B1354" s="20" t="s">
        <v>87</v>
      </c>
      <c r="C1354" s="20" t="s">
        <v>86</v>
      </c>
      <c r="D1354" s="21" t="str">
        <f>IF($C1354="","",IFERROR(VLOOKUP($C1354,Map_Register!$A$2:$C$5,3,FALSE()),""))</f>
        <v>Border Region</v>
      </c>
      <c r="E1354" s="20" t="s">
        <v>15</v>
      </c>
      <c r="F1354" s="22">
        <v>792284</v>
      </c>
      <c r="G1354" s="19" t="s">
        <v>1125</v>
      </c>
      <c r="H1354" s="19" t="s">
        <v>3269</v>
      </c>
      <c r="I1354" s="19" t="s">
        <v>3270</v>
      </c>
      <c r="J1354" s="19" t="s">
        <v>1104</v>
      </c>
      <c r="K1354" s="19" t="s">
        <v>6</v>
      </c>
      <c r="L1354" s="19" t="s">
        <v>1095</v>
      </c>
      <c r="M1354" s="19" t="s">
        <v>1095</v>
      </c>
      <c r="N1354" s="19" t="s">
        <v>1105</v>
      </c>
      <c r="R1354" t="s">
        <v>1097</v>
      </c>
    </row>
    <row r="1355" spans="1:18" x14ac:dyDescent="0.3">
      <c r="A1355" s="19">
        <f t="shared" si="21"/>
        <v>1354</v>
      </c>
      <c r="B1355" s="20" t="s">
        <v>87</v>
      </c>
      <c r="C1355" s="20" t="s">
        <v>86</v>
      </c>
      <c r="D1355" s="21" t="str">
        <f>IF($C1355="","",IFERROR(VLOOKUP($C1355,Map_Register!$A$2:$C$5,3,FALSE()),""))</f>
        <v>Border Region</v>
      </c>
      <c r="E1355" s="20" t="s">
        <v>15</v>
      </c>
      <c r="F1355" s="22">
        <v>792286</v>
      </c>
      <c r="G1355" s="19" t="s">
        <v>1125</v>
      </c>
      <c r="H1355" s="19" t="s">
        <v>3271</v>
      </c>
      <c r="I1355" s="19" t="s">
        <v>3272</v>
      </c>
      <c r="J1355" s="19" t="s">
        <v>1104</v>
      </c>
      <c r="K1355" s="19" t="s">
        <v>8</v>
      </c>
      <c r="L1355" s="19" t="s">
        <v>114</v>
      </c>
      <c r="M1355" s="19" t="s">
        <v>116</v>
      </c>
      <c r="N1355" s="19" t="s">
        <v>2961</v>
      </c>
      <c r="O1355" s="19" t="s">
        <v>116</v>
      </c>
      <c r="R1355" t="s">
        <v>1097</v>
      </c>
    </row>
    <row r="1356" spans="1:18" hidden="1" x14ac:dyDescent="0.3">
      <c r="A1356" s="19">
        <f t="shared" si="21"/>
        <v>1355</v>
      </c>
      <c r="B1356" s="20" t="s">
        <v>87</v>
      </c>
      <c r="C1356" s="20" t="s">
        <v>86</v>
      </c>
      <c r="D1356" s="21" t="str">
        <f>IF($C1356="","",IFERROR(VLOOKUP($C1356,Map_Register!$A$2:$C$5,3,FALSE()),""))</f>
        <v>Border Region</v>
      </c>
      <c r="E1356" s="20" t="s">
        <v>15</v>
      </c>
      <c r="F1356" s="22">
        <v>792289</v>
      </c>
      <c r="G1356" s="19" t="s">
        <v>1118</v>
      </c>
      <c r="H1356" s="19" t="s">
        <v>3273</v>
      </c>
      <c r="I1356" s="19" t="s">
        <v>3274</v>
      </c>
      <c r="J1356" s="19" t="s">
        <v>1094</v>
      </c>
      <c r="K1356" s="19" t="s">
        <v>6</v>
      </c>
      <c r="L1356" s="19" t="s">
        <v>1095</v>
      </c>
      <c r="M1356" s="19" t="s">
        <v>1095</v>
      </c>
      <c r="N1356" s="19" t="s">
        <v>3275</v>
      </c>
      <c r="R1356" t="s">
        <v>1097</v>
      </c>
    </row>
    <row r="1357" spans="1:18" hidden="1" x14ac:dyDescent="0.3">
      <c r="A1357" s="19">
        <f t="shared" si="21"/>
        <v>1356</v>
      </c>
      <c r="B1357" s="20" t="s">
        <v>87</v>
      </c>
      <c r="C1357" s="20" t="s">
        <v>86</v>
      </c>
      <c r="D1357" s="21" t="str">
        <f>IF($C1357="","",IFERROR(VLOOKUP($C1357,Map_Register!$A$2:$C$5,3,FALSE()),""))</f>
        <v>Border Region</v>
      </c>
      <c r="E1357" s="20" t="s">
        <v>15</v>
      </c>
      <c r="F1357" s="22">
        <v>792290</v>
      </c>
      <c r="G1357" s="19" t="s">
        <v>1091</v>
      </c>
      <c r="H1357" s="19" t="s">
        <v>3276</v>
      </c>
      <c r="I1357" s="19" t="s">
        <v>3276</v>
      </c>
      <c r="J1357" s="19" t="s">
        <v>1110</v>
      </c>
      <c r="K1357" s="19" t="s">
        <v>6</v>
      </c>
      <c r="L1357" s="19" t="s">
        <v>1095</v>
      </c>
      <c r="M1357" s="19" t="s">
        <v>1095</v>
      </c>
      <c r="N1357" s="19" t="s">
        <v>1300</v>
      </c>
      <c r="R1357" t="s">
        <v>1097</v>
      </c>
    </row>
    <row r="1358" spans="1:18" hidden="1" x14ac:dyDescent="0.3">
      <c r="A1358" s="19">
        <f t="shared" si="21"/>
        <v>1357</v>
      </c>
      <c r="B1358" s="20" t="s">
        <v>87</v>
      </c>
      <c r="C1358" s="20" t="s">
        <v>86</v>
      </c>
      <c r="D1358" s="21" t="str">
        <f>IF($C1358="","",IFERROR(VLOOKUP($C1358,Map_Register!$A$2:$C$5,3,FALSE()),""))</f>
        <v>Border Region</v>
      </c>
      <c r="E1358" s="20" t="s">
        <v>15</v>
      </c>
      <c r="F1358" s="22">
        <v>792291</v>
      </c>
      <c r="G1358" s="19" t="s">
        <v>1091</v>
      </c>
      <c r="H1358" s="19" t="s">
        <v>3277</v>
      </c>
      <c r="I1358" s="19" t="s">
        <v>3278</v>
      </c>
      <c r="J1358" s="19" t="s">
        <v>1104</v>
      </c>
      <c r="K1358" s="19" t="s">
        <v>8</v>
      </c>
      <c r="L1358" s="19" t="s">
        <v>114</v>
      </c>
      <c r="M1358" s="19" t="s">
        <v>114</v>
      </c>
      <c r="N1358" s="19" t="s">
        <v>2835</v>
      </c>
      <c r="O1358" s="19" t="s">
        <v>116</v>
      </c>
      <c r="R1358" t="s">
        <v>1097</v>
      </c>
    </row>
    <row r="1359" spans="1:18" hidden="1" x14ac:dyDescent="0.3">
      <c r="A1359" s="19">
        <f t="shared" si="21"/>
        <v>1358</v>
      </c>
      <c r="B1359" s="20" t="s">
        <v>87</v>
      </c>
      <c r="C1359" s="20" t="s">
        <v>86</v>
      </c>
      <c r="D1359" s="21" t="str">
        <f>IF($C1359="","",IFERROR(VLOOKUP($C1359,Map_Register!$A$2:$C$5,3,FALSE()),""))</f>
        <v>Border Region</v>
      </c>
      <c r="E1359" s="20" t="s">
        <v>15</v>
      </c>
      <c r="F1359" s="22">
        <v>792292</v>
      </c>
      <c r="G1359" s="19" t="s">
        <v>1091</v>
      </c>
      <c r="H1359" s="19" t="s">
        <v>3279</v>
      </c>
      <c r="I1359" s="19" t="s">
        <v>3280</v>
      </c>
      <c r="J1359" s="19" t="s">
        <v>1094</v>
      </c>
      <c r="K1359" s="19" t="s">
        <v>6</v>
      </c>
      <c r="L1359" s="19" t="s">
        <v>1095</v>
      </c>
      <c r="M1359" s="19" t="s">
        <v>1095</v>
      </c>
      <c r="N1359" s="19" t="s">
        <v>1105</v>
      </c>
      <c r="R1359" t="s">
        <v>1097</v>
      </c>
    </row>
    <row r="1360" spans="1:18" hidden="1" x14ac:dyDescent="0.3">
      <c r="A1360" s="19">
        <f t="shared" si="21"/>
        <v>1359</v>
      </c>
      <c r="B1360" s="20" t="s">
        <v>87</v>
      </c>
      <c r="C1360" s="20" t="s">
        <v>86</v>
      </c>
      <c r="D1360" s="21" t="str">
        <f>IF($C1360="","",IFERROR(VLOOKUP($C1360,Map_Register!$A$2:$C$5,3,FALSE()),""))</f>
        <v>Border Region</v>
      </c>
      <c r="E1360" s="20" t="s">
        <v>15</v>
      </c>
      <c r="F1360" s="22">
        <v>792293</v>
      </c>
      <c r="G1360" s="19" t="s">
        <v>1091</v>
      </c>
      <c r="H1360" s="19" t="s">
        <v>3281</v>
      </c>
      <c r="I1360" s="19" t="s">
        <v>3281</v>
      </c>
      <c r="J1360" s="19" t="s">
        <v>1110</v>
      </c>
      <c r="K1360" s="19" t="s">
        <v>6</v>
      </c>
      <c r="L1360" s="19" t="s">
        <v>1095</v>
      </c>
      <c r="M1360" s="19" t="s">
        <v>1095</v>
      </c>
      <c r="N1360" s="19" t="s">
        <v>1300</v>
      </c>
      <c r="R1360" t="s">
        <v>1097</v>
      </c>
    </row>
    <row r="1361" spans="1:18" hidden="1" x14ac:dyDescent="0.3">
      <c r="A1361" s="19">
        <f t="shared" si="21"/>
        <v>1360</v>
      </c>
      <c r="B1361" s="20" t="s">
        <v>87</v>
      </c>
      <c r="C1361" s="20" t="s">
        <v>86</v>
      </c>
      <c r="D1361" s="21" t="str">
        <f>IF($C1361="","",IFERROR(VLOOKUP($C1361,Map_Register!$A$2:$C$5,3,FALSE()),""))</f>
        <v>Border Region</v>
      </c>
      <c r="E1361" s="20" t="s">
        <v>15</v>
      </c>
      <c r="F1361" s="22">
        <v>792337</v>
      </c>
      <c r="G1361" s="19" t="s">
        <v>1118</v>
      </c>
      <c r="H1361" s="19" t="s">
        <v>3282</v>
      </c>
      <c r="I1361" s="19" t="s">
        <v>3283</v>
      </c>
      <c r="J1361" s="19" t="s">
        <v>1104</v>
      </c>
      <c r="K1361" s="19" t="s">
        <v>6</v>
      </c>
      <c r="L1361" s="19" t="s">
        <v>1095</v>
      </c>
      <c r="M1361" s="19" t="s">
        <v>1095</v>
      </c>
      <c r="N1361" s="19" t="s">
        <v>1105</v>
      </c>
      <c r="R1361" t="s">
        <v>1097</v>
      </c>
    </row>
    <row r="1362" spans="1:18" x14ac:dyDescent="0.3">
      <c r="A1362" s="19">
        <f t="shared" si="21"/>
        <v>1361</v>
      </c>
      <c r="B1362" s="20" t="s">
        <v>87</v>
      </c>
      <c r="C1362" s="20" t="s">
        <v>86</v>
      </c>
      <c r="D1362" s="21" t="str">
        <f>IF($C1362="","",IFERROR(VLOOKUP($C1362,Map_Register!$A$2:$C$5,3,FALSE()),""))</f>
        <v>Border Region</v>
      </c>
      <c r="E1362" s="20" t="s">
        <v>15</v>
      </c>
      <c r="F1362" s="22">
        <v>792340</v>
      </c>
      <c r="G1362" s="19" t="s">
        <v>1136</v>
      </c>
      <c r="H1362" s="19" t="s">
        <v>3284</v>
      </c>
      <c r="I1362" s="19" t="s">
        <v>3284</v>
      </c>
      <c r="J1362" s="19" t="s">
        <v>1110</v>
      </c>
      <c r="K1362" s="19" t="s">
        <v>8</v>
      </c>
      <c r="L1362" s="19" t="s">
        <v>114</v>
      </c>
      <c r="M1362" s="19" t="s">
        <v>116</v>
      </c>
      <c r="N1362" s="19" t="s">
        <v>3285</v>
      </c>
      <c r="O1362" s="19" t="s">
        <v>116</v>
      </c>
      <c r="R1362" t="s">
        <v>1097</v>
      </c>
    </row>
    <row r="1363" spans="1:18" hidden="1" x14ac:dyDescent="0.3">
      <c r="A1363" s="19">
        <f t="shared" si="21"/>
        <v>1362</v>
      </c>
      <c r="B1363" s="20" t="s">
        <v>87</v>
      </c>
      <c r="C1363" s="20" t="s">
        <v>86</v>
      </c>
      <c r="D1363" s="21" t="str">
        <f>IF($C1363="","",IFERROR(VLOOKUP($C1363,Map_Register!$A$2:$C$5,3,FALSE()),""))</f>
        <v>Border Region</v>
      </c>
      <c r="E1363" s="20" t="s">
        <v>15</v>
      </c>
      <c r="F1363" s="22">
        <v>792341</v>
      </c>
      <c r="G1363" s="19" t="s">
        <v>1136</v>
      </c>
      <c r="H1363" s="19" t="s">
        <v>3286</v>
      </c>
      <c r="I1363" s="19" t="s">
        <v>3286</v>
      </c>
      <c r="J1363" s="19" t="s">
        <v>1110</v>
      </c>
      <c r="K1363" s="19" t="s">
        <v>6</v>
      </c>
      <c r="L1363" s="19" t="s">
        <v>1095</v>
      </c>
      <c r="M1363" s="19" t="s">
        <v>1095</v>
      </c>
      <c r="N1363" s="19" t="s">
        <v>1406</v>
      </c>
      <c r="R1363" t="s">
        <v>1097</v>
      </c>
    </row>
    <row r="1364" spans="1:18" hidden="1" x14ac:dyDescent="0.3">
      <c r="A1364" s="19">
        <f t="shared" si="21"/>
        <v>1363</v>
      </c>
      <c r="B1364" s="20" t="s">
        <v>87</v>
      </c>
      <c r="C1364" s="20" t="s">
        <v>86</v>
      </c>
      <c r="D1364" s="21" t="str">
        <f>IF($C1364="","",IFERROR(VLOOKUP($C1364,Map_Register!$A$2:$C$5,3,FALSE()),""))</f>
        <v>Border Region</v>
      </c>
      <c r="E1364" s="20" t="s">
        <v>15</v>
      </c>
      <c r="F1364" s="22">
        <v>792494</v>
      </c>
      <c r="G1364" s="19" t="s">
        <v>1091</v>
      </c>
      <c r="H1364" s="19" t="s">
        <v>3287</v>
      </c>
      <c r="I1364" s="19" t="s">
        <v>3287</v>
      </c>
      <c r="J1364" s="19" t="s">
        <v>1110</v>
      </c>
      <c r="K1364" s="19" t="s">
        <v>6</v>
      </c>
      <c r="L1364" s="19" t="s">
        <v>1095</v>
      </c>
      <c r="M1364" s="19" t="s">
        <v>1095</v>
      </c>
      <c r="N1364" s="19" t="s">
        <v>1300</v>
      </c>
      <c r="R1364" t="s">
        <v>1097</v>
      </c>
    </row>
    <row r="1365" spans="1:18" hidden="1" x14ac:dyDescent="0.3">
      <c r="A1365" s="19">
        <f t="shared" si="21"/>
        <v>1364</v>
      </c>
      <c r="B1365" s="20" t="s">
        <v>87</v>
      </c>
      <c r="C1365" s="20" t="s">
        <v>86</v>
      </c>
      <c r="D1365" s="21" t="str">
        <f>IF($C1365="","",IFERROR(VLOOKUP($C1365,Map_Register!$A$2:$C$5,3,FALSE()),""))</f>
        <v>Border Region</v>
      </c>
      <c r="E1365" s="20" t="s">
        <v>15</v>
      </c>
      <c r="F1365" s="22">
        <v>792495</v>
      </c>
      <c r="G1365" s="19" t="s">
        <v>1091</v>
      </c>
      <c r="H1365" s="19" t="s">
        <v>3288</v>
      </c>
      <c r="I1365" s="19" t="s">
        <v>3289</v>
      </c>
      <c r="J1365" s="19" t="s">
        <v>1104</v>
      </c>
      <c r="K1365" s="19" t="s">
        <v>6</v>
      </c>
      <c r="L1365" s="19" t="s">
        <v>1095</v>
      </c>
      <c r="M1365" s="19" t="s">
        <v>1095</v>
      </c>
      <c r="N1365" s="19" t="s">
        <v>1105</v>
      </c>
      <c r="R1365" t="s">
        <v>1097</v>
      </c>
    </row>
    <row r="1366" spans="1:18" hidden="1" x14ac:dyDescent="0.3">
      <c r="A1366" s="19">
        <f t="shared" si="21"/>
        <v>1365</v>
      </c>
      <c r="B1366" s="20" t="s">
        <v>87</v>
      </c>
      <c r="C1366" s="20" t="s">
        <v>86</v>
      </c>
      <c r="D1366" s="21" t="str">
        <f>IF($C1366="","",IFERROR(VLOOKUP($C1366,Map_Register!$A$2:$C$5,3,FALSE()),""))</f>
        <v>Border Region</v>
      </c>
      <c r="E1366" s="20" t="s">
        <v>15</v>
      </c>
      <c r="F1366" s="22">
        <v>792501</v>
      </c>
      <c r="G1366" s="19" t="s">
        <v>1108</v>
      </c>
      <c r="H1366" s="19" t="s">
        <v>3290</v>
      </c>
      <c r="I1366" s="19" t="s">
        <v>3291</v>
      </c>
      <c r="J1366" s="19" t="s">
        <v>1094</v>
      </c>
      <c r="K1366" s="19" t="s">
        <v>6</v>
      </c>
      <c r="L1366" s="19" t="s">
        <v>1095</v>
      </c>
      <c r="M1366" s="19" t="s">
        <v>1095</v>
      </c>
      <c r="N1366" s="19" t="s">
        <v>1105</v>
      </c>
      <c r="R1366" t="s">
        <v>1097</v>
      </c>
    </row>
    <row r="1367" spans="1:18" hidden="1" x14ac:dyDescent="0.3">
      <c r="A1367" s="19">
        <f t="shared" si="21"/>
        <v>1366</v>
      </c>
      <c r="B1367" s="20" t="s">
        <v>87</v>
      </c>
      <c r="C1367" s="20" t="s">
        <v>86</v>
      </c>
      <c r="D1367" s="21" t="str">
        <f>IF($C1367="","",IFERROR(VLOOKUP($C1367,Map_Register!$A$2:$C$5,3,FALSE()),""))</f>
        <v>Border Region</v>
      </c>
      <c r="E1367" s="20" t="s">
        <v>15</v>
      </c>
      <c r="F1367" s="22">
        <v>792506</v>
      </c>
      <c r="G1367" s="19" t="s">
        <v>1091</v>
      </c>
      <c r="H1367" s="19" t="s">
        <v>2846</v>
      </c>
      <c r="I1367" s="19" t="s">
        <v>3292</v>
      </c>
      <c r="J1367" s="19" t="s">
        <v>1094</v>
      </c>
      <c r="K1367" s="19" t="s">
        <v>6</v>
      </c>
      <c r="L1367" s="19" t="s">
        <v>1095</v>
      </c>
      <c r="M1367" s="19" t="s">
        <v>1095</v>
      </c>
      <c r="N1367" s="19" t="s">
        <v>1105</v>
      </c>
      <c r="R1367" t="s">
        <v>1097</v>
      </c>
    </row>
    <row r="1368" spans="1:18" hidden="1" x14ac:dyDescent="0.3">
      <c r="A1368" s="19">
        <f t="shared" si="21"/>
        <v>1367</v>
      </c>
      <c r="B1368" s="20" t="s">
        <v>87</v>
      </c>
      <c r="C1368" s="20" t="s">
        <v>86</v>
      </c>
      <c r="D1368" s="21" t="str">
        <f>IF($C1368="","",IFERROR(VLOOKUP($C1368,Map_Register!$A$2:$C$5,3,FALSE()),""))</f>
        <v>Border Region</v>
      </c>
      <c r="E1368" s="20" t="s">
        <v>15</v>
      </c>
      <c r="F1368" s="22">
        <v>792508</v>
      </c>
      <c r="G1368" s="19" t="s">
        <v>1118</v>
      </c>
      <c r="H1368" s="19" t="s">
        <v>3293</v>
      </c>
      <c r="I1368" s="19" t="s">
        <v>3294</v>
      </c>
      <c r="J1368" s="19" t="s">
        <v>1094</v>
      </c>
      <c r="K1368" s="19" t="s">
        <v>6</v>
      </c>
      <c r="L1368" s="19" t="s">
        <v>1095</v>
      </c>
      <c r="M1368" s="19" t="s">
        <v>1095</v>
      </c>
      <c r="N1368" s="19" t="s">
        <v>3295</v>
      </c>
      <c r="R1368" t="s">
        <v>1097</v>
      </c>
    </row>
    <row r="1369" spans="1:18" hidden="1" x14ac:dyDescent="0.3">
      <c r="A1369" s="19">
        <f t="shared" si="21"/>
        <v>1368</v>
      </c>
      <c r="B1369" s="20" t="s">
        <v>87</v>
      </c>
      <c r="C1369" s="20" t="s">
        <v>86</v>
      </c>
      <c r="D1369" s="21" t="str">
        <f>IF($C1369="","",IFERROR(VLOOKUP($C1369,Map_Register!$A$2:$C$5,3,FALSE()),""))</f>
        <v>Border Region</v>
      </c>
      <c r="E1369" s="20" t="s">
        <v>15</v>
      </c>
      <c r="F1369" s="22">
        <v>792509</v>
      </c>
      <c r="G1369" s="19" t="s">
        <v>1091</v>
      </c>
      <c r="H1369" s="19" t="s">
        <v>3296</v>
      </c>
      <c r="I1369" s="19" t="s">
        <v>3297</v>
      </c>
      <c r="J1369" s="19" t="s">
        <v>1094</v>
      </c>
      <c r="K1369" s="19" t="s">
        <v>6</v>
      </c>
      <c r="L1369" s="19" t="s">
        <v>1095</v>
      </c>
      <c r="M1369" s="19" t="s">
        <v>1095</v>
      </c>
      <c r="N1369" s="19" t="s">
        <v>1105</v>
      </c>
      <c r="R1369" t="s">
        <v>1097</v>
      </c>
    </row>
    <row r="1370" spans="1:18" hidden="1" x14ac:dyDescent="0.3">
      <c r="A1370" s="19">
        <f t="shared" si="21"/>
        <v>1369</v>
      </c>
      <c r="B1370" s="20" t="s">
        <v>87</v>
      </c>
      <c r="C1370" s="20" t="s">
        <v>86</v>
      </c>
      <c r="D1370" s="21" t="str">
        <f>IF($C1370="","",IFERROR(VLOOKUP($C1370,Map_Register!$A$2:$C$5,3,FALSE()),""))</f>
        <v>Border Region</v>
      </c>
      <c r="E1370" s="20" t="s">
        <v>15</v>
      </c>
      <c r="F1370" s="22">
        <v>792510</v>
      </c>
      <c r="G1370" s="19" t="s">
        <v>1091</v>
      </c>
      <c r="H1370" s="19" t="s">
        <v>3298</v>
      </c>
      <c r="I1370" s="19" t="s">
        <v>3299</v>
      </c>
      <c r="J1370" s="19" t="s">
        <v>1094</v>
      </c>
      <c r="K1370" s="19" t="s">
        <v>6</v>
      </c>
      <c r="L1370" s="19" t="s">
        <v>1095</v>
      </c>
      <c r="M1370" s="19" t="s">
        <v>1095</v>
      </c>
      <c r="N1370" s="19" t="s">
        <v>1105</v>
      </c>
      <c r="R1370" t="s">
        <v>1097</v>
      </c>
    </row>
    <row r="1371" spans="1:18" hidden="1" x14ac:dyDescent="0.3">
      <c r="A1371" s="19">
        <f t="shared" si="21"/>
        <v>1370</v>
      </c>
      <c r="B1371" s="20" t="s">
        <v>87</v>
      </c>
      <c r="C1371" s="20" t="s">
        <v>86</v>
      </c>
      <c r="D1371" s="21" t="str">
        <f>IF($C1371="","",IFERROR(VLOOKUP($C1371,Map_Register!$A$2:$C$5,3,FALSE()),""))</f>
        <v>Border Region</v>
      </c>
      <c r="E1371" s="20" t="s">
        <v>15</v>
      </c>
      <c r="F1371" s="22">
        <v>792511</v>
      </c>
      <c r="G1371" s="19" t="s">
        <v>1091</v>
      </c>
      <c r="H1371" s="19" t="s">
        <v>3300</v>
      </c>
      <c r="I1371" s="19" t="s">
        <v>3300</v>
      </c>
      <c r="J1371" s="19" t="s">
        <v>1110</v>
      </c>
      <c r="K1371" s="19" t="s">
        <v>6</v>
      </c>
      <c r="L1371" s="19" t="s">
        <v>1095</v>
      </c>
      <c r="M1371" s="19" t="s">
        <v>1095</v>
      </c>
      <c r="N1371" s="19" t="s">
        <v>1300</v>
      </c>
      <c r="R1371" t="s">
        <v>1097</v>
      </c>
    </row>
    <row r="1372" spans="1:18" hidden="1" x14ac:dyDescent="0.3">
      <c r="A1372" s="19">
        <f t="shared" si="21"/>
        <v>1371</v>
      </c>
      <c r="B1372" s="20" t="s">
        <v>87</v>
      </c>
      <c r="C1372" s="20" t="s">
        <v>86</v>
      </c>
      <c r="D1372" s="21" t="str">
        <f>IF($C1372="","",IFERROR(VLOOKUP($C1372,Map_Register!$A$2:$C$5,3,FALSE()),""))</f>
        <v>Border Region</v>
      </c>
      <c r="E1372" s="20" t="s">
        <v>15</v>
      </c>
      <c r="F1372" s="22">
        <v>792512</v>
      </c>
      <c r="G1372" s="19" t="s">
        <v>1108</v>
      </c>
      <c r="H1372" s="19" t="s">
        <v>3301</v>
      </c>
      <c r="I1372" s="19" t="s">
        <v>3301</v>
      </c>
      <c r="J1372" s="19" t="s">
        <v>1110</v>
      </c>
      <c r="K1372" s="19" t="s">
        <v>6</v>
      </c>
      <c r="L1372" s="19" t="s">
        <v>1095</v>
      </c>
      <c r="M1372" s="19" t="s">
        <v>1095</v>
      </c>
      <c r="N1372" s="19" t="s">
        <v>1111</v>
      </c>
      <c r="R1372" t="s">
        <v>1097</v>
      </c>
    </row>
    <row r="1373" spans="1:18" hidden="1" x14ac:dyDescent="0.3">
      <c r="A1373" s="19">
        <f t="shared" si="21"/>
        <v>1372</v>
      </c>
      <c r="B1373" s="20" t="s">
        <v>87</v>
      </c>
      <c r="C1373" s="20" t="s">
        <v>86</v>
      </c>
      <c r="D1373" s="21" t="str">
        <f>IF($C1373="","",IFERROR(VLOOKUP($C1373,Map_Register!$A$2:$C$5,3,FALSE()),""))</f>
        <v>Border Region</v>
      </c>
      <c r="E1373" s="20" t="s">
        <v>15</v>
      </c>
      <c r="F1373" s="22">
        <v>792513</v>
      </c>
      <c r="G1373" s="19" t="s">
        <v>1091</v>
      </c>
      <c r="H1373" s="19" t="s">
        <v>3302</v>
      </c>
      <c r="I1373" s="19" t="s">
        <v>3303</v>
      </c>
      <c r="J1373" s="19" t="s">
        <v>1104</v>
      </c>
      <c r="K1373" s="19" t="s">
        <v>6</v>
      </c>
      <c r="L1373" s="19" t="s">
        <v>1095</v>
      </c>
      <c r="M1373" s="19" t="s">
        <v>1095</v>
      </c>
      <c r="N1373" s="19" t="s">
        <v>1105</v>
      </c>
      <c r="R1373" t="s">
        <v>1097</v>
      </c>
    </row>
    <row r="1374" spans="1:18" hidden="1" x14ac:dyDescent="0.3">
      <c r="A1374" s="19">
        <f t="shared" si="21"/>
        <v>1373</v>
      </c>
      <c r="B1374" s="20" t="s">
        <v>87</v>
      </c>
      <c r="C1374" s="20" t="s">
        <v>86</v>
      </c>
      <c r="D1374" s="21" t="str">
        <f>IF($C1374="","",IFERROR(VLOOKUP($C1374,Map_Register!$A$2:$C$5,3,FALSE()),""))</f>
        <v>Border Region</v>
      </c>
      <c r="E1374" s="20" t="s">
        <v>15</v>
      </c>
      <c r="F1374" s="22">
        <v>792514</v>
      </c>
      <c r="G1374" s="19" t="s">
        <v>1091</v>
      </c>
      <c r="H1374" s="19" t="s">
        <v>3304</v>
      </c>
      <c r="I1374" s="19" t="s">
        <v>3305</v>
      </c>
      <c r="J1374" s="19" t="s">
        <v>1094</v>
      </c>
      <c r="K1374" s="19" t="s">
        <v>8</v>
      </c>
      <c r="L1374" s="19" t="s">
        <v>114</v>
      </c>
      <c r="M1374" s="19" t="s">
        <v>114</v>
      </c>
      <c r="N1374" s="19" t="s">
        <v>2835</v>
      </c>
      <c r="O1374" s="19" t="s">
        <v>116</v>
      </c>
      <c r="R1374" t="s">
        <v>1097</v>
      </c>
    </row>
    <row r="1375" spans="1:18" hidden="1" x14ac:dyDescent="0.3">
      <c r="A1375" s="19">
        <f t="shared" si="21"/>
        <v>1374</v>
      </c>
      <c r="B1375" s="20" t="s">
        <v>87</v>
      </c>
      <c r="C1375" s="20" t="s">
        <v>86</v>
      </c>
      <c r="D1375" s="21" t="str">
        <f>IF($C1375="","",IFERROR(VLOOKUP($C1375,Map_Register!$A$2:$C$5,3,FALSE()),""))</f>
        <v>Border Region</v>
      </c>
      <c r="E1375" s="20" t="s">
        <v>15</v>
      </c>
      <c r="F1375" s="22">
        <v>792516</v>
      </c>
      <c r="G1375" s="19" t="s">
        <v>1091</v>
      </c>
      <c r="H1375" s="19" t="s">
        <v>3306</v>
      </c>
      <c r="I1375" s="19" t="s">
        <v>3307</v>
      </c>
      <c r="J1375" s="19" t="s">
        <v>1104</v>
      </c>
      <c r="K1375" s="19" t="s">
        <v>6</v>
      </c>
      <c r="L1375" s="19" t="s">
        <v>1095</v>
      </c>
      <c r="M1375" s="19" t="s">
        <v>1095</v>
      </c>
      <c r="N1375" s="19" t="s">
        <v>1105</v>
      </c>
      <c r="R1375" t="s">
        <v>1097</v>
      </c>
    </row>
    <row r="1376" spans="1:18" hidden="1" x14ac:dyDescent="0.3">
      <c r="A1376" s="19">
        <f t="shared" si="21"/>
        <v>1375</v>
      </c>
      <c r="B1376" s="20" t="s">
        <v>87</v>
      </c>
      <c r="C1376" s="20" t="s">
        <v>86</v>
      </c>
      <c r="D1376" s="21" t="str">
        <f>IF($C1376="","",IFERROR(VLOOKUP($C1376,Map_Register!$A$2:$C$5,3,FALSE()),""))</f>
        <v>Border Region</v>
      </c>
      <c r="E1376" s="20" t="s">
        <v>15</v>
      </c>
      <c r="F1376" s="22">
        <v>792518</v>
      </c>
      <c r="G1376" s="19" t="s">
        <v>1091</v>
      </c>
      <c r="H1376" s="19" t="s">
        <v>3308</v>
      </c>
      <c r="I1376" s="19" t="s">
        <v>3309</v>
      </c>
      <c r="J1376" s="19" t="s">
        <v>1104</v>
      </c>
      <c r="K1376" s="19" t="s">
        <v>8</v>
      </c>
      <c r="L1376" s="19" t="s">
        <v>114</v>
      </c>
      <c r="M1376" s="19" t="s">
        <v>114</v>
      </c>
      <c r="N1376" s="19" t="s">
        <v>3310</v>
      </c>
      <c r="O1376" s="19" t="s">
        <v>116</v>
      </c>
      <c r="R1376" t="s">
        <v>1097</v>
      </c>
    </row>
    <row r="1377" spans="1:18" x14ac:dyDescent="0.3">
      <c r="A1377" s="19">
        <f t="shared" si="21"/>
        <v>1376</v>
      </c>
      <c r="B1377" s="20" t="s">
        <v>87</v>
      </c>
      <c r="C1377" s="20" t="s">
        <v>86</v>
      </c>
      <c r="D1377" s="21" t="str">
        <f>IF($C1377="","",IFERROR(VLOOKUP($C1377,Map_Register!$A$2:$C$5,3,FALSE()),""))</f>
        <v>Border Region</v>
      </c>
      <c r="E1377" s="20" t="s">
        <v>15</v>
      </c>
      <c r="F1377" s="22">
        <v>792520</v>
      </c>
      <c r="G1377" s="19" t="s">
        <v>1125</v>
      </c>
      <c r="H1377" s="19" t="s">
        <v>1398</v>
      </c>
      <c r="I1377" s="19" t="s">
        <v>1398</v>
      </c>
      <c r="J1377" s="19" t="s">
        <v>1110</v>
      </c>
      <c r="K1377" s="19" t="s">
        <v>8</v>
      </c>
      <c r="L1377" s="19" t="s">
        <v>114</v>
      </c>
      <c r="M1377" s="19" t="s">
        <v>116</v>
      </c>
      <c r="N1377" s="19" t="s">
        <v>2961</v>
      </c>
      <c r="O1377" s="19" t="s">
        <v>116</v>
      </c>
      <c r="R1377" t="s">
        <v>1097</v>
      </c>
    </row>
    <row r="1378" spans="1:18" hidden="1" x14ac:dyDescent="0.3">
      <c r="A1378" s="19">
        <f t="shared" si="21"/>
        <v>1377</v>
      </c>
      <c r="B1378" s="20" t="s">
        <v>87</v>
      </c>
      <c r="C1378" s="20" t="s">
        <v>86</v>
      </c>
      <c r="D1378" s="21" t="str">
        <f>IF($C1378="","",IFERROR(VLOOKUP($C1378,Map_Register!$A$2:$C$5,3,FALSE()),""))</f>
        <v>Border Region</v>
      </c>
      <c r="E1378" s="20" t="s">
        <v>15</v>
      </c>
      <c r="F1378" s="22">
        <v>792521</v>
      </c>
      <c r="G1378" s="19" t="s">
        <v>1136</v>
      </c>
      <c r="H1378" s="19" t="s">
        <v>3311</v>
      </c>
      <c r="I1378" s="19" t="s">
        <v>3311</v>
      </c>
      <c r="J1378" s="19" t="s">
        <v>1110</v>
      </c>
      <c r="K1378" s="19" t="s">
        <v>6</v>
      </c>
      <c r="L1378" s="19" t="s">
        <v>1095</v>
      </c>
      <c r="M1378" s="19" t="s">
        <v>1095</v>
      </c>
      <c r="N1378" s="19" t="s">
        <v>1406</v>
      </c>
      <c r="R1378" t="s">
        <v>1097</v>
      </c>
    </row>
    <row r="1379" spans="1:18" hidden="1" x14ac:dyDescent="0.3">
      <c r="A1379" s="19">
        <f t="shared" si="21"/>
        <v>1378</v>
      </c>
      <c r="B1379" s="20" t="s">
        <v>87</v>
      </c>
      <c r="C1379" s="20" t="s">
        <v>86</v>
      </c>
      <c r="D1379" s="21" t="str">
        <f>IF($C1379="","",IFERROR(VLOOKUP($C1379,Map_Register!$A$2:$C$5,3,FALSE()),""))</f>
        <v>Border Region</v>
      </c>
      <c r="E1379" s="20" t="s">
        <v>15</v>
      </c>
      <c r="F1379" s="22">
        <v>792522</v>
      </c>
      <c r="G1379" s="19" t="s">
        <v>1125</v>
      </c>
      <c r="H1379" s="19" t="s">
        <v>3312</v>
      </c>
      <c r="I1379" s="19" t="s">
        <v>3313</v>
      </c>
      <c r="J1379" s="19" t="s">
        <v>1104</v>
      </c>
      <c r="K1379" s="19" t="s">
        <v>6</v>
      </c>
      <c r="L1379" s="19" t="s">
        <v>1095</v>
      </c>
      <c r="M1379" s="19" t="s">
        <v>1095</v>
      </c>
      <c r="N1379" s="19" t="s">
        <v>1105</v>
      </c>
      <c r="R1379" t="s">
        <v>1097</v>
      </c>
    </row>
    <row r="1380" spans="1:18" hidden="1" x14ac:dyDescent="0.3">
      <c r="A1380" s="19">
        <f t="shared" si="21"/>
        <v>1379</v>
      </c>
      <c r="B1380" s="20" t="s">
        <v>87</v>
      </c>
      <c r="C1380" s="20" t="s">
        <v>86</v>
      </c>
      <c r="D1380" s="21" t="str">
        <f>IF($C1380="","",IFERROR(VLOOKUP($C1380,Map_Register!$A$2:$C$5,3,FALSE()),""))</f>
        <v>Border Region</v>
      </c>
      <c r="E1380" s="20" t="s">
        <v>15</v>
      </c>
      <c r="F1380" s="22">
        <v>792524</v>
      </c>
      <c r="G1380" s="19" t="s">
        <v>1136</v>
      </c>
      <c r="H1380" s="19" t="s">
        <v>3314</v>
      </c>
      <c r="I1380" s="19" t="s">
        <v>3315</v>
      </c>
      <c r="J1380" s="19" t="s">
        <v>1094</v>
      </c>
      <c r="K1380" s="19" t="s">
        <v>8</v>
      </c>
      <c r="L1380" s="19" t="s">
        <v>114</v>
      </c>
      <c r="M1380" s="19" t="s">
        <v>114</v>
      </c>
      <c r="N1380" s="19" t="s">
        <v>2050</v>
      </c>
      <c r="O1380" s="19" t="s">
        <v>116</v>
      </c>
      <c r="R1380" t="s">
        <v>1097</v>
      </c>
    </row>
    <row r="1381" spans="1:18" hidden="1" x14ac:dyDescent="0.3">
      <c r="A1381" s="19">
        <f t="shared" si="21"/>
        <v>1380</v>
      </c>
      <c r="B1381" s="20" t="s">
        <v>87</v>
      </c>
      <c r="C1381" s="20" t="s">
        <v>86</v>
      </c>
      <c r="D1381" s="21" t="str">
        <f>IF($C1381="","",IFERROR(VLOOKUP($C1381,Map_Register!$A$2:$C$5,3,FALSE()),""))</f>
        <v>Border Region</v>
      </c>
      <c r="E1381" s="20" t="s">
        <v>15</v>
      </c>
      <c r="F1381" s="22">
        <v>792525</v>
      </c>
      <c r="G1381" s="19" t="s">
        <v>1091</v>
      </c>
      <c r="H1381" s="19" t="s">
        <v>3316</v>
      </c>
      <c r="I1381" s="19" t="s">
        <v>3316</v>
      </c>
      <c r="J1381" s="19" t="s">
        <v>1110</v>
      </c>
      <c r="K1381" s="19" t="s">
        <v>6</v>
      </c>
      <c r="L1381" s="19" t="s">
        <v>1095</v>
      </c>
      <c r="M1381" s="19" t="s">
        <v>1095</v>
      </c>
      <c r="N1381" s="19" t="s">
        <v>1300</v>
      </c>
      <c r="R1381" t="s">
        <v>1097</v>
      </c>
    </row>
    <row r="1382" spans="1:18" hidden="1" x14ac:dyDescent="0.3">
      <c r="A1382" s="19">
        <f t="shared" si="21"/>
        <v>1381</v>
      </c>
      <c r="B1382" s="20" t="s">
        <v>87</v>
      </c>
      <c r="C1382" s="20" t="s">
        <v>86</v>
      </c>
      <c r="D1382" s="21" t="str">
        <f>IF($C1382="","",IFERROR(VLOOKUP($C1382,Map_Register!$A$2:$C$5,3,FALSE()),""))</f>
        <v>Border Region</v>
      </c>
      <c r="E1382" s="20" t="s">
        <v>15</v>
      </c>
      <c r="F1382" s="22">
        <v>792526</v>
      </c>
      <c r="G1382" s="19" t="s">
        <v>1136</v>
      </c>
      <c r="H1382" s="19" t="s">
        <v>3317</v>
      </c>
      <c r="I1382" s="19" t="s">
        <v>3318</v>
      </c>
      <c r="J1382" s="19" t="s">
        <v>1094</v>
      </c>
      <c r="K1382" s="19" t="s">
        <v>6</v>
      </c>
      <c r="L1382" s="19" t="s">
        <v>1095</v>
      </c>
      <c r="M1382" s="19" t="s">
        <v>1095</v>
      </c>
      <c r="N1382" s="19" t="s">
        <v>1105</v>
      </c>
      <c r="R1382" t="s">
        <v>1097</v>
      </c>
    </row>
    <row r="1383" spans="1:18" x14ac:dyDescent="0.3">
      <c r="A1383" s="19">
        <f t="shared" si="21"/>
        <v>1382</v>
      </c>
      <c r="B1383" s="20" t="s">
        <v>87</v>
      </c>
      <c r="C1383" s="20" t="s">
        <v>86</v>
      </c>
      <c r="D1383" s="21" t="str">
        <f>IF($C1383="","",IFERROR(VLOOKUP($C1383,Map_Register!$A$2:$C$5,3,FALSE()),""))</f>
        <v>Border Region</v>
      </c>
      <c r="E1383" s="20" t="s">
        <v>15</v>
      </c>
      <c r="F1383" s="22">
        <v>792527</v>
      </c>
      <c r="G1383" s="19" t="s">
        <v>1125</v>
      </c>
      <c r="H1383" s="19" t="s">
        <v>3319</v>
      </c>
      <c r="I1383" s="19" t="s">
        <v>3319</v>
      </c>
      <c r="J1383" s="19" t="s">
        <v>1110</v>
      </c>
      <c r="K1383" s="19" t="s">
        <v>8</v>
      </c>
      <c r="L1383" s="19" t="s">
        <v>114</v>
      </c>
      <c r="M1383" s="19" t="s">
        <v>116</v>
      </c>
      <c r="N1383" s="19" t="s">
        <v>2961</v>
      </c>
      <c r="O1383" s="19" t="s">
        <v>116</v>
      </c>
      <c r="R1383" t="s">
        <v>1097</v>
      </c>
    </row>
    <row r="1384" spans="1:18" hidden="1" x14ac:dyDescent="0.3">
      <c r="A1384" s="19">
        <f t="shared" si="21"/>
        <v>1383</v>
      </c>
      <c r="B1384" s="20" t="s">
        <v>87</v>
      </c>
      <c r="C1384" s="20" t="s">
        <v>86</v>
      </c>
      <c r="D1384" s="21" t="str">
        <f>IF($C1384="","",IFERROR(VLOOKUP($C1384,Map_Register!$A$2:$C$5,3,FALSE()),""))</f>
        <v>Border Region</v>
      </c>
      <c r="E1384" s="20" t="s">
        <v>15</v>
      </c>
      <c r="F1384" s="22">
        <v>792528</v>
      </c>
      <c r="G1384" s="19" t="s">
        <v>1136</v>
      </c>
      <c r="H1384" s="19" t="s">
        <v>3320</v>
      </c>
      <c r="I1384" s="19" t="s">
        <v>3320</v>
      </c>
      <c r="J1384" s="19" t="s">
        <v>1110</v>
      </c>
      <c r="K1384" s="19" t="s">
        <v>8</v>
      </c>
      <c r="L1384" s="19" t="s">
        <v>114</v>
      </c>
      <c r="M1384" s="19" t="s">
        <v>114</v>
      </c>
      <c r="N1384" s="19" t="s">
        <v>2050</v>
      </c>
      <c r="O1384" s="19" t="s">
        <v>116</v>
      </c>
      <c r="R1384" t="s">
        <v>1097</v>
      </c>
    </row>
    <row r="1385" spans="1:18" hidden="1" x14ac:dyDescent="0.3">
      <c r="A1385" s="19">
        <f t="shared" si="21"/>
        <v>1384</v>
      </c>
      <c r="B1385" s="20" t="s">
        <v>87</v>
      </c>
      <c r="C1385" s="20" t="s">
        <v>86</v>
      </c>
      <c r="D1385" s="21" t="str">
        <f>IF($C1385="","",IFERROR(VLOOKUP($C1385,Map_Register!$A$2:$C$5,3,FALSE()),""))</f>
        <v>Border Region</v>
      </c>
      <c r="E1385" s="20" t="s">
        <v>15</v>
      </c>
      <c r="F1385" s="22">
        <v>792529</v>
      </c>
      <c r="G1385" s="19" t="s">
        <v>1136</v>
      </c>
      <c r="H1385" s="19" t="s">
        <v>3321</v>
      </c>
      <c r="I1385" s="19" t="s">
        <v>3321</v>
      </c>
      <c r="J1385" s="19" t="s">
        <v>1110</v>
      </c>
      <c r="K1385" s="19" t="s">
        <v>6</v>
      </c>
      <c r="L1385" s="19" t="s">
        <v>1095</v>
      </c>
      <c r="M1385" s="19" t="s">
        <v>1095</v>
      </c>
      <c r="N1385" s="19" t="s">
        <v>1406</v>
      </c>
      <c r="R1385" t="s">
        <v>1097</v>
      </c>
    </row>
    <row r="1386" spans="1:18" hidden="1" x14ac:dyDescent="0.3">
      <c r="A1386" s="19">
        <f t="shared" si="21"/>
        <v>1385</v>
      </c>
      <c r="B1386" s="20" t="s">
        <v>87</v>
      </c>
      <c r="C1386" s="20" t="s">
        <v>86</v>
      </c>
      <c r="D1386" s="21" t="str">
        <f>IF($C1386="","",IFERROR(VLOOKUP($C1386,Map_Register!$A$2:$C$5,3,FALSE()),""))</f>
        <v>Border Region</v>
      </c>
      <c r="E1386" s="20" t="s">
        <v>15</v>
      </c>
      <c r="F1386" s="22">
        <v>792531</v>
      </c>
      <c r="G1386" s="19" t="s">
        <v>1136</v>
      </c>
      <c r="H1386" s="19" t="s">
        <v>1630</v>
      </c>
      <c r="I1386" s="19" t="s">
        <v>3322</v>
      </c>
      <c r="J1386" s="19" t="s">
        <v>1094</v>
      </c>
      <c r="K1386" s="19" t="s">
        <v>6</v>
      </c>
      <c r="L1386" s="19" t="s">
        <v>1095</v>
      </c>
      <c r="M1386" s="19" t="s">
        <v>1095</v>
      </c>
      <c r="N1386" s="19" t="s">
        <v>1105</v>
      </c>
      <c r="R1386" t="s">
        <v>1097</v>
      </c>
    </row>
    <row r="1387" spans="1:18" hidden="1" x14ac:dyDescent="0.3">
      <c r="A1387" s="19">
        <f t="shared" si="21"/>
        <v>1386</v>
      </c>
      <c r="B1387" s="20" t="s">
        <v>87</v>
      </c>
      <c r="C1387" s="20" t="s">
        <v>86</v>
      </c>
      <c r="D1387" s="21" t="str">
        <f>IF($C1387="","",IFERROR(VLOOKUP($C1387,Map_Register!$A$2:$C$5,3,FALSE()),""))</f>
        <v>Border Region</v>
      </c>
      <c r="E1387" s="20" t="s">
        <v>15</v>
      </c>
      <c r="F1387" s="22">
        <v>792532</v>
      </c>
      <c r="G1387" s="19" t="s">
        <v>1136</v>
      </c>
      <c r="H1387" s="19" t="s">
        <v>3323</v>
      </c>
      <c r="I1387" s="19" t="s">
        <v>3324</v>
      </c>
      <c r="J1387" s="19" t="s">
        <v>1104</v>
      </c>
      <c r="K1387" s="19" t="s">
        <v>6</v>
      </c>
      <c r="L1387" s="19" t="s">
        <v>1095</v>
      </c>
      <c r="M1387" s="19" t="s">
        <v>1095</v>
      </c>
      <c r="N1387" s="19" t="s">
        <v>1105</v>
      </c>
      <c r="R1387" t="s">
        <v>1097</v>
      </c>
    </row>
    <row r="1388" spans="1:18" hidden="1" x14ac:dyDescent="0.3">
      <c r="A1388" s="19">
        <f t="shared" si="21"/>
        <v>1387</v>
      </c>
      <c r="B1388" s="20" t="s">
        <v>87</v>
      </c>
      <c r="C1388" s="20" t="s">
        <v>86</v>
      </c>
      <c r="D1388" s="21" t="str">
        <f>IF($C1388="","",IFERROR(VLOOKUP($C1388,Map_Register!$A$2:$C$5,3,FALSE()),""))</f>
        <v>Border Region</v>
      </c>
      <c r="E1388" s="20" t="s">
        <v>15</v>
      </c>
      <c r="F1388" s="22">
        <v>792534</v>
      </c>
      <c r="G1388" s="19" t="s">
        <v>1136</v>
      </c>
      <c r="H1388" s="19" t="s">
        <v>1594</v>
      </c>
      <c r="I1388" s="19" t="s">
        <v>3325</v>
      </c>
      <c r="J1388" s="19" t="s">
        <v>1104</v>
      </c>
      <c r="K1388" s="19" t="s">
        <v>8</v>
      </c>
      <c r="L1388" s="19" t="s">
        <v>114</v>
      </c>
      <c r="M1388" s="19" t="s">
        <v>114</v>
      </c>
      <c r="N1388" s="19" t="s">
        <v>2050</v>
      </c>
      <c r="O1388" s="19" t="s">
        <v>116</v>
      </c>
      <c r="R1388" t="s">
        <v>1097</v>
      </c>
    </row>
    <row r="1389" spans="1:18" hidden="1" x14ac:dyDescent="0.3">
      <c r="A1389" s="19">
        <f t="shared" si="21"/>
        <v>1388</v>
      </c>
      <c r="B1389" s="20" t="s">
        <v>87</v>
      </c>
      <c r="C1389" s="20" t="s">
        <v>86</v>
      </c>
      <c r="D1389" s="21" t="str">
        <f>IF($C1389="","",IFERROR(VLOOKUP($C1389,Map_Register!$A$2:$C$5,3,FALSE()),""))</f>
        <v>Border Region</v>
      </c>
      <c r="E1389" s="20" t="s">
        <v>15</v>
      </c>
      <c r="F1389" s="22">
        <v>792535</v>
      </c>
      <c r="G1389" s="19" t="s">
        <v>1136</v>
      </c>
      <c r="H1389" s="19" t="s">
        <v>3326</v>
      </c>
      <c r="I1389" s="19" t="s">
        <v>3326</v>
      </c>
      <c r="J1389" s="19" t="s">
        <v>1110</v>
      </c>
      <c r="K1389" s="19" t="s">
        <v>8</v>
      </c>
      <c r="L1389" s="19" t="s">
        <v>114</v>
      </c>
      <c r="M1389" s="19" t="s">
        <v>114</v>
      </c>
      <c r="N1389" s="19" t="s">
        <v>2050</v>
      </c>
      <c r="O1389" s="19" t="s">
        <v>116</v>
      </c>
      <c r="R1389" t="s">
        <v>1097</v>
      </c>
    </row>
    <row r="1390" spans="1:18" x14ac:dyDescent="0.3">
      <c r="A1390" s="19">
        <f t="shared" si="21"/>
        <v>1389</v>
      </c>
      <c r="B1390" s="20" t="s">
        <v>87</v>
      </c>
      <c r="C1390" s="20" t="s">
        <v>86</v>
      </c>
      <c r="D1390" s="21" t="str">
        <f>IF($C1390="","",IFERROR(VLOOKUP($C1390,Map_Register!$A$2:$C$5,3,FALSE()),""))</f>
        <v>Border Region</v>
      </c>
      <c r="E1390" s="20" t="s">
        <v>15</v>
      </c>
      <c r="F1390" s="22">
        <v>792536</v>
      </c>
      <c r="G1390" s="19" t="s">
        <v>1125</v>
      </c>
      <c r="H1390" s="19" t="s">
        <v>3327</v>
      </c>
      <c r="I1390" s="19" t="s">
        <v>3327</v>
      </c>
      <c r="J1390" s="19" t="s">
        <v>1110</v>
      </c>
      <c r="K1390" s="19" t="s">
        <v>8</v>
      </c>
      <c r="L1390" s="19" t="s">
        <v>114</v>
      </c>
      <c r="M1390" s="19" t="s">
        <v>116</v>
      </c>
      <c r="N1390" s="19" t="s">
        <v>2961</v>
      </c>
      <c r="O1390" s="19" t="s">
        <v>116</v>
      </c>
      <c r="R1390" t="s">
        <v>1097</v>
      </c>
    </row>
    <row r="1391" spans="1:18" x14ac:dyDescent="0.3">
      <c r="A1391" s="19">
        <f t="shared" si="21"/>
        <v>1390</v>
      </c>
      <c r="B1391" s="20" t="s">
        <v>87</v>
      </c>
      <c r="C1391" s="20" t="s">
        <v>86</v>
      </c>
      <c r="D1391" s="21" t="str">
        <f>IF($C1391="","",IFERROR(VLOOKUP($C1391,Map_Register!$A$2:$C$5,3,FALSE()),""))</f>
        <v>Border Region</v>
      </c>
      <c r="E1391" s="20" t="s">
        <v>15</v>
      </c>
      <c r="F1391" s="22">
        <v>792537</v>
      </c>
      <c r="G1391" s="19" t="s">
        <v>1125</v>
      </c>
      <c r="H1391" s="19" t="s">
        <v>3328</v>
      </c>
      <c r="I1391" s="19" t="s">
        <v>3328</v>
      </c>
      <c r="J1391" s="19" t="s">
        <v>1110</v>
      </c>
      <c r="K1391" s="19" t="s">
        <v>8</v>
      </c>
      <c r="L1391" s="19" t="s">
        <v>114</v>
      </c>
      <c r="M1391" s="19" t="s">
        <v>116</v>
      </c>
      <c r="N1391" s="19" t="s">
        <v>2961</v>
      </c>
      <c r="O1391" s="19" t="s">
        <v>116</v>
      </c>
      <c r="R1391" t="s">
        <v>1097</v>
      </c>
    </row>
    <row r="1392" spans="1:18" hidden="1" x14ac:dyDescent="0.3">
      <c r="A1392" s="19">
        <f t="shared" si="21"/>
        <v>1391</v>
      </c>
      <c r="B1392" s="20" t="s">
        <v>87</v>
      </c>
      <c r="C1392" s="20" t="s">
        <v>86</v>
      </c>
      <c r="D1392" s="21" t="str">
        <f>IF($C1392="","",IFERROR(VLOOKUP($C1392,Map_Register!$A$2:$C$5,3,FALSE()),""))</f>
        <v>Border Region</v>
      </c>
      <c r="E1392" s="20" t="s">
        <v>15</v>
      </c>
      <c r="F1392" s="22">
        <v>792539</v>
      </c>
      <c r="G1392" s="19" t="s">
        <v>1136</v>
      </c>
      <c r="H1392" s="19" t="s">
        <v>3329</v>
      </c>
      <c r="I1392" s="19" t="s">
        <v>3329</v>
      </c>
      <c r="J1392" s="19" t="s">
        <v>1110</v>
      </c>
      <c r="K1392" s="19" t="s">
        <v>8</v>
      </c>
      <c r="L1392" s="19" t="s">
        <v>114</v>
      </c>
      <c r="M1392" s="19" t="s">
        <v>114</v>
      </c>
      <c r="N1392" s="19" t="s">
        <v>2050</v>
      </c>
      <c r="O1392" s="19" t="s">
        <v>116</v>
      </c>
      <c r="R1392" t="s">
        <v>1097</v>
      </c>
    </row>
    <row r="1393" spans="1:18" hidden="1" x14ac:dyDescent="0.3">
      <c r="A1393" s="19">
        <f t="shared" si="21"/>
        <v>1392</v>
      </c>
      <c r="B1393" s="20" t="s">
        <v>87</v>
      </c>
      <c r="C1393" s="20" t="s">
        <v>86</v>
      </c>
      <c r="D1393" s="21" t="str">
        <f>IF($C1393="","",IFERROR(VLOOKUP($C1393,Map_Register!$A$2:$C$5,3,FALSE()),""))</f>
        <v>Border Region</v>
      </c>
      <c r="E1393" s="20" t="s">
        <v>15</v>
      </c>
      <c r="F1393" s="22">
        <v>792540</v>
      </c>
      <c r="G1393" s="19" t="s">
        <v>1091</v>
      </c>
      <c r="H1393" s="19" t="s">
        <v>3330</v>
      </c>
      <c r="I1393" s="19" t="s">
        <v>3330</v>
      </c>
      <c r="J1393" s="19" t="s">
        <v>1110</v>
      </c>
      <c r="K1393" s="19" t="s">
        <v>481</v>
      </c>
      <c r="L1393" s="19" t="s">
        <v>114</v>
      </c>
      <c r="M1393" s="19" t="s">
        <v>114</v>
      </c>
      <c r="N1393" s="19" t="s">
        <v>2050</v>
      </c>
      <c r="O1393" s="19" t="s">
        <v>116</v>
      </c>
      <c r="R1393" t="s">
        <v>1097</v>
      </c>
    </row>
    <row r="1394" spans="1:18" hidden="1" x14ac:dyDescent="0.3">
      <c r="A1394" s="19">
        <f t="shared" si="21"/>
        <v>1393</v>
      </c>
      <c r="B1394" s="20" t="s">
        <v>87</v>
      </c>
      <c r="C1394" s="20" t="s">
        <v>86</v>
      </c>
      <c r="D1394" s="21" t="str">
        <f>IF($C1394="","",IFERROR(VLOOKUP($C1394,Map_Register!$A$2:$C$5,3,FALSE()),""))</f>
        <v>Border Region</v>
      </c>
      <c r="E1394" s="20" t="s">
        <v>15</v>
      </c>
      <c r="F1394" s="22">
        <v>792541</v>
      </c>
      <c r="G1394" s="19" t="s">
        <v>1091</v>
      </c>
      <c r="H1394" s="19" t="s">
        <v>2846</v>
      </c>
      <c r="I1394" s="19" t="s">
        <v>3331</v>
      </c>
      <c r="J1394" s="19" t="s">
        <v>1094</v>
      </c>
      <c r="K1394" s="19" t="s">
        <v>6</v>
      </c>
      <c r="L1394" s="19" t="s">
        <v>1095</v>
      </c>
      <c r="M1394" s="19" t="s">
        <v>1095</v>
      </c>
      <c r="N1394" s="19" t="s">
        <v>1105</v>
      </c>
      <c r="R1394" t="s">
        <v>1097</v>
      </c>
    </row>
    <row r="1395" spans="1:18" hidden="1" x14ac:dyDescent="0.3">
      <c r="A1395" s="19">
        <f t="shared" si="21"/>
        <v>1394</v>
      </c>
      <c r="B1395" s="20" t="s">
        <v>87</v>
      </c>
      <c r="C1395" s="20" t="s">
        <v>97</v>
      </c>
      <c r="D1395" s="21" t="str">
        <f>IF($C1395="","",IFERROR(VLOOKUP($C1395,Map_Register!$A$2:$C$5,3,FALSE()),""))</f>
        <v>Military Zone</v>
      </c>
      <c r="E1395" s="20" t="s">
        <v>15</v>
      </c>
      <c r="F1395" s="22">
        <v>62413</v>
      </c>
      <c r="G1395" s="19" t="s">
        <v>1556</v>
      </c>
      <c r="H1395" s="19" t="s">
        <v>3332</v>
      </c>
      <c r="I1395" s="19" t="s">
        <v>3333</v>
      </c>
      <c r="J1395" s="19" t="s">
        <v>3334</v>
      </c>
      <c r="K1395" s="19" t="s">
        <v>1030</v>
      </c>
      <c r="L1395" s="19" t="s">
        <v>1095</v>
      </c>
      <c r="M1395" s="19" t="s">
        <v>1095</v>
      </c>
      <c r="N1395" s="19" t="s">
        <v>3335</v>
      </c>
      <c r="Q1395" s="19" t="s">
        <v>2569</v>
      </c>
      <c r="R1395" t="s">
        <v>1097</v>
      </c>
    </row>
    <row r="1396" spans="1:18" hidden="1" x14ac:dyDescent="0.3">
      <c r="A1396" s="19">
        <f t="shared" si="21"/>
        <v>1395</v>
      </c>
      <c r="B1396" s="20" t="s">
        <v>87</v>
      </c>
      <c r="C1396" s="20" t="s">
        <v>97</v>
      </c>
      <c r="D1396" s="21" t="str">
        <f>IF($C1396="","",IFERROR(VLOOKUP($C1396,Map_Register!$A$2:$C$5,3,FALSE()),""))</f>
        <v>Military Zone</v>
      </c>
      <c r="E1396" s="20" t="s">
        <v>15</v>
      </c>
      <c r="F1396" s="22">
        <v>62414</v>
      </c>
      <c r="G1396" s="19" t="s">
        <v>3336</v>
      </c>
      <c r="H1396" s="19" t="s">
        <v>3337</v>
      </c>
      <c r="I1396" s="19" t="s">
        <v>3338</v>
      </c>
      <c r="J1396" s="19" t="s">
        <v>3334</v>
      </c>
      <c r="K1396" s="19" t="s">
        <v>6</v>
      </c>
      <c r="L1396" s="19" t="s">
        <v>1095</v>
      </c>
      <c r="M1396" s="19" t="s">
        <v>1095</v>
      </c>
      <c r="N1396" s="19" t="s">
        <v>3339</v>
      </c>
      <c r="R1396" t="s">
        <v>1097</v>
      </c>
    </row>
    <row r="1397" spans="1:18" hidden="1" x14ac:dyDescent="0.3">
      <c r="A1397" s="19">
        <f t="shared" si="21"/>
        <v>1396</v>
      </c>
      <c r="B1397" s="20" t="s">
        <v>87</v>
      </c>
      <c r="C1397" s="20" t="s">
        <v>97</v>
      </c>
      <c r="D1397" s="21" t="str">
        <f>IF($C1397="","",IFERROR(VLOOKUP($C1397,Map_Register!$A$2:$C$5,3,FALSE()),""))</f>
        <v>Military Zone</v>
      </c>
      <c r="E1397" s="20" t="s">
        <v>15</v>
      </c>
      <c r="F1397" s="22">
        <v>62415</v>
      </c>
      <c r="G1397" s="19" t="s">
        <v>3336</v>
      </c>
      <c r="H1397" s="19" t="s">
        <v>3340</v>
      </c>
      <c r="I1397" s="19" t="s">
        <v>3340</v>
      </c>
      <c r="J1397" s="19" t="s">
        <v>3341</v>
      </c>
      <c r="K1397" s="19" t="s">
        <v>6</v>
      </c>
      <c r="L1397" s="19" t="s">
        <v>1095</v>
      </c>
      <c r="M1397" s="19" t="s">
        <v>1095</v>
      </c>
      <c r="N1397" s="19" t="s">
        <v>3342</v>
      </c>
      <c r="R1397" t="s">
        <v>1097</v>
      </c>
    </row>
    <row r="1398" spans="1:18" hidden="1" x14ac:dyDescent="0.3">
      <c r="A1398" s="19">
        <f t="shared" si="21"/>
        <v>1397</v>
      </c>
      <c r="B1398" s="20" t="s">
        <v>87</v>
      </c>
      <c r="C1398" s="20" t="s">
        <v>97</v>
      </c>
      <c r="D1398" s="21" t="str">
        <f>IF($C1398="","",IFERROR(VLOOKUP($C1398,Map_Register!$A$2:$C$5,3,FALSE()),""))</f>
        <v>Military Zone</v>
      </c>
      <c r="E1398" s="20" t="s">
        <v>15</v>
      </c>
      <c r="F1398" s="22">
        <v>62416</v>
      </c>
      <c r="G1398" s="19" t="s">
        <v>3336</v>
      </c>
      <c r="H1398" s="19" t="s">
        <v>3343</v>
      </c>
      <c r="I1398" s="19" t="s">
        <v>3343</v>
      </c>
      <c r="J1398" s="19" t="s">
        <v>3341</v>
      </c>
      <c r="K1398" s="19" t="s">
        <v>6</v>
      </c>
      <c r="L1398" s="19" t="s">
        <v>1095</v>
      </c>
      <c r="M1398" s="19" t="s">
        <v>1095</v>
      </c>
      <c r="N1398" s="19" t="s">
        <v>3344</v>
      </c>
      <c r="R1398" t="s">
        <v>1097</v>
      </c>
    </row>
    <row r="1399" spans="1:18" hidden="1" x14ac:dyDescent="0.3">
      <c r="A1399" s="19">
        <f t="shared" si="21"/>
        <v>1398</v>
      </c>
      <c r="B1399" s="20" t="s">
        <v>87</v>
      </c>
      <c r="C1399" s="20" t="s">
        <v>97</v>
      </c>
      <c r="D1399" s="21" t="str">
        <f>IF($C1399="","",IFERROR(VLOOKUP($C1399,Map_Register!$A$2:$C$5,3,FALSE()),""))</f>
        <v>Military Zone</v>
      </c>
      <c r="E1399" s="20" t="s">
        <v>15</v>
      </c>
      <c r="F1399" s="22">
        <v>62417</v>
      </c>
      <c r="G1399" s="19" t="s">
        <v>2521</v>
      </c>
      <c r="H1399" s="19" t="s">
        <v>3345</v>
      </c>
      <c r="I1399" s="19" t="s">
        <v>3345</v>
      </c>
      <c r="J1399" s="19" t="s">
        <v>3341</v>
      </c>
      <c r="K1399" s="19" t="s">
        <v>6</v>
      </c>
      <c r="L1399" s="19" t="s">
        <v>1095</v>
      </c>
      <c r="M1399" s="19" t="s">
        <v>1095</v>
      </c>
      <c r="N1399" s="19" t="s">
        <v>3342</v>
      </c>
      <c r="R1399" t="s">
        <v>1097</v>
      </c>
    </row>
    <row r="1400" spans="1:18" hidden="1" x14ac:dyDescent="0.3">
      <c r="A1400" s="19">
        <f t="shared" si="21"/>
        <v>1399</v>
      </c>
      <c r="B1400" s="20" t="s">
        <v>87</v>
      </c>
      <c r="C1400" s="20" t="s">
        <v>97</v>
      </c>
      <c r="D1400" s="21" t="str">
        <f>IF($C1400="","",IFERROR(VLOOKUP($C1400,Map_Register!$A$2:$C$5,3,FALSE()),""))</f>
        <v>Military Zone</v>
      </c>
      <c r="E1400" s="20" t="s">
        <v>15</v>
      </c>
      <c r="F1400" s="22">
        <v>62681</v>
      </c>
      <c r="G1400" s="19" t="s">
        <v>2521</v>
      </c>
      <c r="H1400" s="19" t="s">
        <v>3346</v>
      </c>
      <c r="I1400" s="19" t="s">
        <v>3347</v>
      </c>
      <c r="J1400" s="19" t="s">
        <v>3334</v>
      </c>
      <c r="K1400" s="19" t="s">
        <v>6</v>
      </c>
      <c r="L1400" s="19" t="s">
        <v>1095</v>
      </c>
      <c r="M1400" s="19" t="s">
        <v>1095</v>
      </c>
      <c r="N1400" s="19" t="s">
        <v>3348</v>
      </c>
      <c r="R1400" t="s">
        <v>1097</v>
      </c>
    </row>
    <row r="1401" spans="1:18" hidden="1" x14ac:dyDescent="0.3">
      <c r="A1401" s="19">
        <f t="shared" si="21"/>
        <v>1400</v>
      </c>
      <c r="B1401" s="20" t="s">
        <v>87</v>
      </c>
      <c r="C1401" s="20" t="s">
        <v>97</v>
      </c>
      <c r="D1401" s="21" t="str">
        <f>IF($C1401="","",IFERROR(VLOOKUP($C1401,Map_Register!$A$2:$C$5,3,FALSE()),""))</f>
        <v>Military Zone</v>
      </c>
      <c r="E1401" s="20" t="s">
        <v>15</v>
      </c>
      <c r="F1401" s="22">
        <v>62697</v>
      </c>
      <c r="G1401" s="19" t="s">
        <v>2521</v>
      </c>
      <c r="H1401" s="19" t="s">
        <v>3349</v>
      </c>
      <c r="I1401" s="19" t="s">
        <v>3349</v>
      </c>
      <c r="J1401" s="19" t="s">
        <v>3341</v>
      </c>
      <c r="K1401" s="19" t="s">
        <v>1030</v>
      </c>
      <c r="L1401" s="19" t="s">
        <v>1095</v>
      </c>
      <c r="M1401" s="19" t="s">
        <v>1095</v>
      </c>
      <c r="N1401" s="19" t="s">
        <v>3342</v>
      </c>
      <c r="Q1401" s="19" t="s">
        <v>2569</v>
      </c>
      <c r="R1401" t="s">
        <v>1097</v>
      </c>
    </row>
    <row r="1402" spans="1:18" hidden="1" x14ac:dyDescent="0.3">
      <c r="A1402" s="19">
        <f t="shared" si="21"/>
        <v>1401</v>
      </c>
      <c r="B1402" s="20" t="s">
        <v>87</v>
      </c>
      <c r="C1402" s="20" t="s">
        <v>97</v>
      </c>
      <c r="D1402" s="21" t="str">
        <f>IF($C1402="","",IFERROR(VLOOKUP($C1402,Map_Register!$A$2:$C$5,3,FALSE()),""))</f>
        <v>Military Zone</v>
      </c>
      <c r="E1402" s="20" t="s">
        <v>15</v>
      </c>
      <c r="F1402" s="22">
        <v>62701</v>
      </c>
      <c r="G1402" s="19" t="s">
        <v>3336</v>
      </c>
      <c r="H1402" s="19" t="s">
        <v>3350</v>
      </c>
      <c r="I1402" s="19" t="s">
        <v>3350</v>
      </c>
      <c r="J1402" s="19" t="s">
        <v>3341</v>
      </c>
      <c r="K1402" s="19" t="s">
        <v>6</v>
      </c>
      <c r="L1402" s="19" t="s">
        <v>1095</v>
      </c>
      <c r="M1402" s="19" t="s">
        <v>1095</v>
      </c>
      <c r="N1402" s="19" t="s">
        <v>3351</v>
      </c>
      <c r="R1402" t="s">
        <v>1097</v>
      </c>
    </row>
    <row r="1403" spans="1:18" hidden="1" x14ac:dyDescent="0.3">
      <c r="A1403" s="19">
        <f t="shared" si="21"/>
        <v>1402</v>
      </c>
      <c r="B1403" s="20" t="s">
        <v>87</v>
      </c>
      <c r="C1403" s="20" t="s">
        <v>97</v>
      </c>
      <c r="D1403" s="21" t="str">
        <f>IF($C1403="","",IFERROR(VLOOKUP($C1403,Map_Register!$A$2:$C$5,3,FALSE()),""))</f>
        <v>Military Zone</v>
      </c>
      <c r="E1403" s="20" t="s">
        <v>15</v>
      </c>
      <c r="F1403" s="22">
        <v>62702</v>
      </c>
      <c r="G1403" s="19" t="s">
        <v>3336</v>
      </c>
      <c r="H1403" s="19" t="s">
        <v>3352</v>
      </c>
      <c r="I1403" s="19" t="s">
        <v>3352</v>
      </c>
      <c r="J1403" s="19" t="s">
        <v>3341</v>
      </c>
      <c r="K1403" s="19" t="s">
        <v>6</v>
      </c>
      <c r="L1403" s="19" t="s">
        <v>1095</v>
      </c>
      <c r="M1403" s="19" t="s">
        <v>1095</v>
      </c>
      <c r="N1403" s="19" t="s">
        <v>3344</v>
      </c>
      <c r="R1403" t="s">
        <v>1097</v>
      </c>
    </row>
    <row r="1404" spans="1:18" hidden="1" x14ac:dyDescent="0.3">
      <c r="A1404" s="19">
        <f t="shared" si="21"/>
        <v>1403</v>
      </c>
      <c r="B1404" s="20" t="s">
        <v>87</v>
      </c>
      <c r="C1404" s="20" t="s">
        <v>97</v>
      </c>
      <c r="D1404" s="21" t="str">
        <f>IF($C1404="","",IFERROR(VLOOKUP($C1404,Map_Register!$A$2:$C$5,3,FALSE()),""))</f>
        <v>Military Zone</v>
      </c>
      <c r="E1404" s="20" t="s">
        <v>15</v>
      </c>
      <c r="F1404" s="22">
        <v>62757</v>
      </c>
      <c r="G1404" s="19" t="s">
        <v>2521</v>
      </c>
      <c r="H1404" s="19" t="s">
        <v>3353</v>
      </c>
      <c r="I1404" s="19" t="s">
        <v>3353</v>
      </c>
      <c r="J1404" s="19" t="s">
        <v>3341</v>
      </c>
      <c r="K1404" s="19" t="s">
        <v>6</v>
      </c>
      <c r="L1404" s="19" t="s">
        <v>1095</v>
      </c>
      <c r="M1404" s="19" t="s">
        <v>1095</v>
      </c>
      <c r="N1404" s="19" t="s">
        <v>3354</v>
      </c>
      <c r="R1404" t="s">
        <v>1097</v>
      </c>
    </row>
    <row r="1405" spans="1:18" hidden="1" x14ac:dyDescent="0.3">
      <c r="A1405" s="19">
        <f t="shared" si="21"/>
        <v>1404</v>
      </c>
      <c r="B1405" s="20" t="s">
        <v>87</v>
      </c>
      <c r="C1405" s="20" t="s">
        <v>97</v>
      </c>
      <c r="D1405" s="21" t="str">
        <f>IF($C1405="","",IFERROR(VLOOKUP($C1405,Map_Register!$A$2:$C$5,3,FALSE()),""))</f>
        <v>Military Zone</v>
      </c>
      <c r="E1405" s="20" t="s">
        <v>15</v>
      </c>
      <c r="F1405" s="22">
        <v>62767</v>
      </c>
      <c r="G1405" s="19" t="s">
        <v>2521</v>
      </c>
      <c r="H1405" s="19" t="s">
        <v>589</v>
      </c>
      <c r="I1405" s="19" t="s">
        <v>589</v>
      </c>
      <c r="J1405" s="19" t="s">
        <v>3341</v>
      </c>
      <c r="K1405" s="19" t="s">
        <v>6</v>
      </c>
      <c r="L1405" s="19" t="s">
        <v>1095</v>
      </c>
      <c r="M1405" s="19" t="s">
        <v>1095</v>
      </c>
      <c r="N1405" s="19" t="s">
        <v>3342</v>
      </c>
      <c r="R1405" t="s">
        <v>1097</v>
      </c>
    </row>
    <row r="1406" spans="1:18" hidden="1" x14ac:dyDescent="0.3">
      <c r="A1406" s="19">
        <f t="shared" si="21"/>
        <v>1405</v>
      </c>
      <c r="B1406" s="20" t="s">
        <v>87</v>
      </c>
      <c r="C1406" s="20" t="s">
        <v>97</v>
      </c>
      <c r="D1406" s="21" t="str">
        <f>IF($C1406="","",IFERROR(VLOOKUP($C1406,Map_Register!$A$2:$C$5,3,FALSE()),""))</f>
        <v>Military Zone</v>
      </c>
      <c r="E1406" s="20" t="s">
        <v>15</v>
      </c>
      <c r="F1406" s="22">
        <v>62770</v>
      </c>
      <c r="G1406" s="19" t="s">
        <v>2521</v>
      </c>
      <c r="H1406" s="19" t="s">
        <v>3355</v>
      </c>
      <c r="I1406" s="19" t="s">
        <v>3355</v>
      </c>
      <c r="J1406" s="19" t="s">
        <v>3341</v>
      </c>
      <c r="K1406" s="19" t="s">
        <v>1030</v>
      </c>
      <c r="L1406" s="19" t="s">
        <v>1095</v>
      </c>
      <c r="M1406" s="19" t="s">
        <v>1095</v>
      </c>
      <c r="N1406" s="19" t="s">
        <v>3342</v>
      </c>
      <c r="Q1406" s="19" t="s">
        <v>2569</v>
      </c>
      <c r="R1406" t="s">
        <v>1097</v>
      </c>
    </row>
    <row r="1407" spans="1:18" hidden="1" x14ac:dyDescent="0.3">
      <c r="A1407" s="19">
        <f t="shared" si="21"/>
        <v>1406</v>
      </c>
      <c r="B1407" s="20" t="s">
        <v>87</v>
      </c>
      <c r="C1407" s="20" t="s">
        <v>97</v>
      </c>
      <c r="D1407" s="21" t="str">
        <f>IF($C1407="","",IFERROR(VLOOKUP($C1407,Map_Register!$A$2:$C$5,3,FALSE()),""))</f>
        <v>Military Zone</v>
      </c>
      <c r="E1407" s="20" t="s">
        <v>15</v>
      </c>
      <c r="F1407" s="22">
        <v>62771</v>
      </c>
      <c r="G1407" s="19" t="s">
        <v>2521</v>
      </c>
      <c r="H1407" s="19" t="s">
        <v>3356</v>
      </c>
      <c r="I1407" s="19" t="s">
        <v>3356</v>
      </c>
      <c r="J1407" s="19" t="s">
        <v>3341</v>
      </c>
      <c r="K1407" s="19" t="s">
        <v>6</v>
      </c>
      <c r="L1407" s="19" t="s">
        <v>1095</v>
      </c>
      <c r="M1407" s="19" t="s">
        <v>1095</v>
      </c>
      <c r="N1407" s="19" t="s">
        <v>3354</v>
      </c>
      <c r="R1407" t="s">
        <v>1097</v>
      </c>
    </row>
    <row r="1408" spans="1:18" hidden="1" x14ac:dyDescent="0.3">
      <c r="A1408" s="19">
        <f t="shared" si="21"/>
        <v>1407</v>
      </c>
      <c r="B1408" s="20" t="s">
        <v>87</v>
      </c>
      <c r="C1408" s="20" t="s">
        <v>97</v>
      </c>
      <c r="D1408" s="21" t="str">
        <f>IF($C1408="","",IFERROR(VLOOKUP($C1408,Map_Register!$A$2:$C$5,3,FALSE()),""))</f>
        <v>Military Zone</v>
      </c>
      <c r="E1408" s="20" t="s">
        <v>15</v>
      </c>
      <c r="F1408" s="22">
        <v>62778</v>
      </c>
      <c r="G1408" s="19" t="s">
        <v>2521</v>
      </c>
      <c r="H1408" s="19" t="s">
        <v>3357</v>
      </c>
      <c r="I1408" s="19" t="s">
        <v>3357</v>
      </c>
      <c r="J1408" s="19" t="s">
        <v>3341</v>
      </c>
      <c r="K1408" s="19" t="s">
        <v>6</v>
      </c>
      <c r="L1408" s="19" t="s">
        <v>1095</v>
      </c>
      <c r="M1408" s="19" t="s">
        <v>1095</v>
      </c>
      <c r="N1408" s="19" t="s">
        <v>3358</v>
      </c>
      <c r="R1408" t="s">
        <v>1097</v>
      </c>
    </row>
    <row r="1409" spans="1:18" hidden="1" x14ac:dyDescent="0.3">
      <c r="A1409" s="19">
        <f t="shared" si="21"/>
        <v>1408</v>
      </c>
      <c r="B1409" s="20" t="s">
        <v>87</v>
      </c>
      <c r="C1409" s="20" t="s">
        <v>97</v>
      </c>
      <c r="D1409" s="21" t="str">
        <f>IF($C1409="","",IFERROR(VLOOKUP($C1409,Map_Register!$A$2:$C$5,3,FALSE()),""))</f>
        <v>Military Zone</v>
      </c>
      <c r="E1409" s="20" t="s">
        <v>15</v>
      </c>
      <c r="F1409" s="22">
        <v>62792</v>
      </c>
      <c r="G1409" s="19" t="s">
        <v>2521</v>
      </c>
      <c r="H1409" s="19" t="s">
        <v>3359</v>
      </c>
      <c r="I1409" s="19" t="s">
        <v>3359</v>
      </c>
      <c r="J1409" s="19" t="s">
        <v>3341</v>
      </c>
      <c r="K1409" s="19" t="s">
        <v>6</v>
      </c>
      <c r="L1409" s="19" t="s">
        <v>1095</v>
      </c>
      <c r="M1409" s="19" t="s">
        <v>1095</v>
      </c>
      <c r="N1409" s="19" t="s">
        <v>3342</v>
      </c>
      <c r="R1409" t="s">
        <v>1097</v>
      </c>
    </row>
    <row r="1410" spans="1:18" hidden="1" x14ac:dyDescent="0.3">
      <c r="A1410" s="19">
        <f t="shared" ref="A1410:A1473" si="22">IF($B1410="","",ROW()-1)</f>
        <v>1409</v>
      </c>
      <c r="B1410" s="20" t="s">
        <v>87</v>
      </c>
      <c r="C1410" s="20" t="s">
        <v>97</v>
      </c>
      <c r="D1410" s="21" t="str">
        <f>IF($C1410="","",IFERROR(VLOOKUP($C1410,Map_Register!$A$2:$C$5,3,FALSE()),""))</f>
        <v>Military Zone</v>
      </c>
      <c r="E1410" s="20" t="s">
        <v>15</v>
      </c>
      <c r="F1410" s="22">
        <v>63616</v>
      </c>
      <c r="G1410" s="19" t="s">
        <v>2521</v>
      </c>
      <c r="H1410" s="19" t="s">
        <v>3360</v>
      </c>
      <c r="I1410" s="19" t="s">
        <v>3360</v>
      </c>
      <c r="J1410" s="19" t="s">
        <v>3341</v>
      </c>
      <c r="K1410" s="19" t="s">
        <v>6</v>
      </c>
      <c r="L1410" s="19" t="s">
        <v>1095</v>
      </c>
      <c r="M1410" s="19" t="s">
        <v>1095</v>
      </c>
      <c r="N1410" s="19" t="s">
        <v>3342</v>
      </c>
      <c r="R1410" t="s">
        <v>1097</v>
      </c>
    </row>
    <row r="1411" spans="1:18" hidden="1" x14ac:dyDescent="0.3">
      <c r="A1411" s="19">
        <f t="shared" si="22"/>
        <v>1410</v>
      </c>
      <c r="B1411" s="20" t="s">
        <v>87</v>
      </c>
      <c r="C1411" s="20" t="s">
        <v>97</v>
      </c>
      <c r="D1411" s="21" t="str">
        <f>IF($C1411="","",IFERROR(VLOOKUP($C1411,Map_Register!$A$2:$C$5,3,FALSE()),""))</f>
        <v>Military Zone</v>
      </c>
      <c r="E1411" s="20" t="s">
        <v>15</v>
      </c>
      <c r="F1411" s="22">
        <v>63619</v>
      </c>
      <c r="G1411" s="19" t="s">
        <v>2521</v>
      </c>
      <c r="H1411" s="19" t="s">
        <v>3361</v>
      </c>
      <c r="I1411" s="19" t="s">
        <v>3361</v>
      </c>
      <c r="J1411" s="19" t="s">
        <v>3341</v>
      </c>
      <c r="K1411" s="19" t="s">
        <v>6</v>
      </c>
      <c r="L1411" s="19" t="s">
        <v>1095</v>
      </c>
      <c r="M1411" s="19" t="s">
        <v>1095</v>
      </c>
      <c r="N1411" s="19" t="s">
        <v>3342</v>
      </c>
      <c r="R1411" t="s">
        <v>1097</v>
      </c>
    </row>
    <row r="1412" spans="1:18" hidden="1" x14ac:dyDescent="0.3">
      <c r="A1412" s="19">
        <f t="shared" si="22"/>
        <v>1411</v>
      </c>
      <c r="B1412" s="20" t="s">
        <v>87</v>
      </c>
      <c r="C1412" s="20" t="s">
        <v>97</v>
      </c>
      <c r="D1412" s="21" t="str">
        <f>IF($C1412="","",IFERROR(VLOOKUP($C1412,Map_Register!$A$2:$C$5,3,FALSE()),""))</f>
        <v>Military Zone</v>
      </c>
      <c r="E1412" s="20" t="s">
        <v>15</v>
      </c>
      <c r="F1412" s="22">
        <v>63622</v>
      </c>
      <c r="G1412" s="19" t="s">
        <v>2521</v>
      </c>
      <c r="H1412" s="19" t="s">
        <v>414</v>
      </c>
      <c r="I1412" s="19" t="s">
        <v>414</v>
      </c>
      <c r="J1412" s="19" t="s">
        <v>3341</v>
      </c>
      <c r="K1412" s="19" t="s">
        <v>6</v>
      </c>
      <c r="L1412" s="19" t="s">
        <v>1095</v>
      </c>
      <c r="M1412" s="19" t="s">
        <v>1095</v>
      </c>
      <c r="N1412" s="19" t="s">
        <v>3342</v>
      </c>
      <c r="R1412" t="s">
        <v>1097</v>
      </c>
    </row>
    <row r="1413" spans="1:18" hidden="1" x14ac:dyDescent="0.3">
      <c r="A1413" s="19">
        <f t="shared" si="22"/>
        <v>1412</v>
      </c>
      <c r="B1413" s="20" t="s">
        <v>87</v>
      </c>
      <c r="C1413" s="20" t="s">
        <v>97</v>
      </c>
      <c r="D1413" s="21" t="str">
        <f>IF($C1413="","",IFERROR(VLOOKUP($C1413,Map_Register!$A$2:$C$5,3,FALSE()),""))</f>
        <v>Military Zone</v>
      </c>
      <c r="E1413" s="20" t="s">
        <v>15</v>
      </c>
      <c r="F1413" s="22">
        <v>63623</v>
      </c>
      <c r="G1413" s="19" t="s">
        <v>2521</v>
      </c>
      <c r="H1413" s="19" t="s">
        <v>3362</v>
      </c>
      <c r="I1413" s="19" t="s">
        <v>3362</v>
      </c>
      <c r="J1413" s="19" t="s">
        <v>3341</v>
      </c>
      <c r="K1413" s="19" t="s">
        <v>6</v>
      </c>
      <c r="L1413" s="19" t="s">
        <v>1095</v>
      </c>
      <c r="M1413" s="19" t="s">
        <v>1095</v>
      </c>
      <c r="N1413" s="19" t="s">
        <v>3342</v>
      </c>
      <c r="R1413" t="s">
        <v>1097</v>
      </c>
    </row>
    <row r="1414" spans="1:18" hidden="1" x14ac:dyDescent="0.3">
      <c r="A1414" s="19">
        <f t="shared" si="22"/>
        <v>1413</v>
      </c>
      <c r="B1414" s="20" t="s">
        <v>87</v>
      </c>
      <c r="C1414" s="20" t="s">
        <v>97</v>
      </c>
      <c r="D1414" s="21" t="str">
        <f>IF($C1414="","",IFERROR(VLOOKUP($C1414,Map_Register!$A$2:$C$5,3,FALSE()),""))</f>
        <v>Military Zone</v>
      </c>
      <c r="E1414" s="20" t="s">
        <v>15</v>
      </c>
      <c r="F1414" s="22">
        <v>63665</v>
      </c>
      <c r="G1414" s="19" t="s">
        <v>3336</v>
      </c>
      <c r="H1414" s="19" t="s">
        <v>3363</v>
      </c>
      <c r="I1414" s="19" t="s">
        <v>3364</v>
      </c>
      <c r="J1414" s="19" t="s">
        <v>3365</v>
      </c>
      <c r="K1414" s="19" t="s">
        <v>6</v>
      </c>
      <c r="L1414" s="19" t="s">
        <v>1095</v>
      </c>
      <c r="M1414" s="19" t="s">
        <v>1095</v>
      </c>
      <c r="N1414" s="19" t="s">
        <v>3366</v>
      </c>
      <c r="R1414" t="s">
        <v>1097</v>
      </c>
    </row>
    <row r="1415" spans="1:18" hidden="1" x14ac:dyDescent="0.3">
      <c r="A1415" s="19">
        <f t="shared" si="22"/>
        <v>1414</v>
      </c>
      <c r="B1415" s="20" t="s">
        <v>87</v>
      </c>
      <c r="C1415" s="20" t="s">
        <v>97</v>
      </c>
      <c r="D1415" s="21" t="str">
        <f>IF($C1415="","",IFERROR(VLOOKUP($C1415,Map_Register!$A$2:$C$5,3,FALSE()),""))</f>
        <v>Military Zone</v>
      </c>
      <c r="E1415" s="20" t="s">
        <v>15</v>
      </c>
      <c r="F1415" s="22">
        <v>64405</v>
      </c>
      <c r="G1415" s="19" t="s">
        <v>2521</v>
      </c>
      <c r="H1415" s="19" t="s">
        <v>3367</v>
      </c>
      <c r="I1415" s="19" t="s">
        <v>3367</v>
      </c>
      <c r="J1415" s="19" t="s">
        <v>1110</v>
      </c>
      <c r="K1415" s="19" t="s">
        <v>6</v>
      </c>
      <c r="L1415" s="19" t="s">
        <v>1095</v>
      </c>
      <c r="M1415" s="19" t="s">
        <v>1095</v>
      </c>
      <c r="N1415" s="19" t="s">
        <v>3342</v>
      </c>
      <c r="R1415" t="s">
        <v>1097</v>
      </c>
    </row>
    <row r="1416" spans="1:18" hidden="1" x14ac:dyDescent="0.3">
      <c r="A1416" s="19">
        <f t="shared" si="22"/>
        <v>1415</v>
      </c>
      <c r="B1416" s="20" t="s">
        <v>87</v>
      </c>
      <c r="C1416" s="20" t="s">
        <v>97</v>
      </c>
      <c r="D1416" s="21" t="str">
        <f>IF($C1416="","",IFERROR(VLOOKUP($C1416,Map_Register!$A$2:$C$5,3,FALSE()),""))</f>
        <v>Military Zone</v>
      </c>
      <c r="E1416" s="20" t="s">
        <v>15</v>
      </c>
      <c r="F1416" s="22">
        <v>64411</v>
      </c>
      <c r="G1416" s="19" t="s">
        <v>2521</v>
      </c>
      <c r="H1416" s="19" t="s">
        <v>3368</v>
      </c>
      <c r="I1416" s="19" t="s">
        <v>3369</v>
      </c>
      <c r="J1416" s="19" t="s">
        <v>3334</v>
      </c>
      <c r="K1416" s="19" t="s">
        <v>1030</v>
      </c>
      <c r="L1416" s="19" t="s">
        <v>1095</v>
      </c>
      <c r="M1416" s="19" t="s">
        <v>1095</v>
      </c>
      <c r="N1416" s="19" t="s">
        <v>3370</v>
      </c>
      <c r="Q1416" s="19" t="s">
        <v>2569</v>
      </c>
      <c r="R1416" t="s">
        <v>1097</v>
      </c>
    </row>
    <row r="1417" spans="1:18" hidden="1" x14ac:dyDescent="0.3">
      <c r="A1417" s="19">
        <f t="shared" si="22"/>
        <v>1416</v>
      </c>
      <c r="B1417" s="20" t="s">
        <v>87</v>
      </c>
      <c r="C1417" s="20" t="s">
        <v>97</v>
      </c>
      <c r="D1417" s="21" t="str">
        <f>IF($C1417="","",IFERROR(VLOOKUP($C1417,Map_Register!$A$2:$C$5,3,FALSE()),""))</f>
        <v>Military Zone</v>
      </c>
      <c r="E1417" s="20" t="s">
        <v>15</v>
      </c>
      <c r="F1417" s="22">
        <v>64671</v>
      </c>
      <c r="G1417" s="19" t="s">
        <v>3336</v>
      </c>
      <c r="H1417" s="19" t="s">
        <v>3371</v>
      </c>
      <c r="I1417" s="19" t="s">
        <v>3371</v>
      </c>
      <c r="J1417" s="19" t="s">
        <v>3341</v>
      </c>
      <c r="K1417" s="19" t="s">
        <v>6</v>
      </c>
      <c r="L1417" s="19" t="s">
        <v>1095</v>
      </c>
      <c r="M1417" s="19" t="s">
        <v>1095</v>
      </c>
      <c r="N1417" s="19" t="s">
        <v>3342</v>
      </c>
      <c r="R1417" t="s">
        <v>1097</v>
      </c>
    </row>
    <row r="1418" spans="1:18" hidden="1" x14ac:dyDescent="0.3">
      <c r="A1418" s="19">
        <f t="shared" si="22"/>
        <v>1417</v>
      </c>
      <c r="B1418" s="20" t="s">
        <v>87</v>
      </c>
      <c r="C1418" s="20" t="s">
        <v>97</v>
      </c>
      <c r="D1418" s="21" t="str">
        <f>IF($C1418="","",IFERROR(VLOOKUP($C1418,Map_Register!$A$2:$C$5,3,FALSE()),""))</f>
        <v>Military Zone</v>
      </c>
      <c r="E1418" s="20" t="s">
        <v>15</v>
      </c>
      <c r="F1418" s="22">
        <v>64672</v>
      </c>
      <c r="G1418" s="19" t="s">
        <v>3336</v>
      </c>
      <c r="H1418" s="19" t="s">
        <v>3372</v>
      </c>
      <c r="I1418" s="19" t="s">
        <v>3372</v>
      </c>
      <c r="J1418" s="19" t="s">
        <v>3341</v>
      </c>
      <c r="K1418" s="19" t="s">
        <v>6</v>
      </c>
      <c r="L1418" s="19" t="s">
        <v>1095</v>
      </c>
      <c r="M1418" s="19" t="s">
        <v>1095</v>
      </c>
      <c r="N1418" s="19" t="s">
        <v>3342</v>
      </c>
      <c r="R1418" t="s">
        <v>1097</v>
      </c>
    </row>
    <row r="1419" spans="1:18" hidden="1" x14ac:dyDescent="0.3">
      <c r="A1419" s="19">
        <f t="shared" si="22"/>
        <v>1418</v>
      </c>
      <c r="B1419" s="20" t="s">
        <v>87</v>
      </c>
      <c r="C1419" s="20" t="s">
        <v>97</v>
      </c>
      <c r="D1419" s="21" t="str">
        <f>IF($C1419="","",IFERROR(VLOOKUP($C1419,Map_Register!$A$2:$C$5,3,FALSE()),""))</f>
        <v>Military Zone</v>
      </c>
      <c r="E1419" s="20" t="s">
        <v>15</v>
      </c>
      <c r="F1419" s="22">
        <v>64673</v>
      </c>
      <c r="G1419" s="19" t="s">
        <v>3336</v>
      </c>
      <c r="H1419" s="19" t="s">
        <v>3373</v>
      </c>
      <c r="I1419" s="19" t="s">
        <v>3373</v>
      </c>
      <c r="J1419" s="19" t="s">
        <v>3341</v>
      </c>
      <c r="K1419" s="19" t="s">
        <v>6</v>
      </c>
      <c r="L1419" s="19" t="s">
        <v>1095</v>
      </c>
      <c r="M1419" s="19" t="s">
        <v>1095</v>
      </c>
      <c r="N1419" s="19" t="s">
        <v>3342</v>
      </c>
      <c r="R1419" t="s">
        <v>1097</v>
      </c>
    </row>
    <row r="1420" spans="1:18" hidden="1" x14ac:dyDescent="0.3">
      <c r="A1420" s="19">
        <f t="shared" si="22"/>
        <v>1419</v>
      </c>
      <c r="B1420" s="20" t="s">
        <v>87</v>
      </c>
      <c r="C1420" s="20" t="s">
        <v>97</v>
      </c>
      <c r="D1420" s="21" t="str">
        <f>IF($C1420="","",IFERROR(VLOOKUP($C1420,Map_Register!$A$2:$C$5,3,FALSE()),""))</f>
        <v>Military Zone</v>
      </c>
      <c r="E1420" s="20" t="s">
        <v>15</v>
      </c>
      <c r="F1420" s="22">
        <v>64677</v>
      </c>
      <c r="G1420" s="19" t="s">
        <v>3336</v>
      </c>
      <c r="H1420" s="19" t="s">
        <v>3374</v>
      </c>
      <c r="I1420" s="19" t="s">
        <v>3375</v>
      </c>
      <c r="J1420" s="19" t="s">
        <v>3365</v>
      </c>
      <c r="K1420" s="19" t="s">
        <v>6</v>
      </c>
      <c r="L1420" s="19" t="s">
        <v>1095</v>
      </c>
      <c r="M1420" s="19" t="s">
        <v>1095</v>
      </c>
      <c r="N1420" s="19" t="s">
        <v>3376</v>
      </c>
      <c r="R1420" t="s">
        <v>1097</v>
      </c>
    </row>
    <row r="1421" spans="1:18" hidden="1" x14ac:dyDescent="0.3">
      <c r="A1421" s="19">
        <f t="shared" si="22"/>
        <v>1420</v>
      </c>
      <c r="B1421" s="20" t="s">
        <v>87</v>
      </c>
      <c r="C1421" s="20" t="s">
        <v>97</v>
      </c>
      <c r="D1421" s="21" t="str">
        <f>IF($C1421="","",IFERROR(VLOOKUP($C1421,Map_Register!$A$2:$C$5,3,FALSE()),""))</f>
        <v>Military Zone</v>
      </c>
      <c r="E1421" s="20" t="s">
        <v>15</v>
      </c>
      <c r="F1421" s="22">
        <v>64698</v>
      </c>
      <c r="G1421" s="19" t="s">
        <v>3336</v>
      </c>
      <c r="H1421" s="19" t="s">
        <v>3377</v>
      </c>
      <c r="I1421" s="19" t="s">
        <v>3377</v>
      </c>
      <c r="J1421" s="19" t="s">
        <v>3341</v>
      </c>
      <c r="K1421" s="19" t="s">
        <v>6</v>
      </c>
      <c r="L1421" s="19" t="s">
        <v>1095</v>
      </c>
      <c r="M1421" s="19" t="s">
        <v>1095</v>
      </c>
      <c r="N1421" s="19" t="s">
        <v>3342</v>
      </c>
      <c r="R1421" t="s">
        <v>1097</v>
      </c>
    </row>
    <row r="1422" spans="1:18" hidden="1" x14ac:dyDescent="0.3">
      <c r="A1422" s="19">
        <f t="shared" si="22"/>
        <v>1421</v>
      </c>
      <c r="B1422" s="20" t="s">
        <v>87</v>
      </c>
      <c r="C1422" s="20" t="s">
        <v>97</v>
      </c>
      <c r="D1422" s="21" t="str">
        <f>IF($C1422="","",IFERROR(VLOOKUP($C1422,Map_Register!$A$2:$C$5,3,FALSE()),""))</f>
        <v>Military Zone</v>
      </c>
      <c r="E1422" s="20" t="s">
        <v>15</v>
      </c>
      <c r="F1422" s="22">
        <v>71921</v>
      </c>
      <c r="G1422" s="19" t="s">
        <v>2521</v>
      </c>
      <c r="H1422" s="19" t="s">
        <v>3378</v>
      </c>
      <c r="I1422" s="19" t="s">
        <v>3378</v>
      </c>
      <c r="J1422" s="19" t="s">
        <v>3341</v>
      </c>
      <c r="K1422" s="19" t="s">
        <v>6</v>
      </c>
      <c r="L1422" s="19" t="s">
        <v>1095</v>
      </c>
      <c r="M1422" s="19" t="s">
        <v>1095</v>
      </c>
      <c r="N1422" s="19" t="s">
        <v>3342</v>
      </c>
      <c r="R1422" t="s">
        <v>1097</v>
      </c>
    </row>
    <row r="1423" spans="1:18" hidden="1" x14ac:dyDescent="0.3">
      <c r="A1423" s="19">
        <f t="shared" si="22"/>
        <v>1422</v>
      </c>
      <c r="B1423" s="20" t="s">
        <v>87</v>
      </c>
      <c r="C1423" s="20" t="s">
        <v>97</v>
      </c>
      <c r="D1423" s="21" t="str">
        <f>IF($C1423="","",IFERROR(VLOOKUP($C1423,Map_Register!$A$2:$C$5,3,FALSE()),""))</f>
        <v>Military Zone</v>
      </c>
      <c r="E1423" s="20" t="s">
        <v>15</v>
      </c>
      <c r="F1423" s="22">
        <v>71922</v>
      </c>
      <c r="G1423" s="19" t="s">
        <v>2521</v>
      </c>
      <c r="H1423" s="19" t="s">
        <v>3379</v>
      </c>
      <c r="I1423" s="19" t="s">
        <v>3379</v>
      </c>
      <c r="J1423" s="19" t="s">
        <v>3341</v>
      </c>
      <c r="K1423" s="19" t="s">
        <v>6</v>
      </c>
      <c r="L1423" s="19" t="s">
        <v>1095</v>
      </c>
      <c r="M1423" s="19" t="s">
        <v>1095</v>
      </c>
      <c r="N1423" s="19" t="s">
        <v>3342</v>
      </c>
      <c r="R1423" t="s">
        <v>1097</v>
      </c>
    </row>
    <row r="1424" spans="1:18" hidden="1" x14ac:dyDescent="0.3">
      <c r="A1424" s="19">
        <f t="shared" si="22"/>
        <v>1423</v>
      </c>
      <c r="B1424" s="20" t="s">
        <v>87</v>
      </c>
      <c r="C1424" s="20" t="s">
        <v>97</v>
      </c>
      <c r="D1424" s="21" t="str">
        <f>IF($C1424="","",IFERROR(VLOOKUP($C1424,Map_Register!$A$2:$C$5,3,FALSE()),""))</f>
        <v>Military Zone</v>
      </c>
      <c r="E1424" s="20" t="s">
        <v>15</v>
      </c>
      <c r="F1424" s="22">
        <v>71929</v>
      </c>
      <c r="G1424" s="19" t="s">
        <v>2521</v>
      </c>
      <c r="H1424" s="19" t="s">
        <v>3380</v>
      </c>
      <c r="I1424" s="19" t="s">
        <v>3380</v>
      </c>
      <c r="J1424" s="19" t="s">
        <v>3341</v>
      </c>
      <c r="K1424" s="19" t="s">
        <v>6</v>
      </c>
      <c r="L1424" s="19" t="s">
        <v>1095</v>
      </c>
      <c r="M1424" s="19" t="s">
        <v>1095</v>
      </c>
      <c r="N1424" s="19" t="s">
        <v>3342</v>
      </c>
      <c r="R1424" t="s">
        <v>1097</v>
      </c>
    </row>
    <row r="1425" spans="1:18" hidden="1" x14ac:dyDescent="0.3">
      <c r="A1425" s="19">
        <f t="shared" si="22"/>
        <v>1424</v>
      </c>
      <c r="B1425" s="20" t="s">
        <v>87</v>
      </c>
      <c r="C1425" s="20" t="s">
        <v>97</v>
      </c>
      <c r="D1425" s="21" t="str">
        <f>IF($C1425="","",IFERROR(VLOOKUP($C1425,Map_Register!$A$2:$C$5,3,FALSE()),""))</f>
        <v>Military Zone</v>
      </c>
      <c r="E1425" s="20" t="s">
        <v>15</v>
      </c>
      <c r="F1425" s="22">
        <v>71935</v>
      </c>
      <c r="G1425" s="19" t="s">
        <v>2521</v>
      </c>
      <c r="H1425" s="19" t="s">
        <v>3381</v>
      </c>
      <c r="I1425" s="19" t="s">
        <v>3381</v>
      </c>
      <c r="J1425" s="19" t="s">
        <v>3341</v>
      </c>
      <c r="K1425" s="19" t="s">
        <v>6</v>
      </c>
      <c r="L1425" s="19" t="s">
        <v>1095</v>
      </c>
      <c r="M1425" s="19" t="s">
        <v>1095</v>
      </c>
      <c r="N1425" s="19" t="s">
        <v>3342</v>
      </c>
      <c r="R1425" t="s">
        <v>1097</v>
      </c>
    </row>
    <row r="1426" spans="1:18" hidden="1" x14ac:dyDescent="0.3">
      <c r="A1426" s="19">
        <f t="shared" si="22"/>
        <v>1425</v>
      </c>
      <c r="B1426" s="20" t="s">
        <v>87</v>
      </c>
      <c r="C1426" s="20" t="s">
        <v>97</v>
      </c>
      <c r="D1426" s="21" t="str">
        <f>IF($C1426="","",IFERROR(VLOOKUP($C1426,Map_Register!$A$2:$C$5,3,FALSE()),""))</f>
        <v>Military Zone</v>
      </c>
      <c r="E1426" s="20" t="s">
        <v>15</v>
      </c>
      <c r="F1426" s="22">
        <v>71938</v>
      </c>
      <c r="G1426" s="19" t="s">
        <v>2521</v>
      </c>
      <c r="H1426" s="19" t="s">
        <v>3382</v>
      </c>
      <c r="I1426" s="19" t="s">
        <v>3382</v>
      </c>
      <c r="J1426" s="19" t="s">
        <v>3341</v>
      </c>
      <c r="K1426" s="19" t="s">
        <v>6</v>
      </c>
      <c r="L1426" s="19" t="s">
        <v>1095</v>
      </c>
      <c r="M1426" s="19" t="s">
        <v>1095</v>
      </c>
      <c r="N1426" s="19" t="s">
        <v>3342</v>
      </c>
      <c r="R1426" t="s">
        <v>1097</v>
      </c>
    </row>
    <row r="1427" spans="1:18" hidden="1" x14ac:dyDescent="0.3">
      <c r="A1427" s="19">
        <f t="shared" si="22"/>
        <v>1426</v>
      </c>
      <c r="B1427" s="20" t="s">
        <v>87</v>
      </c>
      <c r="C1427" s="20" t="s">
        <v>97</v>
      </c>
      <c r="D1427" s="21" t="str">
        <f>IF($C1427="","",IFERROR(VLOOKUP($C1427,Map_Register!$A$2:$C$5,3,FALSE()),""))</f>
        <v>Military Zone</v>
      </c>
      <c r="E1427" s="20" t="s">
        <v>15</v>
      </c>
      <c r="F1427" s="22">
        <v>71951</v>
      </c>
      <c r="G1427" s="19" t="s">
        <v>2521</v>
      </c>
      <c r="H1427" s="19" t="s">
        <v>3383</v>
      </c>
      <c r="I1427" s="19" t="s">
        <v>3383</v>
      </c>
      <c r="J1427" s="19" t="s">
        <v>3341</v>
      </c>
      <c r="K1427" s="19" t="s">
        <v>6</v>
      </c>
      <c r="L1427" s="19" t="s">
        <v>1095</v>
      </c>
      <c r="M1427" s="19" t="s">
        <v>1095</v>
      </c>
      <c r="N1427" s="19" t="s">
        <v>3342</v>
      </c>
      <c r="R1427" t="s">
        <v>1097</v>
      </c>
    </row>
    <row r="1428" spans="1:18" hidden="1" x14ac:dyDescent="0.3">
      <c r="A1428" s="19">
        <f t="shared" si="22"/>
        <v>1427</v>
      </c>
      <c r="B1428" s="20" t="s">
        <v>87</v>
      </c>
      <c r="C1428" s="20" t="s">
        <v>97</v>
      </c>
      <c r="D1428" s="21" t="str">
        <f>IF($C1428="","",IFERROR(VLOOKUP($C1428,Map_Register!$A$2:$C$5,3,FALSE()),""))</f>
        <v>Military Zone</v>
      </c>
      <c r="E1428" s="20" t="s">
        <v>15</v>
      </c>
      <c r="F1428" s="22">
        <v>71964</v>
      </c>
      <c r="G1428" s="19" t="s">
        <v>2521</v>
      </c>
      <c r="H1428" s="19" t="s">
        <v>354</v>
      </c>
      <c r="I1428" s="19" t="s">
        <v>354</v>
      </c>
      <c r="J1428" s="19" t="s">
        <v>3341</v>
      </c>
      <c r="K1428" s="19" t="s">
        <v>6</v>
      </c>
      <c r="L1428" s="19" t="s">
        <v>1095</v>
      </c>
      <c r="M1428" s="19" t="s">
        <v>1095</v>
      </c>
      <c r="N1428" s="19" t="s">
        <v>3342</v>
      </c>
      <c r="R1428" t="s">
        <v>1097</v>
      </c>
    </row>
    <row r="1429" spans="1:18" hidden="1" x14ac:dyDescent="0.3">
      <c r="A1429" s="19">
        <f t="shared" si="22"/>
        <v>1428</v>
      </c>
      <c r="B1429" s="20" t="s">
        <v>87</v>
      </c>
      <c r="C1429" s="20" t="s">
        <v>97</v>
      </c>
      <c r="D1429" s="21" t="str">
        <f>IF($C1429="","",IFERROR(VLOOKUP($C1429,Map_Register!$A$2:$C$5,3,FALSE()),""))</f>
        <v>Military Zone</v>
      </c>
      <c r="E1429" s="20" t="s">
        <v>15</v>
      </c>
      <c r="F1429" s="22">
        <v>71996</v>
      </c>
      <c r="G1429" s="19" t="s">
        <v>3336</v>
      </c>
      <c r="H1429" s="19" t="s">
        <v>3384</v>
      </c>
      <c r="I1429" s="19" t="s">
        <v>3384</v>
      </c>
      <c r="J1429" s="19" t="s">
        <v>3341</v>
      </c>
      <c r="K1429" s="19" t="s">
        <v>6</v>
      </c>
      <c r="L1429" s="19" t="s">
        <v>1095</v>
      </c>
      <c r="M1429" s="19" t="s">
        <v>1095</v>
      </c>
      <c r="N1429" s="19" t="s">
        <v>3342</v>
      </c>
      <c r="R1429" t="s">
        <v>1097</v>
      </c>
    </row>
    <row r="1430" spans="1:18" hidden="1" x14ac:dyDescent="0.3">
      <c r="A1430" s="19">
        <f t="shared" si="22"/>
        <v>1429</v>
      </c>
      <c r="B1430" s="20" t="s">
        <v>87</v>
      </c>
      <c r="C1430" s="20" t="s">
        <v>97</v>
      </c>
      <c r="D1430" s="21" t="str">
        <f>IF($C1430="","",IFERROR(VLOOKUP($C1430,Map_Register!$A$2:$C$5,3,FALSE()),""))</f>
        <v>Military Zone</v>
      </c>
      <c r="E1430" s="20" t="s">
        <v>15</v>
      </c>
      <c r="F1430" s="22">
        <v>71997</v>
      </c>
      <c r="G1430" s="19" t="s">
        <v>2521</v>
      </c>
      <c r="H1430" s="19" t="s">
        <v>3385</v>
      </c>
      <c r="I1430" s="19" t="s">
        <v>3385</v>
      </c>
      <c r="J1430" s="19" t="s">
        <v>3341</v>
      </c>
      <c r="K1430" s="19" t="s">
        <v>6</v>
      </c>
      <c r="L1430" s="19" t="s">
        <v>1095</v>
      </c>
      <c r="M1430" s="19" t="s">
        <v>1095</v>
      </c>
      <c r="N1430" s="19" t="s">
        <v>3342</v>
      </c>
      <c r="R1430" t="s">
        <v>1097</v>
      </c>
    </row>
    <row r="1431" spans="1:18" hidden="1" x14ac:dyDescent="0.3">
      <c r="A1431" s="19">
        <f t="shared" si="22"/>
        <v>1430</v>
      </c>
      <c r="B1431" s="20" t="s">
        <v>87</v>
      </c>
      <c r="C1431" s="20" t="s">
        <v>97</v>
      </c>
      <c r="D1431" s="21" t="str">
        <f>IF($C1431="","",IFERROR(VLOOKUP($C1431,Map_Register!$A$2:$C$5,3,FALSE()),""))</f>
        <v>Military Zone</v>
      </c>
      <c r="E1431" s="20" t="s">
        <v>15</v>
      </c>
      <c r="F1431" s="22">
        <v>71998</v>
      </c>
      <c r="G1431" s="19" t="s">
        <v>2521</v>
      </c>
      <c r="H1431" s="19" t="s">
        <v>3386</v>
      </c>
      <c r="I1431" s="19" t="s">
        <v>3386</v>
      </c>
      <c r="J1431" s="19" t="s">
        <v>3341</v>
      </c>
      <c r="K1431" s="19" t="s">
        <v>6</v>
      </c>
      <c r="L1431" s="19" t="s">
        <v>1095</v>
      </c>
      <c r="M1431" s="19" t="s">
        <v>1095</v>
      </c>
      <c r="N1431" s="19" t="s">
        <v>3342</v>
      </c>
      <c r="R1431" t="s">
        <v>1097</v>
      </c>
    </row>
    <row r="1432" spans="1:18" hidden="1" x14ac:dyDescent="0.3">
      <c r="A1432" s="19">
        <f t="shared" si="22"/>
        <v>1431</v>
      </c>
      <c r="B1432" s="20" t="s">
        <v>87</v>
      </c>
      <c r="C1432" s="20" t="s">
        <v>97</v>
      </c>
      <c r="D1432" s="21" t="str">
        <f>IF($C1432="","",IFERROR(VLOOKUP($C1432,Map_Register!$A$2:$C$5,3,FALSE()),""))</f>
        <v>Military Zone</v>
      </c>
      <c r="E1432" s="20" t="s">
        <v>15</v>
      </c>
      <c r="F1432" s="22">
        <v>71999</v>
      </c>
      <c r="G1432" s="19" t="s">
        <v>2521</v>
      </c>
      <c r="H1432" s="19" t="s">
        <v>3387</v>
      </c>
      <c r="I1432" s="19" t="s">
        <v>3387</v>
      </c>
      <c r="J1432" s="19" t="s">
        <v>3341</v>
      </c>
      <c r="K1432" s="19" t="s">
        <v>6</v>
      </c>
      <c r="L1432" s="19" t="s">
        <v>1095</v>
      </c>
      <c r="M1432" s="19" t="s">
        <v>1095</v>
      </c>
      <c r="N1432" s="19" t="s">
        <v>3342</v>
      </c>
      <c r="R1432" t="s">
        <v>1097</v>
      </c>
    </row>
    <row r="1433" spans="1:18" hidden="1" x14ac:dyDescent="0.3">
      <c r="A1433" s="19">
        <f t="shared" si="22"/>
        <v>1432</v>
      </c>
      <c r="B1433" s="20" t="s">
        <v>87</v>
      </c>
      <c r="C1433" s="20" t="s">
        <v>97</v>
      </c>
      <c r="D1433" s="21" t="str">
        <f>IF($C1433="","",IFERROR(VLOOKUP($C1433,Map_Register!$A$2:$C$5,3,FALSE()),""))</f>
        <v>Military Zone</v>
      </c>
      <c r="E1433" s="20" t="s">
        <v>15</v>
      </c>
      <c r="F1433" s="22">
        <v>72000</v>
      </c>
      <c r="G1433" s="19" t="s">
        <v>2521</v>
      </c>
      <c r="H1433" s="19" t="s">
        <v>3388</v>
      </c>
      <c r="I1433" s="19" t="s">
        <v>3388</v>
      </c>
      <c r="J1433" s="19" t="s">
        <v>3341</v>
      </c>
      <c r="K1433" s="19" t="s">
        <v>6</v>
      </c>
      <c r="L1433" s="19" t="s">
        <v>1095</v>
      </c>
      <c r="M1433" s="19" t="s">
        <v>1095</v>
      </c>
      <c r="N1433" s="19" t="s">
        <v>3342</v>
      </c>
      <c r="R1433" t="s">
        <v>1097</v>
      </c>
    </row>
    <row r="1434" spans="1:18" hidden="1" x14ac:dyDescent="0.3">
      <c r="A1434" s="19">
        <f t="shared" si="22"/>
        <v>1433</v>
      </c>
      <c r="B1434" s="20" t="s">
        <v>87</v>
      </c>
      <c r="C1434" s="20" t="s">
        <v>97</v>
      </c>
      <c r="D1434" s="21" t="str">
        <f>IF($C1434="","",IFERROR(VLOOKUP($C1434,Map_Register!$A$2:$C$5,3,FALSE()),""))</f>
        <v>Military Zone</v>
      </c>
      <c r="E1434" s="20" t="s">
        <v>15</v>
      </c>
      <c r="F1434" s="22">
        <v>72249</v>
      </c>
      <c r="G1434" s="19" t="s">
        <v>2521</v>
      </c>
      <c r="H1434" s="19" t="s">
        <v>834</v>
      </c>
      <c r="I1434" s="19" t="s">
        <v>834</v>
      </c>
      <c r="J1434" s="19" t="s">
        <v>3341</v>
      </c>
      <c r="K1434" s="19" t="s">
        <v>6</v>
      </c>
      <c r="L1434" s="19" t="s">
        <v>1095</v>
      </c>
      <c r="M1434" s="19" t="s">
        <v>1095</v>
      </c>
      <c r="N1434" s="19" t="s">
        <v>3342</v>
      </c>
      <c r="R1434" t="s">
        <v>1097</v>
      </c>
    </row>
    <row r="1435" spans="1:18" hidden="1" x14ac:dyDescent="0.3">
      <c r="A1435" s="19">
        <f t="shared" si="22"/>
        <v>1434</v>
      </c>
      <c r="B1435" s="20" t="s">
        <v>87</v>
      </c>
      <c r="C1435" s="20" t="s">
        <v>97</v>
      </c>
      <c r="D1435" s="21" t="str">
        <f>IF($C1435="","",IFERROR(VLOOKUP($C1435,Map_Register!$A$2:$C$5,3,FALSE()),""))</f>
        <v>Military Zone</v>
      </c>
      <c r="E1435" s="20" t="s">
        <v>15</v>
      </c>
      <c r="F1435" s="22">
        <v>72258</v>
      </c>
      <c r="G1435" s="19" t="s">
        <v>3336</v>
      </c>
      <c r="H1435" s="19" t="s">
        <v>3389</v>
      </c>
      <c r="I1435" s="19" t="s">
        <v>3389</v>
      </c>
      <c r="J1435" s="19" t="s">
        <v>3341</v>
      </c>
      <c r="K1435" s="19" t="s">
        <v>6</v>
      </c>
      <c r="L1435" s="19" t="s">
        <v>1095</v>
      </c>
      <c r="M1435" s="19" t="s">
        <v>1095</v>
      </c>
      <c r="N1435" s="19" t="s">
        <v>3342</v>
      </c>
      <c r="R1435" t="s">
        <v>1097</v>
      </c>
    </row>
    <row r="1436" spans="1:18" hidden="1" x14ac:dyDescent="0.3">
      <c r="A1436" s="19">
        <f t="shared" si="22"/>
        <v>1435</v>
      </c>
      <c r="B1436" s="20" t="s">
        <v>87</v>
      </c>
      <c r="C1436" s="20" t="s">
        <v>97</v>
      </c>
      <c r="D1436" s="21" t="str">
        <f>IF($C1436="","",IFERROR(VLOOKUP($C1436,Map_Register!$A$2:$C$5,3,FALSE()),""))</f>
        <v>Military Zone</v>
      </c>
      <c r="E1436" s="20" t="s">
        <v>15</v>
      </c>
      <c r="F1436" s="22">
        <v>72259</v>
      </c>
      <c r="G1436" s="19" t="s">
        <v>3336</v>
      </c>
      <c r="H1436" s="19" t="s">
        <v>402</v>
      </c>
      <c r="I1436" s="19" t="s">
        <v>402</v>
      </c>
      <c r="J1436" s="19" t="s">
        <v>3341</v>
      </c>
      <c r="K1436" s="19" t="s">
        <v>6</v>
      </c>
      <c r="L1436" s="19" t="s">
        <v>1095</v>
      </c>
      <c r="M1436" s="19" t="s">
        <v>1095</v>
      </c>
      <c r="N1436" s="19" t="s">
        <v>3342</v>
      </c>
      <c r="R1436" t="s">
        <v>1097</v>
      </c>
    </row>
    <row r="1437" spans="1:18" hidden="1" x14ac:dyDescent="0.3">
      <c r="A1437" s="19">
        <f t="shared" si="22"/>
        <v>1436</v>
      </c>
      <c r="B1437" s="20" t="s">
        <v>87</v>
      </c>
      <c r="C1437" s="20" t="s">
        <v>97</v>
      </c>
      <c r="D1437" s="21" t="str">
        <f>IF($C1437="","",IFERROR(VLOOKUP($C1437,Map_Register!$A$2:$C$5,3,FALSE()),""))</f>
        <v>Military Zone</v>
      </c>
      <c r="E1437" s="20" t="s">
        <v>15</v>
      </c>
      <c r="F1437" s="22">
        <v>72260</v>
      </c>
      <c r="G1437" s="19" t="s">
        <v>3336</v>
      </c>
      <c r="H1437" s="19" t="s">
        <v>3390</v>
      </c>
      <c r="I1437" s="19" t="s">
        <v>3390</v>
      </c>
      <c r="J1437" s="19" t="s">
        <v>3341</v>
      </c>
      <c r="K1437" s="19" t="s">
        <v>6</v>
      </c>
      <c r="L1437" s="19" t="s">
        <v>1095</v>
      </c>
      <c r="M1437" s="19" t="s">
        <v>1095</v>
      </c>
      <c r="N1437" s="19" t="s">
        <v>3342</v>
      </c>
      <c r="R1437" t="s">
        <v>1097</v>
      </c>
    </row>
    <row r="1438" spans="1:18" hidden="1" x14ac:dyDescent="0.3">
      <c r="A1438" s="19">
        <f t="shared" si="22"/>
        <v>1437</v>
      </c>
      <c r="B1438" s="20" t="s">
        <v>87</v>
      </c>
      <c r="C1438" s="20" t="s">
        <v>97</v>
      </c>
      <c r="D1438" s="21" t="str">
        <f>IF($C1438="","",IFERROR(VLOOKUP($C1438,Map_Register!$A$2:$C$5,3,FALSE()),""))</f>
        <v>Military Zone</v>
      </c>
      <c r="E1438" s="20" t="s">
        <v>15</v>
      </c>
      <c r="F1438" s="22">
        <v>72262</v>
      </c>
      <c r="G1438" s="19" t="s">
        <v>3336</v>
      </c>
      <c r="H1438" s="19" t="s">
        <v>3391</v>
      </c>
      <c r="I1438" s="19" t="s">
        <v>3391</v>
      </c>
      <c r="J1438" s="19" t="s">
        <v>3341</v>
      </c>
      <c r="K1438" s="19" t="s">
        <v>6</v>
      </c>
      <c r="L1438" s="19" t="s">
        <v>1095</v>
      </c>
      <c r="M1438" s="19" t="s">
        <v>1095</v>
      </c>
      <c r="N1438" s="19" t="s">
        <v>3342</v>
      </c>
      <c r="R1438" t="s">
        <v>1097</v>
      </c>
    </row>
    <row r="1439" spans="1:18" hidden="1" x14ac:dyDescent="0.3">
      <c r="A1439" s="19">
        <f t="shared" si="22"/>
        <v>1438</v>
      </c>
      <c r="B1439" s="20" t="s">
        <v>87</v>
      </c>
      <c r="C1439" s="20" t="s">
        <v>97</v>
      </c>
      <c r="D1439" s="21" t="str">
        <f>IF($C1439="","",IFERROR(VLOOKUP($C1439,Map_Register!$A$2:$C$5,3,FALSE()),""))</f>
        <v>Military Zone</v>
      </c>
      <c r="E1439" s="20" t="s">
        <v>15</v>
      </c>
      <c r="F1439" s="22">
        <v>72263</v>
      </c>
      <c r="G1439" s="19" t="s">
        <v>2521</v>
      </c>
      <c r="H1439" s="19" t="s">
        <v>3392</v>
      </c>
      <c r="I1439" s="19" t="s">
        <v>3392</v>
      </c>
      <c r="J1439" s="19" t="s">
        <v>3341</v>
      </c>
      <c r="K1439" s="19" t="s">
        <v>6</v>
      </c>
      <c r="L1439" s="19" t="s">
        <v>1095</v>
      </c>
      <c r="M1439" s="19" t="s">
        <v>1095</v>
      </c>
      <c r="N1439" s="19" t="s">
        <v>3342</v>
      </c>
      <c r="R1439" t="s">
        <v>1097</v>
      </c>
    </row>
    <row r="1440" spans="1:18" hidden="1" x14ac:dyDescent="0.3">
      <c r="A1440" s="19">
        <f t="shared" si="22"/>
        <v>1439</v>
      </c>
      <c r="B1440" s="20" t="s">
        <v>87</v>
      </c>
      <c r="C1440" s="20" t="s">
        <v>97</v>
      </c>
      <c r="D1440" s="21" t="str">
        <f>IF($C1440="","",IFERROR(VLOOKUP($C1440,Map_Register!$A$2:$C$5,3,FALSE()),""))</f>
        <v>Military Zone</v>
      </c>
      <c r="E1440" s="20" t="s">
        <v>15</v>
      </c>
      <c r="F1440" s="22">
        <v>72273</v>
      </c>
      <c r="G1440" s="19" t="s">
        <v>2521</v>
      </c>
      <c r="H1440" s="19" t="s">
        <v>3393</v>
      </c>
      <c r="I1440" s="19" t="s">
        <v>3393</v>
      </c>
      <c r="J1440" s="19" t="s">
        <v>3341</v>
      </c>
      <c r="K1440" s="19" t="s">
        <v>6</v>
      </c>
      <c r="L1440" s="19" t="s">
        <v>1095</v>
      </c>
      <c r="M1440" s="19" t="s">
        <v>1095</v>
      </c>
      <c r="N1440" s="19" t="s">
        <v>3342</v>
      </c>
      <c r="R1440" t="s">
        <v>1097</v>
      </c>
    </row>
    <row r="1441" spans="1:18" hidden="1" x14ac:dyDescent="0.3">
      <c r="A1441" s="19">
        <f t="shared" si="22"/>
        <v>1440</v>
      </c>
      <c r="B1441" s="20" t="s">
        <v>87</v>
      </c>
      <c r="C1441" s="20" t="s">
        <v>97</v>
      </c>
      <c r="D1441" s="21" t="str">
        <f>IF($C1441="","",IFERROR(VLOOKUP($C1441,Map_Register!$A$2:$C$5,3,FALSE()),""))</f>
        <v>Military Zone</v>
      </c>
      <c r="E1441" s="20" t="s">
        <v>15</v>
      </c>
      <c r="F1441" s="22">
        <v>72274</v>
      </c>
      <c r="G1441" s="19" t="s">
        <v>3336</v>
      </c>
      <c r="H1441" s="19" t="s">
        <v>3394</v>
      </c>
      <c r="I1441" s="19" t="s">
        <v>3394</v>
      </c>
      <c r="J1441" s="19" t="s">
        <v>3341</v>
      </c>
      <c r="K1441" s="19" t="s">
        <v>6</v>
      </c>
      <c r="L1441" s="19" t="s">
        <v>1095</v>
      </c>
      <c r="M1441" s="19" t="s">
        <v>1095</v>
      </c>
      <c r="N1441" s="19" t="s">
        <v>3354</v>
      </c>
      <c r="R1441" t="s">
        <v>1097</v>
      </c>
    </row>
    <row r="1442" spans="1:18" hidden="1" x14ac:dyDescent="0.3">
      <c r="A1442" s="19">
        <f t="shared" si="22"/>
        <v>1441</v>
      </c>
      <c r="B1442" s="20" t="s">
        <v>87</v>
      </c>
      <c r="C1442" s="20" t="s">
        <v>97</v>
      </c>
      <c r="D1442" s="21" t="str">
        <f>IF($C1442="","",IFERROR(VLOOKUP($C1442,Map_Register!$A$2:$C$5,3,FALSE()),""))</f>
        <v>Military Zone</v>
      </c>
      <c r="E1442" s="20" t="s">
        <v>15</v>
      </c>
      <c r="F1442" s="22">
        <v>72275</v>
      </c>
      <c r="G1442" s="19" t="s">
        <v>2521</v>
      </c>
      <c r="H1442" s="19" t="s">
        <v>3395</v>
      </c>
      <c r="I1442" s="19" t="s">
        <v>3395</v>
      </c>
      <c r="J1442" s="19" t="s">
        <v>3341</v>
      </c>
      <c r="K1442" s="19" t="s">
        <v>6</v>
      </c>
      <c r="L1442" s="19" t="s">
        <v>1095</v>
      </c>
      <c r="M1442" s="19" t="s">
        <v>1095</v>
      </c>
      <c r="N1442" s="19" t="s">
        <v>3342</v>
      </c>
      <c r="R1442" t="s">
        <v>1097</v>
      </c>
    </row>
    <row r="1443" spans="1:18" hidden="1" x14ac:dyDescent="0.3">
      <c r="A1443" s="19">
        <f t="shared" si="22"/>
        <v>1442</v>
      </c>
      <c r="B1443" s="20" t="s">
        <v>87</v>
      </c>
      <c r="C1443" s="20" t="s">
        <v>97</v>
      </c>
      <c r="D1443" s="21" t="str">
        <f>IF($C1443="","",IFERROR(VLOOKUP($C1443,Map_Register!$A$2:$C$5,3,FALSE()),""))</f>
        <v>Military Zone</v>
      </c>
      <c r="E1443" s="20" t="s">
        <v>15</v>
      </c>
      <c r="F1443" s="22">
        <v>73014</v>
      </c>
      <c r="G1443" s="19" t="s">
        <v>2521</v>
      </c>
      <c r="H1443" s="19" t="s">
        <v>3396</v>
      </c>
      <c r="I1443" s="19" t="s">
        <v>3396</v>
      </c>
      <c r="J1443" s="19" t="s">
        <v>3341</v>
      </c>
      <c r="K1443" s="19" t="s">
        <v>6</v>
      </c>
      <c r="L1443" s="19" t="s">
        <v>1095</v>
      </c>
      <c r="M1443" s="19" t="s">
        <v>1095</v>
      </c>
      <c r="N1443" s="19" t="s">
        <v>3342</v>
      </c>
      <c r="R1443" t="s">
        <v>1097</v>
      </c>
    </row>
    <row r="1444" spans="1:18" hidden="1" x14ac:dyDescent="0.3">
      <c r="A1444" s="19">
        <f t="shared" si="22"/>
        <v>1443</v>
      </c>
      <c r="B1444" s="20" t="s">
        <v>87</v>
      </c>
      <c r="C1444" s="20" t="s">
        <v>97</v>
      </c>
      <c r="D1444" s="21" t="str">
        <f>IF($C1444="","",IFERROR(VLOOKUP($C1444,Map_Register!$A$2:$C$5,3,FALSE()),""))</f>
        <v>Military Zone</v>
      </c>
      <c r="E1444" s="20" t="s">
        <v>15</v>
      </c>
      <c r="F1444" s="22">
        <v>73056</v>
      </c>
      <c r="G1444" s="19" t="s">
        <v>2521</v>
      </c>
      <c r="H1444" s="19" t="s">
        <v>3397</v>
      </c>
      <c r="I1444" s="19" t="s">
        <v>3397</v>
      </c>
      <c r="J1444" s="19" t="s">
        <v>3341</v>
      </c>
      <c r="K1444" s="19" t="s">
        <v>6</v>
      </c>
      <c r="L1444" s="19" t="s">
        <v>1095</v>
      </c>
      <c r="M1444" s="19" t="s">
        <v>1095</v>
      </c>
      <c r="N1444" s="19" t="s">
        <v>3342</v>
      </c>
      <c r="R1444" t="s">
        <v>1097</v>
      </c>
    </row>
    <row r="1445" spans="1:18" hidden="1" x14ac:dyDescent="0.3">
      <c r="A1445" s="19">
        <f t="shared" si="22"/>
        <v>1444</v>
      </c>
      <c r="B1445" s="20" t="s">
        <v>87</v>
      </c>
      <c r="C1445" s="20" t="s">
        <v>97</v>
      </c>
      <c r="D1445" s="21" t="str">
        <f>IF($C1445="","",IFERROR(VLOOKUP($C1445,Map_Register!$A$2:$C$5,3,FALSE()),""))</f>
        <v>Military Zone</v>
      </c>
      <c r="E1445" s="20" t="s">
        <v>15</v>
      </c>
      <c r="F1445" s="22">
        <v>73059</v>
      </c>
      <c r="G1445" s="19" t="s">
        <v>2521</v>
      </c>
      <c r="H1445" s="19" t="s">
        <v>3398</v>
      </c>
      <c r="I1445" s="19" t="s">
        <v>3398</v>
      </c>
      <c r="J1445" s="19" t="s">
        <v>3341</v>
      </c>
      <c r="K1445" s="19" t="s">
        <v>6</v>
      </c>
      <c r="L1445" s="19" t="s">
        <v>1095</v>
      </c>
      <c r="M1445" s="19" t="s">
        <v>1095</v>
      </c>
      <c r="N1445" s="19" t="s">
        <v>3342</v>
      </c>
      <c r="R1445" t="s">
        <v>1097</v>
      </c>
    </row>
    <row r="1446" spans="1:18" hidden="1" x14ac:dyDescent="0.3">
      <c r="A1446" s="19">
        <f t="shared" si="22"/>
        <v>1445</v>
      </c>
      <c r="B1446" s="20" t="s">
        <v>87</v>
      </c>
      <c r="C1446" s="20" t="s">
        <v>97</v>
      </c>
      <c r="D1446" s="21" t="str">
        <f>IF($C1446="","",IFERROR(VLOOKUP($C1446,Map_Register!$A$2:$C$5,3,FALSE()),""))</f>
        <v>Military Zone</v>
      </c>
      <c r="E1446" s="20" t="s">
        <v>15</v>
      </c>
      <c r="F1446" s="22">
        <v>73063</v>
      </c>
      <c r="G1446" s="19" t="s">
        <v>2521</v>
      </c>
      <c r="H1446" s="19" t="s">
        <v>3399</v>
      </c>
      <c r="I1446" s="19" t="s">
        <v>3399</v>
      </c>
      <c r="J1446" s="19" t="s">
        <v>3341</v>
      </c>
      <c r="K1446" s="19" t="s">
        <v>6</v>
      </c>
      <c r="L1446" s="19" t="s">
        <v>1095</v>
      </c>
      <c r="M1446" s="19" t="s">
        <v>1095</v>
      </c>
      <c r="N1446" s="19" t="s">
        <v>3342</v>
      </c>
      <c r="R1446" t="s">
        <v>1097</v>
      </c>
    </row>
    <row r="1447" spans="1:18" hidden="1" x14ac:dyDescent="0.3">
      <c r="A1447" s="19">
        <f t="shared" si="22"/>
        <v>1446</v>
      </c>
      <c r="B1447" s="20" t="s">
        <v>87</v>
      </c>
      <c r="C1447" s="20" t="s">
        <v>97</v>
      </c>
      <c r="D1447" s="21" t="str">
        <f>IF($C1447="","",IFERROR(VLOOKUP($C1447,Map_Register!$A$2:$C$5,3,FALSE()),""))</f>
        <v>Military Zone</v>
      </c>
      <c r="E1447" s="20" t="s">
        <v>15</v>
      </c>
      <c r="F1447" s="22">
        <v>73068</v>
      </c>
      <c r="G1447" s="19" t="s">
        <v>2521</v>
      </c>
      <c r="H1447" s="19" t="s">
        <v>3400</v>
      </c>
      <c r="I1447" s="19" t="s">
        <v>3400</v>
      </c>
      <c r="J1447" s="19" t="s">
        <v>3341</v>
      </c>
      <c r="K1447" s="19" t="s">
        <v>6</v>
      </c>
      <c r="L1447" s="19" t="s">
        <v>1095</v>
      </c>
      <c r="M1447" s="19" t="s">
        <v>1095</v>
      </c>
      <c r="N1447" s="19" t="s">
        <v>3342</v>
      </c>
      <c r="R1447" t="s">
        <v>1097</v>
      </c>
    </row>
    <row r="1448" spans="1:18" hidden="1" x14ac:dyDescent="0.3">
      <c r="A1448" s="19">
        <f t="shared" si="22"/>
        <v>1447</v>
      </c>
      <c r="B1448" s="20" t="s">
        <v>87</v>
      </c>
      <c r="C1448" s="20" t="s">
        <v>97</v>
      </c>
      <c r="D1448" s="21" t="str">
        <f>IF($C1448="","",IFERROR(VLOOKUP($C1448,Map_Register!$A$2:$C$5,3,FALSE()),""))</f>
        <v>Military Zone</v>
      </c>
      <c r="E1448" s="20" t="s">
        <v>15</v>
      </c>
      <c r="F1448" s="22">
        <v>73074</v>
      </c>
      <c r="G1448" s="19" t="s">
        <v>2521</v>
      </c>
      <c r="H1448" s="19" t="s">
        <v>3401</v>
      </c>
      <c r="I1448" s="19" t="s">
        <v>3401</v>
      </c>
      <c r="J1448" s="19" t="s">
        <v>3341</v>
      </c>
      <c r="K1448" s="19" t="s">
        <v>6</v>
      </c>
      <c r="L1448" s="19" t="s">
        <v>1095</v>
      </c>
      <c r="M1448" s="19" t="s">
        <v>1095</v>
      </c>
      <c r="N1448" s="19" t="s">
        <v>3342</v>
      </c>
      <c r="R1448" t="s">
        <v>1097</v>
      </c>
    </row>
    <row r="1449" spans="1:18" hidden="1" x14ac:dyDescent="0.3">
      <c r="A1449" s="19">
        <f t="shared" si="22"/>
        <v>1448</v>
      </c>
      <c r="B1449" s="20" t="s">
        <v>87</v>
      </c>
      <c r="C1449" s="20" t="s">
        <v>97</v>
      </c>
      <c r="D1449" s="21" t="str">
        <f>IF($C1449="","",IFERROR(VLOOKUP($C1449,Map_Register!$A$2:$C$5,3,FALSE()),""))</f>
        <v>Military Zone</v>
      </c>
      <c r="E1449" s="20" t="s">
        <v>15</v>
      </c>
      <c r="F1449" s="22">
        <v>73078</v>
      </c>
      <c r="G1449" s="19" t="s">
        <v>2521</v>
      </c>
      <c r="H1449" s="19" t="s">
        <v>3402</v>
      </c>
      <c r="I1449" s="19" t="s">
        <v>3402</v>
      </c>
      <c r="J1449" s="19" t="s">
        <v>3341</v>
      </c>
      <c r="K1449" s="19" t="s">
        <v>1030</v>
      </c>
      <c r="L1449" s="19" t="s">
        <v>1095</v>
      </c>
      <c r="M1449" s="19" t="s">
        <v>1095</v>
      </c>
      <c r="N1449" s="19" t="s">
        <v>3342</v>
      </c>
      <c r="Q1449" s="19" t="s">
        <v>2569</v>
      </c>
      <c r="R1449" t="s">
        <v>1097</v>
      </c>
    </row>
    <row r="1450" spans="1:18" hidden="1" x14ac:dyDescent="0.3">
      <c r="A1450" s="19">
        <f t="shared" si="22"/>
        <v>1449</v>
      </c>
      <c r="B1450" s="20" t="s">
        <v>87</v>
      </c>
      <c r="C1450" s="20" t="s">
        <v>97</v>
      </c>
      <c r="D1450" s="21" t="str">
        <f>IF($C1450="","",IFERROR(VLOOKUP($C1450,Map_Register!$A$2:$C$5,3,FALSE()),""))</f>
        <v>Military Zone</v>
      </c>
      <c r="E1450" s="20" t="s">
        <v>15</v>
      </c>
      <c r="F1450" s="22">
        <v>73103</v>
      </c>
      <c r="G1450" s="19" t="s">
        <v>2521</v>
      </c>
      <c r="H1450" s="19" t="s">
        <v>797</v>
      </c>
      <c r="I1450" s="19" t="s">
        <v>797</v>
      </c>
      <c r="J1450" s="19" t="s">
        <v>3341</v>
      </c>
      <c r="K1450" s="19" t="s">
        <v>6</v>
      </c>
      <c r="L1450" s="19" t="s">
        <v>1095</v>
      </c>
      <c r="M1450" s="19" t="s">
        <v>1095</v>
      </c>
      <c r="N1450" s="19" t="s">
        <v>3342</v>
      </c>
      <c r="R1450" t="s">
        <v>1097</v>
      </c>
    </row>
    <row r="1451" spans="1:18" hidden="1" x14ac:dyDescent="0.3">
      <c r="A1451" s="19">
        <f t="shared" si="22"/>
        <v>1450</v>
      </c>
      <c r="B1451" s="20" t="s">
        <v>87</v>
      </c>
      <c r="C1451" s="20" t="s">
        <v>97</v>
      </c>
      <c r="D1451" s="21" t="str">
        <f>IF($C1451="","",IFERROR(VLOOKUP($C1451,Map_Register!$A$2:$C$5,3,FALSE()),""))</f>
        <v>Military Zone</v>
      </c>
      <c r="E1451" s="20" t="s">
        <v>15</v>
      </c>
      <c r="F1451" s="22">
        <v>73104</v>
      </c>
      <c r="G1451" s="19" t="s">
        <v>2521</v>
      </c>
      <c r="H1451" s="19" t="s">
        <v>3403</v>
      </c>
      <c r="I1451" s="19" t="s">
        <v>3403</v>
      </c>
      <c r="J1451" s="19" t="s">
        <v>3341</v>
      </c>
      <c r="K1451" s="19" t="s">
        <v>6</v>
      </c>
      <c r="L1451" s="19" t="s">
        <v>1095</v>
      </c>
      <c r="M1451" s="19" t="s">
        <v>1095</v>
      </c>
      <c r="N1451" s="19" t="s">
        <v>3342</v>
      </c>
      <c r="R1451" t="s">
        <v>1097</v>
      </c>
    </row>
    <row r="1452" spans="1:18" hidden="1" x14ac:dyDescent="0.3">
      <c r="A1452" s="19">
        <f t="shared" si="22"/>
        <v>1451</v>
      </c>
      <c r="B1452" s="20" t="s">
        <v>87</v>
      </c>
      <c r="C1452" s="20" t="s">
        <v>97</v>
      </c>
      <c r="D1452" s="21" t="str">
        <f>IF($C1452="","",IFERROR(VLOOKUP($C1452,Map_Register!$A$2:$C$5,3,FALSE()),""))</f>
        <v>Military Zone</v>
      </c>
      <c r="E1452" s="20" t="s">
        <v>15</v>
      </c>
      <c r="F1452" s="22">
        <v>73105</v>
      </c>
      <c r="G1452" s="19" t="s">
        <v>2521</v>
      </c>
      <c r="H1452" s="19" t="s">
        <v>3404</v>
      </c>
      <c r="I1452" s="19" t="s">
        <v>3404</v>
      </c>
      <c r="J1452" s="19" t="s">
        <v>3341</v>
      </c>
      <c r="K1452" s="19" t="s">
        <v>6</v>
      </c>
      <c r="L1452" s="19" t="s">
        <v>1095</v>
      </c>
      <c r="M1452" s="19" t="s">
        <v>1095</v>
      </c>
      <c r="N1452" s="19" t="s">
        <v>3342</v>
      </c>
      <c r="R1452" t="s">
        <v>1097</v>
      </c>
    </row>
    <row r="1453" spans="1:18" hidden="1" x14ac:dyDescent="0.3">
      <c r="A1453" s="19">
        <f t="shared" si="22"/>
        <v>1452</v>
      </c>
      <c r="B1453" s="20" t="s">
        <v>87</v>
      </c>
      <c r="C1453" s="20" t="s">
        <v>97</v>
      </c>
      <c r="D1453" s="21" t="str">
        <f>IF($C1453="","",IFERROR(VLOOKUP($C1453,Map_Register!$A$2:$C$5,3,FALSE()),""))</f>
        <v>Military Zone</v>
      </c>
      <c r="E1453" s="20" t="s">
        <v>15</v>
      </c>
      <c r="F1453" s="22">
        <v>73106</v>
      </c>
      <c r="G1453" s="19" t="s">
        <v>2521</v>
      </c>
      <c r="H1453" s="19" t="s">
        <v>3405</v>
      </c>
      <c r="I1453" s="19" t="s">
        <v>3405</v>
      </c>
      <c r="J1453" s="19" t="s">
        <v>3341</v>
      </c>
      <c r="K1453" s="19" t="s">
        <v>6</v>
      </c>
      <c r="L1453" s="19" t="s">
        <v>1095</v>
      </c>
      <c r="M1453" s="19" t="s">
        <v>1095</v>
      </c>
      <c r="N1453" s="19" t="s">
        <v>3342</v>
      </c>
      <c r="R1453" t="s">
        <v>1097</v>
      </c>
    </row>
    <row r="1454" spans="1:18" hidden="1" x14ac:dyDescent="0.3">
      <c r="A1454" s="19">
        <f t="shared" si="22"/>
        <v>1453</v>
      </c>
      <c r="B1454" s="20" t="s">
        <v>87</v>
      </c>
      <c r="C1454" s="20" t="s">
        <v>97</v>
      </c>
      <c r="D1454" s="21" t="str">
        <f>IF($C1454="","",IFERROR(VLOOKUP($C1454,Map_Register!$A$2:$C$5,3,FALSE()),""))</f>
        <v>Military Zone</v>
      </c>
      <c r="E1454" s="20" t="s">
        <v>15</v>
      </c>
      <c r="F1454" s="22">
        <v>73107</v>
      </c>
      <c r="G1454" s="19" t="s">
        <v>2521</v>
      </c>
      <c r="H1454" s="19" t="s">
        <v>665</v>
      </c>
      <c r="I1454" s="19" t="s">
        <v>665</v>
      </c>
      <c r="J1454" s="19" t="s">
        <v>3341</v>
      </c>
      <c r="K1454" s="19" t="s">
        <v>6</v>
      </c>
      <c r="L1454" s="19" t="s">
        <v>1095</v>
      </c>
      <c r="M1454" s="19" t="s">
        <v>1095</v>
      </c>
      <c r="N1454" s="19" t="s">
        <v>3342</v>
      </c>
      <c r="R1454" t="s">
        <v>1097</v>
      </c>
    </row>
    <row r="1455" spans="1:18" hidden="1" x14ac:dyDescent="0.3">
      <c r="A1455" s="19">
        <f t="shared" si="22"/>
        <v>1454</v>
      </c>
      <c r="B1455" s="20" t="s">
        <v>87</v>
      </c>
      <c r="C1455" s="20" t="s">
        <v>97</v>
      </c>
      <c r="D1455" s="21" t="str">
        <f>IF($C1455="","",IFERROR(VLOOKUP($C1455,Map_Register!$A$2:$C$5,3,FALSE()),""))</f>
        <v>Military Zone</v>
      </c>
      <c r="E1455" s="20" t="s">
        <v>15</v>
      </c>
      <c r="F1455" s="22">
        <v>73147</v>
      </c>
      <c r="G1455" s="19" t="s">
        <v>2521</v>
      </c>
      <c r="H1455" s="19" t="s">
        <v>3406</v>
      </c>
      <c r="I1455" s="19" t="s">
        <v>3406</v>
      </c>
      <c r="J1455" s="19" t="s">
        <v>3341</v>
      </c>
      <c r="K1455" s="19" t="s">
        <v>6</v>
      </c>
      <c r="L1455" s="19" t="s">
        <v>1095</v>
      </c>
      <c r="M1455" s="19" t="s">
        <v>1095</v>
      </c>
      <c r="N1455" s="19" t="s">
        <v>3354</v>
      </c>
      <c r="R1455" t="s">
        <v>1097</v>
      </c>
    </row>
    <row r="1456" spans="1:18" hidden="1" x14ac:dyDescent="0.3">
      <c r="A1456" s="19">
        <f t="shared" si="22"/>
        <v>1455</v>
      </c>
      <c r="B1456" s="20" t="s">
        <v>87</v>
      </c>
      <c r="C1456" s="20" t="s">
        <v>97</v>
      </c>
      <c r="D1456" s="21" t="str">
        <f>IF($C1456="","",IFERROR(VLOOKUP($C1456,Map_Register!$A$2:$C$5,3,FALSE()),""))</f>
        <v>Military Zone</v>
      </c>
      <c r="E1456" s="20" t="s">
        <v>15</v>
      </c>
      <c r="F1456" s="22">
        <v>73403</v>
      </c>
      <c r="G1456" s="19" t="s">
        <v>3336</v>
      </c>
      <c r="H1456" s="19" t="s">
        <v>3407</v>
      </c>
      <c r="I1456" s="19" t="s">
        <v>3407</v>
      </c>
      <c r="J1456" s="19" t="s">
        <v>3341</v>
      </c>
      <c r="K1456" s="19" t="s">
        <v>6</v>
      </c>
      <c r="L1456" s="19" t="s">
        <v>1095</v>
      </c>
      <c r="M1456" s="19" t="s">
        <v>1095</v>
      </c>
      <c r="N1456" s="19" t="s">
        <v>3342</v>
      </c>
      <c r="R1456" t="s">
        <v>1097</v>
      </c>
    </row>
    <row r="1457" spans="1:18" hidden="1" x14ac:dyDescent="0.3">
      <c r="A1457" s="19">
        <f t="shared" si="22"/>
        <v>1456</v>
      </c>
      <c r="B1457" s="20" t="s">
        <v>87</v>
      </c>
      <c r="C1457" s="20" t="s">
        <v>97</v>
      </c>
      <c r="D1457" s="21" t="str">
        <f>IF($C1457="","",IFERROR(VLOOKUP($C1457,Map_Register!$A$2:$C$5,3,FALSE()),""))</f>
        <v>Military Zone</v>
      </c>
      <c r="E1457" s="20" t="s">
        <v>15</v>
      </c>
      <c r="F1457" s="22">
        <v>73404</v>
      </c>
      <c r="G1457" s="19" t="s">
        <v>3336</v>
      </c>
      <c r="H1457" s="19" t="s">
        <v>319</v>
      </c>
      <c r="I1457" s="19" t="s">
        <v>319</v>
      </c>
      <c r="J1457" s="19" t="s">
        <v>3341</v>
      </c>
      <c r="K1457" s="19" t="s">
        <v>6</v>
      </c>
      <c r="L1457" s="19" t="s">
        <v>1095</v>
      </c>
      <c r="M1457" s="19" t="s">
        <v>1095</v>
      </c>
      <c r="N1457" s="19" t="s">
        <v>3354</v>
      </c>
      <c r="R1457" t="s">
        <v>1097</v>
      </c>
    </row>
    <row r="1458" spans="1:18" hidden="1" x14ac:dyDescent="0.3">
      <c r="A1458" s="19">
        <f t="shared" si="22"/>
        <v>1457</v>
      </c>
      <c r="B1458" s="20" t="s">
        <v>87</v>
      </c>
      <c r="C1458" s="20" t="s">
        <v>97</v>
      </c>
      <c r="D1458" s="21" t="str">
        <f>IF($C1458="","",IFERROR(VLOOKUP($C1458,Map_Register!$A$2:$C$5,3,FALSE()),""))</f>
        <v>Military Zone</v>
      </c>
      <c r="E1458" s="20" t="s">
        <v>15</v>
      </c>
      <c r="F1458" s="22">
        <v>73405</v>
      </c>
      <c r="G1458" s="19" t="s">
        <v>3336</v>
      </c>
      <c r="H1458" s="19" t="s">
        <v>3408</v>
      </c>
      <c r="I1458" s="19" t="s">
        <v>3408</v>
      </c>
      <c r="J1458" s="19" t="s">
        <v>3341</v>
      </c>
      <c r="K1458" s="19" t="s">
        <v>6</v>
      </c>
      <c r="L1458" s="19" t="s">
        <v>1095</v>
      </c>
      <c r="M1458" s="19" t="s">
        <v>1095</v>
      </c>
      <c r="N1458" s="19" t="s">
        <v>3342</v>
      </c>
      <c r="R1458" t="s">
        <v>1097</v>
      </c>
    </row>
    <row r="1459" spans="1:18" hidden="1" x14ac:dyDescent="0.3">
      <c r="A1459" s="19">
        <f t="shared" si="22"/>
        <v>1458</v>
      </c>
      <c r="B1459" s="20" t="s">
        <v>87</v>
      </c>
      <c r="C1459" s="20" t="s">
        <v>97</v>
      </c>
      <c r="D1459" s="21" t="str">
        <f>IF($C1459="","",IFERROR(VLOOKUP($C1459,Map_Register!$A$2:$C$5,3,FALSE()),""))</f>
        <v>Military Zone</v>
      </c>
      <c r="E1459" s="20" t="s">
        <v>15</v>
      </c>
      <c r="F1459" s="22">
        <v>73406</v>
      </c>
      <c r="G1459" s="19" t="s">
        <v>3336</v>
      </c>
      <c r="H1459" s="19" t="s">
        <v>448</v>
      </c>
      <c r="I1459" s="19" t="s">
        <v>448</v>
      </c>
      <c r="J1459" s="19" t="s">
        <v>3341</v>
      </c>
      <c r="K1459" s="19" t="s">
        <v>6</v>
      </c>
      <c r="L1459" s="19" t="s">
        <v>1095</v>
      </c>
      <c r="M1459" s="19" t="s">
        <v>1095</v>
      </c>
      <c r="N1459" s="19" t="s">
        <v>3342</v>
      </c>
      <c r="R1459" t="s">
        <v>1097</v>
      </c>
    </row>
    <row r="1460" spans="1:18" hidden="1" x14ac:dyDescent="0.3">
      <c r="A1460" s="19">
        <f t="shared" si="22"/>
        <v>1459</v>
      </c>
      <c r="B1460" s="20" t="s">
        <v>87</v>
      </c>
      <c r="C1460" s="20" t="s">
        <v>97</v>
      </c>
      <c r="D1460" s="21" t="str">
        <f>IF($C1460="","",IFERROR(VLOOKUP($C1460,Map_Register!$A$2:$C$5,3,FALSE()),""))</f>
        <v>Military Zone</v>
      </c>
      <c r="E1460" s="20" t="s">
        <v>15</v>
      </c>
      <c r="F1460" s="22">
        <v>73407</v>
      </c>
      <c r="G1460" s="19" t="s">
        <v>3336</v>
      </c>
      <c r="H1460" s="19" t="s">
        <v>3409</v>
      </c>
      <c r="I1460" s="19" t="s">
        <v>3409</v>
      </c>
      <c r="J1460" s="19" t="s">
        <v>3341</v>
      </c>
      <c r="K1460" s="19" t="s">
        <v>6</v>
      </c>
      <c r="L1460" s="19" t="s">
        <v>1095</v>
      </c>
      <c r="M1460" s="19" t="s">
        <v>1095</v>
      </c>
      <c r="N1460" s="19" t="s">
        <v>3342</v>
      </c>
      <c r="R1460" t="s">
        <v>1097</v>
      </c>
    </row>
    <row r="1461" spans="1:18" hidden="1" x14ac:dyDescent="0.3">
      <c r="A1461" s="19">
        <f t="shared" si="22"/>
        <v>1460</v>
      </c>
      <c r="B1461" s="20" t="s">
        <v>87</v>
      </c>
      <c r="C1461" s="20" t="s">
        <v>97</v>
      </c>
      <c r="D1461" s="21" t="str">
        <f>IF($C1461="","",IFERROR(VLOOKUP($C1461,Map_Register!$A$2:$C$5,3,FALSE()),""))</f>
        <v>Military Zone</v>
      </c>
      <c r="E1461" s="20" t="s">
        <v>15</v>
      </c>
      <c r="F1461" s="22">
        <v>73408</v>
      </c>
      <c r="G1461" s="19" t="s">
        <v>3336</v>
      </c>
      <c r="H1461" s="19" t="s">
        <v>3410</v>
      </c>
      <c r="I1461" s="19" t="s">
        <v>3411</v>
      </c>
      <c r="J1461" s="19" t="s">
        <v>3334</v>
      </c>
      <c r="K1461" s="19" t="s">
        <v>6</v>
      </c>
      <c r="L1461" s="19" t="s">
        <v>1095</v>
      </c>
      <c r="M1461" s="19" t="s">
        <v>1095</v>
      </c>
      <c r="N1461" s="19" t="s">
        <v>3412</v>
      </c>
      <c r="R1461" t="s">
        <v>1097</v>
      </c>
    </row>
    <row r="1462" spans="1:18" hidden="1" x14ac:dyDescent="0.3">
      <c r="A1462" s="19">
        <f t="shared" si="22"/>
        <v>1461</v>
      </c>
      <c r="B1462" s="20" t="s">
        <v>87</v>
      </c>
      <c r="C1462" s="20" t="s">
        <v>97</v>
      </c>
      <c r="D1462" s="21" t="str">
        <f>IF($C1462="","",IFERROR(VLOOKUP($C1462,Map_Register!$A$2:$C$5,3,FALSE()),""))</f>
        <v>Military Zone</v>
      </c>
      <c r="E1462" s="20" t="s">
        <v>15</v>
      </c>
      <c r="F1462" s="22">
        <v>73409</v>
      </c>
      <c r="G1462" s="19" t="s">
        <v>3336</v>
      </c>
      <c r="H1462" s="19" t="s">
        <v>3413</v>
      </c>
      <c r="I1462" s="19" t="s">
        <v>3414</v>
      </c>
      <c r="J1462" s="19" t="s">
        <v>3334</v>
      </c>
      <c r="K1462" s="19" t="s">
        <v>6</v>
      </c>
      <c r="L1462" s="19" t="s">
        <v>1095</v>
      </c>
      <c r="M1462" s="19" t="s">
        <v>1095</v>
      </c>
      <c r="N1462" s="19" t="s">
        <v>3342</v>
      </c>
      <c r="R1462" t="s">
        <v>1097</v>
      </c>
    </row>
    <row r="1463" spans="1:18" hidden="1" x14ac:dyDescent="0.3">
      <c r="A1463" s="19">
        <f t="shared" si="22"/>
        <v>1462</v>
      </c>
      <c r="B1463" s="20" t="s">
        <v>87</v>
      </c>
      <c r="C1463" s="20" t="s">
        <v>97</v>
      </c>
      <c r="D1463" s="21" t="str">
        <f>IF($C1463="","",IFERROR(VLOOKUP($C1463,Map_Register!$A$2:$C$5,3,FALSE()),""))</f>
        <v>Military Zone</v>
      </c>
      <c r="E1463" s="20" t="s">
        <v>15</v>
      </c>
      <c r="F1463" s="22">
        <v>73410</v>
      </c>
      <c r="G1463" s="19" t="s">
        <v>3336</v>
      </c>
      <c r="H1463" s="19" t="s">
        <v>778</v>
      </c>
      <c r="I1463" s="19" t="s">
        <v>778</v>
      </c>
      <c r="J1463" s="19" t="s">
        <v>3341</v>
      </c>
      <c r="K1463" s="19" t="s">
        <v>6</v>
      </c>
      <c r="L1463" s="19" t="s">
        <v>1095</v>
      </c>
      <c r="M1463" s="19" t="s">
        <v>1095</v>
      </c>
      <c r="N1463" s="19" t="s">
        <v>3415</v>
      </c>
      <c r="R1463" t="s">
        <v>1097</v>
      </c>
    </row>
    <row r="1464" spans="1:18" hidden="1" x14ac:dyDescent="0.3">
      <c r="A1464" s="19">
        <f t="shared" si="22"/>
        <v>1463</v>
      </c>
      <c r="B1464" s="20" t="s">
        <v>87</v>
      </c>
      <c r="C1464" s="20" t="s">
        <v>97</v>
      </c>
      <c r="D1464" s="21" t="str">
        <f>IF($C1464="","",IFERROR(VLOOKUP($C1464,Map_Register!$A$2:$C$5,3,FALSE()),""))</f>
        <v>Military Zone</v>
      </c>
      <c r="E1464" s="20" t="s">
        <v>15</v>
      </c>
      <c r="F1464" s="22">
        <v>73412</v>
      </c>
      <c r="G1464" s="19" t="s">
        <v>2521</v>
      </c>
      <c r="H1464" s="19" t="s">
        <v>3416</v>
      </c>
      <c r="I1464" s="19" t="s">
        <v>3416</v>
      </c>
      <c r="J1464" s="19" t="s">
        <v>3341</v>
      </c>
      <c r="K1464" s="19" t="s">
        <v>6</v>
      </c>
      <c r="L1464" s="19" t="s">
        <v>1095</v>
      </c>
      <c r="M1464" s="19" t="s">
        <v>1095</v>
      </c>
      <c r="N1464" s="19" t="s">
        <v>3342</v>
      </c>
      <c r="R1464" t="s">
        <v>1097</v>
      </c>
    </row>
    <row r="1465" spans="1:18" hidden="1" x14ac:dyDescent="0.3">
      <c r="A1465" s="19">
        <f t="shared" si="22"/>
        <v>1464</v>
      </c>
      <c r="B1465" s="20" t="s">
        <v>87</v>
      </c>
      <c r="C1465" s="20" t="s">
        <v>97</v>
      </c>
      <c r="D1465" s="21" t="str">
        <f>IF($C1465="","",IFERROR(VLOOKUP($C1465,Map_Register!$A$2:$C$5,3,FALSE()),""))</f>
        <v>Military Zone</v>
      </c>
      <c r="E1465" s="20" t="s">
        <v>15</v>
      </c>
      <c r="F1465" s="22">
        <v>73413</v>
      </c>
      <c r="G1465" s="19" t="s">
        <v>2816</v>
      </c>
      <c r="H1465" s="19" t="s">
        <v>3417</v>
      </c>
      <c r="I1465" s="19" t="s">
        <v>3418</v>
      </c>
      <c r="J1465" s="19" t="s">
        <v>3365</v>
      </c>
      <c r="K1465" s="19" t="s">
        <v>1030</v>
      </c>
      <c r="L1465" s="19" t="s">
        <v>1095</v>
      </c>
      <c r="M1465" s="19" t="s">
        <v>1095</v>
      </c>
      <c r="N1465" s="19" t="s">
        <v>3419</v>
      </c>
      <c r="Q1465" s="19" t="s">
        <v>2569</v>
      </c>
      <c r="R1465" t="s">
        <v>1097</v>
      </c>
    </row>
    <row r="1466" spans="1:18" hidden="1" x14ac:dyDescent="0.3">
      <c r="A1466" s="19">
        <f t="shared" si="22"/>
        <v>1465</v>
      </c>
      <c r="B1466" s="20" t="s">
        <v>87</v>
      </c>
      <c r="C1466" s="20" t="s">
        <v>97</v>
      </c>
      <c r="D1466" s="21" t="str">
        <f>IF($C1466="","",IFERROR(VLOOKUP($C1466,Map_Register!$A$2:$C$5,3,FALSE()),""))</f>
        <v>Military Zone</v>
      </c>
      <c r="E1466" s="20" t="s">
        <v>15</v>
      </c>
      <c r="F1466" s="22">
        <v>73418</v>
      </c>
      <c r="G1466" s="19" t="s">
        <v>3336</v>
      </c>
      <c r="H1466" s="19" t="s">
        <v>311</v>
      </c>
      <c r="I1466" s="19" t="s">
        <v>311</v>
      </c>
      <c r="J1466" s="19" t="s">
        <v>3341</v>
      </c>
      <c r="K1466" s="19" t="s">
        <v>6</v>
      </c>
      <c r="L1466" s="19" t="s">
        <v>1095</v>
      </c>
      <c r="M1466" s="19" t="s">
        <v>1095</v>
      </c>
      <c r="N1466" s="19" t="s">
        <v>3354</v>
      </c>
      <c r="R1466" t="s">
        <v>1097</v>
      </c>
    </row>
    <row r="1467" spans="1:18" hidden="1" x14ac:dyDescent="0.3">
      <c r="A1467" s="19">
        <f t="shared" si="22"/>
        <v>1466</v>
      </c>
      <c r="B1467" s="20" t="s">
        <v>87</v>
      </c>
      <c r="C1467" s="20" t="s">
        <v>97</v>
      </c>
      <c r="D1467" s="21" t="str">
        <f>IF($C1467="","",IFERROR(VLOOKUP($C1467,Map_Register!$A$2:$C$5,3,FALSE()),""))</f>
        <v>Military Zone</v>
      </c>
      <c r="E1467" s="20" t="s">
        <v>15</v>
      </c>
      <c r="F1467" s="22">
        <v>73433</v>
      </c>
      <c r="G1467" s="19" t="s">
        <v>3336</v>
      </c>
      <c r="H1467" s="19" t="s">
        <v>787</v>
      </c>
      <c r="I1467" s="19" t="s">
        <v>787</v>
      </c>
      <c r="J1467" s="19" t="s">
        <v>3341</v>
      </c>
      <c r="K1467" s="19" t="s">
        <v>6</v>
      </c>
      <c r="L1467" s="19" t="s">
        <v>1095</v>
      </c>
      <c r="M1467" s="19" t="s">
        <v>1095</v>
      </c>
      <c r="N1467" s="19" t="s">
        <v>3354</v>
      </c>
      <c r="R1467" t="s">
        <v>1097</v>
      </c>
    </row>
    <row r="1468" spans="1:18" hidden="1" x14ac:dyDescent="0.3">
      <c r="A1468" s="19">
        <f t="shared" si="22"/>
        <v>1467</v>
      </c>
      <c r="B1468" s="20" t="s">
        <v>87</v>
      </c>
      <c r="C1468" s="20" t="s">
        <v>97</v>
      </c>
      <c r="D1468" s="21" t="str">
        <f>IF($C1468="","",IFERROR(VLOOKUP($C1468,Map_Register!$A$2:$C$5,3,FALSE()),""))</f>
        <v>Military Zone</v>
      </c>
      <c r="E1468" s="20" t="s">
        <v>15</v>
      </c>
      <c r="F1468" s="22">
        <v>73443</v>
      </c>
      <c r="G1468" s="19" t="s">
        <v>2521</v>
      </c>
      <c r="H1468" s="19" t="s">
        <v>3420</v>
      </c>
      <c r="I1468" s="19" t="s">
        <v>3421</v>
      </c>
      <c r="J1468" s="19" t="s">
        <v>3422</v>
      </c>
      <c r="K1468" s="19" t="s">
        <v>6</v>
      </c>
      <c r="L1468" s="19" t="s">
        <v>1095</v>
      </c>
      <c r="M1468" s="19" t="s">
        <v>1095</v>
      </c>
      <c r="N1468" s="19" t="s">
        <v>3423</v>
      </c>
      <c r="R1468" t="s">
        <v>1097</v>
      </c>
    </row>
    <row r="1469" spans="1:18" hidden="1" x14ac:dyDescent="0.3">
      <c r="A1469" s="19">
        <f t="shared" si="22"/>
        <v>1468</v>
      </c>
      <c r="B1469" s="20" t="s">
        <v>87</v>
      </c>
      <c r="C1469" s="20" t="s">
        <v>97</v>
      </c>
      <c r="D1469" s="21" t="str">
        <f>IF($C1469="","",IFERROR(VLOOKUP($C1469,Map_Register!$A$2:$C$5,3,FALSE()),""))</f>
        <v>Military Zone</v>
      </c>
      <c r="E1469" s="20" t="s">
        <v>15</v>
      </c>
      <c r="F1469" s="22">
        <v>73446</v>
      </c>
      <c r="G1469" s="19" t="s">
        <v>3336</v>
      </c>
      <c r="H1469" s="19" t="s">
        <v>3424</v>
      </c>
      <c r="I1469" s="19" t="s">
        <v>3424</v>
      </c>
      <c r="J1469" s="19" t="s">
        <v>3341</v>
      </c>
      <c r="K1469" s="19" t="s">
        <v>6</v>
      </c>
      <c r="L1469" s="19" t="s">
        <v>1095</v>
      </c>
      <c r="M1469" s="19" t="s">
        <v>1095</v>
      </c>
      <c r="N1469" s="19" t="s">
        <v>3415</v>
      </c>
      <c r="R1469" t="s">
        <v>1097</v>
      </c>
    </row>
    <row r="1470" spans="1:18" hidden="1" x14ac:dyDescent="0.3">
      <c r="A1470" s="19">
        <f t="shared" si="22"/>
        <v>1469</v>
      </c>
      <c r="B1470" s="20" t="s">
        <v>87</v>
      </c>
      <c r="C1470" s="20" t="s">
        <v>97</v>
      </c>
      <c r="D1470" s="21" t="str">
        <f>IF($C1470="","",IFERROR(VLOOKUP($C1470,Map_Register!$A$2:$C$5,3,FALSE()),""))</f>
        <v>Military Zone</v>
      </c>
      <c r="E1470" s="20" t="s">
        <v>15</v>
      </c>
      <c r="F1470" s="22">
        <v>73447</v>
      </c>
      <c r="G1470" s="19" t="s">
        <v>3336</v>
      </c>
      <c r="H1470" s="19" t="s">
        <v>3425</v>
      </c>
      <c r="I1470" s="19" t="s">
        <v>3425</v>
      </c>
      <c r="J1470" s="19" t="s">
        <v>3341</v>
      </c>
      <c r="K1470" s="19" t="s">
        <v>6</v>
      </c>
      <c r="L1470" s="19" t="s">
        <v>1095</v>
      </c>
      <c r="M1470" s="19" t="s">
        <v>1095</v>
      </c>
      <c r="N1470" s="19" t="s">
        <v>3342</v>
      </c>
      <c r="R1470" t="s">
        <v>1097</v>
      </c>
    </row>
    <row r="1471" spans="1:18" hidden="1" x14ac:dyDescent="0.3">
      <c r="A1471" s="19">
        <f t="shared" si="22"/>
        <v>1470</v>
      </c>
      <c r="B1471" s="20" t="s">
        <v>87</v>
      </c>
      <c r="C1471" s="20" t="s">
        <v>97</v>
      </c>
      <c r="D1471" s="21" t="str">
        <f>IF($C1471="","",IFERROR(VLOOKUP($C1471,Map_Register!$A$2:$C$5,3,FALSE()),""))</f>
        <v>Military Zone</v>
      </c>
      <c r="E1471" s="20" t="s">
        <v>15</v>
      </c>
      <c r="F1471" s="22">
        <v>73448</v>
      </c>
      <c r="G1471" s="19" t="s">
        <v>3336</v>
      </c>
      <c r="H1471" s="19" t="s">
        <v>713</v>
      </c>
      <c r="I1471" s="19" t="s">
        <v>713</v>
      </c>
      <c r="J1471" s="19" t="s">
        <v>3341</v>
      </c>
      <c r="K1471" s="19" t="s">
        <v>6</v>
      </c>
      <c r="L1471" s="19" t="s">
        <v>1095</v>
      </c>
      <c r="M1471" s="19" t="s">
        <v>1095</v>
      </c>
      <c r="N1471" s="19" t="s">
        <v>3415</v>
      </c>
      <c r="R1471" t="s">
        <v>1097</v>
      </c>
    </row>
    <row r="1472" spans="1:18" hidden="1" x14ac:dyDescent="0.3">
      <c r="A1472" s="19">
        <f t="shared" si="22"/>
        <v>1471</v>
      </c>
      <c r="B1472" s="20" t="s">
        <v>87</v>
      </c>
      <c r="C1472" s="20" t="s">
        <v>97</v>
      </c>
      <c r="D1472" s="21" t="str">
        <f>IF($C1472="","",IFERROR(VLOOKUP($C1472,Map_Register!$A$2:$C$5,3,FALSE()),""))</f>
        <v>Military Zone</v>
      </c>
      <c r="E1472" s="20" t="s">
        <v>15</v>
      </c>
      <c r="F1472" s="22">
        <v>73449</v>
      </c>
      <c r="G1472" s="19" t="s">
        <v>3336</v>
      </c>
      <c r="H1472" s="19" t="s">
        <v>400</v>
      </c>
      <c r="I1472" s="19" t="s">
        <v>3426</v>
      </c>
      <c r="J1472" s="19" t="s">
        <v>3365</v>
      </c>
      <c r="K1472" s="19" t="s">
        <v>6</v>
      </c>
      <c r="L1472" s="19" t="s">
        <v>1095</v>
      </c>
      <c r="M1472" s="19" t="s">
        <v>1095</v>
      </c>
      <c r="N1472" s="19" t="s">
        <v>3427</v>
      </c>
      <c r="R1472" t="s">
        <v>1097</v>
      </c>
    </row>
    <row r="1473" spans="1:18" hidden="1" x14ac:dyDescent="0.3">
      <c r="A1473" s="19">
        <f t="shared" si="22"/>
        <v>1472</v>
      </c>
      <c r="B1473" s="20" t="s">
        <v>87</v>
      </c>
      <c r="C1473" s="20" t="s">
        <v>97</v>
      </c>
      <c r="D1473" s="21" t="str">
        <f>IF($C1473="","",IFERROR(VLOOKUP($C1473,Map_Register!$A$2:$C$5,3,FALSE()),""))</f>
        <v>Military Zone</v>
      </c>
      <c r="E1473" s="20" t="s">
        <v>15</v>
      </c>
      <c r="F1473" s="22">
        <v>73507</v>
      </c>
      <c r="G1473" s="19" t="s">
        <v>2521</v>
      </c>
      <c r="H1473" s="19" t="s">
        <v>3428</v>
      </c>
      <c r="I1473" s="19" t="s">
        <v>3428</v>
      </c>
      <c r="J1473" s="19" t="s">
        <v>3341</v>
      </c>
      <c r="K1473" s="19" t="s">
        <v>6</v>
      </c>
      <c r="L1473" s="19" t="s">
        <v>1095</v>
      </c>
      <c r="M1473" s="19" t="s">
        <v>1095</v>
      </c>
      <c r="N1473" s="19" t="s">
        <v>3342</v>
      </c>
      <c r="R1473" t="s">
        <v>1097</v>
      </c>
    </row>
    <row r="1474" spans="1:18" hidden="1" x14ac:dyDescent="0.3">
      <c r="A1474" s="19">
        <f t="shared" ref="A1474:A1537" si="23">IF($B1474="","",ROW()-1)</f>
        <v>1473</v>
      </c>
      <c r="B1474" s="20" t="s">
        <v>87</v>
      </c>
      <c r="C1474" s="20" t="s">
        <v>97</v>
      </c>
      <c r="D1474" s="21" t="str">
        <f>IF($C1474="","",IFERROR(VLOOKUP($C1474,Map_Register!$A$2:$C$5,3,FALSE()),""))</f>
        <v>Military Zone</v>
      </c>
      <c r="E1474" s="20" t="s">
        <v>15</v>
      </c>
      <c r="F1474" s="22">
        <v>73536</v>
      </c>
      <c r="G1474" s="19" t="s">
        <v>2521</v>
      </c>
      <c r="H1474" s="19" t="s">
        <v>3429</v>
      </c>
      <c r="I1474" s="19" t="s">
        <v>3429</v>
      </c>
      <c r="J1474" s="19" t="s">
        <v>3341</v>
      </c>
      <c r="K1474" s="19" t="s">
        <v>6</v>
      </c>
      <c r="L1474" s="19" t="s">
        <v>1095</v>
      </c>
      <c r="M1474" s="19" t="s">
        <v>1095</v>
      </c>
      <c r="N1474" s="19" t="s">
        <v>3342</v>
      </c>
      <c r="R1474" t="s">
        <v>1097</v>
      </c>
    </row>
    <row r="1475" spans="1:18" hidden="1" x14ac:dyDescent="0.3">
      <c r="A1475" s="19">
        <f t="shared" si="23"/>
        <v>1474</v>
      </c>
      <c r="B1475" s="20" t="s">
        <v>87</v>
      </c>
      <c r="C1475" s="20" t="s">
        <v>97</v>
      </c>
      <c r="D1475" s="21" t="str">
        <f>IF($C1475="","",IFERROR(VLOOKUP($C1475,Map_Register!$A$2:$C$5,3,FALSE()),""))</f>
        <v>Military Zone</v>
      </c>
      <c r="E1475" s="20" t="s">
        <v>15</v>
      </c>
      <c r="F1475" s="22">
        <v>73541</v>
      </c>
      <c r="G1475" s="19" t="s">
        <v>2521</v>
      </c>
      <c r="H1475" s="19" t="s">
        <v>3430</v>
      </c>
      <c r="I1475" s="19" t="s">
        <v>3430</v>
      </c>
      <c r="J1475" s="19" t="s">
        <v>3341</v>
      </c>
      <c r="K1475" s="19" t="s">
        <v>6</v>
      </c>
      <c r="L1475" s="19" t="s">
        <v>1095</v>
      </c>
      <c r="M1475" s="19" t="s">
        <v>1095</v>
      </c>
      <c r="N1475" s="19" t="s">
        <v>3342</v>
      </c>
      <c r="R1475" t="s">
        <v>1097</v>
      </c>
    </row>
    <row r="1476" spans="1:18" hidden="1" x14ac:dyDescent="0.3">
      <c r="A1476" s="19">
        <f t="shared" si="23"/>
        <v>1475</v>
      </c>
      <c r="B1476" s="20" t="s">
        <v>87</v>
      </c>
      <c r="C1476" s="20" t="s">
        <v>97</v>
      </c>
      <c r="D1476" s="21" t="str">
        <f>IF($C1476="","",IFERROR(VLOOKUP($C1476,Map_Register!$A$2:$C$5,3,FALSE()),""))</f>
        <v>Military Zone</v>
      </c>
      <c r="E1476" s="20" t="s">
        <v>15</v>
      </c>
      <c r="F1476" s="22">
        <v>74402</v>
      </c>
      <c r="G1476" s="19" t="s">
        <v>2521</v>
      </c>
      <c r="H1476" s="19" t="s">
        <v>3431</v>
      </c>
      <c r="I1476" s="19" t="s">
        <v>3431</v>
      </c>
      <c r="J1476" s="19" t="s">
        <v>3341</v>
      </c>
      <c r="K1476" s="19" t="s">
        <v>6</v>
      </c>
      <c r="L1476" s="19" t="s">
        <v>1095</v>
      </c>
      <c r="M1476" s="19" t="s">
        <v>1095</v>
      </c>
      <c r="N1476" s="19" t="s">
        <v>3354</v>
      </c>
      <c r="R1476" t="s">
        <v>1097</v>
      </c>
    </row>
    <row r="1477" spans="1:18" hidden="1" x14ac:dyDescent="0.3">
      <c r="A1477" s="19">
        <f t="shared" si="23"/>
        <v>1476</v>
      </c>
      <c r="B1477" s="20" t="s">
        <v>87</v>
      </c>
      <c r="C1477" s="20" t="s">
        <v>97</v>
      </c>
      <c r="D1477" s="21" t="str">
        <f>IF($C1477="","",IFERROR(VLOOKUP($C1477,Map_Register!$A$2:$C$5,3,FALSE()),""))</f>
        <v>Military Zone</v>
      </c>
      <c r="E1477" s="20" t="s">
        <v>15</v>
      </c>
      <c r="F1477" s="22">
        <v>74443</v>
      </c>
      <c r="G1477" s="19" t="s">
        <v>2521</v>
      </c>
      <c r="H1477" s="19" t="s">
        <v>3432</v>
      </c>
      <c r="I1477" s="19" t="s">
        <v>3432</v>
      </c>
      <c r="J1477" s="19" t="s">
        <v>3341</v>
      </c>
      <c r="K1477" s="19" t="s">
        <v>6</v>
      </c>
      <c r="L1477" s="19" t="s">
        <v>1095</v>
      </c>
      <c r="M1477" s="19" t="s">
        <v>1095</v>
      </c>
      <c r="N1477" s="19" t="s">
        <v>3342</v>
      </c>
      <c r="R1477" t="s">
        <v>1097</v>
      </c>
    </row>
    <row r="1478" spans="1:18" hidden="1" x14ac:dyDescent="0.3">
      <c r="A1478" s="19">
        <f t="shared" si="23"/>
        <v>1477</v>
      </c>
      <c r="B1478" s="20" t="s">
        <v>87</v>
      </c>
      <c r="C1478" s="20" t="s">
        <v>97</v>
      </c>
      <c r="D1478" s="21" t="str">
        <f>IF($C1478="","",IFERROR(VLOOKUP($C1478,Map_Register!$A$2:$C$5,3,FALSE()),""))</f>
        <v>Military Zone</v>
      </c>
      <c r="E1478" s="20" t="s">
        <v>15</v>
      </c>
      <c r="F1478" s="22">
        <v>74449</v>
      </c>
      <c r="G1478" s="19" t="s">
        <v>2521</v>
      </c>
      <c r="H1478" s="19" t="s">
        <v>3433</v>
      </c>
      <c r="I1478" s="19" t="s">
        <v>3433</v>
      </c>
      <c r="J1478" s="19" t="s">
        <v>3341</v>
      </c>
      <c r="K1478" s="19" t="s">
        <v>6</v>
      </c>
      <c r="L1478" s="19" t="s">
        <v>1095</v>
      </c>
      <c r="M1478" s="19" t="s">
        <v>1095</v>
      </c>
      <c r="N1478" s="19" t="s">
        <v>3342</v>
      </c>
      <c r="R1478" t="s">
        <v>1097</v>
      </c>
    </row>
    <row r="1479" spans="1:18" hidden="1" x14ac:dyDescent="0.3">
      <c r="A1479" s="19">
        <f t="shared" si="23"/>
        <v>1478</v>
      </c>
      <c r="B1479" s="20" t="s">
        <v>87</v>
      </c>
      <c r="C1479" s="20" t="s">
        <v>97</v>
      </c>
      <c r="D1479" s="21" t="str">
        <f>IF($C1479="","",IFERROR(VLOOKUP($C1479,Map_Register!$A$2:$C$5,3,FALSE()),""))</f>
        <v>Military Zone</v>
      </c>
      <c r="E1479" s="20" t="s">
        <v>15</v>
      </c>
      <c r="F1479" s="22">
        <v>74450</v>
      </c>
      <c r="G1479" s="19" t="s">
        <v>2521</v>
      </c>
      <c r="H1479" s="19" t="s">
        <v>3434</v>
      </c>
      <c r="I1479" s="19" t="s">
        <v>3434</v>
      </c>
      <c r="J1479" s="19" t="s">
        <v>3341</v>
      </c>
      <c r="K1479" s="19" t="s">
        <v>6</v>
      </c>
      <c r="L1479" s="19" t="s">
        <v>1095</v>
      </c>
      <c r="M1479" s="19" t="s">
        <v>1095</v>
      </c>
      <c r="N1479" s="19" t="s">
        <v>3342</v>
      </c>
      <c r="R1479" t="s">
        <v>1097</v>
      </c>
    </row>
    <row r="1480" spans="1:18" hidden="1" x14ac:dyDescent="0.3">
      <c r="A1480" s="19">
        <f t="shared" si="23"/>
        <v>1479</v>
      </c>
      <c r="B1480" s="20" t="s">
        <v>87</v>
      </c>
      <c r="C1480" s="20" t="s">
        <v>97</v>
      </c>
      <c r="D1480" s="21" t="str">
        <f>IF($C1480="","",IFERROR(VLOOKUP($C1480,Map_Register!$A$2:$C$5,3,FALSE()),""))</f>
        <v>Military Zone</v>
      </c>
      <c r="E1480" s="20" t="s">
        <v>15</v>
      </c>
      <c r="F1480" s="22">
        <v>74455</v>
      </c>
      <c r="G1480" s="19" t="s">
        <v>2521</v>
      </c>
      <c r="H1480" s="19" t="s">
        <v>3435</v>
      </c>
      <c r="I1480" s="19" t="s">
        <v>3435</v>
      </c>
      <c r="J1480" s="19" t="s">
        <v>3341</v>
      </c>
      <c r="K1480" s="19" t="s">
        <v>6</v>
      </c>
      <c r="L1480" s="19" t="s">
        <v>1095</v>
      </c>
      <c r="M1480" s="19" t="s">
        <v>1095</v>
      </c>
      <c r="N1480" s="19" t="s">
        <v>3354</v>
      </c>
      <c r="R1480" t="s">
        <v>1097</v>
      </c>
    </row>
    <row r="1481" spans="1:18" hidden="1" x14ac:dyDescent="0.3">
      <c r="A1481" s="19">
        <f t="shared" si="23"/>
        <v>1480</v>
      </c>
      <c r="B1481" s="20" t="s">
        <v>87</v>
      </c>
      <c r="C1481" s="20" t="s">
        <v>97</v>
      </c>
      <c r="D1481" s="21" t="str">
        <f>IF($C1481="","",IFERROR(VLOOKUP($C1481,Map_Register!$A$2:$C$5,3,FALSE()),""))</f>
        <v>Military Zone</v>
      </c>
      <c r="E1481" s="20" t="s">
        <v>15</v>
      </c>
      <c r="F1481" s="22">
        <v>74471</v>
      </c>
      <c r="G1481" s="19" t="s">
        <v>2521</v>
      </c>
      <c r="H1481" s="19" t="s">
        <v>686</v>
      </c>
      <c r="I1481" s="19" t="s">
        <v>686</v>
      </c>
      <c r="J1481" s="19" t="s">
        <v>3341</v>
      </c>
      <c r="K1481" s="19" t="s">
        <v>6</v>
      </c>
      <c r="L1481" s="19" t="s">
        <v>1095</v>
      </c>
      <c r="M1481" s="19" t="s">
        <v>1095</v>
      </c>
      <c r="N1481" s="19" t="s">
        <v>3354</v>
      </c>
      <c r="R1481" t="s">
        <v>1097</v>
      </c>
    </row>
    <row r="1482" spans="1:18" hidden="1" x14ac:dyDescent="0.3">
      <c r="A1482" s="19">
        <f t="shared" si="23"/>
        <v>1481</v>
      </c>
      <c r="B1482" s="20" t="s">
        <v>87</v>
      </c>
      <c r="C1482" s="20" t="s">
        <v>97</v>
      </c>
      <c r="D1482" s="21" t="str">
        <f>IF($C1482="","",IFERROR(VLOOKUP($C1482,Map_Register!$A$2:$C$5,3,FALSE()),""))</f>
        <v>Military Zone</v>
      </c>
      <c r="E1482" s="20" t="s">
        <v>15</v>
      </c>
      <c r="F1482" s="22">
        <v>74485</v>
      </c>
      <c r="G1482" s="19" t="s">
        <v>3336</v>
      </c>
      <c r="H1482" s="19" t="s">
        <v>3436</v>
      </c>
      <c r="I1482" s="19" t="s">
        <v>3436</v>
      </c>
      <c r="J1482" s="19" t="s">
        <v>3341</v>
      </c>
      <c r="K1482" s="19" t="s">
        <v>6</v>
      </c>
      <c r="L1482" s="19" t="s">
        <v>1095</v>
      </c>
      <c r="M1482" s="19" t="s">
        <v>1095</v>
      </c>
      <c r="N1482" s="19" t="s">
        <v>3342</v>
      </c>
      <c r="R1482" t="s">
        <v>1097</v>
      </c>
    </row>
    <row r="1483" spans="1:18" hidden="1" x14ac:dyDescent="0.3">
      <c r="A1483" s="19">
        <f t="shared" si="23"/>
        <v>1482</v>
      </c>
      <c r="B1483" s="20" t="s">
        <v>87</v>
      </c>
      <c r="C1483" s="20" t="s">
        <v>97</v>
      </c>
      <c r="D1483" s="21" t="str">
        <f>IF($C1483="","",IFERROR(VLOOKUP($C1483,Map_Register!$A$2:$C$5,3,FALSE()),""))</f>
        <v>Military Zone</v>
      </c>
      <c r="E1483" s="20" t="s">
        <v>15</v>
      </c>
      <c r="F1483" s="22">
        <v>74790</v>
      </c>
      <c r="G1483" s="19" t="s">
        <v>2521</v>
      </c>
      <c r="H1483" s="19" t="s">
        <v>3437</v>
      </c>
      <c r="I1483" s="19" t="s">
        <v>3437</v>
      </c>
      <c r="J1483" s="19" t="s">
        <v>3341</v>
      </c>
      <c r="K1483" s="19" t="s">
        <v>6</v>
      </c>
      <c r="L1483" s="19" t="s">
        <v>1095</v>
      </c>
      <c r="M1483" s="19" t="s">
        <v>1095</v>
      </c>
      <c r="N1483" s="19" t="s">
        <v>3342</v>
      </c>
      <c r="R1483" t="s">
        <v>1097</v>
      </c>
    </row>
    <row r="1484" spans="1:18" hidden="1" x14ac:dyDescent="0.3">
      <c r="A1484" s="19">
        <f t="shared" si="23"/>
        <v>1483</v>
      </c>
      <c r="B1484" s="20" t="s">
        <v>87</v>
      </c>
      <c r="C1484" s="20" t="s">
        <v>97</v>
      </c>
      <c r="D1484" s="21" t="str">
        <f>IF($C1484="","",IFERROR(VLOOKUP($C1484,Map_Register!$A$2:$C$5,3,FALSE()),""))</f>
        <v>Military Zone</v>
      </c>
      <c r="E1484" s="20" t="s">
        <v>15</v>
      </c>
      <c r="F1484" s="22">
        <v>74791</v>
      </c>
      <c r="G1484" s="19" t="s">
        <v>2521</v>
      </c>
      <c r="H1484" s="19" t="s">
        <v>3438</v>
      </c>
      <c r="I1484" s="19" t="s">
        <v>3438</v>
      </c>
      <c r="J1484" s="19" t="s">
        <v>3341</v>
      </c>
      <c r="K1484" s="19" t="s">
        <v>6</v>
      </c>
      <c r="L1484" s="19" t="s">
        <v>1095</v>
      </c>
      <c r="M1484" s="19" t="s">
        <v>1095</v>
      </c>
      <c r="N1484" s="19" t="s">
        <v>3342</v>
      </c>
      <c r="R1484" t="s">
        <v>1097</v>
      </c>
    </row>
    <row r="1485" spans="1:18" hidden="1" x14ac:dyDescent="0.3">
      <c r="A1485" s="19">
        <f t="shared" si="23"/>
        <v>1484</v>
      </c>
      <c r="B1485" s="20" t="s">
        <v>87</v>
      </c>
      <c r="C1485" s="20" t="s">
        <v>97</v>
      </c>
      <c r="D1485" s="21" t="str">
        <f>IF($C1485="","",IFERROR(VLOOKUP($C1485,Map_Register!$A$2:$C$5,3,FALSE()),""))</f>
        <v>Military Zone</v>
      </c>
      <c r="E1485" s="20" t="s">
        <v>15</v>
      </c>
      <c r="F1485" s="22">
        <v>74792</v>
      </c>
      <c r="G1485" s="19" t="s">
        <v>2521</v>
      </c>
      <c r="H1485" s="19" t="s">
        <v>3439</v>
      </c>
      <c r="I1485" s="19" t="s">
        <v>3439</v>
      </c>
      <c r="J1485" s="19" t="s">
        <v>3341</v>
      </c>
      <c r="K1485" s="19" t="s">
        <v>6</v>
      </c>
      <c r="L1485" s="19" t="s">
        <v>1095</v>
      </c>
      <c r="M1485" s="19" t="s">
        <v>1095</v>
      </c>
      <c r="N1485" s="19" t="s">
        <v>3342</v>
      </c>
      <c r="R1485" t="s">
        <v>1097</v>
      </c>
    </row>
    <row r="1486" spans="1:18" hidden="1" x14ac:dyDescent="0.3">
      <c r="A1486" s="19">
        <f t="shared" si="23"/>
        <v>1485</v>
      </c>
      <c r="B1486" s="20" t="s">
        <v>87</v>
      </c>
      <c r="C1486" s="20" t="s">
        <v>97</v>
      </c>
      <c r="D1486" s="21" t="str">
        <f>IF($C1486="","",IFERROR(VLOOKUP($C1486,Map_Register!$A$2:$C$5,3,FALSE()),""))</f>
        <v>Military Zone</v>
      </c>
      <c r="E1486" s="20" t="s">
        <v>15</v>
      </c>
      <c r="F1486" s="22">
        <v>74793</v>
      </c>
      <c r="G1486" s="19" t="s">
        <v>2521</v>
      </c>
      <c r="H1486" s="19" t="s">
        <v>3440</v>
      </c>
      <c r="I1486" s="19" t="s">
        <v>3440</v>
      </c>
      <c r="J1486" s="19" t="s">
        <v>3341</v>
      </c>
      <c r="K1486" s="19" t="s">
        <v>6</v>
      </c>
      <c r="L1486" s="19" t="s">
        <v>1095</v>
      </c>
      <c r="M1486" s="19" t="s">
        <v>1095</v>
      </c>
      <c r="N1486" s="19" t="s">
        <v>3342</v>
      </c>
      <c r="R1486" t="s">
        <v>1097</v>
      </c>
    </row>
    <row r="1487" spans="1:18" hidden="1" x14ac:dyDescent="0.3">
      <c r="A1487" s="19">
        <f t="shared" si="23"/>
        <v>1486</v>
      </c>
      <c r="B1487" s="20" t="s">
        <v>87</v>
      </c>
      <c r="C1487" s="20" t="s">
        <v>97</v>
      </c>
      <c r="D1487" s="21" t="str">
        <f>IF($C1487="","",IFERROR(VLOOKUP($C1487,Map_Register!$A$2:$C$5,3,FALSE()),""))</f>
        <v>Military Zone</v>
      </c>
      <c r="E1487" s="20" t="s">
        <v>15</v>
      </c>
      <c r="F1487" s="22">
        <v>74794</v>
      </c>
      <c r="G1487" s="19" t="s">
        <v>2521</v>
      </c>
      <c r="H1487" s="19" t="s">
        <v>3441</v>
      </c>
      <c r="I1487" s="19" t="s">
        <v>3441</v>
      </c>
      <c r="J1487" s="19" t="s">
        <v>3341</v>
      </c>
      <c r="K1487" s="19" t="s">
        <v>6</v>
      </c>
      <c r="L1487" s="19" t="s">
        <v>1095</v>
      </c>
      <c r="M1487" s="19" t="s">
        <v>1095</v>
      </c>
      <c r="N1487" s="19" t="s">
        <v>3342</v>
      </c>
      <c r="R1487" t="s">
        <v>1097</v>
      </c>
    </row>
    <row r="1488" spans="1:18" hidden="1" x14ac:dyDescent="0.3">
      <c r="A1488" s="19">
        <f t="shared" si="23"/>
        <v>1487</v>
      </c>
      <c r="B1488" s="20" t="s">
        <v>87</v>
      </c>
      <c r="C1488" s="20" t="s">
        <v>97</v>
      </c>
      <c r="D1488" s="21" t="str">
        <f>IF($C1488="","",IFERROR(VLOOKUP($C1488,Map_Register!$A$2:$C$5,3,FALSE()),""))</f>
        <v>Military Zone</v>
      </c>
      <c r="E1488" s="20" t="s">
        <v>15</v>
      </c>
      <c r="F1488" s="22">
        <v>74840</v>
      </c>
      <c r="G1488" s="19" t="s">
        <v>2521</v>
      </c>
      <c r="H1488" s="19" t="s">
        <v>3442</v>
      </c>
      <c r="I1488" s="19" t="s">
        <v>3442</v>
      </c>
      <c r="J1488" s="19" t="s">
        <v>3341</v>
      </c>
      <c r="K1488" s="19" t="s">
        <v>6</v>
      </c>
      <c r="L1488" s="19" t="s">
        <v>1095</v>
      </c>
      <c r="M1488" s="19" t="s">
        <v>1095</v>
      </c>
      <c r="N1488" s="19" t="s">
        <v>3342</v>
      </c>
      <c r="R1488" t="s">
        <v>1097</v>
      </c>
    </row>
    <row r="1489" spans="1:18" hidden="1" x14ac:dyDescent="0.3">
      <c r="A1489" s="19">
        <f t="shared" si="23"/>
        <v>1488</v>
      </c>
      <c r="B1489" s="20" t="s">
        <v>87</v>
      </c>
      <c r="C1489" s="20" t="s">
        <v>97</v>
      </c>
      <c r="D1489" s="21" t="str">
        <f>IF($C1489="","",IFERROR(VLOOKUP($C1489,Map_Register!$A$2:$C$5,3,FALSE()),""))</f>
        <v>Military Zone</v>
      </c>
      <c r="E1489" s="20" t="s">
        <v>15</v>
      </c>
      <c r="F1489" s="22">
        <v>74841</v>
      </c>
      <c r="G1489" s="19" t="s">
        <v>2521</v>
      </c>
      <c r="H1489" s="19" t="s">
        <v>3443</v>
      </c>
      <c r="I1489" s="19" t="s">
        <v>3443</v>
      </c>
      <c r="J1489" s="19" t="s">
        <v>3341</v>
      </c>
      <c r="K1489" s="19" t="s">
        <v>6</v>
      </c>
      <c r="L1489" s="19" t="s">
        <v>1095</v>
      </c>
      <c r="M1489" s="19" t="s">
        <v>1095</v>
      </c>
      <c r="N1489" s="19" t="s">
        <v>3342</v>
      </c>
      <c r="R1489" t="s">
        <v>1097</v>
      </c>
    </row>
    <row r="1490" spans="1:18" hidden="1" x14ac:dyDescent="0.3">
      <c r="A1490" s="19">
        <f t="shared" si="23"/>
        <v>1489</v>
      </c>
      <c r="B1490" s="20" t="s">
        <v>87</v>
      </c>
      <c r="C1490" s="20" t="s">
        <v>97</v>
      </c>
      <c r="D1490" s="21" t="str">
        <f>IF($C1490="","",IFERROR(VLOOKUP($C1490,Map_Register!$A$2:$C$5,3,FALSE()),""))</f>
        <v>Military Zone</v>
      </c>
      <c r="E1490" s="20" t="s">
        <v>15</v>
      </c>
      <c r="F1490" s="22">
        <v>74842</v>
      </c>
      <c r="G1490" s="19" t="s">
        <v>2521</v>
      </c>
      <c r="H1490" s="19" t="s">
        <v>3444</v>
      </c>
      <c r="I1490" s="19" t="s">
        <v>3444</v>
      </c>
      <c r="J1490" s="19" t="s">
        <v>3341</v>
      </c>
      <c r="K1490" s="19" t="s">
        <v>6</v>
      </c>
      <c r="L1490" s="19" t="s">
        <v>1095</v>
      </c>
      <c r="M1490" s="19" t="s">
        <v>1095</v>
      </c>
      <c r="N1490" s="19" t="s">
        <v>3342</v>
      </c>
      <c r="R1490" t="s">
        <v>1097</v>
      </c>
    </row>
    <row r="1491" spans="1:18" hidden="1" x14ac:dyDescent="0.3">
      <c r="A1491" s="19">
        <f t="shared" si="23"/>
        <v>1490</v>
      </c>
      <c r="B1491" s="20" t="s">
        <v>87</v>
      </c>
      <c r="C1491" s="20" t="s">
        <v>97</v>
      </c>
      <c r="D1491" s="21" t="str">
        <f>IF($C1491="","",IFERROR(VLOOKUP($C1491,Map_Register!$A$2:$C$5,3,FALSE()),""))</f>
        <v>Military Zone</v>
      </c>
      <c r="E1491" s="20" t="s">
        <v>15</v>
      </c>
      <c r="F1491" s="22">
        <v>74843</v>
      </c>
      <c r="G1491" s="19" t="s">
        <v>2521</v>
      </c>
      <c r="H1491" s="19" t="s">
        <v>3445</v>
      </c>
      <c r="I1491" s="19" t="s">
        <v>3445</v>
      </c>
      <c r="J1491" s="19" t="s">
        <v>3341</v>
      </c>
      <c r="K1491" s="19" t="s">
        <v>6</v>
      </c>
      <c r="L1491" s="19" t="s">
        <v>1095</v>
      </c>
      <c r="M1491" s="19" t="s">
        <v>1095</v>
      </c>
      <c r="N1491" s="19" t="s">
        <v>3354</v>
      </c>
      <c r="R1491" t="s">
        <v>1097</v>
      </c>
    </row>
    <row r="1492" spans="1:18" hidden="1" x14ac:dyDescent="0.3">
      <c r="A1492" s="19">
        <f t="shared" si="23"/>
        <v>1491</v>
      </c>
      <c r="B1492" s="20" t="s">
        <v>87</v>
      </c>
      <c r="C1492" s="20" t="s">
        <v>97</v>
      </c>
      <c r="D1492" s="21" t="str">
        <f>IF($C1492="","",IFERROR(VLOOKUP($C1492,Map_Register!$A$2:$C$5,3,FALSE()),""))</f>
        <v>Military Zone</v>
      </c>
      <c r="E1492" s="20" t="s">
        <v>15</v>
      </c>
      <c r="F1492" s="22">
        <v>74844</v>
      </c>
      <c r="G1492" s="19" t="s">
        <v>2521</v>
      </c>
      <c r="H1492" s="19" t="s">
        <v>3446</v>
      </c>
      <c r="I1492" s="19" t="s">
        <v>3446</v>
      </c>
      <c r="J1492" s="19" t="s">
        <v>3341</v>
      </c>
      <c r="K1492" s="19" t="s">
        <v>6</v>
      </c>
      <c r="L1492" s="19" t="s">
        <v>1095</v>
      </c>
      <c r="M1492" s="19" t="s">
        <v>1095</v>
      </c>
      <c r="N1492" s="19" t="s">
        <v>3342</v>
      </c>
      <c r="R1492" t="s">
        <v>1097</v>
      </c>
    </row>
    <row r="1493" spans="1:18" hidden="1" x14ac:dyDescent="0.3">
      <c r="A1493" s="19">
        <f t="shared" si="23"/>
        <v>1492</v>
      </c>
      <c r="B1493" s="20" t="s">
        <v>87</v>
      </c>
      <c r="C1493" s="20" t="s">
        <v>97</v>
      </c>
      <c r="D1493" s="21" t="str">
        <f>IF($C1493="","",IFERROR(VLOOKUP($C1493,Map_Register!$A$2:$C$5,3,FALSE()),""))</f>
        <v>Military Zone</v>
      </c>
      <c r="E1493" s="20" t="s">
        <v>15</v>
      </c>
      <c r="F1493" s="22">
        <v>74845</v>
      </c>
      <c r="G1493" s="19" t="s">
        <v>2521</v>
      </c>
      <c r="H1493" s="19" t="s">
        <v>3447</v>
      </c>
      <c r="I1493" s="19" t="s">
        <v>3447</v>
      </c>
      <c r="J1493" s="19" t="s">
        <v>3341</v>
      </c>
      <c r="K1493" s="19" t="s">
        <v>6</v>
      </c>
      <c r="L1493" s="19" t="s">
        <v>1095</v>
      </c>
      <c r="M1493" s="19" t="s">
        <v>1095</v>
      </c>
      <c r="N1493" s="19" t="s">
        <v>3342</v>
      </c>
      <c r="R1493" t="s">
        <v>1097</v>
      </c>
    </row>
    <row r="1494" spans="1:18" hidden="1" x14ac:dyDescent="0.3">
      <c r="A1494" s="19">
        <f t="shared" si="23"/>
        <v>1493</v>
      </c>
      <c r="B1494" s="20" t="s">
        <v>87</v>
      </c>
      <c r="C1494" s="20" t="s">
        <v>97</v>
      </c>
      <c r="D1494" s="21" t="str">
        <f>IF($C1494="","",IFERROR(VLOOKUP($C1494,Map_Register!$A$2:$C$5,3,FALSE()),""))</f>
        <v>Military Zone</v>
      </c>
      <c r="E1494" s="20" t="s">
        <v>15</v>
      </c>
      <c r="F1494" s="22">
        <v>74869</v>
      </c>
      <c r="G1494" s="19" t="s">
        <v>2521</v>
      </c>
      <c r="H1494" s="19" t="s">
        <v>3448</v>
      </c>
      <c r="I1494" s="19" t="s">
        <v>3448</v>
      </c>
      <c r="J1494" s="19" t="s">
        <v>3341</v>
      </c>
      <c r="K1494" s="19" t="s">
        <v>6</v>
      </c>
      <c r="L1494" s="19" t="s">
        <v>1095</v>
      </c>
      <c r="M1494" s="19" t="s">
        <v>1095</v>
      </c>
      <c r="N1494" s="19" t="s">
        <v>3344</v>
      </c>
      <c r="R1494" t="s">
        <v>1097</v>
      </c>
    </row>
    <row r="1495" spans="1:18" hidden="1" x14ac:dyDescent="0.3">
      <c r="A1495" s="19">
        <f t="shared" si="23"/>
        <v>1494</v>
      </c>
      <c r="B1495" s="20" t="s">
        <v>87</v>
      </c>
      <c r="C1495" s="20" t="s">
        <v>97</v>
      </c>
      <c r="D1495" s="21" t="str">
        <f>IF($C1495="","",IFERROR(VLOOKUP($C1495,Map_Register!$A$2:$C$5,3,FALSE()),""))</f>
        <v>Military Zone</v>
      </c>
      <c r="E1495" s="20" t="s">
        <v>15</v>
      </c>
      <c r="F1495" s="22">
        <v>288370</v>
      </c>
      <c r="G1495" s="19" t="s">
        <v>2521</v>
      </c>
      <c r="H1495" s="19" t="s">
        <v>3449</v>
      </c>
      <c r="I1495" s="19" t="s">
        <v>3449</v>
      </c>
      <c r="J1495" s="19" t="s">
        <v>3341</v>
      </c>
      <c r="K1495" s="19" t="s">
        <v>6</v>
      </c>
      <c r="L1495" s="19" t="s">
        <v>1095</v>
      </c>
      <c r="M1495" s="19" t="s">
        <v>1095</v>
      </c>
      <c r="N1495" s="19" t="s">
        <v>3342</v>
      </c>
      <c r="R1495" t="s">
        <v>1097</v>
      </c>
    </row>
    <row r="1496" spans="1:18" hidden="1" x14ac:dyDescent="0.3">
      <c r="A1496" s="19">
        <f t="shared" si="23"/>
        <v>1495</v>
      </c>
      <c r="B1496" s="20" t="s">
        <v>87</v>
      </c>
      <c r="C1496" s="20" t="s">
        <v>97</v>
      </c>
      <c r="D1496" s="21" t="str">
        <f>IF($C1496="","",IFERROR(VLOOKUP($C1496,Map_Register!$A$2:$C$5,3,FALSE()),""))</f>
        <v>Military Zone</v>
      </c>
      <c r="E1496" s="20" t="s">
        <v>15</v>
      </c>
      <c r="F1496" s="22">
        <v>288371</v>
      </c>
      <c r="G1496" s="19" t="s">
        <v>2521</v>
      </c>
      <c r="H1496" s="19" t="s">
        <v>3450</v>
      </c>
      <c r="I1496" s="19" t="s">
        <v>3450</v>
      </c>
      <c r="J1496" s="19" t="s">
        <v>3341</v>
      </c>
      <c r="K1496" s="19" t="s">
        <v>6</v>
      </c>
      <c r="L1496" s="19" t="s">
        <v>1095</v>
      </c>
      <c r="M1496" s="19" t="s">
        <v>1095</v>
      </c>
      <c r="N1496" s="19" t="s">
        <v>3342</v>
      </c>
      <c r="R1496" t="s">
        <v>1097</v>
      </c>
    </row>
    <row r="1497" spans="1:18" hidden="1" x14ac:dyDescent="0.3">
      <c r="A1497" s="19">
        <f t="shared" si="23"/>
        <v>1496</v>
      </c>
      <c r="B1497" s="20" t="s">
        <v>87</v>
      </c>
      <c r="C1497" s="20" t="s">
        <v>97</v>
      </c>
      <c r="D1497" s="21" t="str">
        <f>IF($C1497="","",IFERROR(VLOOKUP($C1497,Map_Register!$A$2:$C$5,3,FALSE()),""))</f>
        <v>Military Zone</v>
      </c>
      <c r="E1497" s="20" t="s">
        <v>15</v>
      </c>
      <c r="F1497" s="22">
        <v>288390</v>
      </c>
      <c r="G1497" s="19" t="s">
        <v>2521</v>
      </c>
      <c r="H1497" s="19" t="s">
        <v>686</v>
      </c>
      <c r="I1497" s="19" t="s">
        <v>686</v>
      </c>
      <c r="J1497" s="19" t="s">
        <v>3341</v>
      </c>
      <c r="K1497" s="19" t="s">
        <v>6</v>
      </c>
      <c r="L1497" s="19" t="s">
        <v>1095</v>
      </c>
      <c r="M1497" s="19" t="s">
        <v>1095</v>
      </c>
      <c r="N1497" s="19" t="s">
        <v>3342</v>
      </c>
      <c r="R1497" t="s">
        <v>1097</v>
      </c>
    </row>
    <row r="1498" spans="1:18" hidden="1" x14ac:dyDescent="0.3">
      <c r="A1498" s="19">
        <f t="shared" si="23"/>
        <v>1497</v>
      </c>
      <c r="B1498" s="20" t="s">
        <v>87</v>
      </c>
      <c r="C1498" s="20" t="s">
        <v>97</v>
      </c>
      <c r="D1498" s="21" t="str">
        <f>IF($C1498="","",IFERROR(VLOOKUP($C1498,Map_Register!$A$2:$C$5,3,FALSE()),""))</f>
        <v>Military Zone</v>
      </c>
      <c r="E1498" s="20" t="s">
        <v>15</v>
      </c>
      <c r="F1498" s="22">
        <v>288828</v>
      </c>
      <c r="G1498" s="19" t="s">
        <v>2521</v>
      </c>
      <c r="H1498" s="19" t="s">
        <v>3451</v>
      </c>
      <c r="I1498" s="19" t="s">
        <v>3451</v>
      </c>
      <c r="J1498" s="19" t="s">
        <v>3341</v>
      </c>
      <c r="K1498" s="19" t="s">
        <v>6</v>
      </c>
      <c r="L1498" s="19" t="s">
        <v>1095</v>
      </c>
      <c r="M1498" s="19" t="s">
        <v>1095</v>
      </c>
      <c r="N1498" s="19" t="s">
        <v>3342</v>
      </c>
      <c r="R1498" t="s">
        <v>1097</v>
      </c>
    </row>
    <row r="1499" spans="1:18" hidden="1" x14ac:dyDescent="0.3">
      <c r="A1499" s="19">
        <f t="shared" si="23"/>
        <v>1498</v>
      </c>
      <c r="B1499" s="20" t="s">
        <v>87</v>
      </c>
      <c r="C1499" s="20" t="s">
        <v>97</v>
      </c>
      <c r="D1499" s="21" t="str">
        <f>IF($C1499="","",IFERROR(VLOOKUP($C1499,Map_Register!$A$2:$C$5,3,FALSE()),""))</f>
        <v>Military Zone</v>
      </c>
      <c r="E1499" s="20" t="s">
        <v>15</v>
      </c>
      <c r="F1499" s="22">
        <v>288829</v>
      </c>
      <c r="G1499" s="19" t="s">
        <v>2521</v>
      </c>
      <c r="H1499" s="19" t="s">
        <v>3452</v>
      </c>
      <c r="I1499" s="19" t="s">
        <v>3452</v>
      </c>
      <c r="J1499" s="19" t="s">
        <v>3341</v>
      </c>
      <c r="K1499" s="19" t="s">
        <v>6</v>
      </c>
      <c r="L1499" s="19" t="s">
        <v>1095</v>
      </c>
      <c r="M1499" s="19" t="s">
        <v>1095</v>
      </c>
      <c r="N1499" s="19" t="s">
        <v>3342</v>
      </c>
      <c r="R1499" t="s">
        <v>1097</v>
      </c>
    </row>
    <row r="1500" spans="1:18" hidden="1" x14ac:dyDescent="0.3">
      <c r="A1500" s="19">
        <f t="shared" si="23"/>
        <v>1499</v>
      </c>
      <c r="B1500" s="20" t="s">
        <v>87</v>
      </c>
      <c r="C1500" s="20" t="s">
        <v>97</v>
      </c>
      <c r="D1500" s="21" t="str">
        <f>IF($C1500="","",IFERROR(VLOOKUP($C1500,Map_Register!$A$2:$C$5,3,FALSE()),""))</f>
        <v>Military Zone</v>
      </c>
      <c r="E1500" s="20" t="s">
        <v>15</v>
      </c>
      <c r="F1500" s="22">
        <v>288830</v>
      </c>
      <c r="G1500" s="19" t="s">
        <v>2521</v>
      </c>
      <c r="H1500" s="19" t="s">
        <v>3453</v>
      </c>
      <c r="I1500" s="19" t="s">
        <v>3453</v>
      </c>
      <c r="J1500" s="19" t="s">
        <v>3341</v>
      </c>
      <c r="K1500" s="19" t="s">
        <v>6</v>
      </c>
      <c r="L1500" s="19" t="s">
        <v>1095</v>
      </c>
      <c r="M1500" s="19" t="s">
        <v>1095</v>
      </c>
      <c r="N1500" s="19" t="s">
        <v>3342</v>
      </c>
      <c r="R1500" t="s">
        <v>1097</v>
      </c>
    </row>
    <row r="1501" spans="1:18" hidden="1" x14ac:dyDescent="0.3">
      <c r="A1501" s="19">
        <f t="shared" si="23"/>
        <v>1500</v>
      </c>
      <c r="B1501" s="20" t="s">
        <v>87</v>
      </c>
      <c r="C1501" s="20" t="s">
        <v>97</v>
      </c>
      <c r="D1501" s="21" t="str">
        <f>IF($C1501="","",IFERROR(VLOOKUP($C1501,Map_Register!$A$2:$C$5,3,FALSE()),""))</f>
        <v>Military Zone</v>
      </c>
      <c r="E1501" s="20" t="s">
        <v>15</v>
      </c>
      <c r="F1501" s="22">
        <v>288832</v>
      </c>
      <c r="G1501" s="19" t="s">
        <v>2521</v>
      </c>
      <c r="H1501" s="19" t="s">
        <v>3454</v>
      </c>
      <c r="I1501" s="19" t="s">
        <v>3454</v>
      </c>
      <c r="J1501" s="19" t="s">
        <v>3341</v>
      </c>
      <c r="K1501" s="19" t="s">
        <v>6</v>
      </c>
      <c r="L1501" s="19" t="s">
        <v>1095</v>
      </c>
      <c r="M1501" s="19" t="s">
        <v>1095</v>
      </c>
      <c r="N1501" s="19" t="s">
        <v>3342</v>
      </c>
      <c r="R1501" t="s">
        <v>1097</v>
      </c>
    </row>
    <row r="1502" spans="1:18" hidden="1" x14ac:dyDescent="0.3">
      <c r="A1502" s="19">
        <f t="shared" si="23"/>
        <v>1501</v>
      </c>
      <c r="B1502" s="20" t="s">
        <v>87</v>
      </c>
      <c r="C1502" s="20" t="s">
        <v>97</v>
      </c>
      <c r="D1502" s="21" t="str">
        <f>IF($C1502="","",IFERROR(VLOOKUP($C1502,Map_Register!$A$2:$C$5,3,FALSE()),""))</f>
        <v>Military Zone</v>
      </c>
      <c r="E1502" s="20" t="s">
        <v>15</v>
      </c>
      <c r="F1502" s="22">
        <v>289186</v>
      </c>
      <c r="G1502" s="19" t="s">
        <v>2521</v>
      </c>
      <c r="H1502" s="19" t="s">
        <v>3455</v>
      </c>
      <c r="I1502" s="19" t="s">
        <v>3455</v>
      </c>
      <c r="J1502" s="19" t="s">
        <v>3341</v>
      </c>
      <c r="K1502" s="19" t="s">
        <v>6</v>
      </c>
      <c r="L1502" s="19" t="s">
        <v>1095</v>
      </c>
      <c r="M1502" s="19" t="s">
        <v>1095</v>
      </c>
      <c r="N1502" s="19" t="s">
        <v>3354</v>
      </c>
      <c r="R1502" t="s">
        <v>1097</v>
      </c>
    </row>
    <row r="1503" spans="1:18" hidden="1" x14ac:dyDescent="0.3">
      <c r="A1503" s="19">
        <f t="shared" si="23"/>
        <v>1502</v>
      </c>
      <c r="B1503" s="20" t="s">
        <v>87</v>
      </c>
      <c r="C1503" s="20" t="s">
        <v>97</v>
      </c>
      <c r="D1503" s="21" t="str">
        <f>IF($C1503="","",IFERROR(VLOOKUP($C1503,Map_Register!$A$2:$C$5,3,FALSE()),""))</f>
        <v>Military Zone</v>
      </c>
      <c r="E1503" s="20" t="s">
        <v>15</v>
      </c>
      <c r="F1503" s="22">
        <v>790452</v>
      </c>
      <c r="G1503" s="19" t="s">
        <v>2521</v>
      </c>
      <c r="H1503" s="19" t="s">
        <v>3384</v>
      </c>
      <c r="I1503" s="19" t="s">
        <v>3384</v>
      </c>
      <c r="J1503" s="19" t="s">
        <v>3341</v>
      </c>
      <c r="K1503" s="19" t="s">
        <v>6</v>
      </c>
      <c r="L1503" s="19" t="s">
        <v>1095</v>
      </c>
      <c r="M1503" s="19" t="s">
        <v>1095</v>
      </c>
      <c r="N1503" s="19" t="s">
        <v>3342</v>
      </c>
      <c r="R1503" t="s">
        <v>1097</v>
      </c>
    </row>
    <row r="1504" spans="1:18" hidden="1" x14ac:dyDescent="0.3">
      <c r="A1504" s="19">
        <f t="shared" si="23"/>
        <v>1503</v>
      </c>
      <c r="B1504" s="20" t="s">
        <v>87</v>
      </c>
      <c r="C1504" s="20" t="s">
        <v>97</v>
      </c>
      <c r="D1504" s="21" t="str">
        <f>IF($C1504="","",IFERROR(VLOOKUP($C1504,Map_Register!$A$2:$C$5,3,FALSE()),""))</f>
        <v>Military Zone</v>
      </c>
      <c r="E1504" s="20" t="s">
        <v>15</v>
      </c>
      <c r="F1504" s="22">
        <v>795605</v>
      </c>
      <c r="G1504" s="19" t="s">
        <v>2521</v>
      </c>
      <c r="H1504" s="19" t="s">
        <v>3456</v>
      </c>
      <c r="I1504" s="19" t="s">
        <v>3457</v>
      </c>
      <c r="J1504" s="19" t="s">
        <v>3334</v>
      </c>
      <c r="K1504" s="19" t="s">
        <v>6</v>
      </c>
      <c r="L1504" s="19" t="s">
        <v>1095</v>
      </c>
      <c r="M1504" s="19" t="s">
        <v>1095</v>
      </c>
      <c r="N1504" s="19" t="s">
        <v>3458</v>
      </c>
      <c r="R1504" t="s">
        <v>1097</v>
      </c>
    </row>
    <row r="1505" spans="1:18" hidden="1" x14ac:dyDescent="0.3">
      <c r="A1505" s="19">
        <f t="shared" si="23"/>
        <v>1504</v>
      </c>
      <c r="B1505" s="20" t="s">
        <v>87</v>
      </c>
      <c r="C1505" s="20" t="s">
        <v>97</v>
      </c>
      <c r="D1505" s="21" t="str">
        <f>IF($C1505="","",IFERROR(VLOOKUP($C1505,Map_Register!$A$2:$C$5,3,FALSE()),""))</f>
        <v>Military Zone</v>
      </c>
      <c r="E1505" s="20" t="s">
        <v>15</v>
      </c>
      <c r="F1505" s="22">
        <v>796801</v>
      </c>
      <c r="G1505" s="19" t="s">
        <v>2816</v>
      </c>
      <c r="H1505" s="19" t="s">
        <v>3459</v>
      </c>
      <c r="I1505" s="19" t="s">
        <v>3460</v>
      </c>
      <c r="J1505" s="19" t="s">
        <v>3365</v>
      </c>
      <c r="K1505" s="19" t="s">
        <v>1030</v>
      </c>
      <c r="L1505" s="19" t="s">
        <v>1095</v>
      </c>
      <c r="M1505" s="19" t="s">
        <v>1095</v>
      </c>
      <c r="N1505" s="19" t="s">
        <v>3461</v>
      </c>
      <c r="Q1505" s="19" t="s">
        <v>2569</v>
      </c>
      <c r="R1505" t="s">
        <v>1097</v>
      </c>
    </row>
    <row r="1506" spans="1:18" hidden="1" x14ac:dyDescent="0.3">
      <c r="A1506" s="19">
        <f t="shared" si="23"/>
        <v>1505</v>
      </c>
      <c r="B1506" s="20" t="s">
        <v>87</v>
      </c>
      <c r="C1506" s="20" t="s">
        <v>97</v>
      </c>
      <c r="D1506" s="21" t="str">
        <f>IF($C1506="","",IFERROR(VLOOKUP($C1506,Map_Register!$A$2:$C$5,3,FALSE()),""))</f>
        <v>Military Zone</v>
      </c>
      <c r="E1506" s="20" t="s">
        <v>15</v>
      </c>
      <c r="F1506" s="22">
        <v>797036</v>
      </c>
      <c r="G1506" s="19" t="s">
        <v>2816</v>
      </c>
      <c r="H1506" s="19" t="s">
        <v>3462</v>
      </c>
      <c r="I1506" s="19" t="s">
        <v>3462</v>
      </c>
      <c r="J1506" s="19" t="s">
        <v>3341</v>
      </c>
      <c r="K1506" s="19" t="s">
        <v>6</v>
      </c>
      <c r="L1506" s="19" t="s">
        <v>1095</v>
      </c>
      <c r="M1506" s="19" t="s">
        <v>1095</v>
      </c>
      <c r="N1506" s="19" t="s">
        <v>3342</v>
      </c>
      <c r="R1506" t="s">
        <v>1097</v>
      </c>
    </row>
    <row r="1507" spans="1:18" x14ac:dyDescent="0.3">
      <c r="A1507" s="19">
        <f t="shared" si="23"/>
        <v>1506</v>
      </c>
      <c r="B1507" s="20" t="s">
        <v>87</v>
      </c>
      <c r="C1507" s="20" t="s">
        <v>97</v>
      </c>
      <c r="D1507" s="21" t="str">
        <f>IF($C1507="","",IFERROR(VLOOKUP($C1507,Map_Register!$A$2:$C$5,3,FALSE()),""))</f>
        <v>Military Zone</v>
      </c>
      <c r="E1507" s="20" t="s">
        <v>15</v>
      </c>
      <c r="F1507" s="22">
        <v>799890</v>
      </c>
      <c r="G1507" s="19" t="s">
        <v>3336</v>
      </c>
      <c r="H1507" s="19" t="s">
        <v>3463</v>
      </c>
      <c r="I1507" s="19" t="s">
        <v>3464</v>
      </c>
      <c r="J1507" s="19" t="s">
        <v>3334</v>
      </c>
      <c r="K1507" s="19" t="s">
        <v>8</v>
      </c>
      <c r="L1507" s="19" t="s">
        <v>114</v>
      </c>
      <c r="M1507" s="19" t="s">
        <v>116</v>
      </c>
      <c r="N1507" s="19" t="s">
        <v>3465</v>
      </c>
      <c r="O1507" s="19" t="s">
        <v>116</v>
      </c>
      <c r="R1507" t="s">
        <v>1097</v>
      </c>
    </row>
    <row r="1508" spans="1:18" hidden="1" x14ac:dyDescent="0.3">
      <c r="A1508" s="19">
        <f t="shared" si="23"/>
        <v>1507</v>
      </c>
      <c r="B1508" s="20" t="s">
        <v>87</v>
      </c>
      <c r="C1508" s="20" t="s">
        <v>97</v>
      </c>
      <c r="D1508" s="21" t="str">
        <f>IF($C1508="","",IFERROR(VLOOKUP($C1508,Map_Register!$A$2:$C$5,3,FALSE()),""))</f>
        <v>Military Zone</v>
      </c>
      <c r="E1508" s="20" t="s">
        <v>15</v>
      </c>
      <c r="F1508" s="22">
        <v>804466</v>
      </c>
      <c r="G1508" s="19" t="s">
        <v>3336</v>
      </c>
      <c r="H1508" s="19" t="s">
        <v>3466</v>
      </c>
      <c r="I1508" s="19" t="s">
        <v>3467</v>
      </c>
      <c r="J1508" s="19" t="s">
        <v>3334</v>
      </c>
      <c r="K1508" s="19" t="s">
        <v>6</v>
      </c>
      <c r="L1508" s="19" t="s">
        <v>1095</v>
      </c>
      <c r="M1508" s="19" t="s">
        <v>1095</v>
      </c>
      <c r="N1508" s="19" t="s">
        <v>3468</v>
      </c>
      <c r="R1508" t="s">
        <v>1097</v>
      </c>
    </row>
    <row r="1509" spans="1:18" hidden="1" x14ac:dyDescent="0.3">
      <c r="A1509" s="19">
        <f t="shared" si="23"/>
        <v>1508</v>
      </c>
      <c r="B1509" s="20" t="s">
        <v>87</v>
      </c>
      <c r="C1509" s="20" t="s">
        <v>93</v>
      </c>
      <c r="D1509" s="21" t="str">
        <f>IF($C1509="","",IFERROR(VLOOKUP($C1509,Map_Register!$A$2:$C$5,3,FALSE()),""))</f>
        <v>Cultural Heritage Area</v>
      </c>
      <c r="E1509" s="20" t="s">
        <v>15</v>
      </c>
      <c r="F1509" s="22">
        <v>530895</v>
      </c>
      <c r="G1509" s="19" t="s">
        <v>3336</v>
      </c>
      <c r="H1509" s="19" t="s">
        <v>3469</v>
      </c>
      <c r="I1509" s="19" t="s">
        <v>3469</v>
      </c>
      <c r="J1509" s="19" t="s">
        <v>1110</v>
      </c>
      <c r="K1509" s="19" t="s">
        <v>6</v>
      </c>
      <c r="L1509" s="19" t="s">
        <v>1095</v>
      </c>
      <c r="M1509" s="19" t="s">
        <v>1095</v>
      </c>
      <c r="N1509" s="19" t="s">
        <v>3470</v>
      </c>
      <c r="R1509" t="s">
        <v>1097</v>
      </c>
    </row>
    <row r="1510" spans="1:18" hidden="1" x14ac:dyDescent="0.3">
      <c r="A1510" s="19">
        <f t="shared" si="23"/>
        <v>1509</v>
      </c>
      <c r="B1510" s="20" t="s">
        <v>87</v>
      </c>
      <c r="C1510" s="20" t="s">
        <v>93</v>
      </c>
      <c r="D1510" s="21" t="str">
        <f>IF($C1510="","",IFERROR(VLOOKUP($C1510,Map_Register!$A$2:$C$5,3,FALSE()),""))</f>
        <v>Cultural Heritage Area</v>
      </c>
      <c r="E1510" s="20" t="s">
        <v>15</v>
      </c>
      <c r="F1510" s="22">
        <v>530896</v>
      </c>
      <c r="G1510" s="19" t="s">
        <v>3336</v>
      </c>
      <c r="H1510" s="19" t="s">
        <v>3471</v>
      </c>
      <c r="I1510" s="19" t="s">
        <v>3471</v>
      </c>
      <c r="J1510" s="19" t="s">
        <v>1110</v>
      </c>
      <c r="K1510" s="19" t="s">
        <v>6</v>
      </c>
      <c r="L1510" s="19" t="s">
        <v>1095</v>
      </c>
      <c r="M1510" s="19" t="s">
        <v>1095</v>
      </c>
      <c r="N1510" s="19" t="s">
        <v>3470</v>
      </c>
      <c r="R1510" t="s">
        <v>1097</v>
      </c>
    </row>
    <row r="1511" spans="1:18" hidden="1" x14ac:dyDescent="0.3">
      <c r="A1511" s="19">
        <f t="shared" si="23"/>
        <v>1510</v>
      </c>
      <c r="B1511" s="20" t="s">
        <v>87</v>
      </c>
      <c r="C1511" s="20" t="s">
        <v>93</v>
      </c>
      <c r="D1511" s="21" t="str">
        <f>IF($C1511="","",IFERROR(VLOOKUP($C1511,Map_Register!$A$2:$C$5,3,FALSE()),""))</f>
        <v>Cultural Heritage Area</v>
      </c>
      <c r="E1511" s="20" t="s">
        <v>15</v>
      </c>
      <c r="F1511" s="22">
        <v>530897</v>
      </c>
      <c r="G1511" s="19" t="s">
        <v>3336</v>
      </c>
      <c r="H1511" s="19" t="s">
        <v>3472</v>
      </c>
      <c r="I1511" s="19" t="s">
        <v>3472</v>
      </c>
      <c r="J1511" s="19" t="s">
        <v>1110</v>
      </c>
      <c r="K1511" s="19" t="s">
        <v>6</v>
      </c>
      <c r="L1511" s="19" t="s">
        <v>1095</v>
      </c>
      <c r="M1511" s="19" t="s">
        <v>1095</v>
      </c>
      <c r="N1511" s="19" t="s">
        <v>3473</v>
      </c>
      <c r="R1511" t="s">
        <v>1097</v>
      </c>
    </row>
    <row r="1512" spans="1:18" hidden="1" x14ac:dyDescent="0.3">
      <c r="A1512" s="19">
        <f t="shared" si="23"/>
        <v>1511</v>
      </c>
      <c r="B1512" s="20" t="s">
        <v>87</v>
      </c>
      <c r="C1512" s="20" t="s">
        <v>93</v>
      </c>
      <c r="D1512" s="21" t="str">
        <f>IF($C1512="","",IFERROR(VLOOKUP($C1512,Map_Register!$A$2:$C$5,3,FALSE()),""))</f>
        <v>Cultural Heritage Area</v>
      </c>
      <c r="E1512" s="20" t="s">
        <v>15</v>
      </c>
      <c r="F1512" s="22">
        <v>530898</v>
      </c>
      <c r="G1512" s="19" t="s">
        <v>3336</v>
      </c>
      <c r="H1512" s="19" t="s">
        <v>3474</v>
      </c>
      <c r="I1512" s="19" t="s">
        <v>3474</v>
      </c>
      <c r="J1512" s="19" t="s">
        <v>1110</v>
      </c>
      <c r="K1512" s="19" t="s">
        <v>6</v>
      </c>
      <c r="L1512" s="19" t="s">
        <v>1095</v>
      </c>
      <c r="M1512" s="19" t="s">
        <v>1095</v>
      </c>
      <c r="N1512" s="19" t="s">
        <v>3473</v>
      </c>
      <c r="R1512" t="s">
        <v>1097</v>
      </c>
    </row>
    <row r="1513" spans="1:18" hidden="1" x14ac:dyDescent="0.3">
      <c r="A1513" s="19">
        <f t="shared" si="23"/>
        <v>1512</v>
      </c>
      <c r="B1513" s="20" t="s">
        <v>87</v>
      </c>
      <c r="C1513" s="20" t="s">
        <v>93</v>
      </c>
      <c r="D1513" s="21" t="str">
        <f>IF($C1513="","",IFERROR(VLOOKUP($C1513,Map_Register!$A$2:$C$5,3,FALSE()),""))</f>
        <v>Cultural Heritage Area</v>
      </c>
      <c r="E1513" s="20" t="s">
        <v>15</v>
      </c>
      <c r="F1513" s="22">
        <v>530899</v>
      </c>
      <c r="G1513" s="19" t="s">
        <v>3336</v>
      </c>
      <c r="H1513" s="19" t="s">
        <v>3475</v>
      </c>
      <c r="I1513" s="19" t="s">
        <v>3475</v>
      </c>
      <c r="J1513" s="19" t="s">
        <v>1110</v>
      </c>
      <c r="K1513" s="19" t="s">
        <v>6</v>
      </c>
      <c r="L1513" s="19" t="s">
        <v>1095</v>
      </c>
      <c r="M1513" s="19" t="s">
        <v>1095</v>
      </c>
      <c r="N1513" s="19" t="s">
        <v>3473</v>
      </c>
      <c r="R1513" t="s">
        <v>1097</v>
      </c>
    </row>
    <row r="1514" spans="1:18" hidden="1" x14ac:dyDescent="0.3">
      <c r="A1514" s="19">
        <f t="shared" si="23"/>
        <v>1513</v>
      </c>
      <c r="B1514" s="20" t="s">
        <v>87</v>
      </c>
      <c r="C1514" s="20" t="s">
        <v>93</v>
      </c>
      <c r="D1514" s="21" t="str">
        <f>IF($C1514="","",IFERROR(VLOOKUP($C1514,Map_Register!$A$2:$C$5,3,FALSE()),""))</f>
        <v>Cultural Heritage Area</v>
      </c>
      <c r="E1514" s="20" t="s">
        <v>15</v>
      </c>
      <c r="F1514" s="22">
        <v>530902</v>
      </c>
      <c r="G1514" s="19" t="s">
        <v>3336</v>
      </c>
      <c r="H1514" s="19" t="s">
        <v>3476</v>
      </c>
      <c r="I1514" s="19" t="s">
        <v>3476</v>
      </c>
      <c r="J1514" s="19" t="s">
        <v>1110</v>
      </c>
      <c r="K1514" s="19" t="s">
        <v>6</v>
      </c>
      <c r="L1514" s="19" t="s">
        <v>1095</v>
      </c>
      <c r="M1514" s="19" t="s">
        <v>1095</v>
      </c>
      <c r="N1514" s="19" t="s">
        <v>3477</v>
      </c>
      <c r="R1514" t="s">
        <v>1097</v>
      </c>
    </row>
    <row r="1515" spans="1:18" hidden="1" x14ac:dyDescent="0.3">
      <c r="A1515" s="19">
        <f t="shared" si="23"/>
        <v>1514</v>
      </c>
      <c r="B1515" s="20" t="s">
        <v>87</v>
      </c>
      <c r="C1515" s="20" t="s">
        <v>93</v>
      </c>
      <c r="D1515" s="21" t="str">
        <f>IF($C1515="","",IFERROR(VLOOKUP($C1515,Map_Register!$A$2:$C$5,3,FALSE()),""))</f>
        <v>Cultural Heritage Area</v>
      </c>
      <c r="E1515" s="20" t="s">
        <v>15</v>
      </c>
      <c r="F1515" s="22">
        <v>530903</v>
      </c>
      <c r="G1515" s="19" t="s">
        <v>3336</v>
      </c>
      <c r="H1515" s="19" t="s">
        <v>3478</v>
      </c>
      <c r="I1515" s="19" t="s">
        <v>3478</v>
      </c>
      <c r="J1515" s="19" t="s">
        <v>1110</v>
      </c>
      <c r="K1515" s="19" t="s">
        <v>6</v>
      </c>
      <c r="L1515" s="19" t="s">
        <v>1095</v>
      </c>
      <c r="M1515" s="19" t="s">
        <v>1095</v>
      </c>
      <c r="N1515" s="19" t="s">
        <v>3479</v>
      </c>
      <c r="R1515" t="s">
        <v>1097</v>
      </c>
    </row>
    <row r="1516" spans="1:18" hidden="1" x14ac:dyDescent="0.3">
      <c r="A1516" s="19">
        <f t="shared" si="23"/>
        <v>1515</v>
      </c>
      <c r="B1516" s="20" t="s">
        <v>87</v>
      </c>
      <c r="C1516" s="20" t="s">
        <v>93</v>
      </c>
      <c r="D1516" s="21" t="str">
        <f>IF($C1516="","",IFERROR(VLOOKUP($C1516,Map_Register!$A$2:$C$5,3,FALSE()),""))</f>
        <v>Cultural Heritage Area</v>
      </c>
      <c r="E1516" s="20" t="s">
        <v>15</v>
      </c>
      <c r="F1516" s="22">
        <v>531063</v>
      </c>
      <c r="G1516" s="19" t="s">
        <v>3336</v>
      </c>
      <c r="H1516" s="19" t="s">
        <v>3480</v>
      </c>
      <c r="I1516" s="19" t="s">
        <v>3480</v>
      </c>
      <c r="J1516" s="19" t="s">
        <v>1110</v>
      </c>
      <c r="K1516" s="19" t="s">
        <v>6</v>
      </c>
      <c r="L1516" s="19" t="s">
        <v>1095</v>
      </c>
      <c r="M1516" s="19" t="s">
        <v>1095</v>
      </c>
      <c r="N1516" s="19" t="s">
        <v>3473</v>
      </c>
      <c r="R1516" t="s">
        <v>1097</v>
      </c>
    </row>
    <row r="1517" spans="1:18" hidden="1" x14ac:dyDescent="0.3">
      <c r="A1517" s="19">
        <f t="shared" si="23"/>
        <v>1516</v>
      </c>
      <c r="B1517" s="20" t="s">
        <v>87</v>
      </c>
      <c r="C1517" s="20" t="s">
        <v>93</v>
      </c>
      <c r="D1517" s="21" t="str">
        <f>IF($C1517="","",IFERROR(VLOOKUP($C1517,Map_Register!$A$2:$C$5,3,FALSE()),""))</f>
        <v>Cultural Heritage Area</v>
      </c>
      <c r="E1517" s="20" t="s">
        <v>15</v>
      </c>
      <c r="F1517" s="22">
        <v>531064</v>
      </c>
      <c r="G1517" s="19" t="s">
        <v>3336</v>
      </c>
      <c r="H1517" s="19" t="s">
        <v>3481</v>
      </c>
      <c r="I1517" s="19" t="s">
        <v>3481</v>
      </c>
      <c r="J1517" s="19" t="s">
        <v>1110</v>
      </c>
      <c r="K1517" s="19" t="s">
        <v>6</v>
      </c>
      <c r="L1517" s="19" t="s">
        <v>1095</v>
      </c>
      <c r="M1517" s="19" t="s">
        <v>1095</v>
      </c>
      <c r="N1517" s="19" t="s">
        <v>3473</v>
      </c>
      <c r="R1517" t="s">
        <v>1097</v>
      </c>
    </row>
    <row r="1518" spans="1:18" hidden="1" x14ac:dyDescent="0.3">
      <c r="A1518" s="19">
        <f t="shared" si="23"/>
        <v>1517</v>
      </c>
      <c r="B1518" s="20" t="s">
        <v>87</v>
      </c>
      <c r="C1518" s="20" t="s">
        <v>93</v>
      </c>
      <c r="D1518" s="21" t="str">
        <f>IF($C1518="","",IFERROR(VLOOKUP($C1518,Map_Register!$A$2:$C$5,3,FALSE()),""))</f>
        <v>Cultural Heritage Area</v>
      </c>
      <c r="E1518" s="20" t="s">
        <v>15</v>
      </c>
      <c r="F1518" s="22">
        <v>531065</v>
      </c>
      <c r="G1518" s="19" t="s">
        <v>3336</v>
      </c>
      <c r="H1518" s="19" t="s">
        <v>3482</v>
      </c>
      <c r="I1518" s="19" t="s">
        <v>3482</v>
      </c>
      <c r="J1518" s="19" t="s">
        <v>1110</v>
      </c>
      <c r="K1518" s="19" t="s">
        <v>6</v>
      </c>
      <c r="L1518" s="19" t="s">
        <v>1095</v>
      </c>
      <c r="M1518" s="19" t="s">
        <v>1095</v>
      </c>
      <c r="N1518" s="19" t="s">
        <v>3473</v>
      </c>
      <c r="R1518" t="s">
        <v>1097</v>
      </c>
    </row>
    <row r="1519" spans="1:18" hidden="1" x14ac:dyDescent="0.3">
      <c r="A1519" s="19">
        <f t="shared" si="23"/>
        <v>1518</v>
      </c>
      <c r="B1519" s="20" t="s">
        <v>87</v>
      </c>
      <c r="C1519" s="20" t="s">
        <v>93</v>
      </c>
      <c r="D1519" s="21" t="str">
        <f>IF($C1519="","",IFERROR(VLOOKUP($C1519,Map_Register!$A$2:$C$5,3,FALSE()),""))</f>
        <v>Cultural Heritage Area</v>
      </c>
      <c r="E1519" s="20" t="s">
        <v>15</v>
      </c>
      <c r="F1519" s="22">
        <v>531066</v>
      </c>
      <c r="G1519" s="19" t="s">
        <v>3336</v>
      </c>
      <c r="H1519" s="19" t="s">
        <v>3483</v>
      </c>
      <c r="I1519" s="19" t="s">
        <v>3483</v>
      </c>
      <c r="J1519" s="19" t="s">
        <v>1110</v>
      </c>
      <c r="K1519" s="19" t="s">
        <v>6</v>
      </c>
      <c r="L1519" s="19" t="s">
        <v>1095</v>
      </c>
      <c r="M1519" s="19" t="s">
        <v>1095</v>
      </c>
      <c r="N1519" s="19" t="s">
        <v>3484</v>
      </c>
      <c r="R1519" t="s">
        <v>1097</v>
      </c>
    </row>
    <row r="1520" spans="1:18" hidden="1" x14ac:dyDescent="0.3">
      <c r="A1520" s="19">
        <f t="shared" si="23"/>
        <v>1519</v>
      </c>
      <c r="B1520" s="20" t="s">
        <v>87</v>
      </c>
      <c r="C1520" s="20" t="s">
        <v>93</v>
      </c>
      <c r="D1520" s="21" t="str">
        <f>IF($C1520="","",IFERROR(VLOOKUP($C1520,Map_Register!$A$2:$C$5,3,FALSE()),""))</f>
        <v>Cultural Heritage Area</v>
      </c>
      <c r="E1520" s="20" t="s">
        <v>15</v>
      </c>
      <c r="F1520" s="22">
        <v>531067</v>
      </c>
      <c r="G1520" s="19" t="s">
        <v>3336</v>
      </c>
      <c r="H1520" s="19" t="s">
        <v>3485</v>
      </c>
      <c r="I1520" s="19" t="s">
        <v>3485</v>
      </c>
      <c r="J1520" s="19" t="s">
        <v>1110</v>
      </c>
      <c r="K1520" s="19" t="s">
        <v>6</v>
      </c>
      <c r="L1520" s="19" t="s">
        <v>1095</v>
      </c>
      <c r="M1520" s="19" t="s">
        <v>1095</v>
      </c>
      <c r="N1520" s="19" t="s">
        <v>3473</v>
      </c>
      <c r="R1520" t="s">
        <v>1097</v>
      </c>
    </row>
    <row r="1521" spans="1:18" hidden="1" x14ac:dyDescent="0.3">
      <c r="A1521" s="19">
        <f t="shared" si="23"/>
        <v>1520</v>
      </c>
      <c r="B1521" s="20" t="s">
        <v>87</v>
      </c>
      <c r="C1521" s="20" t="s">
        <v>93</v>
      </c>
      <c r="D1521" s="21" t="str">
        <f>IF($C1521="","",IFERROR(VLOOKUP($C1521,Map_Register!$A$2:$C$5,3,FALSE()),""))</f>
        <v>Cultural Heritage Area</v>
      </c>
      <c r="E1521" s="20" t="s">
        <v>15</v>
      </c>
      <c r="F1521" s="22">
        <v>531068</v>
      </c>
      <c r="G1521" s="19" t="s">
        <v>3336</v>
      </c>
      <c r="H1521" s="19" t="s">
        <v>3486</v>
      </c>
      <c r="I1521" s="19" t="s">
        <v>3486</v>
      </c>
      <c r="J1521" s="19" t="s">
        <v>1110</v>
      </c>
      <c r="K1521" s="19" t="s">
        <v>6</v>
      </c>
      <c r="L1521" s="19" t="s">
        <v>1095</v>
      </c>
      <c r="M1521" s="19" t="s">
        <v>1095</v>
      </c>
      <c r="N1521" s="19" t="s">
        <v>3473</v>
      </c>
      <c r="R1521" t="s">
        <v>1097</v>
      </c>
    </row>
    <row r="1522" spans="1:18" hidden="1" x14ac:dyDescent="0.3">
      <c r="A1522" s="19">
        <f t="shared" si="23"/>
        <v>1521</v>
      </c>
      <c r="B1522" s="20" t="s">
        <v>87</v>
      </c>
      <c r="C1522" s="20" t="s">
        <v>93</v>
      </c>
      <c r="D1522" s="21" t="str">
        <f>IF($C1522="","",IFERROR(VLOOKUP($C1522,Map_Register!$A$2:$C$5,3,FALSE()),""))</f>
        <v>Cultural Heritage Area</v>
      </c>
      <c r="E1522" s="20" t="s">
        <v>15</v>
      </c>
      <c r="F1522" s="22">
        <v>531069</v>
      </c>
      <c r="G1522" s="19" t="s">
        <v>3336</v>
      </c>
      <c r="H1522" s="19" t="s">
        <v>3487</v>
      </c>
      <c r="I1522" s="19" t="s">
        <v>3487</v>
      </c>
      <c r="J1522" s="19" t="s">
        <v>1110</v>
      </c>
      <c r="K1522" s="19" t="s">
        <v>6</v>
      </c>
      <c r="L1522" s="19" t="s">
        <v>1095</v>
      </c>
      <c r="M1522" s="19" t="s">
        <v>1095</v>
      </c>
      <c r="N1522" s="19" t="s">
        <v>3470</v>
      </c>
      <c r="R1522" t="s">
        <v>1097</v>
      </c>
    </row>
    <row r="1523" spans="1:18" hidden="1" x14ac:dyDescent="0.3">
      <c r="A1523" s="19">
        <f t="shared" si="23"/>
        <v>1522</v>
      </c>
      <c r="B1523" s="20" t="s">
        <v>87</v>
      </c>
      <c r="C1523" s="20" t="s">
        <v>93</v>
      </c>
      <c r="D1523" s="21" t="str">
        <f>IF($C1523="","",IFERROR(VLOOKUP($C1523,Map_Register!$A$2:$C$5,3,FALSE()),""))</f>
        <v>Cultural Heritage Area</v>
      </c>
      <c r="E1523" s="20" t="s">
        <v>15</v>
      </c>
      <c r="F1523" s="22">
        <v>531070</v>
      </c>
      <c r="G1523" s="19" t="s">
        <v>3336</v>
      </c>
      <c r="H1523" s="19" t="s">
        <v>3488</v>
      </c>
      <c r="I1523" s="19" t="s">
        <v>3488</v>
      </c>
      <c r="J1523" s="19" t="s">
        <v>1110</v>
      </c>
      <c r="K1523" s="19" t="s">
        <v>6</v>
      </c>
      <c r="L1523" s="19" t="s">
        <v>1095</v>
      </c>
      <c r="M1523" s="19" t="s">
        <v>1095</v>
      </c>
      <c r="N1523" s="19" t="s">
        <v>3473</v>
      </c>
      <c r="R1523" t="s">
        <v>1097</v>
      </c>
    </row>
    <row r="1524" spans="1:18" hidden="1" x14ac:dyDescent="0.3">
      <c r="A1524" s="19">
        <f t="shared" si="23"/>
        <v>1523</v>
      </c>
      <c r="B1524" s="20" t="s">
        <v>87</v>
      </c>
      <c r="C1524" s="20" t="s">
        <v>93</v>
      </c>
      <c r="D1524" s="21" t="str">
        <f>IF($C1524="","",IFERROR(VLOOKUP($C1524,Map_Register!$A$2:$C$5,3,FALSE()),""))</f>
        <v>Cultural Heritage Area</v>
      </c>
      <c r="E1524" s="20" t="s">
        <v>15</v>
      </c>
      <c r="F1524" s="22">
        <v>531071</v>
      </c>
      <c r="G1524" s="19" t="s">
        <v>1556</v>
      </c>
      <c r="H1524" s="19" t="s">
        <v>3489</v>
      </c>
      <c r="I1524" s="19" t="s">
        <v>3490</v>
      </c>
      <c r="J1524" s="19" t="s">
        <v>3334</v>
      </c>
      <c r="K1524" s="19" t="s">
        <v>1030</v>
      </c>
      <c r="L1524" s="19" t="s">
        <v>1095</v>
      </c>
      <c r="M1524" s="19" t="s">
        <v>1095</v>
      </c>
      <c r="N1524" s="19" t="s">
        <v>1105</v>
      </c>
      <c r="Q1524" s="19" t="s">
        <v>2569</v>
      </c>
      <c r="R1524" t="s">
        <v>1097</v>
      </c>
    </row>
    <row r="1525" spans="1:18" hidden="1" x14ac:dyDescent="0.3">
      <c r="A1525" s="19">
        <f t="shared" si="23"/>
        <v>1524</v>
      </c>
      <c r="B1525" s="20" t="s">
        <v>87</v>
      </c>
      <c r="C1525" s="20" t="s">
        <v>93</v>
      </c>
      <c r="D1525" s="21" t="str">
        <f>IF($C1525="","",IFERROR(VLOOKUP($C1525,Map_Register!$A$2:$C$5,3,FALSE()),""))</f>
        <v>Cultural Heritage Area</v>
      </c>
      <c r="E1525" s="20" t="s">
        <v>15</v>
      </c>
      <c r="F1525" s="22">
        <v>531072</v>
      </c>
      <c r="G1525" s="19" t="s">
        <v>3336</v>
      </c>
      <c r="H1525" s="19" t="s">
        <v>3491</v>
      </c>
      <c r="I1525" s="19" t="s">
        <v>3491</v>
      </c>
      <c r="J1525" s="19" t="s">
        <v>1110</v>
      </c>
      <c r="K1525" s="19" t="s">
        <v>6</v>
      </c>
      <c r="L1525" s="19" t="s">
        <v>1095</v>
      </c>
      <c r="M1525" s="19" t="s">
        <v>1095</v>
      </c>
      <c r="N1525" s="19" t="s">
        <v>3484</v>
      </c>
      <c r="R1525" t="s">
        <v>1097</v>
      </c>
    </row>
    <row r="1526" spans="1:18" hidden="1" x14ac:dyDescent="0.3">
      <c r="A1526" s="19">
        <f t="shared" si="23"/>
        <v>1525</v>
      </c>
      <c r="B1526" s="20" t="s">
        <v>87</v>
      </c>
      <c r="C1526" s="20" t="s">
        <v>93</v>
      </c>
      <c r="D1526" s="21" t="str">
        <f>IF($C1526="","",IFERROR(VLOOKUP($C1526,Map_Register!$A$2:$C$5,3,FALSE()),""))</f>
        <v>Cultural Heritage Area</v>
      </c>
      <c r="E1526" s="20" t="s">
        <v>15</v>
      </c>
      <c r="F1526" s="22">
        <v>531073</v>
      </c>
      <c r="G1526" s="19" t="s">
        <v>3336</v>
      </c>
      <c r="H1526" s="19" t="s">
        <v>240</v>
      </c>
      <c r="I1526" s="19" t="s">
        <v>240</v>
      </c>
      <c r="J1526" s="19" t="s">
        <v>1110</v>
      </c>
      <c r="K1526" s="19" t="s">
        <v>6</v>
      </c>
      <c r="L1526" s="19" t="s">
        <v>1095</v>
      </c>
      <c r="M1526" s="19" t="s">
        <v>1095</v>
      </c>
      <c r="N1526" s="19" t="s">
        <v>3473</v>
      </c>
      <c r="R1526" t="s">
        <v>1097</v>
      </c>
    </row>
    <row r="1527" spans="1:18" hidden="1" x14ac:dyDescent="0.3">
      <c r="A1527" s="19">
        <f t="shared" si="23"/>
        <v>1526</v>
      </c>
      <c r="B1527" s="20" t="s">
        <v>87</v>
      </c>
      <c r="C1527" s="20" t="s">
        <v>93</v>
      </c>
      <c r="D1527" s="21" t="str">
        <f>IF($C1527="","",IFERROR(VLOOKUP($C1527,Map_Register!$A$2:$C$5,3,FALSE()),""))</f>
        <v>Cultural Heritage Area</v>
      </c>
      <c r="E1527" s="20" t="s">
        <v>15</v>
      </c>
      <c r="F1527" s="22">
        <v>531074</v>
      </c>
      <c r="G1527" s="19" t="s">
        <v>3336</v>
      </c>
      <c r="H1527" s="19" t="s">
        <v>3492</v>
      </c>
      <c r="I1527" s="19" t="s">
        <v>3492</v>
      </c>
      <c r="J1527" s="19" t="s">
        <v>1110</v>
      </c>
      <c r="K1527" s="19" t="s">
        <v>6</v>
      </c>
      <c r="L1527" s="19" t="s">
        <v>1095</v>
      </c>
      <c r="M1527" s="19" t="s">
        <v>1095</v>
      </c>
      <c r="N1527" s="19" t="s">
        <v>3473</v>
      </c>
      <c r="R1527" t="s">
        <v>1097</v>
      </c>
    </row>
    <row r="1528" spans="1:18" hidden="1" x14ac:dyDescent="0.3">
      <c r="A1528" s="19">
        <f t="shared" si="23"/>
        <v>1527</v>
      </c>
      <c r="B1528" s="20" t="s">
        <v>87</v>
      </c>
      <c r="C1528" s="20" t="s">
        <v>93</v>
      </c>
      <c r="D1528" s="21" t="str">
        <f>IF($C1528="","",IFERROR(VLOOKUP($C1528,Map_Register!$A$2:$C$5,3,FALSE()),""))</f>
        <v>Cultural Heritage Area</v>
      </c>
      <c r="E1528" s="20" t="s">
        <v>15</v>
      </c>
      <c r="F1528" s="22">
        <v>531075</v>
      </c>
      <c r="G1528" s="19" t="s">
        <v>3336</v>
      </c>
      <c r="H1528" s="19" t="s">
        <v>3493</v>
      </c>
      <c r="I1528" s="19" t="s">
        <v>3493</v>
      </c>
      <c r="J1528" s="19" t="s">
        <v>1110</v>
      </c>
      <c r="K1528" s="19" t="s">
        <v>6</v>
      </c>
      <c r="L1528" s="19" t="s">
        <v>1095</v>
      </c>
      <c r="M1528" s="19" t="s">
        <v>1095</v>
      </c>
      <c r="N1528" s="19" t="s">
        <v>3473</v>
      </c>
      <c r="R1528" t="s">
        <v>1097</v>
      </c>
    </row>
    <row r="1529" spans="1:18" hidden="1" x14ac:dyDescent="0.3">
      <c r="A1529" s="19">
        <f t="shared" si="23"/>
        <v>1528</v>
      </c>
      <c r="B1529" s="20" t="s">
        <v>87</v>
      </c>
      <c r="C1529" s="20" t="s">
        <v>93</v>
      </c>
      <c r="D1529" s="21" t="str">
        <f>IF($C1529="","",IFERROR(VLOOKUP($C1529,Map_Register!$A$2:$C$5,3,FALSE()),""))</f>
        <v>Cultural Heritage Area</v>
      </c>
      <c r="E1529" s="20" t="s">
        <v>15</v>
      </c>
      <c r="F1529" s="22">
        <v>531086</v>
      </c>
      <c r="G1529" s="19" t="s">
        <v>3336</v>
      </c>
      <c r="H1529" s="19" t="s">
        <v>3494</v>
      </c>
      <c r="I1529" s="19" t="s">
        <v>3494</v>
      </c>
      <c r="J1529" s="19" t="s">
        <v>1110</v>
      </c>
      <c r="K1529" s="19" t="s">
        <v>6</v>
      </c>
      <c r="L1529" s="19" t="s">
        <v>1095</v>
      </c>
      <c r="M1529" s="19" t="s">
        <v>1095</v>
      </c>
      <c r="N1529" s="19" t="s">
        <v>3473</v>
      </c>
      <c r="R1529" t="s">
        <v>1097</v>
      </c>
    </row>
    <row r="1530" spans="1:18" hidden="1" x14ac:dyDescent="0.3">
      <c r="A1530" s="19">
        <f t="shared" si="23"/>
        <v>1529</v>
      </c>
      <c r="B1530" s="20" t="s">
        <v>87</v>
      </c>
      <c r="C1530" s="20" t="s">
        <v>93</v>
      </c>
      <c r="D1530" s="21" t="str">
        <f>IF($C1530="","",IFERROR(VLOOKUP($C1530,Map_Register!$A$2:$C$5,3,FALSE()),""))</f>
        <v>Cultural Heritage Area</v>
      </c>
      <c r="E1530" s="20" t="s">
        <v>15</v>
      </c>
      <c r="F1530" s="22">
        <v>531091</v>
      </c>
      <c r="G1530" s="19" t="s">
        <v>2521</v>
      </c>
      <c r="H1530" s="19" t="s">
        <v>3495</v>
      </c>
      <c r="I1530" s="19" t="s">
        <v>3495</v>
      </c>
      <c r="J1530" s="19" t="s">
        <v>1110</v>
      </c>
      <c r="K1530" s="19" t="s">
        <v>6</v>
      </c>
      <c r="L1530" s="19" t="s">
        <v>1095</v>
      </c>
      <c r="M1530" s="19" t="s">
        <v>1095</v>
      </c>
      <c r="N1530" s="19" t="s">
        <v>3496</v>
      </c>
      <c r="R1530" t="s">
        <v>1097</v>
      </c>
    </row>
    <row r="1531" spans="1:18" hidden="1" x14ac:dyDescent="0.3">
      <c r="A1531" s="19">
        <f t="shared" si="23"/>
        <v>1530</v>
      </c>
      <c r="B1531" s="20" t="s">
        <v>87</v>
      </c>
      <c r="C1531" s="20" t="s">
        <v>93</v>
      </c>
      <c r="D1531" s="21" t="str">
        <f>IF($C1531="","",IFERROR(VLOOKUP($C1531,Map_Register!$A$2:$C$5,3,FALSE()),""))</f>
        <v>Cultural Heritage Area</v>
      </c>
      <c r="E1531" s="20" t="s">
        <v>15</v>
      </c>
      <c r="F1531" s="22">
        <v>531324</v>
      </c>
      <c r="G1531" s="19" t="s">
        <v>2521</v>
      </c>
      <c r="H1531" s="19" t="s">
        <v>3497</v>
      </c>
      <c r="I1531" s="19" t="s">
        <v>3497</v>
      </c>
      <c r="J1531" s="19" t="s">
        <v>1110</v>
      </c>
      <c r="K1531" s="19" t="s">
        <v>6</v>
      </c>
      <c r="L1531" s="19" t="s">
        <v>1095</v>
      </c>
      <c r="M1531" s="19" t="s">
        <v>1095</v>
      </c>
      <c r="N1531" s="19" t="s">
        <v>3496</v>
      </c>
      <c r="R1531" t="s">
        <v>1097</v>
      </c>
    </row>
    <row r="1532" spans="1:18" hidden="1" x14ac:dyDescent="0.3">
      <c r="A1532" s="19">
        <f t="shared" si="23"/>
        <v>1531</v>
      </c>
      <c r="B1532" s="20" t="s">
        <v>87</v>
      </c>
      <c r="C1532" s="20" t="s">
        <v>93</v>
      </c>
      <c r="D1532" s="21" t="str">
        <f>IF($C1532="","",IFERROR(VLOOKUP($C1532,Map_Register!$A$2:$C$5,3,FALSE()),""))</f>
        <v>Cultural Heritage Area</v>
      </c>
      <c r="E1532" s="20" t="s">
        <v>15</v>
      </c>
      <c r="F1532" s="22">
        <v>531325</v>
      </c>
      <c r="G1532" s="19" t="s">
        <v>2521</v>
      </c>
      <c r="H1532" s="19" t="s">
        <v>3498</v>
      </c>
      <c r="I1532" s="19" t="s">
        <v>3498</v>
      </c>
      <c r="J1532" s="19" t="s">
        <v>1110</v>
      </c>
      <c r="K1532" s="19" t="s">
        <v>6</v>
      </c>
      <c r="L1532" s="19" t="s">
        <v>1095</v>
      </c>
      <c r="M1532" s="19" t="s">
        <v>1095</v>
      </c>
      <c r="N1532" s="19" t="s">
        <v>3496</v>
      </c>
      <c r="R1532" t="s">
        <v>1097</v>
      </c>
    </row>
    <row r="1533" spans="1:18" hidden="1" x14ac:dyDescent="0.3">
      <c r="A1533" s="19">
        <f t="shared" si="23"/>
        <v>1532</v>
      </c>
      <c r="B1533" s="20" t="s">
        <v>87</v>
      </c>
      <c r="C1533" s="20" t="s">
        <v>93</v>
      </c>
      <c r="D1533" s="21" t="str">
        <f>IF($C1533="","",IFERROR(VLOOKUP($C1533,Map_Register!$A$2:$C$5,3,FALSE()),""))</f>
        <v>Cultural Heritage Area</v>
      </c>
      <c r="E1533" s="20" t="s">
        <v>15</v>
      </c>
      <c r="F1533" s="22">
        <v>531341</v>
      </c>
      <c r="G1533" s="19" t="s">
        <v>2521</v>
      </c>
      <c r="H1533" s="19" t="s">
        <v>3499</v>
      </c>
      <c r="I1533" s="19" t="s">
        <v>3499</v>
      </c>
      <c r="J1533" s="19" t="s">
        <v>1110</v>
      </c>
      <c r="K1533" s="19" t="s">
        <v>6</v>
      </c>
      <c r="L1533" s="19" t="s">
        <v>1095</v>
      </c>
      <c r="M1533" s="19" t="s">
        <v>1095</v>
      </c>
      <c r="N1533" s="19" t="s">
        <v>3496</v>
      </c>
      <c r="R1533" t="s">
        <v>1097</v>
      </c>
    </row>
    <row r="1534" spans="1:18" hidden="1" x14ac:dyDescent="0.3">
      <c r="A1534" s="19">
        <f t="shared" si="23"/>
        <v>1533</v>
      </c>
      <c r="B1534" s="20" t="s">
        <v>87</v>
      </c>
      <c r="C1534" s="20" t="s">
        <v>93</v>
      </c>
      <c r="D1534" s="21" t="str">
        <f>IF($C1534="","",IFERROR(VLOOKUP($C1534,Map_Register!$A$2:$C$5,3,FALSE()),""))</f>
        <v>Cultural Heritage Area</v>
      </c>
      <c r="E1534" s="20" t="s">
        <v>15</v>
      </c>
      <c r="F1534" s="22">
        <v>531342</v>
      </c>
      <c r="G1534" s="19" t="s">
        <v>2521</v>
      </c>
      <c r="H1534" s="19" t="s">
        <v>3500</v>
      </c>
      <c r="I1534" s="19" t="s">
        <v>3500</v>
      </c>
      <c r="J1534" s="19" t="s">
        <v>1110</v>
      </c>
      <c r="K1534" s="19" t="s">
        <v>6</v>
      </c>
      <c r="L1534" s="19" t="s">
        <v>1095</v>
      </c>
      <c r="M1534" s="19" t="s">
        <v>1095</v>
      </c>
      <c r="N1534" s="19" t="s">
        <v>3496</v>
      </c>
      <c r="R1534" t="s">
        <v>1097</v>
      </c>
    </row>
    <row r="1535" spans="1:18" hidden="1" x14ac:dyDescent="0.3">
      <c r="A1535" s="19">
        <f t="shared" si="23"/>
        <v>1534</v>
      </c>
      <c r="B1535" s="20" t="s">
        <v>87</v>
      </c>
      <c r="C1535" s="20" t="s">
        <v>93</v>
      </c>
      <c r="D1535" s="21" t="str">
        <f>IF($C1535="","",IFERROR(VLOOKUP($C1535,Map_Register!$A$2:$C$5,3,FALSE()),""))</f>
        <v>Cultural Heritage Area</v>
      </c>
      <c r="E1535" s="20" t="s">
        <v>15</v>
      </c>
      <c r="F1535" s="22">
        <v>531359</v>
      </c>
      <c r="G1535" s="19" t="s">
        <v>2521</v>
      </c>
      <c r="H1535" s="19" t="s">
        <v>3501</v>
      </c>
      <c r="I1535" s="19" t="s">
        <v>3501</v>
      </c>
      <c r="J1535" s="19" t="s">
        <v>1110</v>
      </c>
      <c r="K1535" s="19" t="s">
        <v>6</v>
      </c>
      <c r="L1535" s="19" t="s">
        <v>1095</v>
      </c>
      <c r="M1535" s="19" t="s">
        <v>1095</v>
      </c>
      <c r="N1535" s="19" t="s">
        <v>3496</v>
      </c>
      <c r="R1535" t="s">
        <v>1097</v>
      </c>
    </row>
    <row r="1536" spans="1:18" hidden="1" x14ac:dyDescent="0.3">
      <c r="A1536" s="19">
        <f t="shared" si="23"/>
        <v>1535</v>
      </c>
      <c r="B1536" s="20" t="s">
        <v>87</v>
      </c>
      <c r="C1536" s="20" t="s">
        <v>93</v>
      </c>
      <c r="D1536" s="21" t="str">
        <f>IF($C1536="","",IFERROR(VLOOKUP($C1536,Map_Register!$A$2:$C$5,3,FALSE()),""))</f>
        <v>Cultural Heritage Area</v>
      </c>
      <c r="E1536" s="20" t="s">
        <v>15</v>
      </c>
      <c r="F1536" s="22">
        <v>531367</v>
      </c>
      <c r="G1536" s="19" t="s">
        <v>2521</v>
      </c>
      <c r="H1536" s="19" t="s">
        <v>123</v>
      </c>
      <c r="I1536" s="19" t="s">
        <v>123</v>
      </c>
      <c r="J1536" s="19" t="s">
        <v>1110</v>
      </c>
      <c r="K1536" s="19" t="s">
        <v>6</v>
      </c>
      <c r="L1536" s="19" t="s">
        <v>1095</v>
      </c>
      <c r="M1536" s="19" t="s">
        <v>1095</v>
      </c>
      <c r="N1536" s="19" t="s">
        <v>3496</v>
      </c>
      <c r="R1536" t="s">
        <v>1097</v>
      </c>
    </row>
    <row r="1537" spans="1:18" hidden="1" x14ac:dyDescent="0.3">
      <c r="A1537" s="19">
        <f t="shared" si="23"/>
        <v>1536</v>
      </c>
      <c r="B1537" s="20" t="s">
        <v>87</v>
      </c>
      <c r="C1537" s="20" t="s">
        <v>93</v>
      </c>
      <c r="D1537" s="21" t="str">
        <f>IF($C1537="","",IFERROR(VLOOKUP($C1537,Map_Register!$A$2:$C$5,3,FALSE()),""))</f>
        <v>Cultural Heritage Area</v>
      </c>
      <c r="E1537" s="20" t="s">
        <v>15</v>
      </c>
      <c r="F1537" s="22">
        <v>531464</v>
      </c>
      <c r="G1537" s="19" t="s">
        <v>3336</v>
      </c>
      <c r="H1537" s="19" t="s">
        <v>3502</v>
      </c>
      <c r="I1537" s="19" t="s">
        <v>3502</v>
      </c>
      <c r="J1537" s="19" t="s">
        <v>1110</v>
      </c>
      <c r="K1537" s="19" t="s">
        <v>6</v>
      </c>
      <c r="L1537" s="19" t="s">
        <v>1095</v>
      </c>
      <c r="M1537" s="19" t="s">
        <v>1095</v>
      </c>
      <c r="N1537" s="19" t="s">
        <v>3470</v>
      </c>
      <c r="R1537" t="s">
        <v>1097</v>
      </c>
    </row>
    <row r="1538" spans="1:18" hidden="1" x14ac:dyDescent="0.3">
      <c r="A1538" s="19">
        <f t="shared" ref="A1538:A1581" si="24">IF($B1538="","",ROW()-1)</f>
        <v>1537</v>
      </c>
      <c r="B1538" s="20" t="s">
        <v>87</v>
      </c>
      <c r="C1538" s="20" t="s">
        <v>93</v>
      </c>
      <c r="D1538" s="21" t="str">
        <f>IF($C1538="","",IFERROR(VLOOKUP($C1538,Map_Register!$A$2:$C$5,3,FALSE()),""))</f>
        <v>Cultural Heritage Area</v>
      </c>
      <c r="E1538" s="20" t="s">
        <v>15</v>
      </c>
      <c r="F1538" s="22">
        <v>531468</v>
      </c>
      <c r="G1538" s="19" t="s">
        <v>3336</v>
      </c>
      <c r="H1538" s="19" t="s">
        <v>3503</v>
      </c>
      <c r="I1538" s="19" t="s">
        <v>3503</v>
      </c>
      <c r="J1538" s="19" t="s">
        <v>1110</v>
      </c>
      <c r="K1538" s="19" t="s">
        <v>6</v>
      </c>
      <c r="L1538" s="19" t="s">
        <v>1095</v>
      </c>
      <c r="M1538" s="19" t="s">
        <v>1095</v>
      </c>
      <c r="N1538" s="19" t="s">
        <v>3351</v>
      </c>
      <c r="R1538" t="s">
        <v>1097</v>
      </c>
    </row>
    <row r="1539" spans="1:18" hidden="1" x14ac:dyDescent="0.3">
      <c r="A1539" s="19">
        <f t="shared" si="24"/>
        <v>1538</v>
      </c>
      <c r="B1539" s="20" t="s">
        <v>87</v>
      </c>
      <c r="C1539" s="20" t="s">
        <v>93</v>
      </c>
      <c r="D1539" s="21" t="str">
        <f>IF($C1539="","",IFERROR(VLOOKUP($C1539,Map_Register!$A$2:$C$5,3,FALSE()),""))</f>
        <v>Cultural Heritage Area</v>
      </c>
      <c r="E1539" s="20" t="s">
        <v>15</v>
      </c>
      <c r="F1539" s="22">
        <v>531653</v>
      </c>
      <c r="G1539" s="19" t="s">
        <v>2816</v>
      </c>
      <c r="H1539" s="19" t="s">
        <v>3504</v>
      </c>
      <c r="I1539" s="19" t="s">
        <v>3504</v>
      </c>
      <c r="J1539" s="19" t="s">
        <v>1110</v>
      </c>
      <c r="K1539" s="19" t="s">
        <v>6</v>
      </c>
      <c r="L1539" s="19" t="s">
        <v>1095</v>
      </c>
      <c r="M1539" s="19" t="s">
        <v>1095</v>
      </c>
      <c r="N1539" s="19" t="s">
        <v>3496</v>
      </c>
      <c r="R1539" t="s">
        <v>1097</v>
      </c>
    </row>
    <row r="1540" spans="1:18" hidden="1" x14ac:dyDescent="0.3">
      <c r="A1540" s="19">
        <f t="shared" si="24"/>
        <v>1539</v>
      </c>
      <c r="B1540" s="20" t="s">
        <v>87</v>
      </c>
      <c r="C1540" s="20" t="s">
        <v>93</v>
      </c>
      <c r="D1540" s="21" t="str">
        <f>IF($C1540="","",IFERROR(VLOOKUP($C1540,Map_Register!$A$2:$C$5,3,FALSE()),""))</f>
        <v>Cultural Heritage Area</v>
      </c>
      <c r="E1540" s="20" t="s">
        <v>15</v>
      </c>
      <c r="F1540" s="22">
        <v>531684</v>
      </c>
      <c r="G1540" s="19" t="s">
        <v>2521</v>
      </c>
      <c r="H1540" s="19" t="s">
        <v>160</v>
      </c>
      <c r="I1540" s="19" t="s">
        <v>160</v>
      </c>
      <c r="J1540" s="19" t="s">
        <v>1110</v>
      </c>
      <c r="K1540" s="19" t="s">
        <v>6</v>
      </c>
      <c r="L1540" s="19" t="s">
        <v>1095</v>
      </c>
      <c r="M1540" s="19" t="s">
        <v>1095</v>
      </c>
      <c r="N1540" s="19" t="s">
        <v>3496</v>
      </c>
      <c r="R1540" t="s">
        <v>1097</v>
      </c>
    </row>
    <row r="1541" spans="1:18" hidden="1" x14ac:dyDescent="0.3">
      <c r="A1541" s="19">
        <f t="shared" si="24"/>
        <v>1540</v>
      </c>
      <c r="B1541" s="20" t="s">
        <v>87</v>
      </c>
      <c r="C1541" s="20" t="s">
        <v>93</v>
      </c>
      <c r="D1541" s="21" t="str">
        <f>IF($C1541="","",IFERROR(VLOOKUP($C1541,Map_Register!$A$2:$C$5,3,FALSE()),""))</f>
        <v>Cultural Heritage Area</v>
      </c>
      <c r="E1541" s="20" t="s">
        <v>15</v>
      </c>
      <c r="F1541" s="22">
        <v>531689</v>
      </c>
      <c r="G1541" s="19" t="s">
        <v>3336</v>
      </c>
      <c r="H1541" s="19" t="s">
        <v>3505</v>
      </c>
      <c r="I1541" s="19" t="s">
        <v>3505</v>
      </c>
      <c r="J1541" s="19" t="s">
        <v>1110</v>
      </c>
      <c r="K1541" s="19" t="s">
        <v>6</v>
      </c>
      <c r="L1541" s="19" t="s">
        <v>1095</v>
      </c>
      <c r="M1541" s="19" t="s">
        <v>1095</v>
      </c>
      <c r="N1541" s="19" t="s">
        <v>3470</v>
      </c>
      <c r="R1541" t="s">
        <v>1097</v>
      </c>
    </row>
    <row r="1542" spans="1:18" hidden="1" x14ac:dyDescent="0.3">
      <c r="A1542" s="19">
        <f t="shared" si="24"/>
        <v>1541</v>
      </c>
      <c r="B1542" s="20" t="s">
        <v>87</v>
      </c>
      <c r="C1542" s="20" t="s">
        <v>93</v>
      </c>
      <c r="D1542" s="21" t="str">
        <f>IF($C1542="","",IFERROR(VLOOKUP($C1542,Map_Register!$A$2:$C$5,3,FALSE()),""))</f>
        <v>Cultural Heritage Area</v>
      </c>
      <c r="E1542" s="20" t="s">
        <v>15</v>
      </c>
      <c r="F1542" s="22">
        <v>531691</v>
      </c>
      <c r="G1542" s="19" t="s">
        <v>3336</v>
      </c>
      <c r="H1542" s="19" t="s">
        <v>3506</v>
      </c>
      <c r="I1542" s="19" t="s">
        <v>3506</v>
      </c>
      <c r="J1542" s="19" t="s">
        <v>1110</v>
      </c>
      <c r="K1542" s="19" t="s">
        <v>6</v>
      </c>
      <c r="L1542" s="19" t="s">
        <v>1095</v>
      </c>
      <c r="M1542" s="19" t="s">
        <v>1095</v>
      </c>
      <c r="N1542" s="19" t="s">
        <v>3470</v>
      </c>
      <c r="R1542" t="s">
        <v>1097</v>
      </c>
    </row>
    <row r="1543" spans="1:18" hidden="1" x14ac:dyDescent="0.3">
      <c r="A1543" s="19">
        <f t="shared" si="24"/>
        <v>1542</v>
      </c>
      <c r="B1543" s="20" t="s">
        <v>87</v>
      </c>
      <c r="C1543" s="20" t="s">
        <v>93</v>
      </c>
      <c r="D1543" s="21" t="str">
        <f>IF($C1543="","",IFERROR(VLOOKUP($C1543,Map_Register!$A$2:$C$5,3,FALSE()),""))</f>
        <v>Cultural Heritage Area</v>
      </c>
      <c r="E1543" s="20" t="s">
        <v>15</v>
      </c>
      <c r="F1543" s="22">
        <v>531695</v>
      </c>
      <c r="G1543" s="19" t="s">
        <v>3336</v>
      </c>
      <c r="H1543" s="19" t="s">
        <v>3507</v>
      </c>
      <c r="I1543" s="19" t="s">
        <v>3507</v>
      </c>
      <c r="J1543" s="19" t="s">
        <v>1110</v>
      </c>
      <c r="K1543" s="19" t="s">
        <v>6</v>
      </c>
      <c r="L1543" s="19" t="s">
        <v>1095</v>
      </c>
      <c r="M1543" s="19" t="s">
        <v>1095</v>
      </c>
      <c r="N1543" s="19" t="s">
        <v>3473</v>
      </c>
      <c r="R1543" t="s">
        <v>1097</v>
      </c>
    </row>
    <row r="1544" spans="1:18" hidden="1" x14ac:dyDescent="0.3">
      <c r="A1544" s="19">
        <f t="shared" si="24"/>
        <v>1543</v>
      </c>
      <c r="B1544" s="20" t="s">
        <v>87</v>
      </c>
      <c r="C1544" s="20" t="s">
        <v>93</v>
      </c>
      <c r="D1544" s="21" t="str">
        <f>IF($C1544="","",IFERROR(VLOOKUP($C1544,Map_Register!$A$2:$C$5,3,FALSE()),""))</f>
        <v>Cultural Heritage Area</v>
      </c>
      <c r="E1544" s="20" t="s">
        <v>15</v>
      </c>
      <c r="F1544" s="22">
        <v>531729</v>
      </c>
      <c r="G1544" s="19" t="s">
        <v>3336</v>
      </c>
      <c r="H1544" s="19" t="s">
        <v>3508</v>
      </c>
      <c r="I1544" s="19" t="s">
        <v>3508</v>
      </c>
      <c r="J1544" s="19" t="s">
        <v>1110</v>
      </c>
      <c r="K1544" s="19" t="s">
        <v>6</v>
      </c>
      <c r="L1544" s="19" t="s">
        <v>1095</v>
      </c>
      <c r="M1544" s="19" t="s">
        <v>1095</v>
      </c>
      <c r="N1544" s="19" t="s">
        <v>3509</v>
      </c>
      <c r="R1544" t="s">
        <v>1097</v>
      </c>
    </row>
    <row r="1545" spans="1:18" hidden="1" x14ac:dyDescent="0.3">
      <c r="A1545" s="19">
        <f t="shared" si="24"/>
        <v>1544</v>
      </c>
      <c r="B1545" s="20" t="s">
        <v>87</v>
      </c>
      <c r="C1545" s="20" t="s">
        <v>93</v>
      </c>
      <c r="D1545" s="21" t="str">
        <f>IF($C1545="","",IFERROR(VLOOKUP($C1545,Map_Register!$A$2:$C$5,3,FALSE()),""))</f>
        <v>Cultural Heritage Area</v>
      </c>
      <c r="E1545" s="20" t="s">
        <v>15</v>
      </c>
      <c r="F1545" s="22">
        <v>531742</v>
      </c>
      <c r="G1545" s="19" t="s">
        <v>2521</v>
      </c>
      <c r="H1545" s="19" t="s">
        <v>120</v>
      </c>
      <c r="I1545" s="19" t="s">
        <v>120</v>
      </c>
      <c r="J1545" s="19" t="s">
        <v>1110</v>
      </c>
      <c r="K1545" s="19" t="s">
        <v>6</v>
      </c>
      <c r="L1545" s="19" t="s">
        <v>1095</v>
      </c>
      <c r="M1545" s="19" t="s">
        <v>1095</v>
      </c>
      <c r="N1545" s="19" t="s">
        <v>3496</v>
      </c>
      <c r="R1545" t="s">
        <v>1097</v>
      </c>
    </row>
    <row r="1546" spans="1:18" hidden="1" x14ac:dyDescent="0.3">
      <c r="A1546" s="19">
        <f t="shared" si="24"/>
        <v>1545</v>
      </c>
      <c r="B1546" s="20" t="s">
        <v>87</v>
      </c>
      <c r="C1546" s="20" t="s">
        <v>93</v>
      </c>
      <c r="D1546" s="21" t="str">
        <f>IF($C1546="","",IFERROR(VLOOKUP($C1546,Map_Register!$A$2:$C$5,3,FALSE()),""))</f>
        <v>Cultural Heritage Area</v>
      </c>
      <c r="E1546" s="20" t="s">
        <v>15</v>
      </c>
      <c r="F1546" s="22">
        <v>531743</v>
      </c>
      <c r="G1546" s="19" t="s">
        <v>2521</v>
      </c>
      <c r="H1546" s="19" t="s">
        <v>3510</v>
      </c>
      <c r="I1546" s="19" t="s">
        <v>3510</v>
      </c>
      <c r="J1546" s="19" t="s">
        <v>1110</v>
      </c>
      <c r="K1546" s="19" t="s">
        <v>6</v>
      </c>
      <c r="L1546" s="19" t="s">
        <v>1095</v>
      </c>
      <c r="M1546" s="19" t="s">
        <v>1095</v>
      </c>
      <c r="N1546" s="19" t="s">
        <v>3496</v>
      </c>
      <c r="R1546" t="s">
        <v>1097</v>
      </c>
    </row>
    <row r="1547" spans="1:18" hidden="1" x14ac:dyDescent="0.3">
      <c r="A1547" s="19">
        <f t="shared" si="24"/>
        <v>1546</v>
      </c>
      <c r="B1547" s="20" t="s">
        <v>87</v>
      </c>
      <c r="C1547" s="20" t="s">
        <v>93</v>
      </c>
      <c r="D1547" s="21" t="str">
        <f>IF($C1547="","",IFERROR(VLOOKUP($C1547,Map_Register!$A$2:$C$5,3,FALSE()),""))</f>
        <v>Cultural Heritage Area</v>
      </c>
      <c r="E1547" s="20" t="s">
        <v>15</v>
      </c>
      <c r="F1547" s="22">
        <v>531751</v>
      </c>
      <c r="G1547" s="19" t="s">
        <v>2521</v>
      </c>
      <c r="H1547" s="19" t="s">
        <v>3511</v>
      </c>
      <c r="I1547" s="19" t="s">
        <v>3511</v>
      </c>
      <c r="J1547" s="19" t="s">
        <v>1110</v>
      </c>
      <c r="K1547" s="19" t="s">
        <v>6</v>
      </c>
      <c r="L1547" s="19" t="s">
        <v>1095</v>
      </c>
      <c r="M1547" s="19" t="s">
        <v>1095</v>
      </c>
      <c r="N1547" s="19" t="s">
        <v>3496</v>
      </c>
      <c r="R1547" t="s">
        <v>1097</v>
      </c>
    </row>
    <row r="1548" spans="1:18" hidden="1" x14ac:dyDescent="0.3">
      <c r="A1548" s="19">
        <f t="shared" si="24"/>
        <v>1547</v>
      </c>
      <c r="B1548" s="20" t="s">
        <v>87</v>
      </c>
      <c r="C1548" s="20" t="s">
        <v>93</v>
      </c>
      <c r="D1548" s="21" t="str">
        <f>IF($C1548="","",IFERROR(VLOOKUP($C1548,Map_Register!$A$2:$C$5,3,FALSE()),""))</f>
        <v>Cultural Heritage Area</v>
      </c>
      <c r="E1548" s="20" t="s">
        <v>15</v>
      </c>
      <c r="F1548" s="22">
        <v>531753</v>
      </c>
      <c r="G1548" s="19" t="s">
        <v>2521</v>
      </c>
      <c r="H1548" s="19" t="s">
        <v>3512</v>
      </c>
      <c r="I1548" s="19" t="s">
        <v>3512</v>
      </c>
      <c r="J1548" s="19" t="s">
        <v>1110</v>
      </c>
      <c r="K1548" s="19" t="s">
        <v>6</v>
      </c>
      <c r="L1548" s="19" t="s">
        <v>1095</v>
      </c>
      <c r="M1548" s="19" t="s">
        <v>1095</v>
      </c>
      <c r="N1548" s="19" t="s">
        <v>3496</v>
      </c>
      <c r="R1548" t="s">
        <v>1097</v>
      </c>
    </row>
    <row r="1549" spans="1:18" hidden="1" x14ac:dyDescent="0.3">
      <c r="A1549" s="19">
        <f t="shared" si="24"/>
        <v>1548</v>
      </c>
      <c r="B1549" s="20" t="s">
        <v>87</v>
      </c>
      <c r="C1549" s="20" t="s">
        <v>93</v>
      </c>
      <c r="D1549" s="21" t="str">
        <f>IF($C1549="","",IFERROR(VLOOKUP($C1549,Map_Register!$A$2:$C$5,3,FALSE()),""))</f>
        <v>Cultural Heritage Area</v>
      </c>
      <c r="E1549" s="20" t="s">
        <v>15</v>
      </c>
      <c r="F1549" s="22">
        <v>531763</v>
      </c>
      <c r="G1549" s="19" t="s">
        <v>2521</v>
      </c>
      <c r="H1549" s="19" t="s">
        <v>1368</v>
      </c>
      <c r="I1549" s="19" t="s">
        <v>1368</v>
      </c>
      <c r="J1549" s="19" t="s">
        <v>1110</v>
      </c>
      <c r="K1549" s="19" t="s">
        <v>6</v>
      </c>
      <c r="L1549" s="19" t="s">
        <v>1095</v>
      </c>
      <c r="M1549" s="19" t="s">
        <v>1095</v>
      </c>
      <c r="N1549" s="19" t="s">
        <v>3496</v>
      </c>
      <c r="R1549" t="s">
        <v>1097</v>
      </c>
    </row>
    <row r="1550" spans="1:18" hidden="1" x14ac:dyDescent="0.3">
      <c r="A1550" s="19">
        <f t="shared" si="24"/>
        <v>1549</v>
      </c>
      <c r="B1550" s="20" t="s">
        <v>87</v>
      </c>
      <c r="C1550" s="20" t="s">
        <v>93</v>
      </c>
      <c r="D1550" s="21" t="str">
        <f>IF($C1550="","",IFERROR(VLOOKUP($C1550,Map_Register!$A$2:$C$5,3,FALSE()),""))</f>
        <v>Cultural Heritage Area</v>
      </c>
      <c r="E1550" s="20" t="s">
        <v>15</v>
      </c>
      <c r="F1550" s="22">
        <v>531997</v>
      </c>
      <c r="G1550" s="19" t="s">
        <v>2521</v>
      </c>
      <c r="H1550" s="19" t="s">
        <v>3513</v>
      </c>
      <c r="I1550" s="19" t="s">
        <v>3513</v>
      </c>
      <c r="J1550" s="19" t="s">
        <v>1110</v>
      </c>
      <c r="K1550" s="19" t="s">
        <v>6</v>
      </c>
      <c r="L1550" s="19" t="s">
        <v>1095</v>
      </c>
      <c r="M1550" s="19" t="s">
        <v>1095</v>
      </c>
      <c r="N1550" s="19" t="s">
        <v>3496</v>
      </c>
      <c r="R1550" t="s">
        <v>1097</v>
      </c>
    </row>
    <row r="1551" spans="1:18" x14ac:dyDescent="0.3">
      <c r="A1551" s="19">
        <f t="shared" si="24"/>
        <v>1550</v>
      </c>
      <c r="B1551" s="20" t="s">
        <v>87</v>
      </c>
      <c r="C1551" s="20" t="s">
        <v>93</v>
      </c>
      <c r="D1551" s="21" t="str">
        <f>IF($C1551="","",IFERROR(VLOOKUP($C1551,Map_Register!$A$2:$C$5,3,FALSE()),""))</f>
        <v>Cultural Heritage Area</v>
      </c>
      <c r="E1551" s="20" t="s">
        <v>15</v>
      </c>
      <c r="F1551" s="22">
        <v>531998</v>
      </c>
      <c r="G1551" s="19" t="s">
        <v>2521</v>
      </c>
      <c r="H1551" s="19" t="s">
        <v>3514</v>
      </c>
      <c r="I1551" s="19" t="s">
        <v>3514</v>
      </c>
      <c r="J1551" s="19" t="s">
        <v>1110</v>
      </c>
      <c r="K1551" s="19" t="s">
        <v>8</v>
      </c>
      <c r="L1551" t="s">
        <v>114</v>
      </c>
      <c r="M1551" t="s">
        <v>116</v>
      </c>
      <c r="N1551" s="19" t="s">
        <v>3515</v>
      </c>
      <c r="O1551" s="19" t="s">
        <v>116</v>
      </c>
      <c r="R1551" t="s">
        <v>1097</v>
      </c>
    </row>
    <row r="1552" spans="1:18" hidden="1" x14ac:dyDescent="0.3">
      <c r="A1552" s="19">
        <f t="shared" si="24"/>
        <v>1551</v>
      </c>
      <c r="B1552" s="20" t="s">
        <v>87</v>
      </c>
      <c r="C1552" s="20" t="s">
        <v>93</v>
      </c>
      <c r="D1552" s="21" t="str">
        <f>IF($C1552="","",IFERROR(VLOOKUP($C1552,Map_Register!$A$2:$C$5,3,FALSE()),""))</f>
        <v>Cultural Heritage Area</v>
      </c>
      <c r="E1552" s="20" t="s">
        <v>15</v>
      </c>
      <c r="F1552" s="22">
        <v>532005</v>
      </c>
      <c r="G1552" s="19" t="s">
        <v>2521</v>
      </c>
      <c r="H1552" s="19" t="s">
        <v>3516</v>
      </c>
      <c r="I1552" s="19" t="s">
        <v>3516</v>
      </c>
      <c r="J1552" s="19" t="s">
        <v>1110</v>
      </c>
      <c r="K1552" s="19" t="s">
        <v>6</v>
      </c>
      <c r="L1552" s="19" t="s">
        <v>1095</v>
      </c>
      <c r="M1552" s="19" t="s">
        <v>1095</v>
      </c>
      <c r="N1552" s="19" t="s">
        <v>3496</v>
      </c>
      <c r="R1552" t="s">
        <v>1097</v>
      </c>
    </row>
    <row r="1553" spans="1:18" hidden="1" x14ac:dyDescent="0.3">
      <c r="A1553" s="19">
        <f t="shared" si="24"/>
        <v>1552</v>
      </c>
      <c r="B1553" s="20" t="s">
        <v>87</v>
      </c>
      <c r="C1553" s="20" t="s">
        <v>93</v>
      </c>
      <c r="D1553" s="21" t="str">
        <f>IF($C1553="","",IFERROR(VLOOKUP($C1553,Map_Register!$A$2:$C$5,3,FALSE()),""))</f>
        <v>Cultural Heritage Area</v>
      </c>
      <c r="E1553" s="20" t="s">
        <v>15</v>
      </c>
      <c r="F1553" s="22">
        <v>532015</v>
      </c>
      <c r="G1553" s="19" t="s">
        <v>2521</v>
      </c>
      <c r="H1553" s="19" t="s">
        <v>3517</v>
      </c>
      <c r="I1553" s="19" t="s">
        <v>3517</v>
      </c>
      <c r="J1553" s="19" t="s">
        <v>1110</v>
      </c>
      <c r="K1553" s="19" t="s">
        <v>6</v>
      </c>
      <c r="L1553" s="19" t="s">
        <v>1095</v>
      </c>
      <c r="M1553" s="19" t="s">
        <v>1095</v>
      </c>
      <c r="N1553" s="19" t="s">
        <v>3496</v>
      </c>
      <c r="R1553" t="s">
        <v>1097</v>
      </c>
    </row>
    <row r="1554" spans="1:18" hidden="1" x14ac:dyDescent="0.3">
      <c r="A1554" s="19">
        <f t="shared" si="24"/>
        <v>1553</v>
      </c>
      <c r="B1554" s="20" t="s">
        <v>87</v>
      </c>
      <c r="C1554" s="20" t="s">
        <v>93</v>
      </c>
      <c r="D1554" s="21" t="str">
        <f>IF($C1554="","",IFERROR(VLOOKUP($C1554,Map_Register!$A$2:$C$5,3,FALSE()),""))</f>
        <v>Cultural Heritage Area</v>
      </c>
      <c r="E1554" s="20" t="s">
        <v>15</v>
      </c>
      <c r="F1554" s="22">
        <v>532022</v>
      </c>
      <c r="G1554" s="19" t="s">
        <v>2521</v>
      </c>
      <c r="H1554" s="19" t="s">
        <v>3518</v>
      </c>
      <c r="I1554" s="19" t="s">
        <v>3518</v>
      </c>
      <c r="J1554" s="19" t="s">
        <v>1110</v>
      </c>
      <c r="K1554" s="19" t="s">
        <v>6</v>
      </c>
      <c r="L1554" s="19" t="s">
        <v>1095</v>
      </c>
      <c r="M1554" s="19" t="s">
        <v>1095</v>
      </c>
      <c r="N1554" s="19" t="s">
        <v>3496</v>
      </c>
      <c r="R1554" t="s">
        <v>1097</v>
      </c>
    </row>
    <row r="1555" spans="1:18" hidden="1" x14ac:dyDescent="0.3">
      <c r="A1555" s="19">
        <f t="shared" si="24"/>
        <v>1554</v>
      </c>
      <c r="B1555" s="20" t="s">
        <v>87</v>
      </c>
      <c r="C1555" s="20" t="s">
        <v>93</v>
      </c>
      <c r="D1555" s="21" t="str">
        <f>IF($C1555="","",IFERROR(VLOOKUP($C1555,Map_Register!$A$2:$C$5,3,FALSE()),""))</f>
        <v>Cultural Heritage Area</v>
      </c>
      <c r="E1555" s="20" t="s">
        <v>15</v>
      </c>
      <c r="F1555" s="22">
        <v>532055</v>
      </c>
      <c r="G1555" s="19" t="s">
        <v>2521</v>
      </c>
      <c r="H1555" s="19" t="s">
        <v>3519</v>
      </c>
      <c r="I1555" s="19" t="s">
        <v>3519</v>
      </c>
      <c r="J1555" s="19" t="s">
        <v>1110</v>
      </c>
      <c r="K1555" s="19" t="s">
        <v>6</v>
      </c>
      <c r="L1555" s="19" t="s">
        <v>1095</v>
      </c>
      <c r="M1555" s="19" t="s">
        <v>1095</v>
      </c>
      <c r="N1555" s="19" t="s">
        <v>3496</v>
      </c>
      <c r="R1555" t="s">
        <v>1097</v>
      </c>
    </row>
    <row r="1556" spans="1:18" hidden="1" x14ac:dyDescent="0.3">
      <c r="A1556" s="19">
        <f t="shared" si="24"/>
        <v>1555</v>
      </c>
      <c r="B1556" s="20" t="s">
        <v>87</v>
      </c>
      <c r="C1556" s="20" t="s">
        <v>93</v>
      </c>
      <c r="D1556" s="21" t="str">
        <f>IF($C1556="","",IFERROR(VLOOKUP($C1556,Map_Register!$A$2:$C$5,3,FALSE()),""))</f>
        <v>Cultural Heritage Area</v>
      </c>
      <c r="E1556" s="20" t="s">
        <v>15</v>
      </c>
      <c r="F1556" s="22">
        <v>532067</v>
      </c>
      <c r="G1556" s="19" t="s">
        <v>2521</v>
      </c>
      <c r="H1556" s="19" t="s">
        <v>3520</v>
      </c>
      <c r="I1556" s="19" t="s">
        <v>3520</v>
      </c>
      <c r="J1556" s="19" t="s">
        <v>1110</v>
      </c>
      <c r="K1556" s="19" t="s">
        <v>6</v>
      </c>
      <c r="L1556" s="19" t="s">
        <v>1095</v>
      </c>
      <c r="M1556" s="19" t="s">
        <v>1095</v>
      </c>
      <c r="N1556" s="19" t="s">
        <v>3496</v>
      </c>
      <c r="R1556" t="s">
        <v>1097</v>
      </c>
    </row>
    <row r="1557" spans="1:18" hidden="1" x14ac:dyDescent="0.3">
      <c r="A1557" s="19">
        <f t="shared" si="24"/>
        <v>1556</v>
      </c>
      <c r="B1557" s="20" t="s">
        <v>87</v>
      </c>
      <c r="C1557" s="20" t="s">
        <v>93</v>
      </c>
      <c r="D1557" s="21" t="str">
        <f>IF($C1557="","",IFERROR(VLOOKUP($C1557,Map_Register!$A$2:$C$5,3,FALSE()),""))</f>
        <v>Cultural Heritage Area</v>
      </c>
      <c r="E1557" s="20" t="s">
        <v>15</v>
      </c>
      <c r="F1557" s="22">
        <v>532070</v>
      </c>
      <c r="G1557" s="19" t="s">
        <v>2521</v>
      </c>
      <c r="H1557" s="19" t="s">
        <v>3521</v>
      </c>
      <c r="I1557" s="19" t="s">
        <v>3521</v>
      </c>
      <c r="J1557" s="19" t="s">
        <v>1110</v>
      </c>
      <c r="K1557" s="19" t="s">
        <v>6</v>
      </c>
      <c r="L1557" s="19" t="s">
        <v>1095</v>
      </c>
      <c r="M1557" s="19" t="s">
        <v>1095</v>
      </c>
      <c r="N1557" s="19" t="s">
        <v>3522</v>
      </c>
      <c r="R1557" t="s">
        <v>1097</v>
      </c>
    </row>
    <row r="1558" spans="1:18" hidden="1" x14ac:dyDescent="0.3">
      <c r="A1558" s="19">
        <f t="shared" si="24"/>
        <v>1557</v>
      </c>
      <c r="B1558" s="20" t="s">
        <v>87</v>
      </c>
      <c r="C1558" s="20" t="s">
        <v>93</v>
      </c>
      <c r="D1558" s="21" t="str">
        <f>IF($C1558="","",IFERROR(VLOOKUP($C1558,Map_Register!$A$2:$C$5,3,FALSE()),""))</f>
        <v>Cultural Heritage Area</v>
      </c>
      <c r="E1558" s="20" t="s">
        <v>15</v>
      </c>
      <c r="F1558" s="22">
        <v>789150</v>
      </c>
      <c r="G1558" s="19" t="s">
        <v>3336</v>
      </c>
      <c r="H1558" s="19" t="s">
        <v>3523</v>
      </c>
      <c r="I1558" s="19" t="s">
        <v>3523</v>
      </c>
      <c r="J1558" s="19" t="s">
        <v>1110</v>
      </c>
      <c r="K1558" s="19" t="s">
        <v>6</v>
      </c>
      <c r="L1558" s="19" t="s">
        <v>1095</v>
      </c>
      <c r="M1558" s="19" t="s">
        <v>1095</v>
      </c>
      <c r="N1558" s="19" t="s">
        <v>3473</v>
      </c>
      <c r="R1558" t="s">
        <v>1097</v>
      </c>
    </row>
    <row r="1559" spans="1:18" hidden="1" x14ac:dyDescent="0.3">
      <c r="A1559" s="19">
        <f t="shared" si="24"/>
        <v>1558</v>
      </c>
      <c r="B1559" s="20" t="s">
        <v>87</v>
      </c>
      <c r="C1559" s="20" t="s">
        <v>93</v>
      </c>
      <c r="D1559" s="21" t="str">
        <f>IF($C1559="","",IFERROR(VLOOKUP($C1559,Map_Register!$A$2:$C$5,3,FALSE()),""))</f>
        <v>Cultural Heritage Area</v>
      </c>
      <c r="E1559" s="20" t="s">
        <v>15</v>
      </c>
      <c r="F1559" s="22">
        <v>795367</v>
      </c>
      <c r="G1559" s="19" t="s">
        <v>3336</v>
      </c>
      <c r="H1559" s="19" t="s">
        <v>3524</v>
      </c>
      <c r="I1559" s="19" t="s">
        <v>3524</v>
      </c>
      <c r="J1559" s="19" t="s">
        <v>1110</v>
      </c>
      <c r="K1559" s="19" t="s">
        <v>6</v>
      </c>
      <c r="L1559" s="19" t="s">
        <v>1095</v>
      </c>
      <c r="M1559" s="19" t="s">
        <v>1095</v>
      </c>
      <c r="N1559" s="19" t="s">
        <v>3473</v>
      </c>
      <c r="R1559" t="s">
        <v>1097</v>
      </c>
    </row>
    <row r="1560" spans="1:18" hidden="1" x14ac:dyDescent="0.3">
      <c r="A1560" s="19">
        <f t="shared" si="24"/>
        <v>1559</v>
      </c>
      <c r="B1560" s="20" t="s">
        <v>87</v>
      </c>
      <c r="C1560" s="20" t="s">
        <v>93</v>
      </c>
      <c r="D1560" s="21" t="str">
        <f>IF($C1560="","",IFERROR(VLOOKUP($C1560,Map_Register!$A$2:$C$5,3,FALSE()),""))</f>
        <v>Cultural Heritage Area</v>
      </c>
      <c r="E1560" s="20" t="s">
        <v>15</v>
      </c>
      <c r="F1560" s="22">
        <v>796959</v>
      </c>
      <c r="G1560" s="19" t="s">
        <v>2816</v>
      </c>
      <c r="H1560" s="19" t="s">
        <v>3525</v>
      </c>
      <c r="I1560" s="19" t="s">
        <v>3526</v>
      </c>
      <c r="J1560" s="19" t="s">
        <v>3365</v>
      </c>
      <c r="K1560" s="19" t="s">
        <v>6</v>
      </c>
      <c r="L1560" s="19" t="s">
        <v>1095</v>
      </c>
      <c r="M1560" s="19" t="s">
        <v>1095</v>
      </c>
      <c r="N1560" s="19" t="s">
        <v>3496</v>
      </c>
      <c r="R1560" t="s">
        <v>1097</v>
      </c>
    </row>
    <row r="1561" spans="1:18" hidden="1" x14ac:dyDescent="0.3">
      <c r="A1561" s="19">
        <f t="shared" si="24"/>
        <v>1560</v>
      </c>
      <c r="B1561" s="20" t="s">
        <v>87</v>
      </c>
      <c r="C1561" s="20" t="s">
        <v>93</v>
      </c>
      <c r="D1561" s="21" t="str">
        <f>IF($C1561="","",IFERROR(VLOOKUP($C1561,Map_Register!$A$2:$C$5,3,FALSE()),""))</f>
        <v>Cultural Heritage Area</v>
      </c>
      <c r="E1561" s="20" t="s">
        <v>15</v>
      </c>
      <c r="F1561" s="22">
        <v>797080</v>
      </c>
      <c r="G1561" s="19" t="s">
        <v>3336</v>
      </c>
      <c r="H1561" s="19" t="s">
        <v>3527</v>
      </c>
      <c r="I1561" s="19" t="s">
        <v>3527</v>
      </c>
      <c r="J1561" s="19" t="s">
        <v>1110</v>
      </c>
      <c r="K1561" s="19" t="s">
        <v>6</v>
      </c>
      <c r="L1561" s="19" t="s">
        <v>1095</v>
      </c>
      <c r="M1561" s="19" t="s">
        <v>1095</v>
      </c>
      <c r="N1561" s="19" t="s">
        <v>3473</v>
      </c>
      <c r="R1561" t="s">
        <v>1097</v>
      </c>
    </row>
    <row r="1562" spans="1:18" hidden="1" x14ac:dyDescent="0.3">
      <c r="A1562" s="19">
        <f t="shared" si="24"/>
        <v>1561</v>
      </c>
      <c r="B1562" s="20" t="s">
        <v>87</v>
      </c>
      <c r="C1562" s="20" t="s">
        <v>93</v>
      </c>
      <c r="D1562" s="21" t="str">
        <f>IF($C1562="","",IFERROR(VLOOKUP($C1562,Map_Register!$A$2:$C$5,3,FALSE()),""))</f>
        <v>Cultural Heritage Area</v>
      </c>
      <c r="E1562" s="20" t="s">
        <v>15</v>
      </c>
      <c r="F1562" s="22">
        <v>797081</v>
      </c>
      <c r="G1562" s="19" t="s">
        <v>3336</v>
      </c>
      <c r="H1562" s="19" t="s">
        <v>3528</v>
      </c>
      <c r="I1562" s="19" t="s">
        <v>3528</v>
      </c>
      <c r="J1562" s="19" t="s">
        <v>1110</v>
      </c>
      <c r="K1562" s="19" t="s">
        <v>6</v>
      </c>
      <c r="L1562" s="19" t="s">
        <v>1095</v>
      </c>
      <c r="M1562" s="19" t="s">
        <v>1095</v>
      </c>
      <c r="N1562" s="19" t="s">
        <v>3473</v>
      </c>
      <c r="R1562" t="s">
        <v>1097</v>
      </c>
    </row>
    <row r="1563" spans="1:18" hidden="1" x14ac:dyDescent="0.3">
      <c r="A1563" s="19">
        <f t="shared" si="24"/>
        <v>1562</v>
      </c>
      <c r="B1563" s="20" t="s">
        <v>87</v>
      </c>
      <c r="C1563" s="20" t="s">
        <v>93</v>
      </c>
      <c r="D1563" s="21" t="str">
        <f>IF($C1563="","",IFERROR(VLOOKUP($C1563,Map_Register!$A$2:$C$5,3,FALSE()),""))</f>
        <v>Cultural Heritage Area</v>
      </c>
      <c r="E1563" s="20" t="s">
        <v>15</v>
      </c>
      <c r="F1563" s="22">
        <v>797083</v>
      </c>
      <c r="G1563" s="19" t="s">
        <v>3336</v>
      </c>
      <c r="H1563" s="19" t="s">
        <v>3529</v>
      </c>
      <c r="I1563" s="19" t="s">
        <v>3529</v>
      </c>
      <c r="J1563" s="19" t="s">
        <v>1110</v>
      </c>
      <c r="K1563" s="19" t="s">
        <v>6</v>
      </c>
      <c r="L1563" s="19" t="s">
        <v>1095</v>
      </c>
      <c r="M1563" s="19" t="s">
        <v>1095</v>
      </c>
      <c r="N1563" s="19" t="s">
        <v>3473</v>
      </c>
      <c r="R1563" t="s">
        <v>1097</v>
      </c>
    </row>
    <row r="1564" spans="1:18" hidden="1" x14ac:dyDescent="0.3">
      <c r="A1564" s="19">
        <f t="shared" si="24"/>
        <v>1563</v>
      </c>
      <c r="B1564" s="20" t="s">
        <v>87</v>
      </c>
      <c r="C1564" s="20" t="s">
        <v>93</v>
      </c>
      <c r="D1564" s="21" t="str">
        <f>IF($C1564="","",IFERROR(VLOOKUP($C1564,Map_Register!$A$2:$C$5,3,FALSE()),""))</f>
        <v>Cultural Heritage Area</v>
      </c>
      <c r="E1564" s="20" t="s">
        <v>15</v>
      </c>
      <c r="F1564" s="22">
        <v>797084</v>
      </c>
      <c r="G1564" s="19" t="s">
        <v>3336</v>
      </c>
      <c r="H1564" s="19" t="s">
        <v>3530</v>
      </c>
      <c r="I1564" s="19" t="s">
        <v>3530</v>
      </c>
      <c r="J1564" s="19" t="s">
        <v>1110</v>
      </c>
      <c r="K1564" s="19" t="s">
        <v>6</v>
      </c>
      <c r="L1564" s="19" t="s">
        <v>1095</v>
      </c>
      <c r="M1564" s="19" t="s">
        <v>1095</v>
      </c>
      <c r="N1564" s="19" t="s">
        <v>3473</v>
      </c>
      <c r="R1564" t="s">
        <v>1097</v>
      </c>
    </row>
    <row r="1565" spans="1:18" hidden="1" x14ac:dyDescent="0.3">
      <c r="A1565" s="19">
        <f t="shared" si="24"/>
        <v>1564</v>
      </c>
      <c r="B1565" s="20" t="s">
        <v>87</v>
      </c>
      <c r="C1565" s="20" t="s">
        <v>93</v>
      </c>
      <c r="D1565" s="21" t="str">
        <f>IF($C1565="","",IFERROR(VLOOKUP($C1565,Map_Register!$A$2:$C$5,3,FALSE()),""))</f>
        <v>Cultural Heritage Area</v>
      </c>
      <c r="E1565" s="20" t="s">
        <v>15</v>
      </c>
      <c r="F1565" s="22">
        <v>797085</v>
      </c>
      <c r="G1565" s="19" t="s">
        <v>3336</v>
      </c>
      <c r="H1565" s="19" t="s">
        <v>3531</v>
      </c>
      <c r="I1565" s="19" t="s">
        <v>3531</v>
      </c>
      <c r="J1565" s="19" t="s">
        <v>1110</v>
      </c>
      <c r="K1565" s="19" t="s">
        <v>6</v>
      </c>
      <c r="L1565" s="19" t="s">
        <v>1095</v>
      </c>
      <c r="M1565" s="19" t="s">
        <v>1095</v>
      </c>
      <c r="N1565" s="19" t="s">
        <v>3473</v>
      </c>
      <c r="R1565" t="s">
        <v>1097</v>
      </c>
    </row>
    <row r="1566" spans="1:18" hidden="1" x14ac:dyDescent="0.3">
      <c r="A1566" s="19">
        <f t="shared" si="24"/>
        <v>1565</v>
      </c>
      <c r="B1566" s="20" t="s">
        <v>87</v>
      </c>
      <c r="C1566" s="20" t="s">
        <v>93</v>
      </c>
      <c r="D1566" s="21" t="str">
        <f>IF($C1566="","",IFERROR(VLOOKUP($C1566,Map_Register!$A$2:$C$5,3,FALSE()),""))</f>
        <v>Cultural Heritage Area</v>
      </c>
      <c r="E1566" s="20" t="s">
        <v>15</v>
      </c>
      <c r="F1566" s="22">
        <v>797086</v>
      </c>
      <c r="G1566" s="19" t="s">
        <v>3336</v>
      </c>
      <c r="H1566" s="19" t="s">
        <v>3532</v>
      </c>
      <c r="I1566" s="19" t="s">
        <v>3532</v>
      </c>
      <c r="J1566" s="19" t="s">
        <v>1110</v>
      </c>
      <c r="K1566" s="19" t="s">
        <v>8</v>
      </c>
      <c r="L1566" s="19" t="s">
        <v>114</v>
      </c>
      <c r="M1566" s="19" t="s">
        <v>114</v>
      </c>
      <c r="N1566" s="19" t="s">
        <v>3533</v>
      </c>
      <c r="O1566" s="19" t="s">
        <v>116</v>
      </c>
      <c r="R1566" t="s">
        <v>1097</v>
      </c>
    </row>
    <row r="1567" spans="1:18" hidden="1" x14ac:dyDescent="0.3">
      <c r="A1567" s="19">
        <f t="shared" si="24"/>
        <v>1566</v>
      </c>
      <c r="B1567" s="20" t="s">
        <v>87</v>
      </c>
      <c r="C1567" s="20" t="s">
        <v>93</v>
      </c>
      <c r="D1567" s="21" t="str">
        <f>IF($C1567="","",IFERROR(VLOOKUP($C1567,Map_Register!$A$2:$C$5,3,FALSE()),""))</f>
        <v>Cultural Heritage Area</v>
      </c>
      <c r="E1567" s="20" t="s">
        <v>15</v>
      </c>
      <c r="F1567" s="22">
        <v>797087</v>
      </c>
      <c r="G1567" s="19" t="s">
        <v>3336</v>
      </c>
      <c r="H1567" s="19" t="s">
        <v>3534</v>
      </c>
      <c r="I1567" s="19" t="s">
        <v>3534</v>
      </c>
      <c r="J1567" s="19" t="s">
        <v>1110</v>
      </c>
      <c r="K1567" s="19" t="s">
        <v>6</v>
      </c>
      <c r="L1567" s="19" t="s">
        <v>1095</v>
      </c>
      <c r="M1567" s="19" t="s">
        <v>1095</v>
      </c>
      <c r="N1567" s="19" t="s">
        <v>3470</v>
      </c>
      <c r="R1567" t="s">
        <v>1097</v>
      </c>
    </row>
    <row r="1568" spans="1:18" hidden="1" x14ac:dyDescent="0.3">
      <c r="A1568" s="19">
        <f t="shared" si="24"/>
        <v>1567</v>
      </c>
      <c r="B1568" s="20" t="s">
        <v>87</v>
      </c>
      <c r="C1568" s="20" t="s">
        <v>93</v>
      </c>
      <c r="D1568" s="21" t="str">
        <f>IF($C1568="","",IFERROR(VLOOKUP($C1568,Map_Register!$A$2:$C$5,3,FALSE()),""))</f>
        <v>Cultural Heritage Area</v>
      </c>
      <c r="E1568" s="20" t="s">
        <v>15</v>
      </c>
      <c r="F1568" s="22">
        <v>797088</v>
      </c>
      <c r="G1568" s="19" t="s">
        <v>2521</v>
      </c>
      <c r="H1568" s="19" t="s">
        <v>3535</v>
      </c>
      <c r="I1568" s="19" t="s">
        <v>3535</v>
      </c>
      <c r="J1568" s="19" t="s">
        <v>1110</v>
      </c>
      <c r="K1568" s="19" t="s">
        <v>6</v>
      </c>
      <c r="L1568" s="19" t="s">
        <v>1095</v>
      </c>
      <c r="M1568" s="19" t="s">
        <v>1095</v>
      </c>
      <c r="N1568" s="19" t="s">
        <v>3496</v>
      </c>
      <c r="R1568" t="s">
        <v>1097</v>
      </c>
    </row>
    <row r="1569" spans="1:18" hidden="1" x14ac:dyDescent="0.3">
      <c r="A1569" s="19">
        <f t="shared" si="24"/>
        <v>1568</v>
      </c>
      <c r="B1569" s="20" t="s">
        <v>87</v>
      </c>
      <c r="C1569" s="20" t="s">
        <v>93</v>
      </c>
      <c r="D1569" s="21" t="str">
        <f>IF($C1569="","",IFERROR(VLOOKUP($C1569,Map_Register!$A$2:$C$5,3,FALSE()),""))</f>
        <v>Cultural Heritage Area</v>
      </c>
      <c r="E1569" s="20" t="s">
        <v>15</v>
      </c>
      <c r="F1569" s="22">
        <v>803887</v>
      </c>
      <c r="G1569" s="19" t="s">
        <v>3336</v>
      </c>
      <c r="H1569" s="19" t="s">
        <v>3536</v>
      </c>
      <c r="I1569" s="19" t="s">
        <v>3536</v>
      </c>
      <c r="J1569" s="19" t="s">
        <v>1110</v>
      </c>
      <c r="K1569" s="19" t="s">
        <v>6</v>
      </c>
      <c r="L1569" s="19" t="s">
        <v>1095</v>
      </c>
      <c r="M1569" s="19" t="s">
        <v>1095</v>
      </c>
      <c r="N1569" s="19" t="s">
        <v>3473</v>
      </c>
      <c r="R1569" t="s">
        <v>1097</v>
      </c>
    </row>
    <row r="1570" spans="1:18" hidden="1" x14ac:dyDescent="0.3">
      <c r="A1570" s="19">
        <f t="shared" si="24"/>
        <v>1569</v>
      </c>
      <c r="B1570" s="20" t="s">
        <v>87</v>
      </c>
      <c r="C1570" s="20" t="s">
        <v>93</v>
      </c>
      <c r="D1570" s="21" t="str">
        <f>IF($C1570="","",IFERROR(VLOOKUP($C1570,Map_Register!$A$2:$C$5,3,FALSE()),""))</f>
        <v>Cultural Heritage Area</v>
      </c>
      <c r="E1570" s="20" t="s">
        <v>15</v>
      </c>
      <c r="F1570" s="22">
        <v>803888</v>
      </c>
      <c r="G1570" s="19" t="s">
        <v>3336</v>
      </c>
      <c r="H1570" s="19" t="s">
        <v>3537</v>
      </c>
      <c r="I1570" s="19" t="s">
        <v>3537</v>
      </c>
      <c r="J1570" s="19" t="s">
        <v>1110</v>
      </c>
      <c r="K1570" s="19" t="s">
        <v>6</v>
      </c>
      <c r="L1570" s="19" t="s">
        <v>1095</v>
      </c>
      <c r="M1570" s="19" t="s">
        <v>1095</v>
      </c>
      <c r="N1570" s="19" t="s">
        <v>3473</v>
      </c>
      <c r="R1570" t="s">
        <v>1097</v>
      </c>
    </row>
    <row r="1571" spans="1:18" hidden="1" x14ac:dyDescent="0.3">
      <c r="A1571" s="19">
        <f t="shared" si="24"/>
        <v>1570</v>
      </c>
      <c r="B1571" s="20" t="s">
        <v>87</v>
      </c>
      <c r="C1571" s="20" t="s">
        <v>93</v>
      </c>
      <c r="D1571" s="21" t="str">
        <f>IF($C1571="","",IFERROR(VLOOKUP($C1571,Map_Register!$A$2:$C$5,3,FALSE()),""))</f>
        <v>Cultural Heritage Area</v>
      </c>
      <c r="E1571" s="20" t="s">
        <v>15</v>
      </c>
      <c r="F1571" s="22">
        <v>803889</v>
      </c>
      <c r="G1571" s="19" t="s">
        <v>3336</v>
      </c>
      <c r="H1571" s="19" t="s">
        <v>3538</v>
      </c>
      <c r="I1571" s="19" t="s">
        <v>3538</v>
      </c>
      <c r="J1571" s="19" t="s">
        <v>1110</v>
      </c>
      <c r="K1571" s="19" t="s">
        <v>6</v>
      </c>
      <c r="L1571" s="19" t="s">
        <v>1095</v>
      </c>
      <c r="M1571" s="19" t="s">
        <v>1095</v>
      </c>
      <c r="N1571" s="19" t="s">
        <v>3473</v>
      </c>
      <c r="R1571" t="s">
        <v>1097</v>
      </c>
    </row>
    <row r="1572" spans="1:18" hidden="1" x14ac:dyDescent="0.3">
      <c r="A1572" s="19">
        <f t="shared" si="24"/>
        <v>1571</v>
      </c>
      <c r="B1572" s="20" t="s">
        <v>87</v>
      </c>
      <c r="C1572" s="20" t="s">
        <v>93</v>
      </c>
      <c r="D1572" s="21" t="str">
        <f>IF($C1572="","",IFERROR(VLOOKUP($C1572,Map_Register!$A$2:$C$5,3,FALSE()),""))</f>
        <v>Cultural Heritage Area</v>
      </c>
      <c r="E1572" s="20" t="s">
        <v>15</v>
      </c>
      <c r="F1572" s="22">
        <v>803890</v>
      </c>
      <c r="G1572" s="19" t="s">
        <v>3336</v>
      </c>
      <c r="H1572" s="19" t="s">
        <v>3539</v>
      </c>
      <c r="I1572" s="19" t="s">
        <v>3539</v>
      </c>
      <c r="J1572" s="19" t="s">
        <v>1110</v>
      </c>
      <c r="K1572" s="19" t="s">
        <v>6</v>
      </c>
      <c r="L1572" s="19" t="s">
        <v>1095</v>
      </c>
      <c r="M1572" s="19" t="s">
        <v>1095</v>
      </c>
      <c r="N1572" s="19" t="s">
        <v>3473</v>
      </c>
      <c r="R1572" t="s">
        <v>1097</v>
      </c>
    </row>
    <row r="1573" spans="1:18" hidden="1" x14ac:dyDescent="0.3">
      <c r="A1573" s="19">
        <f t="shared" si="24"/>
        <v>1572</v>
      </c>
      <c r="B1573" s="20" t="s">
        <v>87</v>
      </c>
      <c r="C1573" s="20" t="s">
        <v>93</v>
      </c>
      <c r="D1573" s="21" t="str">
        <f>IF($C1573="","",IFERROR(VLOOKUP($C1573,Map_Register!$A$2:$C$5,3,FALSE()),""))</f>
        <v>Cultural Heritage Area</v>
      </c>
      <c r="E1573" s="20" t="s">
        <v>15</v>
      </c>
      <c r="F1573" s="22">
        <v>803891</v>
      </c>
      <c r="G1573" s="19" t="s">
        <v>3336</v>
      </c>
      <c r="H1573" s="19" t="s">
        <v>3540</v>
      </c>
      <c r="I1573" s="19" t="s">
        <v>3540</v>
      </c>
      <c r="J1573" s="19" t="s">
        <v>1110</v>
      </c>
      <c r="K1573" s="19" t="s">
        <v>6</v>
      </c>
      <c r="L1573" s="19" t="s">
        <v>1095</v>
      </c>
      <c r="M1573" s="19" t="s">
        <v>1095</v>
      </c>
      <c r="N1573" s="19" t="s">
        <v>3473</v>
      </c>
      <c r="R1573" t="s">
        <v>1097</v>
      </c>
    </row>
    <row r="1574" spans="1:18" hidden="1" x14ac:dyDescent="0.3">
      <c r="A1574" s="19">
        <f t="shared" si="24"/>
        <v>1573</v>
      </c>
      <c r="B1574" s="20" t="s">
        <v>87</v>
      </c>
      <c r="C1574" s="20" t="s">
        <v>93</v>
      </c>
      <c r="D1574" s="21" t="str">
        <f>IF($C1574="","",IFERROR(VLOOKUP($C1574,Map_Register!$A$2:$C$5,3,FALSE()),""))</f>
        <v>Cultural Heritage Area</v>
      </c>
      <c r="E1574" s="20" t="s">
        <v>15</v>
      </c>
      <c r="F1574" s="22">
        <v>803892</v>
      </c>
      <c r="G1574" s="19" t="s">
        <v>3336</v>
      </c>
      <c r="H1574" s="19" t="s">
        <v>3541</v>
      </c>
      <c r="I1574" s="19" t="s">
        <v>3541</v>
      </c>
      <c r="J1574" s="19" t="s">
        <v>1110</v>
      </c>
      <c r="K1574" s="19" t="s">
        <v>6</v>
      </c>
      <c r="L1574" s="19" t="s">
        <v>1095</v>
      </c>
      <c r="M1574" s="19" t="s">
        <v>1095</v>
      </c>
      <c r="N1574" s="19" t="s">
        <v>3542</v>
      </c>
      <c r="R1574" t="s">
        <v>1097</v>
      </c>
    </row>
    <row r="1575" spans="1:18" hidden="1" x14ac:dyDescent="0.3">
      <c r="A1575" s="19">
        <f t="shared" si="24"/>
        <v>1574</v>
      </c>
      <c r="B1575" s="20" t="s">
        <v>87</v>
      </c>
      <c r="C1575" s="20" t="s">
        <v>93</v>
      </c>
      <c r="D1575" s="21" t="str">
        <f>IF($C1575="","",IFERROR(VLOOKUP($C1575,Map_Register!$A$2:$C$5,3,FALSE()),""))</f>
        <v>Cultural Heritage Area</v>
      </c>
      <c r="E1575" s="20" t="s">
        <v>15</v>
      </c>
      <c r="F1575" s="22">
        <v>803893</v>
      </c>
      <c r="G1575" s="19" t="s">
        <v>3336</v>
      </c>
      <c r="H1575" s="19" t="s">
        <v>3543</v>
      </c>
      <c r="I1575" s="19" t="s">
        <v>3543</v>
      </c>
      <c r="J1575" s="19" t="s">
        <v>1110</v>
      </c>
      <c r="K1575" t="s">
        <v>1100</v>
      </c>
      <c r="L1575" t="s">
        <v>114</v>
      </c>
      <c r="M1575" t="s">
        <v>114</v>
      </c>
      <c r="N1575" s="19" t="s">
        <v>3544</v>
      </c>
      <c r="O1575" s="19" t="s">
        <v>116</v>
      </c>
      <c r="R1575" t="s">
        <v>1097</v>
      </c>
    </row>
    <row r="1576" spans="1:18" hidden="1" x14ac:dyDescent="0.3">
      <c r="A1576" s="19">
        <f t="shared" si="24"/>
        <v>1575</v>
      </c>
      <c r="B1576" s="20" t="s">
        <v>87</v>
      </c>
      <c r="C1576" s="20" t="s">
        <v>93</v>
      </c>
      <c r="D1576" s="21" t="str">
        <f>IF($C1576="","",IFERROR(VLOOKUP($C1576,Map_Register!$A$2:$C$5,3,FALSE()),""))</f>
        <v>Cultural Heritage Area</v>
      </c>
      <c r="E1576" s="20" t="s">
        <v>15</v>
      </c>
      <c r="F1576" s="22">
        <v>803894</v>
      </c>
      <c r="G1576" s="19" t="s">
        <v>3336</v>
      </c>
      <c r="H1576" s="19" t="s">
        <v>3545</v>
      </c>
      <c r="I1576" s="19" t="s">
        <v>3545</v>
      </c>
      <c r="J1576" s="19" t="s">
        <v>1110</v>
      </c>
      <c r="K1576" s="19" t="s">
        <v>6</v>
      </c>
      <c r="L1576" s="19" t="s">
        <v>1095</v>
      </c>
      <c r="M1576" s="19" t="s">
        <v>1095</v>
      </c>
      <c r="N1576" s="19" t="s">
        <v>3473</v>
      </c>
      <c r="R1576" t="s">
        <v>1097</v>
      </c>
    </row>
    <row r="1577" spans="1:18" hidden="1" x14ac:dyDescent="0.3">
      <c r="A1577" s="19">
        <f t="shared" si="24"/>
        <v>1576</v>
      </c>
      <c r="B1577" s="20" t="s">
        <v>87</v>
      </c>
      <c r="C1577" s="20" t="s">
        <v>93</v>
      </c>
      <c r="D1577" s="21" t="str">
        <f>IF($C1577="","",IFERROR(VLOOKUP($C1577,Map_Register!$A$2:$C$5,3,FALSE()),""))</f>
        <v>Cultural Heritage Area</v>
      </c>
      <c r="E1577" s="20" t="s">
        <v>15</v>
      </c>
      <c r="F1577" s="22">
        <v>803895</v>
      </c>
      <c r="G1577" s="19" t="s">
        <v>3336</v>
      </c>
      <c r="H1577" s="19" t="s">
        <v>3546</v>
      </c>
      <c r="I1577" s="19" t="s">
        <v>3546</v>
      </c>
      <c r="J1577" s="19" t="s">
        <v>1110</v>
      </c>
      <c r="K1577" s="19" t="s">
        <v>6</v>
      </c>
      <c r="L1577" s="19" t="s">
        <v>1095</v>
      </c>
      <c r="M1577" s="19" t="s">
        <v>1095</v>
      </c>
      <c r="N1577" s="19" t="s">
        <v>3473</v>
      </c>
      <c r="R1577" t="s">
        <v>1097</v>
      </c>
    </row>
    <row r="1578" spans="1:18" hidden="1" x14ac:dyDescent="0.3">
      <c r="A1578" s="19">
        <f t="shared" si="24"/>
        <v>1577</v>
      </c>
      <c r="B1578" s="20" t="s">
        <v>87</v>
      </c>
      <c r="C1578" s="20" t="s">
        <v>93</v>
      </c>
      <c r="D1578" s="21" t="str">
        <f>IF($C1578="","",IFERROR(VLOOKUP($C1578,Map_Register!$A$2:$C$5,3,FALSE()),""))</f>
        <v>Cultural Heritage Area</v>
      </c>
      <c r="E1578" s="20" t="s">
        <v>15</v>
      </c>
      <c r="F1578" s="22">
        <v>803896</v>
      </c>
      <c r="G1578" s="19" t="s">
        <v>3336</v>
      </c>
      <c r="H1578" s="19" t="s">
        <v>3547</v>
      </c>
      <c r="I1578" s="19" t="s">
        <v>3547</v>
      </c>
      <c r="J1578" s="19" t="s">
        <v>1110</v>
      </c>
      <c r="K1578" s="19" t="s">
        <v>8</v>
      </c>
      <c r="L1578" t="s">
        <v>114</v>
      </c>
      <c r="M1578" t="s">
        <v>114</v>
      </c>
      <c r="N1578" s="19" t="s">
        <v>3548</v>
      </c>
      <c r="O1578" s="19" t="s">
        <v>116</v>
      </c>
      <c r="R1578" t="s">
        <v>1097</v>
      </c>
    </row>
    <row r="1579" spans="1:18" hidden="1" x14ac:dyDescent="0.3">
      <c r="A1579" s="19">
        <f t="shared" si="24"/>
        <v>1578</v>
      </c>
      <c r="B1579" s="20" t="s">
        <v>87</v>
      </c>
      <c r="C1579" s="20" t="s">
        <v>93</v>
      </c>
      <c r="D1579" s="21" t="str">
        <f>IF($C1579="","",IFERROR(VLOOKUP($C1579,Map_Register!$A$2:$C$5,3,FALSE()),""))</f>
        <v>Cultural Heritage Area</v>
      </c>
      <c r="E1579" s="20" t="s">
        <v>15</v>
      </c>
      <c r="F1579" s="22">
        <v>803897</v>
      </c>
      <c r="G1579" s="19" t="s">
        <v>3336</v>
      </c>
      <c r="H1579" s="19" t="s">
        <v>3549</v>
      </c>
      <c r="I1579" s="19" t="s">
        <v>3549</v>
      </c>
      <c r="J1579" s="19" t="s">
        <v>1110</v>
      </c>
      <c r="K1579" s="19" t="s">
        <v>6</v>
      </c>
      <c r="L1579" s="19" t="s">
        <v>1095</v>
      </c>
      <c r="M1579" s="19" t="s">
        <v>1095</v>
      </c>
      <c r="N1579" s="19" t="s">
        <v>3473</v>
      </c>
      <c r="R1579" t="s">
        <v>1097</v>
      </c>
    </row>
    <row r="1580" spans="1:18" hidden="1" x14ac:dyDescent="0.3">
      <c r="A1580" s="19">
        <f t="shared" si="24"/>
        <v>1579</v>
      </c>
      <c r="B1580" s="20" t="s">
        <v>87</v>
      </c>
      <c r="C1580" s="20" t="s">
        <v>93</v>
      </c>
      <c r="D1580" s="21" t="str">
        <f>IF($C1580="","",IFERROR(VLOOKUP($C1580,Map_Register!$A$2:$C$5,3,FALSE()),""))</f>
        <v>Cultural Heritage Area</v>
      </c>
      <c r="E1580" s="20" t="s">
        <v>15</v>
      </c>
      <c r="F1580" s="22">
        <v>803898</v>
      </c>
      <c r="G1580" s="19" t="s">
        <v>3336</v>
      </c>
      <c r="H1580" s="19" t="s">
        <v>3550</v>
      </c>
      <c r="I1580" s="19" t="s">
        <v>3550</v>
      </c>
      <c r="J1580" s="19" t="s">
        <v>1110</v>
      </c>
      <c r="K1580" s="19" t="s">
        <v>6</v>
      </c>
      <c r="L1580" s="19" t="s">
        <v>1095</v>
      </c>
      <c r="M1580" s="19" t="s">
        <v>1095</v>
      </c>
      <c r="N1580" s="19" t="s">
        <v>3473</v>
      </c>
      <c r="R1580" t="s">
        <v>1097</v>
      </c>
    </row>
    <row r="1581" spans="1:18" hidden="1" x14ac:dyDescent="0.3">
      <c r="A1581" s="19">
        <f t="shared" si="24"/>
        <v>1580</v>
      </c>
      <c r="B1581" s="20" t="s">
        <v>87</v>
      </c>
      <c r="C1581" s="20" t="s">
        <v>93</v>
      </c>
      <c r="D1581" s="21" t="str">
        <f>IF($C1581="","",IFERROR(VLOOKUP($C1581,Map_Register!$A$2:$C$5,3,FALSE()),""))</f>
        <v>Cultural Heritage Area</v>
      </c>
      <c r="E1581" s="20" t="s">
        <v>15</v>
      </c>
      <c r="F1581" s="22">
        <v>803899</v>
      </c>
      <c r="G1581" s="19" t="s">
        <v>3336</v>
      </c>
      <c r="H1581" s="19" t="s">
        <v>3551</v>
      </c>
      <c r="I1581" s="19" t="s">
        <v>3551</v>
      </c>
      <c r="J1581" s="19" t="s">
        <v>1110</v>
      </c>
      <c r="K1581" s="19" t="s">
        <v>6</v>
      </c>
      <c r="L1581" s="19" t="s">
        <v>1095</v>
      </c>
      <c r="M1581" s="19" t="s">
        <v>1095</v>
      </c>
      <c r="N1581" s="19" t="s">
        <v>3470</v>
      </c>
      <c r="R1581" t="s">
        <v>1097</v>
      </c>
    </row>
  </sheetData>
  <autoFilter ref="A1:R1581" xr:uid="{00000000-0009-0000-0000-000006000000}">
    <filterColumn colId="10">
      <filters>
        <filter val="Absent"/>
      </filters>
    </filterColumn>
    <filterColumn colId="12">
      <filters>
        <filter val="No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14"/>
  <sheetViews>
    <sheetView topLeftCell="D1" zoomScaleNormal="100" workbookViewId="0">
      <selection activeCell="H15" sqref="H15"/>
    </sheetView>
  </sheetViews>
  <sheetFormatPr defaultColWidth="11" defaultRowHeight="14.4" x14ac:dyDescent="0.3"/>
  <cols>
    <col min="1" max="1" width="10.109375" customWidth="1"/>
    <col min="2" max="2" width="6.77734375" customWidth="1"/>
    <col min="3" max="3" width="10.5546875" customWidth="1"/>
    <col min="4" max="4" width="18.6640625" customWidth="1"/>
    <col min="5" max="5" width="9" customWidth="1"/>
    <col min="6" max="6" width="33.88671875" customWidth="1"/>
    <col min="7" max="7" width="16.5546875" customWidth="1"/>
    <col min="8" max="8" width="28.77734375" customWidth="1"/>
    <col min="9" max="9" width="19.88671875" customWidth="1"/>
    <col min="10" max="10" width="18.44140625" customWidth="1"/>
    <col min="11" max="11" width="72.44140625" customWidth="1"/>
    <col min="12" max="12" width="16.88671875" customWidth="1"/>
    <col min="13" max="13" width="14.109375" customWidth="1"/>
    <col min="14" max="14" width="24.21875" customWidth="1"/>
    <col min="15" max="15" width="37" customWidth="1"/>
  </cols>
  <sheetData>
    <row r="1" spans="1:15" x14ac:dyDescent="0.3">
      <c r="A1" s="15" t="s">
        <v>45</v>
      </c>
      <c r="B1" s="15" t="s">
        <v>48</v>
      </c>
      <c r="C1" s="15" t="s">
        <v>51</v>
      </c>
      <c r="D1" s="15" t="s">
        <v>106</v>
      </c>
      <c r="E1" s="15" t="s">
        <v>4</v>
      </c>
      <c r="F1" s="15" t="s">
        <v>56</v>
      </c>
      <c r="G1" s="15" t="s">
        <v>108</v>
      </c>
      <c r="H1" s="15" t="s">
        <v>59</v>
      </c>
      <c r="I1" s="15" t="s">
        <v>62</v>
      </c>
      <c r="J1" s="15" t="s">
        <v>68</v>
      </c>
      <c r="K1" s="15" t="s">
        <v>70</v>
      </c>
      <c r="L1" s="15" t="s">
        <v>65</v>
      </c>
      <c r="M1" s="15" t="s">
        <v>73</v>
      </c>
      <c r="N1" s="15" t="s">
        <v>110</v>
      </c>
      <c r="O1" s="15" t="s">
        <v>79</v>
      </c>
    </row>
    <row r="2" spans="1:15" ht="12.75" customHeight="1" x14ac:dyDescent="0.3">
      <c r="A2" s="19">
        <f t="shared" ref="A2:A28" si="0">IF($B2="","",ROW()-1)</f>
        <v>1</v>
      </c>
      <c r="B2" s="20" t="s">
        <v>87</v>
      </c>
      <c r="C2" s="20" t="s">
        <v>86</v>
      </c>
      <c r="D2" s="21" t="str">
        <f>IF($C2="","",IFERROR(VLOOKUP($C2,Map_Register!$A$2:$C$5,3,FALSE()),""))</f>
        <v>Border Region</v>
      </c>
      <c r="E2" s="20" t="s">
        <v>13</v>
      </c>
      <c r="F2" s="20" t="s">
        <v>1046</v>
      </c>
      <c r="G2" s="20" t="s">
        <v>1047</v>
      </c>
      <c r="H2" s="20" t="s">
        <v>1030</v>
      </c>
      <c r="I2" s="20"/>
      <c r="J2" s="20"/>
      <c r="K2" s="24" t="s">
        <v>1048</v>
      </c>
      <c r="L2" s="20"/>
      <c r="M2" s="20">
        <v>1</v>
      </c>
      <c r="N2" s="20" t="s">
        <v>1049</v>
      </c>
      <c r="O2" s="20" t="s">
        <v>1050</v>
      </c>
    </row>
    <row r="3" spans="1:15" s="26" customFormat="1" ht="12.75" customHeight="1" x14ac:dyDescent="0.3">
      <c r="A3" s="19">
        <f t="shared" si="0"/>
        <v>2</v>
      </c>
      <c r="B3" s="20" t="s">
        <v>87</v>
      </c>
      <c r="C3" s="20" t="s">
        <v>86</v>
      </c>
      <c r="D3" s="21" t="str">
        <f>IF($C3="","",IFERROR(VLOOKUP($C3,Map_Register!$A$2:$C$5,3,FALSE()),""))</f>
        <v>Border Region</v>
      </c>
      <c r="E3" s="20" t="s">
        <v>13</v>
      </c>
      <c r="F3" s="20" t="s">
        <v>1051</v>
      </c>
      <c r="G3" s="20" t="s">
        <v>1047</v>
      </c>
      <c r="H3" s="25" t="s">
        <v>8</v>
      </c>
      <c r="I3" s="20" t="s">
        <v>114</v>
      </c>
      <c r="J3" s="20" t="s">
        <v>114</v>
      </c>
      <c r="K3" s="24" t="s">
        <v>1052</v>
      </c>
      <c r="L3" s="20" t="s">
        <v>116</v>
      </c>
      <c r="M3" s="20">
        <v>1</v>
      </c>
      <c r="N3" s="20"/>
      <c r="O3" s="20" t="s">
        <v>1053</v>
      </c>
    </row>
    <row r="4" spans="1:15" s="26" customFormat="1" ht="12.75" customHeight="1" x14ac:dyDescent="0.3">
      <c r="A4" s="19">
        <f t="shared" si="0"/>
        <v>3</v>
      </c>
      <c r="B4" s="20" t="s">
        <v>87</v>
      </c>
      <c r="C4" s="20" t="s">
        <v>86</v>
      </c>
      <c r="D4" s="21" t="str">
        <f>IF($C4="","",IFERROR(VLOOKUP($C4,Map_Register!$A$2:$C$5,3,FALSE()),""))</f>
        <v>Border Region</v>
      </c>
      <c r="E4" s="20" t="s">
        <v>13</v>
      </c>
      <c r="F4" s="20" t="s">
        <v>1054</v>
      </c>
      <c r="G4" s="20" t="s">
        <v>1047</v>
      </c>
      <c r="H4" s="25" t="s">
        <v>8</v>
      </c>
      <c r="I4" s="20" t="s">
        <v>114</v>
      </c>
      <c r="J4" s="20" t="s">
        <v>114</v>
      </c>
      <c r="K4" s="24" t="s">
        <v>1052</v>
      </c>
      <c r="L4" s="20" t="s">
        <v>114</v>
      </c>
      <c r="M4" s="20">
        <v>1</v>
      </c>
      <c r="N4" s="20"/>
      <c r="O4" s="20" t="s">
        <v>1053</v>
      </c>
    </row>
    <row r="5" spans="1:15" s="26" customFormat="1" ht="12.75" customHeight="1" x14ac:dyDescent="0.3">
      <c r="A5" s="19">
        <f t="shared" si="0"/>
        <v>4</v>
      </c>
      <c r="B5" s="20" t="s">
        <v>87</v>
      </c>
      <c r="C5" s="20" t="s">
        <v>86</v>
      </c>
      <c r="D5" s="21" t="str">
        <f>IF($C5="","",IFERROR(VLOOKUP($C5,Map_Register!$A$2:$C$5,3,FALSE()),""))</f>
        <v>Border Region</v>
      </c>
      <c r="E5" s="20" t="s">
        <v>13</v>
      </c>
      <c r="F5" s="20" t="s">
        <v>1055</v>
      </c>
      <c r="G5" s="20" t="s">
        <v>1047</v>
      </c>
      <c r="H5" s="25" t="s">
        <v>8</v>
      </c>
      <c r="I5" s="20" t="s">
        <v>114</v>
      </c>
      <c r="J5" s="20" t="s">
        <v>114</v>
      </c>
      <c r="K5" s="24" t="s">
        <v>1056</v>
      </c>
      <c r="L5" s="20" t="s">
        <v>116</v>
      </c>
      <c r="M5" s="20">
        <v>1</v>
      </c>
      <c r="N5" s="20"/>
      <c r="O5" s="20" t="s">
        <v>1053</v>
      </c>
    </row>
    <row r="6" spans="1:15" x14ac:dyDescent="0.3">
      <c r="A6" s="19">
        <f t="shared" si="0"/>
        <v>5</v>
      </c>
      <c r="B6" s="20" t="s">
        <v>87</v>
      </c>
      <c r="C6" s="20" t="s">
        <v>86</v>
      </c>
      <c r="D6" s="21" t="str">
        <f>IF($C6="","",IFERROR(VLOOKUP($C6,Map_Register!$A$2:$C$5,3,FALSE()),""))</f>
        <v>Border Region</v>
      </c>
      <c r="E6" s="20" t="s">
        <v>13</v>
      </c>
      <c r="F6" s="20" t="s">
        <v>1057</v>
      </c>
      <c r="G6" s="20"/>
      <c r="H6" s="20" t="s">
        <v>6</v>
      </c>
      <c r="I6" s="20"/>
      <c r="J6" s="20"/>
      <c r="K6" s="24" t="s">
        <v>1058</v>
      </c>
      <c r="L6" s="20"/>
      <c r="M6" s="20">
        <v>1</v>
      </c>
      <c r="N6" s="20"/>
      <c r="O6" s="20" t="s">
        <v>1059</v>
      </c>
    </row>
    <row r="7" spans="1:15" x14ac:dyDescent="0.3">
      <c r="A7" s="19">
        <f t="shared" si="0"/>
        <v>6</v>
      </c>
      <c r="B7" s="20" t="s">
        <v>87</v>
      </c>
      <c r="C7" s="20" t="s">
        <v>86</v>
      </c>
      <c r="D7" s="21" t="str">
        <f>IF($C7="","",IFERROR(VLOOKUP($C7,Map_Register!$A$2:$C$5,3,FALSE()),""))</f>
        <v>Border Region</v>
      </c>
      <c r="E7" s="20" t="s">
        <v>13</v>
      </c>
      <c r="F7" s="20" t="s">
        <v>1060</v>
      </c>
      <c r="G7" s="20" t="s">
        <v>1047</v>
      </c>
      <c r="H7" s="20" t="s">
        <v>6</v>
      </c>
      <c r="I7" s="20"/>
      <c r="J7" s="20"/>
      <c r="K7" s="24" t="s">
        <v>1061</v>
      </c>
      <c r="L7" s="20"/>
      <c r="M7" s="20">
        <v>1</v>
      </c>
      <c r="N7" s="20"/>
      <c r="O7" s="20" t="s">
        <v>1053</v>
      </c>
    </row>
    <row r="8" spans="1:15" x14ac:dyDescent="0.3">
      <c r="A8" s="19">
        <f t="shared" si="0"/>
        <v>7</v>
      </c>
      <c r="B8" s="20" t="s">
        <v>87</v>
      </c>
      <c r="C8" s="20" t="s">
        <v>86</v>
      </c>
      <c r="D8" s="21" t="str">
        <f>IF($C8="","",IFERROR(VLOOKUP($C8,Map_Register!$A$2:$C$5,3,FALSE()),""))</f>
        <v>Border Region</v>
      </c>
      <c r="E8" s="20" t="s">
        <v>13</v>
      </c>
      <c r="F8" s="20" t="s">
        <v>1062</v>
      </c>
      <c r="G8" s="19" t="s">
        <v>1063</v>
      </c>
      <c r="H8" s="19" t="s">
        <v>6</v>
      </c>
      <c r="I8" s="20"/>
      <c r="J8" s="19"/>
      <c r="K8" s="19" t="s">
        <v>1064</v>
      </c>
      <c r="L8" s="20"/>
      <c r="M8" s="20">
        <v>6</v>
      </c>
      <c r="N8" s="20"/>
      <c r="O8" s="20" t="s">
        <v>1053</v>
      </c>
    </row>
    <row r="9" spans="1:15" x14ac:dyDescent="0.3">
      <c r="A9" s="19">
        <f t="shared" si="0"/>
        <v>8</v>
      </c>
      <c r="B9" s="20" t="s">
        <v>87</v>
      </c>
      <c r="C9" s="20" t="s">
        <v>93</v>
      </c>
      <c r="D9" s="21" t="str">
        <f>IF($C9="","",IFERROR(VLOOKUP($C9,Map_Register!$A$2:$C$5,3,FALSE()),""))</f>
        <v>Cultural Heritage Area</v>
      </c>
      <c r="E9" s="20" t="s">
        <v>13</v>
      </c>
      <c r="F9" s="20" t="s">
        <v>1065</v>
      </c>
      <c r="G9" s="19" t="s">
        <v>1066</v>
      </c>
      <c r="H9" s="19" t="s">
        <v>6</v>
      </c>
      <c r="I9" s="20"/>
      <c r="J9" s="19"/>
      <c r="K9" s="19" t="s">
        <v>1067</v>
      </c>
      <c r="L9" s="20"/>
      <c r="M9" s="20">
        <v>1</v>
      </c>
      <c r="N9" s="20"/>
      <c r="O9" s="20" t="s">
        <v>1068</v>
      </c>
    </row>
    <row r="10" spans="1:15" x14ac:dyDescent="0.3">
      <c r="A10" s="19">
        <f t="shared" si="0"/>
        <v>9</v>
      </c>
      <c r="B10" s="20" t="s">
        <v>87</v>
      </c>
      <c r="C10" s="20" t="s">
        <v>93</v>
      </c>
      <c r="D10" s="21" t="str">
        <f>IF($C10="","",IFERROR(VLOOKUP($C10,Map_Register!$A$2:$C$5,3,FALSE()),""))</f>
        <v>Cultural Heritage Area</v>
      </c>
      <c r="E10" s="20" t="s">
        <v>13</v>
      </c>
      <c r="F10" s="20" t="s">
        <v>1069</v>
      </c>
      <c r="G10" s="19" t="s">
        <v>1047</v>
      </c>
      <c r="H10" s="19" t="s">
        <v>6</v>
      </c>
      <c r="I10" s="20"/>
      <c r="J10" s="19"/>
      <c r="K10" s="19" t="s">
        <v>1070</v>
      </c>
      <c r="L10" s="20"/>
      <c r="M10" s="20">
        <v>1</v>
      </c>
      <c r="N10" s="20"/>
      <c r="O10" s="20" t="s">
        <v>1053</v>
      </c>
    </row>
    <row r="11" spans="1:15" x14ac:dyDescent="0.3">
      <c r="A11" s="19">
        <f t="shared" si="0"/>
        <v>10</v>
      </c>
      <c r="B11" s="20" t="s">
        <v>87</v>
      </c>
      <c r="C11" s="20" t="s">
        <v>93</v>
      </c>
      <c r="D11" s="21" t="str">
        <f>IF($C11="","",IFERROR(VLOOKUP($C11,Map_Register!$A$2:$C$5,3,FALSE()),""))</f>
        <v>Cultural Heritage Area</v>
      </c>
      <c r="E11" s="20" t="s">
        <v>13</v>
      </c>
      <c r="F11" s="20" t="s">
        <v>1071</v>
      </c>
      <c r="G11" s="19" t="s">
        <v>1072</v>
      </c>
      <c r="H11" s="19" t="s">
        <v>6</v>
      </c>
      <c r="I11" s="20"/>
      <c r="J11" s="19"/>
      <c r="K11" s="19" t="s">
        <v>1073</v>
      </c>
      <c r="L11" s="20"/>
      <c r="M11" s="20">
        <v>1</v>
      </c>
      <c r="N11" s="20"/>
      <c r="O11" s="20" t="s">
        <v>1053</v>
      </c>
    </row>
    <row r="12" spans="1:15" x14ac:dyDescent="0.3">
      <c r="A12" s="19">
        <f t="shared" si="0"/>
        <v>11</v>
      </c>
      <c r="B12" s="20" t="s">
        <v>87</v>
      </c>
      <c r="C12" s="20" t="s">
        <v>93</v>
      </c>
      <c r="D12" s="21" t="str">
        <f>IF($C12="","",IFERROR(VLOOKUP($C12,Map_Register!$A$2:$C$5,3,FALSE()),""))</f>
        <v>Cultural Heritage Area</v>
      </c>
      <c r="E12" s="20" t="s">
        <v>13</v>
      </c>
      <c r="F12" s="20" t="s">
        <v>1069</v>
      </c>
      <c r="G12" s="19" t="s">
        <v>1074</v>
      </c>
      <c r="H12" s="19" t="s">
        <v>6</v>
      </c>
      <c r="I12" s="20"/>
      <c r="J12" s="19"/>
      <c r="K12" s="19" t="s">
        <v>1070</v>
      </c>
      <c r="L12" s="20"/>
      <c r="M12" s="20">
        <v>1</v>
      </c>
      <c r="N12" s="20"/>
      <c r="O12" s="20" t="s">
        <v>1053</v>
      </c>
    </row>
    <row r="13" spans="1:15" x14ac:dyDescent="0.3">
      <c r="A13" s="19">
        <f t="shared" si="0"/>
        <v>12</v>
      </c>
      <c r="B13" s="20" t="s">
        <v>87</v>
      </c>
      <c r="C13" s="20" t="s">
        <v>93</v>
      </c>
      <c r="D13" s="21" t="str">
        <f>IF($C13="","",IFERROR(VLOOKUP($C13,Map_Register!$A$2:$C$5,3,FALSE()),""))</f>
        <v>Cultural Heritage Area</v>
      </c>
      <c r="E13" s="20" t="s">
        <v>13</v>
      </c>
      <c r="F13" s="20" t="s">
        <v>1069</v>
      </c>
      <c r="G13" s="19" t="s">
        <v>1072</v>
      </c>
      <c r="H13" s="19" t="s">
        <v>8</v>
      </c>
      <c r="I13" s="20" t="s">
        <v>114</v>
      </c>
      <c r="J13" s="20" t="s">
        <v>114</v>
      </c>
      <c r="K13" s="19" t="s">
        <v>1075</v>
      </c>
      <c r="L13" s="20" t="s">
        <v>116</v>
      </c>
      <c r="M13" s="20">
        <v>1</v>
      </c>
      <c r="N13" s="20"/>
      <c r="O13" s="20" t="s">
        <v>1053</v>
      </c>
    </row>
    <row r="14" spans="1:15" x14ac:dyDescent="0.3">
      <c r="A14" s="19">
        <f t="shared" si="0"/>
        <v>13</v>
      </c>
      <c r="B14" s="20" t="s">
        <v>87</v>
      </c>
      <c r="C14" s="20" t="s">
        <v>93</v>
      </c>
      <c r="D14" s="21" t="str">
        <f>IF($C14="","",IFERROR(VLOOKUP($C14,Map_Register!$A$2:$C$5,3,FALSE()),""))</f>
        <v>Cultural Heritage Area</v>
      </c>
      <c r="E14" s="20" t="s">
        <v>13</v>
      </c>
      <c r="F14" s="20" t="s">
        <v>1051</v>
      </c>
      <c r="G14" s="19" t="s">
        <v>1066</v>
      </c>
      <c r="H14" s="19" t="s">
        <v>8</v>
      </c>
      <c r="I14" s="20" t="s">
        <v>114</v>
      </c>
      <c r="J14" s="20" t="s">
        <v>114</v>
      </c>
      <c r="K14" s="19" t="s">
        <v>1075</v>
      </c>
      <c r="L14" s="20" t="s">
        <v>116</v>
      </c>
      <c r="M14" s="20">
        <v>1</v>
      </c>
      <c r="N14" s="20"/>
      <c r="O14" s="20" t="s">
        <v>1053</v>
      </c>
    </row>
    <row r="15" spans="1:15" x14ac:dyDescent="0.3">
      <c r="A15" s="19">
        <f t="shared" si="0"/>
        <v>14</v>
      </c>
      <c r="B15" s="20" t="s">
        <v>87</v>
      </c>
      <c r="C15" s="20" t="s">
        <v>93</v>
      </c>
      <c r="D15" s="21" t="str">
        <f>IF($C15="","",IFERROR(VLOOKUP($C15,Map_Register!$A$2:$C$5,3,FALSE()),""))</f>
        <v>Cultural Heritage Area</v>
      </c>
      <c r="E15" s="20" t="s">
        <v>13</v>
      </c>
      <c r="F15" s="20" t="s">
        <v>1076</v>
      </c>
      <c r="G15" s="19" t="s">
        <v>1066</v>
      </c>
      <c r="H15" s="19" t="s">
        <v>8</v>
      </c>
      <c r="I15" s="20" t="s">
        <v>114</v>
      </c>
      <c r="J15" s="20" t="s">
        <v>114</v>
      </c>
      <c r="K15" s="19" t="s">
        <v>1077</v>
      </c>
      <c r="L15" s="20" t="s">
        <v>114</v>
      </c>
      <c r="M15" s="20">
        <v>1</v>
      </c>
      <c r="N15" s="20"/>
      <c r="O15" s="20"/>
    </row>
    <row r="16" spans="1:15" x14ac:dyDescent="0.3">
      <c r="A16" s="19">
        <f t="shared" si="0"/>
        <v>15</v>
      </c>
      <c r="B16" s="20" t="s">
        <v>87</v>
      </c>
      <c r="C16" s="20" t="s">
        <v>93</v>
      </c>
      <c r="D16" s="21" t="str">
        <f>IF($C16="","",IFERROR(VLOOKUP($C16,Map_Register!$A$2:$C$5,3,FALSE()),""))</f>
        <v>Cultural Heritage Area</v>
      </c>
      <c r="E16" s="20" t="s">
        <v>13</v>
      </c>
      <c r="F16" s="20" t="s">
        <v>1055</v>
      </c>
      <c r="G16" s="19" t="s">
        <v>1066</v>
      </c>
      <c r="H16" s="19" t="s">
        <v>8</v>
      </c>
      <c r="I16" s="20" t="s">
        <v>114</v>
      </c>
      <c r="J16" s="20" t="s">
        <v>114</v>
      </c>
      <c r="K16" s="19" t="s">
        <v>1077</v>
      </c>
      <c r="L16" s="20" t="s">
        <v>116</v>
      </c>
      <c r="M16" s="20">
        <v>1</v>
      </c>
      <c r="N16" s="20"/>
      <c r="O16" s="20" t="s">
        <v>1053</v>
      </c>
    </row>
    <row r="17" spans="1:15" x14ac:dyDescent="0.3">
      <c r="A17" s="19">
        <f t="shared" si="0"/>
        <v>16</v>
      </c>
      <c r="B17" s="20" t="s">
        <v>87</v>
      </c>
      <c r="C17" s="20" t="s">
        <v>93</v>
      </c>
      <c r="D17" s="21" t="str">
        <f>IF($C17="","",IFERROR(VLOOKUP($C17,Map_Register!$A$2:$C$5,3,FALSE()),""))</f>
        <v>Cultural Heritage Area</v>
      </c>
      <c r="E17" s="20" t="s">
        <v>13</v>
      </c>
      <c r="F17" s="20" t="s">
        <v>1060</v>
      </c>
      <c r="G17" s="19" t="s">
        <v>1078</v>
      </c>
      <c r="H17" s="19" t="s">
        <v>6</v>
      </c>
      <c r="I17" s="19"/>
      <c r="J17" s="19"/>
      <c r="K17" s="19" t="s">
        <v>1061</v>
      </c>
      <c r="L17" s="20"/>
      <c r="M17" s="20">
        <v>1</v>
      </c>
      <c r="N17" s="20"/>
      <c r="O17" s="20"/>
    </row>
    <row r="18" spans="1:15" x14ac:dyDescent="0.3">
      <c r="A18" s="19">
        <f t="shared" si="0"/>
        <v>17</v>
      </c>
      <c r="B18" s="20" t="s">
        <v>87</v>
      </c>
      <c r="C18" s="20" t="s">
        <v>93</v>
      </c>
      <c r="D18" s="21" t="str">
        <f>IF($C18="","",IFERROR(VLOOKUP($C18,Map_Register!$A$2:$C$5,3,FALSE()),""))</f>
        <v>Cultural Heritage Area</v>
      </c>
      <c r="E18" s="20" t="s">
        <v>13</v>
      </c>
      <c r="F18" s="20" t="s">
        <v>1060</v>
      </c>
      <c r="G18" s="19" t="s">
        <v>1079</v>
      </c>
      <c r="H18" s="19" t="s">
        <v>6</v>
      </c>
      <c r="I18" s="19"/>
      <c r="J18" s="19"/>
      <c r="K18" s="19" t="s">
        <v>1061</v>
      </c>
      <c r="L18" s="20"/>
      <c r="M18" s="20">
        <v>1</v>
      </c>
      <c r="N18" s="20"/>
      <c r="O18" s="20"/>
    </row>
    <row r="19" spans="1:15" x14ac:dyDescent="0.3">
      <c r="A19" s="19">
        <f t="shared" si="0"/>
        <v>18</v>
      </c>
      <c r="B19" s="20" t="s">
        <v>87</v>
      </c>
      <c r="C19" s="20" t="s">
        <v>97</v>
      </c>
      <c r="D19" s="21" t="str">
        <f>IF($C19="","",IFERROR(VLOOKUP($C19,Map_Register!$A$2:$C$5,3,FALSE()),""))</f>
        <v>Military Zone</v>
      </c>
      <c r="E19" s="20" t="s">
        <v>13</v>
      </c>
      <c r="F19" s="20" t="s">
        <v>1062</v>
      </c>
      <c r="G19" s="19" t="s">
        <v>1063</v>
      </c>
      <c r="H19" s="19" t="s">
        <v>6</v>
      </c>
      <c r="I19" s="20"/>
      <c r="J19" s="19"/>
      <c r="K19" s="19" t="s">
        <v>1064</v>
      </c>
      <c r="L19" s="20"/>
      <c r="M19" s="20">
        <v>10</v>
      </c>
      <c r="N19" s="20"/>
      <c r="O19" s="20"/>
    </row>
    <row r="20" spans="1:15" x14ac:dyDescent="0.3">
      <c r="A20" s="19">
        <f t="shared" si="0"/>
        <v>19</v>
      </c>
      <c r="B20" s="20" t="s">
        <v>87</v>
      </c>
      <c r="C20" s="20" t="s">
        <v>97</v>
      </c>
      <c r="D20" s="21" t="str">
        <f>IF($C20="","",IFERROR(VLOOKUP($C20,Map_Register!$A$2:$C$5,3,FALSE()),""))</f>
        <v>Military Zone</v>
      </c>
      <c r="E20" s="20" t="s">
        <v>13</v>
      </c>
      <c r="F20" s="20" t="s">
        <v>1069</v>
      </c>
      <c r="G20" s="19" t="s">
        <v>1047</v>
      </c>
      <c r="H20" s="19" t="s">
        <v>6</v>
      </c>
      <c r="I20" s="20"/>
      <c r="J20" s="19"/>
      <c r="K20" s="19" t="s">
        <v>1070</v>
      </c>
      <c r="L20" s="20"/>
      <c r="M20" s="20">
        <v>1</v>
      </c>
      <c r="N20" s="20"/>
      <c r="O20" s="20" t="s">
        <v>1053</v>
      </c>
    </row>
    <row r="21" spans="1:15" x14ac:dyDescent="0.3">
      <c r="A21" s="19">
        <f t="shared" si="0"/>
        <v>20</v>
      </c>
      <c r="B21" s="20" t="s">
        <v>87</v>
      </c>
      <c r="C21" s="20" t="s">
        <v>97</v>
      </c>
      <c r="D21" s="21" t="str">
        <f>IF($C21="","",IFERROR(VLOOKUP($C21,Map_Register!$A$2:$C$5,3,FALSE()),""))</f>
        <v>Military Zone</v>
      </c>
      <c r="E21" s="20" t="s">
        <v>13</v>
      </c>
      <c r="F21" s="20" t="s">
        <v>1069</v>
      </c>
      <c r="G21" s="19" t="s">
        <v>1072</v>
      </c>
      <c r="H21" s="19" t="s">
        <v>6</v>
      </c>
      <c r="I21" s="20"/>
      <c r="J21" s="19"/>
      <c r="K21" s="19" t="s">
        <v>1070</v>
      </c>
      <c r="L21" s="20"/>
      <c r="M21" s="20">
        <v>1</v>
      </c>
      <c r="N21" s="20"/>
      <c r="O21" s="20" t="s">
        <v>1053</v>
      </c>
    </row>
    <row r="22" spans="1:15" x14ac:dyDescent="0.3">
      <c r="A22" s="19">
        <f t="shared" si="0"/>
        <v>21</v>
      </c>
      <c r="B22" s="20" t="s">
        <v>87</v>
      </c>
      <c r="C22" s="20" t="s">
        <v>97</v>
      </c>
      <c r="D22" s="21" t="str">
        <f>IF($C22="","",IFERROR(VLOOKUP($C22,Map_Register!$A$2:$C$5,3,FALSE()),""))</f>
        <v>Military Zone</v>
      </c>
      <c r="E22" s="20" t="s">
        <v>13</v>
      </c>
      <c r="F22" s="20" t="s">
        <v>1069</v>
      </c>
      <c r="G22" s="19" t="s">
        <v>1080</v>
      </c>
      <c r="H22" s="19" t="s">
        <v>6</v>
      </c>
      <c r="I22" s="20"/>
      <c r="J22" s="19"/>
      <c r="K22" s="19" t="s">
        <v>1070</v>
      </c>
      <c r="L22" s="20"/>
      <c r="M22" s="20">
        <v>1</v>
      </c>
      <c r="N22" s="20"/>
      <c r="O22" s="20" t="s">
        <v>1053</v>
      </c>
    </row>
    <row r="23" spans="1:15" x14ac:dyDescent="0.3">
      <c r="A23" s="19">
        <f t="shared" si="0"/>
        <v>22</v>
      </c>
      <c r="B23" s="20" t="s">
        <v>87</v>
      </c>
      <c r="C23" s="20" t="s">
        <v>97</v>
      </c>
      <c r="D23" s="21" t="str">
        <f>IF($C23="","",IFERROR(VLOOKUP($C23,Map_Register!$A$2:$C$5,3,FALSE()),""))</f>
        <v>Military Zone</v>
      </c>
      <c r="E23" s="20" t="s">
        <v>13</v>
      </c>
      <c r="F23" s="20" t="s">
        <v>1081</v>
      </c>
      <c r="G23" s="19" t="s">
        <v>1078</v>
      </c>
      <c r="H23" s="19" t="s">
        <v>6</v>
      </c>
      <c r="I23" s="20"/>
      <c r="J23" s="19"/>
      <c r="K23" s="19" t="s">
        <v>1082</v>
      </c>
      <c r="L23" s="20"/>
      <c r="M23" s="20">
        <v>1</v>
      </c>
      <c r="N23" s="20"/>
      <c r="O23" s="20"/>
    </row>
    <row r="24" spans="1:15" x14ac:dyDescent="0.3">
      <c r="A24" s="19">
        <f t="shared" si="0"/>
        <v>23</v>
      </c>
      <c r="B24" s="20" t="s">
        <v>87</v>
      </c>
      <c r="C24" s="20" t="s">
        <v>97</v>
      </c>
      <c r="D24" s="21" t="str">
        <f>IF($C24="","",IFERROR(VLOOKUP($C24,Map_Register!$A$2:$C$5,3,FALSE()),""))</f>
        <v>Military Zone</v>
      </c>
      <c r="E24" s="20" t="s">
        <v>13</v>
      </c>
      <c r="F24" s="20" t="s">
        <v>1060</v>
      </c>
      <c r="G24" s="19" t="s">
        <v>1079</v>
      </c>
      <c r="H24" s="19" t="s">
        <v>6</v>
      </c>
      <c r="I24" s="20"/>
      <c r="J24" s="19"/>
      <c r="K24" s="19" t="s">
        <v>1061</v>
      </c>
      <c r="L24" s="20"/>
      <c r="M24" s="20">
        <v>1</v>
      </c>
      <c r="N24" s="20"/>
      <c r="O24" s="20"/>
    </row>
    <row r="25" spans="1:15" x14ac:dyDescent="0.3">
      <c r="A25" s="19">
        <f t="shared" si="0"/>
        <v>24</v>
      </c>
      <c r="B25" s="20" t="s">
        <v>87</v>
      </c>
      <c r="C25" s="20" t="s">
        <v>97</v>
      </c>
      <c r="D25" s="21" t="str">
        <f>IF($C25="","",IFERROR(VLOOKUP($C25,Map_Register!$A$2:$C$5,3,FALSE()),""))</f>
        <v>Military Zone</v>
      </c>
      <c r="E25" s="20" t="s">
        <v>13</v>
      </c>
      <c r="F25" s="20" t="s">
        <v>1062</v>
      </c>
      <c r="G25" s="19" t="s">
        <v>1063</v>
      </c>
      <c r="H25" s="19" t="s">
        <v>6</v>
      </c>
      <c r="I25" s="20"/>
      <c r="J25" s="19"/>
      <c r="K25" s="19" t="s">
        <v>1064</v>
      </c>
      <c r="L25" s="20"/>
      <c r="M25" s="20">
        <v>15</v>
      </c>
      <c r="N25" s="20"/>
      <c r="O25" s="20"/>
    </row>
    <row r="26" spans="1:15" x14ac:dyDescent="0.3">
      <c r="A26" s="19">
        <f t="shared" si="0"/>
        <v>25</v>
      </c>
      <c r="B26" s="20" t="s">
        <v>87</v>
      </c>
      <c r="C26" s="20" t="s">
        <v>102</v>
      </c>
      <c r="D26" s="21" t="str">
        <f>IF($C26="","",IFERROR(VLOOKUP($C26,Map_Register!$A$2:$C$5,3,FALSE()),""))</f>
        <v>Toponym Labels</v>
      </c>
      <c r="E26" s="20" t="s">
        <v>13</v>
      </c>
      <c r="F26" s="20" t="s">
        <v>1083</v>
      </c>
      <c r="G26" s="19"/>
      <c r="H26" s="19"/>
      <c r="I26" s="19"/>
      <c r="J26" s="19"/>
      <c r="K26" s="19"/>
      <c r="L26" s="20"/>
      <c r="M26" s="20"/>
      <c r="N26" s="20"/>
      <c r="O26" s="20"/>
    </row>
    <row r="27" spans="1:15" x14ac:dyDescent="0.3">
      <c r="A27" s="19" t="str">
        <f t="shared" si="0"/>
        <v/>
      </c>
      <c r="B27" s="20"/>
      <c r="C27" s="20"/>
      <c r="D27" s="21"/>
      <c r="E27" s="20"/>
      <c r="G27" s="19"/>
      <c r="H27" s="19"/>
      <c r="I27" s="19"/>
      <c r="J27" s="19"/>
      <c r="K27" s="19"/>
      <c r="L27" s="20"/>
      <c r="M27" s="20"/>
      <c r="N27" s="20"/>
      <c r="O27" s="20"/>
    </row>
    <row r="28" spans="1:15" x14ac:dyDescent="0.3">
      <c r="A28" s="19" t="str">
        <f t="shared" si="0"/>
        <v/>
      </c>
      <c r="B28" s="20"/>
      <c r="C28" s="20"/>
      <c r="D28" s="21"/>
      <c r="E28" s="20"/>
      <c r="F28" s="20"/>
      <c r="G28" s="19"/>
      <c r="H28" s="19"/>
      <c r="I28" s="19"/>
      <c r="J28" s="19"/>
      <c r="K28" s="19"/>
      <c r="L28" s="20"/>
      <c r="M28" s="20"/>
      <c r="N28" s="20"/>
      <c r="O28" s="20"/>
    </row>
    <row r="29" spans="1:15" x14ac:dyDescent="0.3">
      <c r="A29" s="19"/>
      <c r="B29" s="20"/>
      <c r="C29" s="20"/>
      <c r="D29" s="21"/>
      <c r="E29" s="20"/>
      <c r="G29" s="19"/>
      <c r="H29" s="19"/>
      <c r="I29" s="19"/>
      <c r="J29" s="19"/>
      <c r="K29" s="19"/>
      <c r="L29" s="20"/>
      <c r="M29" s="20"/>
      <c r="N29" s="20"/>
      <c r="O29" s="20"/>
    </row>
    <row r="30" spans="1:15" x14ac:dyDescent="0.3">
      <c r="A30" s="19"/>
      <c r="B30" s="20"/>
      <c r="C30" s="20"/>
      <c r="D30" s="21"/>
      <c r="E30" s="20"/>
      <c r="G30" s="19"/>
      <c r="H30" s="19"/>
      <c r="I30" s="19"/>
      <c r="J30" s="19"/>
      <c r="K30" s="19"/>
      <c r="L30" s="20"/>
      <c r="M30" s="20"/>
      <c r="N30" s="20"/>
      <c r="O30" s="20"/>
    </row>
    <row r="31" spans="1:15" x14ac:dyDescent="0.3">
      <c r="A31" s="19"/>
      <c r="B31" s="20"/>
      <c r="C31" s="20"/>
      <c r="D31" s="21"/>
      <c r="E31" s="20"/>
      <c r="G31" s="19"/>
      <c r="H31" s="19"/>
      <c r="I31" s="19"/>
      <c r="J31" s="19"/>
      <c r="K31" s="19"/>
      <c r="L31" s="20"/>
      <c r="M31" s="20"/>
      <c r="N31" s="20"/>
      <c r="O31" s="20"/>
    </row>
    <row r="32" spans="1:15" x14ac:dyDescent="0.3">
      <c r="A32" s="19"/>
      <c r="B32" s="20"/>
      <c r="C32" s="20"/>
      <c r="D32" s="21"/>
      <c r="E32" s="20"/>
      <c r="G32" s="19"/>
      <c r="H32" s="19"/>
      <c r="I32" s="19"/>
      <c r="J32" s="19"/>
      <c r="K32" s="19"/>
      <c r="L32" s="20"/>
      <c r="M32" s="20"/>
      <c r="N32" s="20"/>
      <c r="O32" s="20"/>
    </row>
    <row r="33" spans="1:15" x14ac:dyDescent="0.3">
      <c r="A33" s="19"/>
      <c r="B33" s="20"/>
      <c r="C33" s="20"/>
      <c r="D33" s="21"/>
      <c r="E33" s="20"/>
      <c r="F33" s="20"/>
      <c r="G33" s="19"/>
      <c r="H33" s="19"/>
      <c r="I33" s="19"/>
      <c r="J33" s="19"/>
      <c r="K33" s="19"/>
      <c r="L33" s="20"/>
      <c r="M33" s="20"/>
      <c r="N33" s="20"/>
      <c r="O33" s="20"/>
    </row>
    <row r="34" spans="1:15" x14ac:dyDescent="0.3">
      <c r="A34" s="19"/>
      <c r="B34" s="20"/>
      <c r="C34" s="20"/>
      <c r="D34" s="21"/>
      <c r="E34" s="20"/>
      <c r="G34" s="19"/>
      <c r="H34" s="19"/>
      <c r="I34" s="19"/>
      <c r="J34" s="19"/>
      <c r="K34" s="19"/>
      <c r="L34" s="20"/>
      <c r="M34" s="20"/>
      <c r="N34" s="20"/>
      <c r="O34" s="20"/>
    </row>
    <row r="35" spans="1:15" x14ac:dyDescent="0.3">
      <c r="A35" s="19"/>
      <c r="B35" s="20"/>
      <c r="C35" s="20"/>
      <c r="D35" s="21"/>
      <c r="E35" s="20"/>
      <c r="G35" s="19"/>
      <c r="H35" s="19"/>
      <c r="I35" s="19"/>
      <c r="J35" s="19"/>
      <c r="K35" s="19"/>
      <c r="L35" s="20"/>
      <c r="M35" s="20"/>
      <c r="N35" s="20"/>
      <c r="O35" s="20"/>
    </row>
    <row r="36" spans="1:15" x14ac:dyDescent="0.3">
      <c r="A36" s="19"/>
      <c r="B36" s="20"/>
      <c r="C36" s="20"/>
      <c r="D36" s="21"/>
      <c r="E36" s="20"/>
      <c r="G36" s="19"/>
      <c r="H36" s="19"/>
      <c r="I36" s="19"/>
      <c r="J36" s="19"/>
      <c r="K36" s="19"/>
      <c r="L36" s="20"/>
      <c r="M36" s="20"/>
      <c r="N36" s="20"/>
      <c r="O36" s="20"/>
    </row>
    <row r="37" spans="1:15" x14ac:dyDescent="0.3">
      <c r="A37" s="19"/>
      <c r="B37" s="20"/>
      <c r="C37" s="20"/>
      <c r="D37" s="21"/>
      <c r="E37" s="20"/>
      <c r="F37" s="20"/>
      <c r="G37" s="19"/>
      <c r="H37" s="19"/>
      <c r="I37" s="19"/>
      <c r="J37" s="19"/>
      <c r="K37" s="19"/>
      <c r="L37" s="20"/>
      <c r="M37" s="20"/>
      <c r="N37" s="20"/>
      <c r="O37" s="20"/>
    </row>
    <row r="38" spans="1:15" x14ac:dyDescent="0.3">
      <c r="A38" s="19"/>
      <c r="B38" s="20"/>
      <c r="C38" s="20"/>
      <c r="D38" s="21"/>
      <c r="E38" s="20"/>
      <c r="F38" s="20"/>
      <c r="G38" s="19"/>
      <c r="H38" s="19"/>
      <c r="I38" s="19"/>
      <c r="J38" s="19"/>
      <c r="K38" s="19"/>
      <c r="L38" s="20"/>
      <c r="M38" s="20"/>
      <c r="N38" s="20"/>
      <c r="O38" s="20"/>
    </row>
    <row r="39" spans="1:15" x14ac:dyDescent="0.3">
      <c r="A39" s="19"/>
      <c r="B39" s="20"/>
      <c r="C39" s="20"/>
      <c r="D39" s="21"/>
      <c r="E39" s="20"/>
      <c r="G39" s="19"/>
      <c r="H39" s="19"/>
      <c r="I39" s="19"/>
      <c r="J39" s="19"/>
      <c r="K39" s="19"/>
      <c r="L39" s="20"/>
      <c r="M39" s="20"/>
      <c r="N39" s="20"/>
      <c r="O39" s="20"/>
    </row>
    <row r="40" spans="1:15" x14ac:dyDescent="0.3">
      <c r="A40" s="19"/>
      <c r="B40" s="20"/>
      <c r="C40" s="20"/>
      <c r="D40" s="21"/>
      <c r="E40" s="20"/>
      <c r="G40" s="19"/>
      <c r="H40" s="19"/>
      <c r="I40" s="19"/>
      <c r="J40" s="19"/>
      <c r="K40" s="19"/>
      <c r="L40" s="20"/>
      <c r="M40" s="20"/>
      <c r="N40" s="20"/>
      <c r="O40" s="20"/>
    </row>
    <row r="41" spans="1:15" x14ac:dyDescent="0.3">
      <c r="A41" s="19"/>
      <c r="B41" s="20"/>
      <c r="C41" s="20"/>
      <c r="D41" s="21"/>
      <c r="E41" s="20"/>
      <c r="G41" s="19"/>
      <c r="H41" s="19"/>
      <c r="I41" s="19"/>
      <c r="J41" s="19"/>
      <c r="K41" s="19"/>
      <c r="L41" s="20"/>
      <c r="M41" s="20"/>
      <c r="N41" s="20"/>
      <c r="O41" s="20"/>
    </row>
    <row r="42" spans="1:15" x14ac:dyDescent="0.3">
      <c r="A42" s="19"/>
      <c r="B42" s="20"/>
      <c r="C42" s="20"/>
      <c r="D42" s="21"/>
      <c r="E42" s="20"/>
      <c r="G42" s="19"/>
      <c r="H42" s="19"/>
      <c r="I42" s="19"/>
      <c r="J42" s="19"/>
      <c r="K42" s="19"/>
      <c r="L42" s="20"/>
      <c r="M42" s="20"/>
      <c r="N42" s="20"/>
      <c r="O42" s="20"/>
    </row>
    <row r="43" spans="1:15" x14ac:dyDescent="0.3">
      <c r="A43" s="19"/>
      <c r="B43" s="20"/>
      <c r="C43" s="20"/>
      <c r="D43" s="21"/>
      <c r="E43" s="20"/>
      <c r="G43" s="19"/>
      <c r="H43" s="19"/>
      <c r="I43" s="19"/>
      <c r="J43" s="19"/>
      <c r="K43" s="19"/>
      <c r="L43" s="20"/>
      <c r="M43" s="20"/>
      <c r="N43" s="20"/>
      <c r="O43" s="20"/>
    </row>
    <row r="44" spans="1:15" x14ac:dyDescent="0.3">
      <c r="A44" s="19"/>
      <c r="B44" s="20"/>
      <c r="C44" s="20"/>
      <c r="D44" s="21"/>
      <c r="E44" s="20"/>
      <c r="G44" s="19"/>
      <c r="H44" s="19"/>
      <c r="I44" s="19"/>
      <c r="J44" s="19"/>
      <c r="K44" s="19"/>
      <c r="L44" s="20"/>
      <c r="M44" s="20"/>
      <c r="N44" s="20"/>
      <c r="O44" s="20"/>
    </row>
    <row r="45" spans="1:15" x14ac:dyDescent="0.3">
      <c r="A45" s="19"/>
      <c r="B45" s="20"/>
      <c r="C45" s="20"/>
      <c r="D45" s="21"/>
      <c r="E45" s="20"/>
      <c r="G45" s="19"/>
      <c r="H45" s="19"/>
      <c r="I45" s="19"/>
      <c r="J45" s="19"/>
      <c r="K45" s="19"/>
      <c r="L45" s="20"/>
      <c r="M45" s="20"/>
      <c r="N45" s="20"/>
      <c r="O45" s="20"/>
    </row>
    <row r="46" spans="1:15" x14ac:dyDescent="0.3">
      <c r="A46" s="19"/>
      <c r="B46" s="20"/>
      <c r="C46" s="20"/>
      <c r="D46" s="21"/>
      <c r="E46" s="20"/>
      <c r="G46" s="19"/>
      <c r="H46" s="19"/>
      <c r="I46" s="19"/>
      <c r="J46" s="19"/>
      <c r="K46" s="19"/>
      <c r="L46" s="20"/>
      <c r="M46" s="20"/>
      <c r="N46" s="20"/>
      <c r="O46" s="20"/>
    </row>
    <row r="47" spans="1:15" x14ac:dyDescent="0.3">
      <c r="A47" s="19"/>
      <c r="B47" s="20"/>
      <c r="C47" s="20"/>
      <c r="D47" s="21"/>
      <c r="E47" s="20"/>
      <c r="G47" s="19"/>
      <c r="H47" s="19"/>
      <c r="I47" s="19"/>
      <c r="J47" s="19"/>
      <c r="K47" s="19"/>
      <c r="L47" s="20"/>
      <c r="M47" s="20"/>
      <c r="N47" s="20"/>
      <c r="O47" s="20"/>
    </row>
    <row r="48" spans="1:15" x14ac:dyDescent="0.3">
      <c r="A48" s="19"/>
      <c r="B48" s="20"/>
      <c r="C48" s="20"/>
      <c r="D48" s="21"/>
      <c r="E48" s="20"/>
      <c r="G48" s="19"/>
      <c r="H48" s="19"/>
      <c r="I48" s="19"/>
      <c r="J48" s="19"/>
      <c r="K48" s="19"/>
      <c r="L48" s="20"/>
      <c r="M48" s="20"/>
      <c r="N48" s="20"/>
      <c r="O48" s="20"/>
    </row>
    <row r="49" spans="1:15" x14ac:dyDescent="0.3">
      <c r="A49" s="19"/>
      <c r="B49" s="20"/>
      <c r="C49" s="20"/>
      <c r="D49" s="21"/>
      <c r="E49" s="20"/>
      <c r="G49" s="19"/>
      <c r="H49" s="19"/>
      <c r="I49" s="19"/>
      <c r="J49" s="19"/>
      <c r="K49" s="19"/>
      <c r="L49" s="20"/>
      <c r="M49" s="20"/>
      <c r="N49" s="20"/>
      <c r="O49" s="20"/>
    </row>
    <row r="50" spans="1:15" x14ac:dyDescent="0.3">
      <c r="A50" s="19"/>
      <c r="B50" s="20"/>
      <c r="C50" s="20"/>
      <c r="D50" s="21"/>
      <c r="E50" s="20"/>
      <c r="G50" s="19"/>
      <c r="H50" s="19"/>
      <c r="I50" s="19"/>
      <c r="J50" s="19"/>
      <c r="K50" s="19"/>
      <c r="L50" s="20"/>
      <c r="M50" s="20"/>
      <c r="N50" s="20"/>
      <c r="O50" s="20"/>
    </row>
    <row r="51" spans="1:15" x14ac:dyDescent="0.3">
      <c r="A51" s="19"/>
      <c r="B51" s="20"/>
      <c r="C51" s="20"/>
      <c r="D51" s="21"/>
      <c r="E51" s="20"/>
      <c r="F51" s="20"/>
      <c r="G51" s="19"/>
      <c r="H51" s="19"/>
      <c r="I51" s="19"/>
      <c r="J51" s="19"/>
      <c r="K51" s="19"/>
      <c r="L51" s="20"/>
      <c r="M51" s="20"/>
      <c r="N51" s="20"/>
      <c r="O51" s="20"/>
    </row>
    <row r="52" spans="1:15" x14ac:dyDescent="0.3">
      <c r="A52" s="19"/>
      <c r="B52" s="20"/>
      <c r="C52" s="20"/>
      <c r="D52" s="21"/>
      <c r="E52" s="20"/>
      <c r="G52" s="19"/>
      <c r="H52" s="19"/>
      <c r="I52" s="19"/>
      <c r="J52" s="19"/>
      <c r="K52" s="19"/>
      <c r="L52" s="20"/>
      <c r="M52" s="20"/>
      <c r="N52" s="20"/>
      <c r="O52" s="20"/>
    </row>
    <row r="53" spans="1:15" x14ac:dyDescent="0.3">
      <c r="A53" s="19"/>
      <c r="B53" s="20"/>
      <c r="C53" s="20"/>
      <c r="D53" s="21"/>
      <c r="E53" s="20"/>
      <c r="G53" s="19"/>
      <c r="H53" s="19"/>
      <c r="I53" s="19"/>
      <c r="J53" s="19"/>
      <c r="K53" s="19"/>
      <c r="L53" s="20"/>
      <c r="M53" s="20"/>
      <c r="N53" s="20"/>
      <c r="O53" s="20"/>
    </row>
    <row r="54" spans="1:15" x14ac:dyDescent="0.3">
      <c r="A54" s="19"/>
      <c r="B54" s="20"/>
      <c r="C54" s="20"/>
      <c r="D54" s="21"/>
      <c r="E54" s="20"/>
      <c r="G54" s="19"/>
      <c r="H54" s="19"/>
      <c r="I54" s="19"/>
      <c r="J54" s="19"/>
      <c r="K54" s="19"/>
      <c r="L54" s="20"/>
      <c r="M54" s="20"/>
      <c r="N54" s="20"/>
      <c r="O54" s="20"/>
    </row>
    <row r="55" spans="1:15" x14ac:dyDescent="0.3">
      <c r="A55" s="19"/>
      <c r="B55" s="20"/>
      <c r="C55" s="20"/>
      <c r="D55" s="21"/>
      <c r="E55" s="20"/>
      <c r="F55" s="20"/>
      <c r="G55" s="19"/>
      <c r="H55" s="19"/>
      <c r="I55" s="19"/>
      <c r="J55" s="19"/>
      <c r="K55" s="19"/>
      <c r="L55" s="20"/>
      <c r="M55" s="20"/>
      <c r="N55" s="20"/>
      <c r="O55" s="20"/>
    </row>
    <row r="56" spans="1:15" x14ac:dyDescent="0.3">
      <c r="A56" s="19"/>
      <c r="B56" s="20"/>
      <c r="C56" s="20"/>
      <c r="D56" s="21"/>
      <c r="E56" s="20"/>
      <c r="G56" s="19"/>
      <c r="H56" s="19"/>
      <c r="I56" s="19"/>
      <c r="J56" s="19"/>
      <c r="K56" s="19"/>
      <c r="L56" s="20"/>
      <c r="M56" s="20"/>
      <c r="N56" s="20"/>
      <c r="O56" s="20"/>
    </row>
    <row r="57" spans="1:15" x14ac:dyDescent="0.3">
      <c r="A57" s="19"/>
      <c r="B57" s="20"/>
      <c r="C57" s="20"/>
      <c r="D57" s="21"/>
      <c r="E57" s="20"/>
      <c r="G57" s="19"/>
      <c r="H57" s="19"/>
      <c r="I57" s="19"/>
      <c r="J57" s="19"/>
      <c r="K57" s="19"/>
      <c r="L57" s="20"/>
      <c r="M57" s="20"/>
      <c r="N57" s="20"/>
      <c r="O57" s="20"/>
    </row>
    <row r="58" spans="1:15" x14ac:dyDescent="0.3">
      <c r="A58" s="19"/>
      <c r="B58" s="20"/>
      <c r="C58" s="20"/>
      <c r="D58" s="21"/>
      <c r="E58" s="20"/>
      <c r="G58" s="19"/>
      <c r="H58" s="19"/>
      <c r="I58" s="19"/>
      <c r="J58" s="19"/>
      <c r="K58" s="19"/>
      <c r="L58" s="20"/>
      <c r="M58" s="20"/>
      <c r="N58" s="20"/>
      <c r="O58" s="20"/>
    </row>
    <row r="59" spans="1:15" x14ac:dyDescent="0.3">
      <c r="A59" s="19"/>
      <c r="B59" s="20"/>
      <c r="C59" s="20"/>
      <c r="D59" s="21"/>
      <c r="E59" s="20"/>
      <c r="G59" s="19"/>
      <c r="H59" s="19"/>
      <c r="I59" s="19"/>
      <c r="J59" s="19"/>
      <c r="K59" s="19"/>
      <c r="L59" s="20"/>
      <c r="M59" s="20"/>
      <c r="N59" s="20"/>
      <c r="O59" s="20"/>
    </row>
    <row r="60" spans="1:15" x14ac:dyDescent="0.3">
      <c r="A60" s="19"/>
      <c r="B60" s="20"/>
      <c r="C60" s="20"/>
      <c r="D60" s="21"/>
      <c r="E60" s="20"/>
      <c r="G60" s="19"/>
      <c r="H60" s="19"/>
      <c r="I60" s="19"/>
      <c r="J60" s="19"/>
      <c r="K60" s="19"/>
      <c r="L60" s="20"/>
      <c r="M60" s="20"/>
      <c r="N60" s="20"/>
      <c r="O60" s="20"/>
    </row>
    <row r="61" spans="1:15" x14ac:dyDescent="0.3">
      <c r="A61" s="19"/>
      <c r="B61" s="20"/>
      <c r="C61" s="20"/>
      <c r="D61" s="21"/>
      <c r="E61" s="20"/>
      <c r="G61" s="19"/>
      <c r="H61" s="19"/>
      <c r="I61" s="19"/>
      <c r="J61" s="19"/>
      <c r="K61" s="19"/>
      <c r="L61" s="20"/>
      <c r="M61" s="20"/>
      <c r="N61" s="20"/>
      <c r="O61" s="20"/>
    </row>
    <row r="62" spans="1:15" x14ac:dyDescent="0.3">
      <c r="A62" s="19"/>
      <c r="B62" s="20"/>
      <c r="C62" s="20"/>
      <c r="D62" s="21"/>
      <c r="E62" s="20"/>
      <c r="G62" s="19"/>
      <c r="H62" s="19"/>
      <c r="I62" s="19"/>
      <c r="J62" s="19"/>
      <c r="K62" s="19"/>
      <c r="L62" s="20"/>
      <c r="M62" s="20"/>
      <c r="N62" s="20"/>
      <c r="O62" s="20"/>
    </row>
    <row r="63" spans="1:15" x14ac:dyDescent="0.3">
      <c r="A63" s="19"/>
      <c r="B63" s="20"/>
      <c r="C63" s="20"/>
      <c r="D63" s="21"/>
      <c r="E63" s="20"/>
      <c r="G63" s="19"/>
      <c r="H63" s="19"/>
      <c r="I63" s="19"/>
      <c r="J63" s="19"/>
      <c r="K63" s="19"/>
      <c r="L63" s="20"/>
      <c r="M63" s="20"/>
      <c r="N63" s="20"/>
      <c r="O63" s="20"/>
    </row>
    <row r="64" spans="1:15" x14ac:dyDescent="0.3">
      <c r="A64" s="19"/>
      <c r="B64" s="20"/>
      <c r="C64" s="20"/>
      <c r="D64" s="21"/>
      <c r="E64" s="20"/>
      <c r="G64" s="19"/>
      <c r="H64" s="19"/>
      <c r="I64" s="19"/>
      <c r="J64" s="19"/>
      <c r="K64" s="19"/>
      <c r="L64" s="20"/>
      <c r="M64" s="20"/>
      <c r="N64" s="20"/>
      <c r="O64" s="20"/>
    </row>
    <row r="65" spans="1:15" x14ac:dyDescent="0.3">
      <c r="A65" s="19"/>
      <c r="B65" s="20"/>
      <c r="C65" s="20"/>
      <c r="D65" s="21"/>
      <c r="E65" s="20"/>
      <c r="G65" s="19"/>
      <c r="H65" s="19"/>
      <c r="I65" s="19"/>
      <c r="J65" s="19"/>
      <c r="K65" s="19"/>
      <c r="L65" s="20"/>
      <c r="M65" s="20"/>
      <c r="N65" s="20"/>
      <c r="O65" s="20"/>
    </row>
    <row r="66" spans="1:15" x14ac:dyDescent="0.3">
      <c r="A66" s="19"/>
      <c r="B66" s="20"/>
      <c r="C66" s="20"/>
      <c r="D66" s="21"/>
      <c r="E66" s="20"/>
      <c r="G66" s="19"/>
      <c r="H66" s="19"/>
      <c r="I66" s="19"/>
      <c r="J66" s="19"/>
      <c r="K66" s="19"/>
      <c r="L66" s="20"/>
      <c r="M66" s="20"/>
      <c r="N66" s="20"/>
      <c r="O66" s="20"/>
    </row>
    <row r="67" spans="1:15" x14ac:dyDescent="0.3">
      <c r="A67" s="19"/>
      <c r="B67" s="20"/>
      <c r="C67" s="20"/>
      <c r="D67" s="21"/>
      <c r="E67" s="20"/>
      <c r="G67" s="19"/>
      <c r="H67" s="19"/>
      <c r="I67" s="19"/>
      <c r="J67" s="19"/>
      <c r="K67" s="19"/>
      <c r="L67" s="20"/>
      <c r="M67" s="20"/>
      <c r="N67" s="20"/>
      <c r="O67" s="20"/>
    </row>
    <row r="68" spans="1:15" x14ac:dyDescent="0.3">
      <c r="A68" s="19"/>
      <c r="B68" s="20"/>
      <c r="C68" s="20"/>
      <c r="D68" s="21"/>
      <c r="E68" s="20"/>
      <c r="G68" s="19"/>
      <c r="H68" s="19"/>
      <c r="I68" s="19"/>
      <c r="J68" s="19"/>
      <c r="K68" s="19"/>
      <c r="L68" s="20"/>
      <c r="M68" s="20"/>
      <c r="N68" s="20"/>
      <c r="O68" s="20"/>
    </row>
    <row r="69" spans="1:15" x14ac:dyDescent="0.3">
      <c r="A69" s="19"/>
      <c r="B69" s="20"/>
      <c r="C69" s="20"/>
      <c r="D69" s="21"/>
      <c r="E69" s="20"/>
      <c r="F69" s="20"/>
      <c r="G69" s="19"/>
      <c r="H69" s="19"/>
      <c r="I69" s="19"/>
      <c r="J69" s="19"/>
      <c r="K69" s="19"/>
      <c r="L69" s="20"/>
      <c r="M69" s="20"/>
      <c r="N69" s="20"/>
      <c r="O69" s="20"/>
    </row>
    <row r="70" spans="1:15" x14ac:dyDescent="0.3">
      <c r="A70" s="19"/>
      <c r="B70" s="20"/>
      <c r="C70" s="20"/>
      <c r="D70" s="21"/>
      <c r="E70" s="20"/>
      <c r="G70" s="19"/>
      <c r="H70" s="19"/>
      <c r="I70" s="19"/>
      <c r="J70" s="19"/>
      <c r="K70" s="19"/>
      <c r="L70" s="20"/>
      <c r="M70" s="20"/>
      <c r="N70" s="20"/>
      <c r="O70" s="20"/>
    </row>
    <row r="71" spans="1:15" x14ac:dyDescent="0.3">
      <c r="A71" s="19"/>
      <c r="B71" s="20"/>
      <c r="C71" s="20"/>
      <c r="D71" s="21"/>
      <c r="E71" s="20"/>
      <c r="G71" s="19"/>
      <c r="H71" s="19"/>
      <c r="I71" s="19"/>
      <c r="J71" s="19"/>
      <c r="K71" s="19"/>
      <c r="L71" s="20"/>
      <c r="M71" s="20"/>
      <c r="N71" s="20"/>
      <c r="O71" s="20"/>
    </row>
    <row r="72" spans="1:15" x14ac:dyDescent="0.3">
      <c r="A72" s="19"/>
      <c r="B72" s="20"/>
      <c r="C72" s="20"/>
      <c r="D72" s="21"/>
      <c r="E72" s="20"/>
      <c r="G72" s="19"/>
      <c r="H72" s="19"/>
      <c r="I72" s="19"/>
      <c r="J72" s="19"/>
      <c r="K72" s="19"/>
      <c r="L72" s="20"/>
      <c r="M72" s="20"/>
      <c r="N72" s="20"/>
      <c r="O72" s="20"/>
    </row>
    <row r="73" spans="1:15" x14ac:dyDescent="0.3">
      <c r="A73" s="19"/>
      <c r="B73" s="20"/>
      <c r="C73" s="20"/>
      <c r="D73" s="21"/>
      <c r="E73" s="20"/>
      <c r="G73" s="19"/>
      <c r="H73" s="19"/>
      <c r="I73" s="19"/>
      <c r="J73" s="19"/>
      <c r="K73" s="19"/>
      <c r="L73" s="20"/>
      <c r="M73" s="20"/>
      <c r="N73" s="20"/>
      <c r="O73" s="20"/>
    </row>
    <row r="74" spans="1:15" x14ac:dyDescent="0.3">
      <c r="A74" s="19"/>
      <c r="B74" s="20"/>
      <c r="C74" s="20"/>
      <c r="D74" s="21"/>
      <c r="E74" s="20"/>
      <c r="G74" s="19"/>
      <c r="H74" s="19"/>
      <c r="I74" s="19"/>
      <c r="J74" s="19"/>
      <c r="K74" s="19"/>
      <c r="L74" s="20"/>
      <c r="M74" s="20"/>
      <c r="N74" s="20"/>
      <c r="O74" s="20"/>
    </row>
    <row r="75" spans="1:15" x14ac:dyDescent="0.3">
      <c r="A75" s="19"/>
      <c r="B75" s="20"/>
      <c r="C75" s="20"/>
      <c r="D75" s="21"/>
      <c r="E75" s="20"/>
      <c r="G75" s="19"/>
      <c r="H75" s="19"/>
      <c r="I75" s="19"/>
      <c r="J75" s="19"/>
      <c r="K75" s="19"/>
      <c r="L75" s="20"/>
      <c r="M75" s="20"/>
      <c r="N75" s="20"/>
      <c r="O75" s="20"/>
    </row>
    <row r="76" spans="1:15" x14ac:dyDescent="0.3">
      <c r="A76" s="19"/>
      <c r="B76" s="20"/>
      <c r="C76" s="20"/>
      <c r="D76" s="21"/>
      <c r="E76" s="20"/>
      <c r="F76" s="20"/>
      <c r="G76" s="19"/>
      <c r="H76" s="19"/>
      <c r="I76" s="19"/>
      <c r="J76" s="19"/>
      <c r="K76" s="19"/>
      <c r="L76" s="20"/>
      <c r="M76" s="20"/>
      <c r="N76" s="20"/>
      <c r="O76" s="20"/>
    </row>
    <row r="77" spans="1:15" x14ac:dyDescent="0.3">
      <c r="A77" s="19"/>
      <c r="B77" s="20"/>
      <c r="C77" s="20"/>
      <c r="D77" s="21"/>
      <c r="E77" s="20"/>
      <c r="G77" s="19"/>
      <c r="H77" s="19"/>
      <c r="I77" s="19"/>
      <c r="J77" s="19"/>
      <c r="K77" s="19"/>
      <c r="L77" s="20"/>
      <c r="M77" s="20"/>
      <c r="N77" s="20"/>
      <c r="O77" s="20"/>
    </row>
    <row r="78" spans="1:15" x14ac:dyDescent="0.3">
      <c r="A78" s="19"/>
      <c r="B78" s="20"/>
      <c r="C78" s="20"/>
      <c r="D78" s="21"/>
      <c r="E78" s="20"/>
      <c r="F78" s="20"/>
      <c r="G78" s="19"/>
      <c r="H78" s="19"/>
      <c r="I78" s="19"/>
      <c r="J78" s="19"/>
      <c r="K78" s="19"/>
      <c r="L78" s="20"/>
      <c r="M78" s="20"/>
      <c r="N78" s="20"/>
      <c r="O78" s="20"/>
    </row>
    <row r="79" spans="1:15" x14ac:dyDescent="0.3">
      <c r="A79" s="19"/>
      <c r="B79" s="20"/>
      <c r="C79" s="20"/>
      <c r="D79" s="21"/>
      <c r="E79" s="20"/>
      <c r="G79" s="19"/>
      <c r="H79" s="19"/>
      <c r="I79" s="19"/>
      <c r="J79" s="19"/>
      <c r="K79" s="19"/>
      <c r="L79" s="20"/>
      <c r="M79" s="20"/>
      <c r="N79" s="20"/>
      <c r="O79" s="20"/>
    </row>
    <row r="80" spans="1:15" x14ac:dyDescent="0.3">
      <c r="A80" s="19"/>
      <c r="B80" s="20"/>
      <c r="C80" s="20"/>
      <c r="D80" s="21"/>
      <c r="E80" s="20"/>
      <c r="G80" s="19"/>
      <c r="H80" s="19"/>
      <c r="I80" s="19"/>
      <c r="J80" s="19"/>
      <c r="K80" s="19"/>
      <c r="L80" s="20"/>
      <c r="M80" s="20"/>
      <c r="N80" s="20"/>
      <c r="O80" s="20"/>
    </row>
    <row r="81" spans="1:15" x14ac:dyDescent="0.3">
      <c r="A81" s="19"/>
      <c r="B81" s="20"/>
      <c r="C81" s="20"/>
      <c r="D81" s="21"/>
      <c r="E81" s="20"/>
      <c r="G81" s="19"/>
      <c r="H81" s="19"/>
      <c r="I81" s="19"/>
      <c r="J81" s="19"/>
      <c r="K81" s="19"/>
      <c r="L81" s="20"/>
      <c r="M81" s="20"/>
      <c r="N81" s="20"/>
      <c r="O81" s="20"/>
    </row>
    <row r="82" spans="1:15" x14ac:dyDescent="0.3">
      <c r="A82" s="19"/>
      <c r="B82" s="20"/>
      <c r="C82" s="20"/>
      <c r="D82" s="21"/>
      <c r="E82" s="20"/>
      <c r="G82" s="19"/>
      <c r="H82" s="19"/>
      <c r="I82" s="19"/>
      <c r="J82" s="19"/>
      <c r="K82" s="19"/>
      <c r="L82" s="20"/>
      <c r="M82" s="20"/>
      <c r="N82" s="20"/>
      <c r="O82" s="20"/>
    </row>
    <row r="83" spans="1:15" x14ac:dyDescent="0.3">
      <c r="A83" s="19"/>
      <c r="B83" s="20"/>
      <c r="C83" s="20"/>
      <c r="D83" s="21"/>
      <c r="E83" s="20"/>
      <c r="G83" s="19"/>
      <c r="H83" s="19"/>
      <c r="I83" s="19"/>
      <c r="J83" s="19"/>
      <c r="K83" s="19"/>
      <c r="L83" s="20"/>
      <c r="M83" s="20"/>
      <c r="N83" s="20"/>
      <c r="O83" s="20"/>
    </row>
    <row r="84" spans="1:15" x14ac:dyDescent="0.3">
      <c r="A84" s="19"/>
      <c r="B84" s="20"/>
      <c r="C84" s="20"/>
      <c r="D84" s="21"/>
      <c r="E84" s="20"/>
      <c r="G84" s="19"/>
      <c r="H84" s="19"/>
      <c r="I84" s="19"/>
      <c r="J84" s="19"/>
      <c r="K84" s="19"/>
      <c r="L84" s="20"/>
      <c r="M84" s="20"/>
      <c r="N84" s="20"/>
      <c r="O84" s="20"/>
    </row>
    <row r="85" spans="1:15" x14ac:dyDescent="0.3">
      <c r="A85" s="19"/>
      <c r="B85" s="20"/>
      <c r="C85" s="20"/>
      <c r="D85" s="21"/>
      <c r="E85" s="20"/>
      <c r="G85" s="19"/>
      <c r="H85" s="19"/>
      <c r="I85" s="19"/>
      <c r="J85" s="19"/>
      <c r="K85" s="19"/>
      <c r="L85" s="20"/>
      <c r="M85" s="20"/>
      <c r="N85" s="20"/>
      <c r="O85" s="20"/>
    </row>
    <row r="86" spans="1:15" x14ac:dyDescent="0.3">
      <c r="A86" s="19"/>
      <c r="B86" s="20"/>
      <c r="C86" s="20"/>
      <c r="D86" s="21"/>
      <c r="E86" s="20"/>
      <c r="G86" s="19"/>
      <c r="H86" s="19"/>
      <c r="I86" s="19"/>
      <c r="J86" s="19"/>
      <c r="K86" s="19"/>
      <c r="L86" s="20"/>
      <c r="M86" s="20"/>
      <c r="N86" s="20"/>
      <c r="O86" s="20"/>
    </row>
    <row r="87" spans="1:15" x14ac:dyDescent="0.3">
      <c r="A87" s="19"/>
      <c r="B87" s="20"/>
      <c r="C87" s="20"/>
      <c r="D87" s="21"/>
      <c r="E87" s="20"/>
      <c r="G87" s="19"/>
      <c r="H87" s="19"/>
      <c r="I87" s="19"/>
      <c r="J87" s="19"/>
      <c r="K87" s="19"/>
      <c r="L87" s="20"/>
      <c r="M87" s="20"/>
      <c r="N87" s="20"/>
      <c r="O87" s="20"/>
    </row>
    <row r="88" spans="1:15" x14ac:dyDescent="0.3">
      <c r="A88" s="19"/>
      <c r="B88" s="20"/>
      <c r="C88" s="20"/>
      <c r="D88" s="21"/>
      <c r="E88" s="20"/>
      <c r="G88" s="19"/>
      <c r="H88" s="19"/>
      <c r="I88" s="19"/>
      <c r="J88" s="19"/>
      <c r="K88" s="19"/>
      <c r="L88" s="20"/>
      <c r="M88" s="20"/>
      <c r="N88" s="20"/>
      <c r="O88" s="20"/>
    </row>
    <row r="89" spans="1:15" x14ac:dyDescent="0.3">
      <c r="A89" s="19"/>
      <c r="B89" s="20"/>
      <c r="C89" s="20"/>
      <c r="D89" s="21"/>
      <c r="E89" s="20"/>
      <c r="G89" s="19"/>
      <c r="H89" s="19"/>
      <c r="I89" s="19"/>
      <c r="J89" s="19"/>
      <c r="K89" s="19"/>
      <c r="L89" s="20"/>
      <c r="M89" s="20"/>
      <c r="N89" s="20"/>
      <c r="O89" s="20"/>
    </row>
    <row r="90" spans="1:15" x14ac:dyDescent="0.3">
      <c r="A90" s="19"/>
      <c r="B90" s="20"/>
      <c r="C90" s="20"/>
      <c r="D90" s="21"/>
      <c r="E90" s="20"/>
      <c r="G90" s="19"/>
      <c r="H90" s="19"/>
      <c r="I90" s="19"/>
      <c r="J90" s="19"/>
      <c r="K90" s="19"/>
      <c r="L90" s="20"/>
      <c r="M90" s="20"/>
      <c r="N90" s="20"/>
      <c r="O90" s="20"/>
    </row>
    <row r="91" spans="1:15" x14ac:dyDescent="0.3">
      <c r="A91" s="19"/>
      <c r="B91" s="20"/>
      <c r="C91" s="20"/>
      <c r="D91" s="21"/>
      <c r="E91" s="20"/>
      <c r="G91" s="19"/>
      <c r="H91" s="19"/>
      <c r="I91" s="19"/>
      <c r="J91" s="19"/>
      <c r="K91" s="19"/>
      <c r="L91" s="20"/>
      <c r="M91" s="20"/>
      <c r="N91" s="20"/>
      <c r="O91" s="20"/>
    </row>
    <row r="92" spans="1:15" x14ac:dyDescent="0.3">
      <c r="A92" s="19"/>
      <c r="B92" s="20"/>
      <c r="C92" s="20"/>
      <c r="D92" s="21"/>
      <c r="E92" s="20"/>
      <c r="G92" s="19"/>
      <c r="H92" s="19"/>
      <c r="I92" s="19"/>
      <c r="J92" s="19"/>
      <c r="K92" s="19"/>
      <c r="L92" s="20"/>
      <c r="M92" s="20"/>
      <c r="N92" s="20"/>
      <c r="O92" s="20"/>
    </row>
    <row r="93" spans="1:15" x14ac:dyDescent="0.3">
      <c r="A93" s="19"/>
      <c r="B93" s="20"/>
      <c r="C93" s="20"/>
      <c r="D93" s="21"/>
      <c r="E93" s="20"/>
      <c r="F93" s="20"/>
      <c r="G93" s="19"/>
      <c r="H93" s="19"/>
      <c r="I93" s="19"/>
      <c r="J93" s="19"/>
      <c r="K93" s="19"/>
      <c r="L93" s="20"/>
      <c r="M93" s="20"/>
      <c r="N93" s="20"/>
      <c r="O93" s="20"/>
    </row>
    <row r="94" spans="1:15" x14ac:dyDescent="0.3">
      <c r="A94" s="19"/>
      <c r="B94" s="20"/>
      <c r="C94" s="20"/>
      <c r="D94" s="21"/>
      <c r="E94" s="20"/>
      <c r="G94" s="19"/>
      <c r="H94" s="19"/>
      <c r="I94" s="19"/>
      <c r="J94" s="19"/>
      <c r="K94" s="19"/>
      <c r="L94" s="20"/>
      <c r="M94" s="20"/>
      <c r="N94" s="20"/>
      <c r="O94" s="20"/>
    </row>
    <row r="95" spans="1:15" x14ac:dyDescent="0.3">
      <c r="A95" s="19"/>
      <c r="B95" s="20"/>
      <c r="C95" s="20"/>
      <c r="D95" s="21"/>
      <c r="E95" s="20"/>
      <c r="G95" s="19"/>
      <c r="H95" s="19"/>
      <c r="I95" s="19"/>
      <c r="J95" s="19"/>
      <c r="K95" s="19"/>
      <c r="L95" s="20"/>
      <c r="M95" s="20"/>
      <c r="N95" s="20"/>
      <c r="O95" s="20"/>
    </row>
    <row r="96" spans="1:15" x14ac:dyDescent="0.3">
      <c r="A96" s="19"/>
      <c r="B96" s="20"/>
      <c r="C96" s="20"/>
      <c r="D96" s="21"/>
      <c r="E96" s="20"/>
      <c r="G96" s="19"/>
      <c r="H96" s="19"/>
      <c r="I96" s="19"/>
      <c r="J96" s="19"/>
      <c r="K96" s="19"/>
      <c r="L96" s="20"/>
      <c r="M96" s="20"/>
      <c r="N96" s="20"/>
      <c r="O96" s="20"/>
    </row>
    <row r="97" spans="1:15" x14ac:dyDescent="0.3">
      <c r="A97" s="19"/>
      <c r="B97" s="20"/>
      <c r="C97" s="20"/>
      <c r="D97" s="21"/>
      <c r="E97" s="20"/>
      <c r="G97" s="19"/>
      <c r="H97" s="19"/>
      <c r="I97" s="19"/>
      <c r="J97" s="19"/>
      <c r="K97" s="19"/>
      <c r="L97" s="20"/>
      <c r="M97" s="20"/>
      <c r="N97" s="20"/>
      <c r="O97" s="20"/>
    </row>
    <row r="98" spans="1:15" x14ac:dyDescent="0.3">
      <c r="A98" s="19"/>
      <c r="B98" s="20"/>
      <c r="C98" s="20"/>
      <c r="D98" s="21"/>
      <c r="E98" s="20"/>
      <c r="G98" s="19"/>
      <c r="H98" s="19"/>
      <c r="I98" s="19"/>
      <c r="J98" s="19"/>
      <c r="K98" s="19"/>
      <c r="L98" s="20"/>
      <c r="M98" s="20"/>
      <c r="N98" s="20"/>
      <c r="O98" s="20"/>
    </row>
    <row r="99" spans="1:15" x14ac:dyDescent="0.3">
      <c r="A99" s="19"/>
      <c r="B99" s="20"/>
      <c r="C99" s="20"/>
      <c r="D99" s="21"/>
      <c r="E99" s="20"/>
      <c r="G99" s="19"/>
      <c r="H99" s="19"/>
      <c r="I99" s="19"/>
      <c r="J99" s="19"/>
      <c r="K99" s="19"/>
      <c r="L99" s="20"/>
      <c r="M99" s="20"/>
      <c r="N99" s="20"/>
      <c r="O99" s="20"/>
    </row>
    <row r="100" spans="1:15" x14ac:dyDescent="0.3">
      <c r="A100" s="19"/>
      <c r="B100" s="20"/>
      <c r="C100" s="20"/>
      <c r="D100" s="21"/>
      <c r="E100" s="20"/>
      <c r="G100" s="19"/>
      <c r="H100" s="19"/>
      <c r="I100" s="19"/>
      <c r="J100" s="19"/>
      <c r="K100" s="19"/>
      <c r="L100" s="20"/>
      <c r="M100" s="20"/>
      <c r="N100" s="20"/>
      <c r="O100" s="20"/>
    </row>
    <row r="101" spans="1:15" x14ac:dyDescent="0.3">
      <c r="A101" s="19"/>
      <c r="B101" s="20"/>
      <c r="C101" s="20"/>
      <c r="D101" s="21"/>
      <c r="E101" s="20"/>
      <c r="G101" s="19"/>
      <c r="H101" s="19"/>
      <c r="I101" s="19"/>
      <c r="J101" s="19"/>
      <c r="K101" s="19"/>
      <c r="L101" s="20"/>
      <c r="M101" s="20"/>
      <c r="N101" s="20"/>
      <c r="O101" s="20"/>
    </row>
    <row r="102" spans="1:15" x14ac:dyDescent="0.3">
      <c r="A102" s="19"/>
      <c r="B102" s="20"/>
      <c r="C102" s="20"/>
      <c r="D102" s="21"/>
      <c r="E102" s="20"/>
      <c r="G102" s="19"/>
      <c r="H102" s="19"/>
      <c r="I102" s="19"/>
      <c r="J102" s="19"/>
      <c r="K102" s="19"/>
      <c r="L102" s="20"/>
      <c r="M102" s="20"/>
      <c r="N102" s="20"/>
      <c r="O102" s="20"/>
    </row>
    <row r="103" spans="1:15" x14ac:dyDescent="0.3">
      <c r="A103" s="19"/>
      <c r="B103" s="20"/>
      <c r="C103" s="20"/>
      <c r="D103" s="21"/>
      <c r="E103" s="20"/>
      <c r="G103" s="19"/>
      <c r="H103" s="19"/>
      <c r="I103" s="19"/>
      <c r="J103" s="19"/>
      <c r="K103" s="19"/>
      <c r="L103" s="20"/>
      <c r="M103" s="20"/>
      <c r="N103" s="20"/>
      <c r="O103" s="20"/>
    </row>
    <row r="104" spans="1:15" x14ac:dyDescent="0.3">
      <c r="A104" s="19"/>
      <c r="B104" s="20"/>
      <c r="C104" s="20"/>
      <c r="D104" s="21"/>
      <c r="E104" s="20"/>
      <c r="G104" s="19"/>
      <c r="H104" s="19"/>
      <c r="I104" s="19"/>
      <c r="J104" s="19"/>
      <c r="K104" s="19"/>
      <c r="L104" s="20"/>
      <c r="M104" s="20"/>
      <c r="N104" s="20"/>
      <c r="O104" s="20"/>
    </row>
    <row r="105" spans="1:15" x14ac:dyDescent="0.3">
      <c r="A105" s="19"/>
      <c r="B105" s="20"/>
      <c r="C105" s="20"/>
      <c r="D105" s="21"/>
      <c r="E105" s="20"/>
      <c r="G105" s="19"/>
      <c r="H105" s="19"/>
      <c r="I105" s="19"/>
      <c r="J105" s="19"/>
      <c r="K105" s="19"/>
      <c r="L105" s="20"/>
      <c r="M105" s="20"/>
      <c r="N105" s="20"/>
      <c r="O105" s="20"/>
    </row>
    <row r="106" spans="1:15" x14ac:dyDescent="0.3">
      <c r="A106" s="19"/>
      <c r="B106" s="20"/>
      <c r="C106" s="20"/>
      <c r="D106" s="21"/>
      <c r="E106" s="20"/>
      <c r="G106" s="19"/>
      <c r="H106" s="19"/>
      <c r="I106" s="19"/>
      <c r="J106" s="19"/>
      <c r="K106" s="19"/>
      <c r="L106" s="20"/>
      <c r="M106" s="20"/>
      <c r="N106" s="20"/>
      <c r="O106" s="20"/>
    </row>
    <row r="107" spans="1:15" x14ac:dyDescent="0.3">
      <c r="A107" s="19"/>
      <c r="B107" s="20"/>
      <c r="C107" s="20"/>
      <c r="D107" s="21"/>
      <c r="E107" s="20"/>
      <c r="F107" s="20"/>
      <c r="G107" s="19"/>
      <c r="H107" s="19"/>
      <c r="I107" s="19"/>
      <c r="J107" s="19"/>
      <c r="K107" s="19"/>
      <c r="L107" s="20"/>
      <c r="M107" s="20"/>
      <c r="N107" s="20"/>
      <c r="O107" s="20"/>
    </row>
    <row r="108" spans="1:15" x14ac:dyDescent="0.3">
      <c r="A108" s="19"/>
      <c r="B108" s="20"/>
      <c r="C108" s="20"/>
      <c r="D108" s="21"/>
      <c r="E108" s="20"/>
      <c r="G108" s="19"/>
      <c r="H108" s="19"/>
      <c r="I108" s="19"/>
      <c r="J108" s="19"/>
      <c r="K108" s="19"/>
      <c r="L108" s="20"/>
      <c r="M108" s="20"/>
      <c r="N108" s="20"/>
      <c r="O108" s="20"/>
    </row>
    <row r="109" spans="1:15" x14ac:dyDescent="0.3">
      <c r="A109" s="19"/>
      <c r="B109" s="20"/>
      <c r="C109" s="20"/>
      <c r="D109" s="21"/>
      <c r="E109" s="20"/>
      <c r="G109" s="19"/>
      <c r="H109" s="19"/>
      <c r="I109" s="19"/>
      <c r="J109" s="19"/>
      <c r="K109" s="19"/>
      <c r="L109" s="20"/>
      <c r="M109" s="20"/>
      <c r="N109" s="20"/>
      <c r="O109" s="20"/>
    </row>
    <row r="110" spans="1:15" x14ac:dyDescent="0.3">
      <c r="A110" s="19"/>
      <c r="B110" s="20"/>
      <c r="C110" s="20"/>
      <c r="D110" s="21"/>
      <c r="E110" s="20"/>
      <c r="F110" s="20"/>
      <c r="G110" s="19"/>
      <c r="H110" s="19"/>
      <c r="I110" s="19"/>
      <c r="J110" s="19"/>
      <c r="K110" s="19"/>
      <c r="L110" s="20"/>
      <c r="M110" s="20"/>
      <c r="N110" s="20"/>
      <c r="O110" s="20"/>
    </row>
    <row r="111" spans="1:15" x14ac:dyDescent="0.3">
      <c r="A111" s="19"/>
      <c r="B111" s="20"/>
      <c r="C111" s="20"/>
      <c r="D111" s="21"/>
      <c r="E111" s="20"/>
      <c r="G111" s="19"/>
      <c r="H111" s="19"/>
      <c r="I111" s="19"/>
      <c r="J111" s="19"/>
      <c r="K111" s="19"/>
      <c r="L111" s="20"/>
      <c r="M111" s="20"/>
      <c r="N111" s="20"/>
      <c r="O111" s="20"/>
    </row>
    <row r="112" spans="1:15" x14ac:dyDescent="0.3">
      <c r="A112" s="19"/>
      <c r="B112" s="20"/>
      <c r="C112" s="20"/>
      <c r="D112" s="21"/>
      <c r="E112" s="20"/>
      <c r="G112" s="19"/>
      <c r="H112" s="19"/>
      <c r="I112" s="19"/>
      <c r="J112" s="19"/>
      <c r="K112" s="19"/>
      <c r="L112" s="20"/>
      <c r="M112" s="20"/>
      <c r="N112" s="20"/>
      <c r="O112" s="20"/>
    </row>
    <row r="113" spans="1:15" x14ac:dyDescent="0.3">
      <c r="A113" s="19"/>
      <c r="B113" s="20"/>
      <c r="C113" s="20"/>
      <c r="D113" s="21"/>
      <c r="E113" s="20"/>
      <c r="G113" s="19"/>
      <c r="H113" s="19"/>
      <c r="I113" s="19"/>
      <c r="J113" s="19"/>
      <c r="K113" s="19"/>
      <c r="L113" s="20"/>
      <c r="M113" s="20"/>
      <c r="N113" s="20"/>
      <c r="O113" s="20"/>
    </row>
    <row r="114" spans="1:15" x14ac:dyDescent="0.3">
      <c r="A114" s="19"/>
      <c r="B114" s="20"/>
      <c r="C114" s="20"/>
      <c r="D114" s="21"/>
      <c r="E114" s="20"/>
      <c r="G114" s="19"/>
      <c r="H114" s="19"/>
      <c r="I114" s="19"/>
      <c r="J114" s="19"/>
      <c r="K114" s="19"/>
      <c r="L114" s="20"/>
      <c r="M114" s="20"/>
      <c r="N114" s="20"/>
      <c r="O114" s="20"/>
    </row>
    <row r="115" spans="1:15" x14ac:dyDescent="0.3">
      <c r="A115" s="19"/>
      <c r="B115" s="20"/>
      <c r="C115" s="20"/>
      <c r="D115" s="21"/>
      <c r="E115" s="20"/>
      <c r="G115" s="19"/>
      <c r="H115" s="19"/>
      <c r="I115" s="19"/>
      <c r="J115" s="19"/>
      <c r="K115" s="19"/>
      <c r="L115" s="20"/>
      <c r="M115" s="20"/>
      <c r="N115" s="20"/>
      <c r="O115" s="20"/>
    </row>
    <row r="116" spans="1:15" x14ac:dyDescent="0.3">
      <c r="A116" s="19"/>
      <c r="B116" s="20"/>
      <c r="C116" s="20"/>
      <c r="D116" s="21"/>
      <c r="E116" s="20"/>
      <c r="G116" s="19"/>
      <c r="H116" s="19"/>
      <c r="I116" s="19"/>
      <c r="J116" s="19"/>
      <c r="K116" s="19"/>
      <c r="L116" s="20"/>
      <c r="M116" s="20"/>
      <c r="N116" s="20"/>
      <c r="O116" s="20"/>
    </row>
    <row r="117" spans="1:15" x14ac:dyDescent="0.3">
      <c r="A117" s="19"/>
      <c r="B117" s="20"/>
      <c r="C117" s="20"/>
      <c r="D117" s="21"/>
      <c r="E117" s="20"/>
      <c r="G117" s="19"/>
      <c r="H117" s="19"/>
      <c r="I117" s="19"/>
      <c r="J117" s="19"/>
      <c r="K117" s="19"/>
      <c r="L117" s="20"/>
      <c r="M117" s="20"/>
      <c r="N117" s="20"/>
      <c r="O117" s="20"/>
    </row>
    <row r="118" spans="1:15" x14ac:dyDescent="0.3">
      <c r="A118" s="19"/>
      <c r="B118" s="20"/>
      <c r="C118" s="20"/>
      <c r="D118" s="21"/>
      <c r="E118" s="20"/>
      <c r="G118" s="19"/>
      <c r="H118" s="19"/>
      <c r="I118" s="19"/>
      <c r="J118" s="19"/>
      <c r="K118" s="19"/>
      <c r="L118" s="20"/>
      <c r="M118" s="20"/>
      <c r="N118" s="20"/>
      <c r="O118" s="20"/>
    </row>
    <row r="119" spans="1:15" x14ac:dyDescent="0.3">
      <c r="A119" s="19"/>
      <c r="B119" s="20"/>
      <c r="C119" s="20"/>
      <c r="D119" s="21"/>
      <c r="E119" s="20"/>
      <c r="G119" s="19"/>
      <c r="H119" s="19"/>
      <c r="I119" s="19"/>
      <c r="J119" s="19"/>
      <c r="K119" s="19"/>
      <c r="L119" s="20"/>
      <c r="M119" s="20"/>
      <c r="N119" s="20"/>
      <c r="O119" s="20"/>
    </row>
    <row r="120" spans="1:15" x14ac:dyDescent="0.3">
      <c r="A120" s="19"/>
      <c r="B120" s="20"/>
      <c r="C120" s="20"/>
      <c r="D120" s="21"/>
      <c r="E120" s="20"/>
      <c r="G120" s="19"/>
      <c r="H120" s="19"/>
      <c r="I120" s="19"/>
      <c r="J120" s="19"/>
      <c r="K120" s="19"/>
      <c r="L120" s="20"/>
      <c r="M120" s="20"/>
      <c r="N120" s="20"/>
      <c r="O120" s="20"/>
    </row>
    <row r="121" spans="1:15" x14ac:dyDescent="0.3">
      <c r="A121" s="19"/>
      <c r="B121" s="20"/>
      <c r="C121" s="20"/>
      <c r="D121" s="21"/>
      <c r="E121" s="20"/>
      <c r="F121" s="20"/>
      <c r="G121" s="19"/>
      <c r="H121" s="19"/>
      <c r="I121" s="19"/>
      <c r="J121" s="19"/>
      <c r="K121" s="19"/>
      <c r="L121" s="20"/>
      <c r="M121" s="20"/>
      <c r="N121" s="20"/>
      <c r="O121" s="20"/>
    </row>
    <row r="122" spans="1:15" x14ac:dyDescent="0.3">
      <c r="A122" s="19"/>
      <c r="B122" s="20"/>
      <c r="C122" s="20"/>
      <c r="D122" s="21"/>
      <c r="E122" s="20"/>
      <c r="G122" s="19"/>
      <c r="H122" s="19"/>
      <c r="I122" s="19"/>
      <c r="J122" s="19"/>
      <c r="K122" s="19"/>
      <c r="L122" s="20"/>
      <c r="M122" s="20"/>
      <c r="N122" s="20"/>
      <c r="O122" s="20"/>
    </row>
    <row r="123" spans="1:15" x14ac:dyDescent="0.3">
      <c r="A123" s="19"/>
      <c r="B123" s="20"/>
      <c r="C123" s="20"/>
      <c r="D123" s="21"/>
      <c r="E123" s="20"/>
      <c r="G123" s="19"/>
      <c r="H123" s="19"/>
      <c r="I123" s="19"/>
      <c r="J123" s="19"/>
      <c r="K123" s="19"/>
      <c r="L123" s="20"/>
      <c r="M123" s="20"/>
      <c r="N123" s="20"/>
      <c r="O123" s="20"/>
    </row>
    <row r="124" spans="1:15" x14ac:dyDescent="0.3">
      <c r="A124" s="19"/>
      <c r="B124" s="20"/>
      <c r="C124" s="20"/>
      <c r="D124" s="21"/>
      <c r="E124" s="20"/>
      <c r="G124" s="19"/>
      <c r="H124" s="19"/>
      <c r="I124" s="19"/>
      <c r="J124" s="19"/>
      <c r="K124" s="19"/>
      <c r="L124" s="20"/>
      <c r="M124" s="20"/>
      <c r="N124" s="20"/>
      <c r="O124" s="20"/>
    </row>
    <row r="125" spans="1:15" x14ac:dyDescent="0.3">
      <c r="A125" s="19"/>
      <c r="B125" s="20"/>
      <c r="C125" s="20"/>
      <c r="D125" s="21"/>
      <c r="E125" s="20"/>
      <c r="G125" s="19"/>
      <c r="H125" s="19"/>
      <c r="I125" s="19"/>
      <c r="J125" s="19"/>
      <c r="K125" s="19"/>
      <c r="L125" s="20"/>
      <c r="M125" s="20"/>
      <c r="N125" s="20"/>
      <c r="O125" s="20"/>
    </row>
    <row r="126" spans="1:15" x14ac:dyDescent="0.3">
      <c r="A126" s="19"/>
      <c r="B126" s="20"/>
      <c r="C126" s="20"/>
      <c r="D126" s="21"/>
      <c r="E126" s="20"/>
      <c r="G126" s="19"/>
      <c r="H126" s="19"/>
      <c r="I126" s="19"/>
      <c r="J126" s="19"/>
      <c r="K126" s="19"/>
      <c r="L126" s="20"/>
      <c r="M126" s="20"/>
      <c r="N126" s="20"/>
      <c r="O126" s="20"/>
    </row>
    <row r="127" spans="1:15" x14ac:dyDescent="0.3">
      <c r="A127" s="19"/>
      <c r="B127" s="20"/>
      <c r="C127" s="20"/>
      <c r="D127" s="21"/>
      <c r="E127" s="20"/>
      <c r="G127" s="19"/>
      <c r="H127" s="19"/>
      <c r="I127" s="19"/>
      <c r="J127" s="19"/>
      <c r="K127" s="19"/>
      <c r="L127" s="20"/>
      <c r="M127" s="20"/>
      <c r="N127" s="20"/>
      <c r="O127" s="20"/>
    </row>
    <row r="128" spans="1:15" x14ac:dyDescent="0.3">
      <c r="A128" s="19"/>
      <c r="B128" s="20"/>
      <c r="C128" s="20"/>
      <c r="D128" s="21"/>
      <c r="E128" s="20"/>
      <c r="G128" s="19"/>
      <c r="H128" s="19"/>
      <c r="I128" s="19"/>
      <c r="J128" s="19"/>
      <c r="K128" s="19"/>
      <c r="L128" s="20"/>
      <c r="M128" s="20"/>
      <c r="N128" s="20"/>
      <c r="O128" s="20"/>
    </row>
    <row r="129" spans="1:15" x14ac:dyDescent="0.3">
      <c r="A129" s="19"/>
      <c r="B129" s="20"/>
      <c r="C129" s="20"/>
      <c r="D129" s="21"/>
      <c r="E129" s="20"/>
      <c r="G129" s="19"/>
      <c r="H129" s="19"/>
      <c r="I129" s="19"/>
      <c r="J129" s="19"/>
      <c r="K129" s="19"/>
      <c r="L129" s="20"/>
      <c r="M129" s="20"/>
      <c r="N129" s="20"/>
      <c r="O129" s="20"/>
    </row>
    <row r="130" spans="1:15" x14ac:dyDescent="0.3">
      <c r="A130" s="19"/>
      <c r="B130" s="20"/>
      <c r="C130" s="20"/>
      <c r="D130" s="21"/>
      <c r="E130" s="20"/>
      <c r="G130" s="19"/>
      <c r="H130" s="19"/>
      <c r="I130" s="19"/>
      <c r="J130" s="19"/>
      <c r="K130" s="19"/>
      <c r="L130" s="20"/>
      <c r="M130" s="20"/>
      <c r="N130" s="20"/>
      <c r="O130" s="20"/>
    </row>
    <row r="131" spans="1:15" x14ac:dyDescent="0.3">
      <c r="A131" s="19"/>
      <c r="B131" s="20"/>
      <c r="C131" s="20"/>
      <c r="D131" s="21"/>
      <c r="E131" s="20"/>
      <c r="G131" s="19"/>
      <c r="H131" s="19"/>
      <c r="I131" s="19"/>
      <c r="J131" s="19"/>
      <c r="K131" s="19"/>
      <c r="L131" s="20"/>
      <c r="M131" s="20"/>
      <c r="N131" s="20"/>
      <c r="O131" s="20"/>
    </row>
    <row r="132" spans="1:15" x14ac:dyDescent="0.3">
      <c r="A132" s="19"/>
      <c r="B132" s="20"/>
      <c r="C132" s="20"/>
      <c r="D132" s="21"/>
      <c r="E132" s="20"/>
      <c r="G132" s="19"/>
      <c r="H132" s="19"/>
      <c r="I132" s="19"/>
      <c r="J132" s="19"/>
      <c r="K132" s="19"/>
      <c r="L132" s="20"/>
      <c r="M132" s="20"/>
      <c r="N132" s="20"/>
      <c r="O132" s="20"/>
    </row>
    <row r="133" spans="1:15" x14ac:dyDescent="0.3">
      <c r="A133" s="19"/>
      <c r="B133" s="20"/>
      <c r="C133" s="20"/>
      <c r="D133" s="21"/>
      <c r="E133" s="20"/>
      <c r="G133" s="19"/>
      <c r="H133" s="19"/>
      <c r="I133" s="19"/>
      <c r="J133" s="19"/>
      <c r="K133" s="19"/>
      <c r="L133" s="20"/>
      <c r="M133" s="20"/>
      <c r="N133" s="20"/>
      <c r="O133" s="20"/>
    </row>
    <row r="134" spans="1:15" x14ac:dyDescent="0.3">
      <c r="A134" s="19"/>
      <c r="B134" s="20"/>
      <c r="C134" s="20"/>
      <c r="D134" s="21"/>
      <c r="E134" s="20"/>
      <c r="G134" s="19"/>
      <c r="H134" s="19"/>
      <c r="I134" s="19"/>
      <c r="J134" s="19"/>
      <c r="K134" s="19"/>
      <c r="L134" s="20"/>
      <c r="M134" s="20"/>
      <c r="N134" s="20"/>
      <c r="O134" s="20"/>
    </row>
    <row r="135" spans="1:15" x14ac:dyDescent="0.3">
      <c r="A135" s="19"/>
      <c r="B135" s="20"/>
      <c r="C135" s="20"/>
      <c r="D135" s="21"/>
      <c r="E135" s="20"/>
      <c r="G135" s="19"/>
      <c r="H135" s="19"/>
      <c r="I135" s="19"/>
      <c r="J135" s="19"/>
      <c r="K135" s="19"/>
      <c r="L135" s="20"/>
      <c r="M135" s="20"/>
      <c r="N135" s="20"/>
      <c r="O135" s="20"/>
    </row>
    <row r="136" spans="1:15" x14ac:dyDescent="0.3">
      <c r="A136" s="19"/>
      <c r="B136" s="20"/>
      <c r="C136" s="20"/>
      <c r="D136" s="21"/>
      <c r="E136" s="20"/>
      <c r="G136" s="19"/>
      <c r="H136" s="19"/>
      <c r="I136" s="19"/>
      <c r="J136" s="19"/>
      <c r="K136" s="19"/>
      <c r="L136" s="20"/>
      <c r="M136" s="20"/>
      <c r="N136" s="20"/>
      <c r="O136" s="20"/>
    </row>
    <row r="137" spans="1:15" x14ac:dyDescent="0.3">
      <c r="A137" s="19"/>
      <c r="B137" s="20"/>
      <c r="C137" s="20"/>
      <c r="D137" s="21"/>
      <c r="E137" s="20"/>
      <c r="G137" s="19"/>
      <c r="H137" s="19"/>
      <c r="I137" s="19"/>
      <c r="J137" s="19"/>
      <c r="K137" s="19"/>
      <c r="L137" s="20"/>
      <c r="M137" s="20"/>
      <c r="N137" s="20"/>
      <c r="O137" s="20"/>
    </row>
    <row r="138" spans="1:15" x14ac:dyDescent="0.3">
      <c r="A138" s="19"/>
      <c r="B138" s="20"/>
      <c r="C138" s="20"/>
      <c r="D138" s="21"/>
      <c r="E138" s="20"/>
      <c r="G138" s="19"/>
      <c r="H138" s="19"/>
      <c r="I138" s="19"/>
      <c r="J138" s="19"/>
      <c r="K138" s="19"/>
      <c r="L138" s="20"/>
      <c r="M138" s="20"/>
      <c r="N138" s="20"/>
      <c r="O138" s="20"/>
    </row>
    <row r="139" spans="1:15" x14ac:dyDescent="0.3">
      <c r="A139" s="19"/>
      <c r="B139" s="20"/>
      <c r="C139" s="20"/>
      <c r="D139" s="21"/>
      <c r="E139" s="20"/>
      <c r="F139" s="20"/>
      <c r="G139" s="19"/>
      <c r="H139" s="19"/>
      <c r="I139" s="19"/>
      <c r="J139" s="19"/>
      <c r="K139" s="19"/>
      <c r="L139" s="20"/>
      <c r="M139" s="20"/>
      <c r="N139" s="20"/>
      <c r="O139" s="20"/>
    </row>
    <row r="140" spans="1:15" x14ac:dyDescent="0.3">
      <c r="A140" s="19"/>
      <c r="B140" s="20"/>
      <c r="C140" s="20"/>
      <c r="D140" s="21"/>
      <c r="E140" s="20"/>
      <c r="F140" s="20"/>
      <c r="G140" s="20"/>
      <c r="H140" s="20"/>
      <c r="I140" s="20"/>
      <c r="J140" s="20"/>
      <c r="K140" s="24"/>
      <c r="L140" s="20"/>
      <c r="M140" s="20"/>
      <c r="N140" s="20"/>
      <c r="O140" s="20"/>
    </row>
    <row r="141" spans="1:15" x14ac:dyDescent="0.3">
      <c r="A141" s="19"/>
      <c r="B141" s="20"/>
      <c r="C141" s="20"/>
      <c r="D141" s="21"/>
      <c r="E141" s="20"/>
      <c r="F141" s="20"/>
      <c r="G141" s="20"/>
      <c r="H141" s="20"/>
      <c r="I141" s="20"/>
      <c r="J141" s="20"/>
      <c r="K141" s="24"/>
      <c r="L141" s="20"/>
      <c r="M141" s="20"/>
      <c r="N141" s="20"/>
      <c r="O141" s="20"/>
    </row>
    <row r="142" spans="1:15" x14ac:dyDescent="0.3">
      <c r="A142" s="19"/>
      <c r="B142" s="20"/>
      <c r="C142" s="20"/>
      <c r="D142" s="21"/>
      <c r="E142" s="20"/>
      <c r="F142" s="20"/>
      <c r="G142" s="20"/>
      <c r="H142" s="20"/>
      <c r="I142" s="20"/>
      <c r="J142" s="20"/>
      <c r="K142" s="24"/>
      <c r="L142" s="20"/>
      <c r="M142" s="20"/>
      <c r="N142" s="20"/>
      <c r="O142" s="20"/>
    </row>
    <row r="143" spans="1:15" x14ac:dyDescent="0.3">
      <c r="A143" s="19"/>
      <c r="B143" s="20"/>
      <c r="C143" s="20"/>
      <c r="D143" s="21"/>
      <c r="E143" s="20"/>
      <c r="F143" s="20"/>
      <c r="G143" s="20"/>
      <c r="H143" s="20"/>
      <c r="I143" s="20"/>
      <c r="J143" s="20"/>
      <c r="K143" s="24"/>
      <c r="L143" s="20"/>
      <c r="M143" s="20"/>
      <c r="N143" s="20"/>
      <c r="O143" s="20"/>
    </row>
    <row r="144" spans="1:15" x14ac:dyDescent="0.3">
      <c r="A144" s="19"/>
      <c r="B144" s="20"/>
      <c r="C144" s="20"/>
      <c r="D144" s="21"/>
      <c r="E144" s="20"/>
      <c r="F144" s="20"/>
      <c r="G144" s="20"/>
      <c r="H144" s="20"/>
      <c r="I144" s="20"/>
      <c r="J144" s="20"/>
      <c r="K144" s="24"/>
      <c r="L144" s="20"/>
      <c r="M144" s="20"/>
      <c r="N144" s="20"/>
      <c r="O144" s="20"/>
    </row>
    <row r="145" spans="1:15" x14ac:dyDescent="0.3">
      <c r="A145" s="19"/>
      <c r="B145" s="20"/>
      <c r="C145" s="20"/>
      <c r="D145" s="21"/>
      <c r="E145" s="20"/>
      <c r="F145" s="20"/>
      <c r="G145" s="20"/>
      <c r="H145" s="20"/>
      <c r="I145" s="20"/>
      <c r="J145" s="20"/>
      <c r="K145" s="24"/>
      <c r="L145" s="20"/>
      <c r="M145" s="20"/>
      <c r="N145" s="20"/>
      <c r="O145" s="20"/>
    </row>
    <row r="146" spans="1:15" x14ac:dyDescent="0.3">
      <c r="A146" s="19"/>
      <c r="B146" s="20"/>
      <c r="C146" s="20"/>
      <c r="D146" s="21"/>
      <c r="E146" s="20"/>
      <c r="F146" s="20"/>
      <c r="G146" s="20"/>
      <c r="H146" s="20"/>
      <c r="I146" s="20"/>
      <c r="J146" s="20"/>
      <c r="K146" s="24"/>
      <c r="L146" s="20"/>
      <c r="M146" s="20"/>
      <c r="N146" s="20"/>
      <c r="O146" s="20"/>
    </row>
    <row r="147" spans="1:15" x14ac:dyDescent="0.3">
      <c r="A147" s="19"/>
      <c r="B147" s="20"/>
      <c r="C147" s="20"/>
      <c r="D147" s="21"/>
      <c r="E147" s="20"/>
      <c r="F147" s="20"/>
      <c r="G147" s="20"/>
      <c r="H147" s="20"/>
      <c r="I147" s="20"/>
      <c r="J147" s="20"/>
      <c r="K147" s="24"/>
      <c r="L147" s="20"/>
      <c r="M147" s="20"/>
      <c r="N147" s="20"/>
      <c r="O147" s="20"/>
    </row>
    <row r="148" spans="1:15" x14ac:dyDescent="0.3">
      <c r="A148" s="19"/>
      <c r="B148" s="20"/>
      <c r="C148" s="20"/>
      <c r="D148" s="21"/>
      <c r="E148" s="20"/>
      <c r="F148" s="20"/>
      <c r="G148" s="20"/>
      <c r="H148" s="20"/>
      <c r="I148" s="20"/>
      <c r="J148" s="20"/>
      <c r="K148" s="24"/>
      <c r="L148" s="20"/>
      <c r="M148" s="20"/>
      <c r="N148" s="20"/>
      <c r="O148" s="20"/>
    </row>
    <row r="149" spans="1:15" x14ac:dyDescent="0.3">
      <c r="A149" s="19"/>
      <c r="B149" s="20"/>
      <c r="C149" s="20"/>
      <c r="D149" s="21"/>
      <c r="E149" s="20"/>
      <c r="F149" s="20"/>
      <c r="G149" s="20"/>
      <c r="H149" s="20"/>
      <c r="I149" s="20"/>
      <c r="J149" s="20"/>
      <c r="K149" s="24"/>
      <c r="L149" s="20"/>
      <c r="M149" s="20"/>
      <c r="N149" s="20"/>
      <c r="O149" s="20"/>
    </row>
    <row r="150" spans="1:15" x14ac:dyDescent="0.3">
      <c r="A150" s="19"/>
      <c r="B150" s="20"/>
      <c r="C150" s="20"/>
      <c r="D150" s="21"/>
      <c r="E150" s="20"/>
      <c r="F150" s="20"/>
      <c r="G150" s="20"/>
      <c r="H150" s="20"/>
      <c r="I150" s="20"/>
      <c r="J150" s="20"/>
      <c r="K150" s="24"/>
      <c r="L150" s="20"/>
      <c r="M150" s="20"/>
      <c r="N150" s="20"/>
      <c r="O150" s="20"/>
    </row>
    <row r="151" spans="1:15" x14ac:dyDescent="0.3">
      <c r="A151" s="19"/>
      <c r="B151" s="20"/>
      <c r="C151" s="20"/>
      <c r="D151" s="21"/>
      <c r="E151" s="20"/>
      <c r="F151" s="20"/>
      <c r="G151" s="20"/>
      <c r="H151" s="20"/>
      <c r="I151" s="20"/>
      <c r="J151" s="20"/>
      <c r="K151" s="24"/>
      <c r="L151" s="20"/>
      <c r="M151" s="20"/>
      <c r="N151" s="20"/>
      <c r="O151" s="20"/>
    </row>
    <row r="152" spans="1:15" x14ac:dyDescent="0.3">
      <c r="A152" s="19"/>
      <c r="B152" s="20"/>
      <c r="C152" s="20"/>
      <c r="D152" s="21"/>
      <c r="E152" s="20"/>
      <c r="F152" s="20"/>
      <c r="G152" s="20"/>
      <c r="H152" s="20"/>
      <c r="I152" s="20"/>
      <c r="J152" s="20"/>
      <c r="K152" s="24"/>
      <c r="L152" s="20"/>
      <c r="M152" s="20"/>
      <c r="N152" s="20"/>
      <c r="O152" s="20"/>
    </row>
    <row r="153" spans="1:15" x14ac:dyDescent="0.3">
      <c r="A153" s="19"/>
      <c r="B153" s="20"/>
      <c r="C153" s="20"/>
      <c r="D153" s="21"/>
      <c r="E153" s="20"/>
      <c r="F153" s="20"/>
      <c r="G153" s="20"/>
      <c r="H153" s="20"/>
      <c r="I153" s="20"/>
      <c r="J153" s="20"/>
      <c r="K153" s="24"/>
      <c r="L153" s="20"/>
      <c r="M153" s="20"/>
      <c r="N153" s="20"/>
      <c r="O153" s="20"/>
    </row>
    <row r="154" spans="1:15" x14ac:dyDescent="0.3">
      <c r="A154" s="19"/>
      <c r="B154" s="20"/>
      <c r="C154" s="20"/>
      <c r="D154" s="21"/>
      <c r="E154" s="20"/>
      <c r="F154" s="20"/>
      <c r="G154" s="20"/>
      <c r="H154" s="20"/>
      <c r="I154" s="20"/>
      <c r="J154" s="20"/>
      <c r="K154" s="24"/>
      <c r="L154" s="20"/>
      <c r="M154" s="20"/>
      <c r="N154" s="20"/>
      <c r="O154" s="20"/>
    </row>
    <row r="155" spans="1:15" x14ac:dyDescent="0.3">
      <c r="A155" s="19"/>
      <c r="B155" s="20"/>
      <c r="C155" s="20"/>
      <c r="D155" s="21"/>
      <c r="E155" s="20"/>
      <c r="F155" s="20"/>
      <c r="G155" s="20"/>
      <c r="H155" s="20"/>
      <c r="I155" s="20"/>
      <c r="J155" s="20"/>
      <c r="K155" s="24"/>
      <c r="L155" s="20"/>
      <c r="M155" s="20"/>
      <c r="N155" s="20"/>
      <c r="O155" s="20"/>
    </row>
    <row r="156" spans="1:15" x14ac:dyDescent="0.3">
      <c r="A156" s="19"/>
      <c r="B156" s="20"/>
      <c r="C156" s="20"/>
      <c r="D156" s="21"/>
      <c r="E156" s="20"/>
      <c r="F156" s="20"/>
      <c r="G156" s="20"/>
      <c r="H156" s="20"/>
      <c r="I156" s="20"/>
      <c r="J156" s="20"/>
      <c r="K156" s="24"/>
      <c r="L156" s="20"/>
      <c r="M156" s="20"/>
      <c r="N156" s="20"/>
      <c r="O156" s="20"/>
    </row>
    <row r="157" spans="1:15" x14ac:dyDescent="0.3">
      <c r="A157" s="19"/>
      <c r="B157" s="20"/>
      <c r="C157" s="20"/>
      <c r="D157" s="21"/>
      <c r="E157" s="20"/>
      <c r="F157" s="20"/>
      <c r="G157" s="20"/>
      <c r="H157" s="20"/>
      <c r="I157" s="20"/>
      <c r="J157" s="20"/>
      <c r="K157" s="24"/>
      <c r="L157" s="20"/>
      <c r="M157" s="20"/>
      <c r="N157" s="20"/>
      <c r="O157" s="20"/>
    </row>
    <row r="158" spans="1:15" x14ac:dyDescent="0.3">
      <c r="A158" s="19"/>
      <c r="B158" s="20"/>
      <c r="C158" s="20"/>
      <c r="D158" s="21"/>
      <c r="E158" s="20"/>
      <c r="F158" s="20"/>
      <c r="G158" s="20"/>
      <c r="H158" s="20"/>
      <c r="I158" s="20"/>
      <c r="J158" s="20"/>
      <c r="K158" s="24"/>
      <c r="L158" s="20"/>
      <c r="M158" s="20"/>
      <c r="N158" s="20"/>
      <c r="O158" s="20"/>
    </row>
    <row r="159" spans="1:15" x14ac:dyDescent="0.3">
      <c r="A159" s="19"/>
      <c r="B159" s="20"/>
      <c r="C159" s="20"/>
      <c r="D159" s="21"/>
      <c r="E159" s="20"/>
      <c r="F159" s="20"/>
      <c r="G159" s="20"/>
      <c r="H159" s="20"/>
      <c r="I159" s="20"/>
      <c r="J159" s="20"/>
      <c r="K159" s="24"/>
      <c r="L159" s="20"/>
      <c r="M159" s="20"/>
      <c r="N159" s="20"/>
      <c r="O159" s="20"/>
    </row>
    <row r="160" spans="1:15" x14ac:dyDescent="0.3">
      <c r="A160" s="19"/>
      <c r="B160" s="20"/>
      <c r="C160" s="20"/>
      <c r="D160" s="21"/>
      <c r="E160" s="20"/>
      <c r="F160" s="20"/>
      <c r="G160" s="20"/>
      <c r="H160" s="20"/>
      <c r="I160" s="20"/>
      <c r="J160" s="20"/>
      <c r="K160" s="24"/>
      <c r="L160" s="20"/>
      <c r="M160" s="20"/>
      <c r="N160" s="20"/>
      <c r="O160" s="20"/>
    </row>
    <row r="161" spans="1:15" x14ac:dyDescent="0.3">
      <c r="A161" s="19"/>
      <c r="B161" s="20"/>
      <c r="C161" s="20"/>
      <c r="D161" s="21"/>
      <c r="E161" s="20"/>
      <c r="F161" s="20"/>
      <c r="G161" s="20"/>
      <c r="H161" s="20"/>
      <c r="I161" s="20"/>
      <c r="J161" s="20"/>
      <c r="K161" s="24"/>
      <c r="L161" s="20"/>
      <c r="M161" s="20"/>
      <c r="N161" s="20"/>
      <c r="O161" s="20"/>
    </row>
    <row r="162" spans="1:15" x14ac:dyDescent="0.3">
      <c r="A162" s="19"/>
      <c r="B162" s="20"/>
      <c r="C162" s="20"/>
      <c r="D162" s="21"/>
      <c r="E162" s="20"/>
      <c r="F162" s="20"/>
      <c r="G162" s="20"/>
      <c r="H162" s="20"/>
      <c r="I162" s="20"/>
      <c r="J162" s="20"/>
      <c r="K162" s="24"/>
      <c r="L162" s="20"/>
      <c r="M162" s="20"/>
      <c r="N162" s="20"/>
      <c r="O162" s="20"/>
    </row>
    <row r="163" spans="1:15" x14ac:dyDescent="0.3">
      <c r="A163" s="19"/>
      <c r="B163" s="20"/>
      <c r="C163" s="20"/>
      <c r="D163" s="21"/>
      <c r="E163" s="20"/>
      <c r="F163" s="20"/>
      <c r="G163" s="20"/>
      <c r="H163" s="20"/>
      <c r="I163" s="20"/>
      <c r="J163" s="20"/>
      <c r="K163" s="24"/>
      <c r="L163" s="20"/>
      <c r="M163" s="20"/>
      <c r="N163" s="20"/>
      <c r="O163" s="20"/>
    </row>
    <row r="164" spans="1:15" x14ac:dyDescent="0.3">
      <c r="A164" s="19"/>
      <c r="B164" s="20"/>
      <c r="C164" s="20"/>
      <c r="D164" s="21"/>
      <c r="E164" s="20"/>
      <c r="F164" s="20"/>
      <c r="G164" s="20"/>
      <c r="H164" s="20"/>
      <c r="I164" s="20"/>
      <c r="J164" s="20"/>
      <c r="K164" s="24"/>
      <c r="L164" s="20"/>
      <c r="M164" s="20"/>
      <c r="N164" s="20"/>
      <c r="O164" s="20"/>
    </row>
    <row r="165" spans="1:15" x14ac:dyDescent="0.3">
      <c r="A165" s="19"/>
      <c r="B165" s="20"/>
      <c r="C165" s="20"/>
      <c r="D165" s="21"/>
      <c r="E165" s="20"/>
      <c r="F165" s="20"/>
      <c r="G165" s="20"/>
      <c r="H165" s="20"/>
      <c r="I165" s="20"/>
      <c r="J165" s="20"/>
      <c r="K165" s="24"/>
      <c r="L165" s="20"/>
      <c r="M165" s="20"/>
      <c r="N165" s="20"/>
      <c r="O165" s="20"/>
    </row>
    <row r="166" spans="1:15" x14ac:dyDescent="0.3">
      <c r="A166" s="19"/>
      <c r="B166" s="20"/>
      <c r="C166" s="20"/>
      <c r="D166" s="21"/>
      <c r="E166" s="20"/>
      <c r="F166" s="20"/>
      <c r="G166" s="20"/>
      <c r="H166" s="20"/>
      <c r="I166" s="20"/>
      <c r="J166" s="20"/>
      <c r="K166" s="24"/>
      <c r="L166" s="20"/>
      <c r="M166" s="20"/>
      <c r="N166" s="20"/>
      <c r="O166" s="20"/>
    </row>
    <row r="167" spans="1:15" x14ac:dyDescent="0.3">
      <c r="A167" s="19"/>
      <c r="B167" s="20"/>
      <c r="C167" s="20"/>
      <c r="D167" s="21"/>
      <c r="E167" s="20"/>
      <c r="F167" s="20"/>
      <c r="G167" s="20"/>
      <c r="H167" s="20"/>
      <c r="I167" s="20"/>
      <c r="J167" s="20"/>
      <c r="K167" s="24"/>
      <c r="L167" s="20"/>
      <c r="M167" s="20"/>
      <c r="N167" s="20"/>
      <c r="O167" s="20"/>
    </row>
    <row r="168" spans="1:15" x14ac:dyDescent="0.3">
      <c r="A168" s="19"/>
      <c r="B168" s="20"/>
      <c r="C168" s="20"/>
      <c r="D168" s="21"/>
      <c r="E168" s="20"/>
      <c r="F168" s="20"/>
      <c r="G168" s="20"/>
      <c r="H168" s="20"/>
      <c r="I168" s="20"/>
      <c r="J168" s="20"/>
      <c r="K168" s="24"/>
      <c r="L168" s="20"/>
      <c r="M168" s="20"/>
      <c r="N168" s="20"/>
      <c r="O168" s="20"/>
    </row>
    <row r="169" spans="1:15" x14ac:dyDescent="0.3">
      <c r="A169" s="19"/>
      <c r="B169" s="20"/>
      <c r="C169" s="20"/>
      <c r="D169" s="21"/>
      <c r="E169" s="20"/>
      <c r="F169" s="20"/>
      <c r="G169" s="20"/>
      <c r="H169" s="20"/>
      <c r="I169" s="20"/>
      <c r="J169" s="20"/>
      <c r="K169" s="24"/>
      <c r="L169" s="20"/>
      <c r="M169" s="20"/>
      <c r="N169" s="20"/>
      <c r="O169" s="20"/>
    </row>
    <row r="170" spans="1:15" x14ac:dyDescent="0.3">
      <c r="A170" s="19"/>
      <c r="B170" s="20"/>
      <c r="C170" s="20"/>
      <c r="D170" s="21"/>
      <c r="E170" s="20"/>
      <c r="F170" s="20"/>
      <c r="G170" s="20"/>
      <c r="H170" s="20"/>
      <c r="I170" s="20"/>
      <c r="J170" s="20"/>
      <c r="K170" s="24"/>
      <c r="L170" s="20"/>
      <c r="M170" s="20"/>
      <c r="N170" s="20"/>
      <c r="O170" s="20"/>
    </row>
    <row r="171" spans="1:15" x14ac:dyDescent="0.3">
      <c r="A171" s="19"/>
      <c r="B171" s="20"/>
      <c r="C171" s="20"/>
      <c r="D171" s="21"/>
      <c r="E171" s="20"/>
      <c r="F171" s="20"/>
      <c r="G171" s="20"/>
      <c r="H171" s="20"/>
      <c r="I171" s="20"/>
      <c r="J171" s="20"/>
      <c r="K171" s="24"/>
      <c r="L171" s="20"/>
      <c r="M171" s="20"/>
      <c r="N171" s="20"/>
      <c r="O171" s="20"/>
    </row>
    <row r="172" spans="1:15" x14ac:dyDescent="0.3">
      <c r="A172" s="19"/>
      <c r="B172" s="20"/>
      <c r="C172" s="20"/>
      <c r="D172" s="21"/>
      <c r="E172" s="20"/>
      <c r="F172" s="20"/>
      <c r="G172" s="20"/>
      <c r="H172" s="20"/>
      <c r="I172" s="20"/>
      <c r="J172" s="20"/>
      <c r="K172" s="24"/>
      <c r="L172" s="20"/>
      <c r="M172" s="20"/>
      <c r="N172" s="20"/>
      <c r="O172" s="20"/>
    </row>
    <row r="173" spans="1:15" x14ac:dyDescent="0.3">
      <c r="A173" s="19"/>
      <c r="B173" s="20"/>
      <c r="C173" s="20"/>
      <c r="D173" s="21"/>
      <c r="E173" s="20"/>
      <c r="F173" s="20"/>
      <c r="G173" s="20"/>
      <c r="H173" s="20"/>
      <c r="I173" s="20"/>
      <c r="J173" s="20"/>
      <c r="K173" s="24"/>
      <c r="L173" s="20"/>
      <c r="M173" s="20"/>
      <c r="N173" s="20"/>
      <c r="O173" s="20"/>
    </row>
    <row r="174" spans="1:15" x14ac:dyDescent="0.3">
      <c r="A174" s="19"/>
      <c r="B174" s="20"/>
      <c r="C174" s="20"/>
      <c r="D174" s="21"/>
      <c r="E174" s="20"/>
      <c r="F174" s="20"/>
      <c r="G174" s="20"/>
      <c r="H174" s="20"/>
      <c r="I174" s="20"/>
      <c r="J174" s="20"/>
      <c r="K174" s="24"/>
      <c r="L174" s="20"/>
      <c r="M174" s="20"/>
      <c r="N174" s="20"/>
      <c r="O174" s="20"/>
    </row>
    <row r="175" spans="1:15" x14ac:dyDescent="0.3">
      <c r="A175" s="19"/>
      <c r="B175" s="20"/>
      <c r="C175" s="20"/>
      <c r="D175" s="21"/>
      <c r="E175" s="20"/>
      <c r="F175" s="20"/>
      <c r="G175" s="20"/>
      <c r="H175" s="20"/>
      <c r="I175" s="20"/>
      <c r="J175" s="20"/>
      <c r="K175" s="24"/>
      <c r="L175" s="20"/>
      <c r="M175" s="20"/>
      <c r="N175" s="20"/>
      <c r="O175" s="20"/>
    </row>
    <row r="176" spans="1:15" x14ac:dyDescent="0.3">
      <c r="A176" s="19"/>
      <c r="B176" s="20"/>
      <c r="C176" s="20"/>
      <c r="D176" s="21"/>
      <c r="E176" s="20"/>
      <c r="F176" s="20"/>
      <c r="G176" s="20"/>
      <c r="H176" s="20"/>
      <c r="I176" s="20"/>
      <c r="J176" s="20"/>
      <c r="K176" s="24"/>
      <c r="L176" s="20"/>
      <c r="M176" s="20"/>
      <c r="N176" s="20"/>
      <c r="O176" s="20"/>
    </row>
    <row r="177" spans="1:15" x14ac:dyDescent="0.3">
      <c r="A177" s="19"/>
      <c r="B177" s="20"/>
      <c r="C177" s="20"/>
      <c r="D177" s="21"/>
      <c r="E177" s="20"/>
      <c r="F177" s="20"/>
      <c r="G177" s="20"/>
      <c r="H177" s="20"/>
      <c r="I177" s="20"/>
      <c r="J177" s="20"/>
      <c r="K177" s="24"/>
      <c r="L177" s="20"/>
      <c r="M177" s="20"/>
      <c r="N177" s="20"/>
      <c r="O177" s="20"/>
    </row>
    <row r="178" spans="1:15" x14ac:dyDescent="0.3">
      <c r="A178" s="19"/>
      <c r="B178" s="20"/>
      <c r="C178" s="20"/>
      <c r="D178" s="21"/>
      <c r="E178" s="20"/>
      <c r="F178" s="20"/>
      <c r="G178" s="20"/>
      <c r="H178" s="20"/>
      <c r="I178" s="20"/>
      <c r="J178" s="20"/>
      <c r="K178" s="24"/>
      <c r="L178" s="20"/>
      <c r="M178" s="20"/>
      <c r="N178" s="20"/>
      <c r="O178" s="20"/>
    </row>
    <row r="179" spans="1:15" x14ac:dyDescent="0.3">
      <c r="A179" s="19"/>
      <c r="B179" s="20"/>
      <c r="C179" s="20"/>
      <c r="D179" s="21"/>
      <c r="E179" s="20"/>
      <c r="F179" s="20"/>
      <c r="G179" s="20"/>
      <c r="H179" s="20"/>
      <c r="I179" s="20"/>
      <c r="J179" s="20"/>
      <c r="K179" s="24"/>
      <c r="L179" s="20"/>
      <c r="M179" s="20"/>
      <c r="N179" s="20"/>
      <c r="O179" s="20"/>
    </row>
    <row r="180" spans="1:15" x14ac:dyDescent="0.3">
      <c r="A180" s="19"/>
      <c r="B180" s="20"/>
      <c r="C180" s="20"/>
      <c r="D180" s="21"/>
      <c r="E180" s="20"/>
      <c r="F180" s="20"/>
      <c r="G180" s="20"/>
      <c r="H180" s="20"/>
      <c r="I180" s="20"/>
      <c r="J180" s="20"/>
      <c r="K180" s="24"/>
      <c r="L180" s="20"/>
      <c r="M180" s="20"/>
      <c r="N180" s="20"/>
      <c r="O180" s="20"/>
    </row>
    <row r="181" spans="1:15" x14ac:dyDescent="0.3">
      <c r="A181" s="19"/>
      <c r="B181" s="20"/>
      <c r="C181" s="20"/>
      <c r="D181" s="21"/>
      <c r="E181" s="20"/>
      <c r="F181" s="20"/>
      <c r="G181" s="20"/>
      <c r="H181" s="20"/>
      <c r="I181" s="20"/>
      <c r="J181" s="20"/>
      <c r="K181" s="24"/>
      <c r="L181" s="20"/>
      <c r="M181" s="20"/>
      <c r="N181" s="20"/>
      <c r="O181" s="20"/>
    </row>
    <row r="182" spans="1:15" x14ac:dyDescent="0.3">
      <c r="A182" s="19"/>
      <c r="B182" s="20"/>
      <c r="C182" s="20"/>
      <c r="D182" s="21"/>
      <c r="E182" s="20"/>
      <c r="F182" s="20"/>
      <c r="G182" s="20"/>
      <c r="H182" s="20"/>
      <c r="I182" s="20"/>
      <c r="J182" s="20"/>
      <c r="K182" s="24"/>
      <c r="L182" s="20"/>
      <c r="M182" s="20"/>
      <c r="N182" s="20"/>
      <c r="O182" s="20"/>
    </row>
    <row r="183" spans="1:15" x14ac:dyDescent="0.3">
      <c r="A183" s="19"/>
      <c r="B183" s="20"/>
      <c r="C183" s="20"/>
      <c r="D183" s="21"/>
      <c r="E183" s="20"/>
      <c r="F183" s="20"/>
      <c r="G183" s="20"/>
      <c r="H183" s="20"/>
      <c r="I183" s="20"/>
      <c r="J183" s="20"/>
      <c r="K183" s="24"/>
      <c r="L183" s="20"/>
      <c r="M183" s="20"/>
      <c r="N183" s="20"/>
      <c r="O183" s="20"/>
    </row>
    <row r="184" spans="1:15" x14ac:dyDescent="0.3">
      <c r="A184" s="19"/>
      <c r="B184" s="20"/>
      <c r="C184" s="20"/>
      <c r="D184" s="21"/>
      <c r="E184" s="20"/>
      <c r="F184" s="20"/>
      <c r="G184" s="20"/>
      <c r="H184" s="20"/>
      <c r="I184" s="20"/>
      <c r="J184" s="20"/>
      <c r="K184" s="24"/>
      <c r="L184" s="20"/>
      <c r="M184" s="20"/>
      <c r="N184" s="20"/>
      <c r="O184" s="20"/>
    </row>
    <row r="185" spans="1:15" x14ac:dyDescent="0.3">
      <c r="A185" s="19"/>
      <c r="B185" s="20"/>
      <c r="C185" s="20"/>
      <c r="D185" s="21"/>
      <c r="E185" s="20"/>
      <c r="F185" s="20"/>
      <c r="G185" s="20"/>
      <c r="H185" s="20"/>
      <c r="I185" s="20"/>
      <c r="J185" s="20"/>
      <c r="K185" s="24"/>
      <c r="L185" s="20"/>
      <c r="M185" s="20"/>
      <c r="N185" s="20"/>
      <c r="O185" s="20"/>
    </row>
    <row r="186" spans="1:15" x14ac:dyDescent="0.3">
      <c r="A186" s="19"/>
      <c r="B186" s="20"/>
      <c r="C186" s="20"/>
      <c r="D186" s="21"/>
      <c r="E186" s="20"/>
      <c r="F186" s="20"/>
      <c r="G186" s="20"/>
      <c r="H186" s="20"/>
      <c r="I186" s="20"/>
      <c r="J186" s="20"/>
      <c r="K186" s="24"/>
      <c r="L186" s="20"/>
      <c r="M186" s="20"/>
      <c r="N186" s="20"/>
      <c r="O186" s="20"/>
    </row>
    <row r="187" spans="1:15" x14ac:dyDescent="0.3">
      <c r="A187" s="19"/>
      <c r="B187" s="20"/>
      <c r="C187" s="20"/>
      <c r="D187" s="21"/>
      <c r="E187" s="20"/>
      <c r="F187" s="20"/>
      <c r="G187" s="20"/>
      <c r="H187" s="20"/>
      <c r="I187" s="20"/>
      <c r="J187" s="20"/>
      <c r="K187" s="24"/>
      <c r="L187" s="20"/>
      <c r="M187" s="20"/>
      <c r="N187" s="20"/>
      <c r="O187" s="20"/>
    </row>
    <row r="188" spans="1:15" x14ac:dyDescent="0.3">
      <c r="A188" s="19"/>
      <c r="B188" s="20"/>
      <c r="C188" s="20"/>
      <c r="D188" s="21"/>
      <c r="E188" s="20"/>
      <c r="F188" s="20"/>
      <c r="G188" s="20"/>
      <c r="H188" s="20"/>
      <c r="I188" s="20"/>
      <c r="J188" s="20"/>
      <c r="K188" s="24"/>
      <c r="L188" s="20"/>
      <c r="M188" s="20"/>
      <c r="N188" s="20"/>
      <c r="O188" s="20"/>
    </row>
    <row r="189" spans="1:15" x14ac:dyDescent="0.3">
      <c r="A189" s="19"/>
      <c r="B189" s="20"/>
      <c r="C189" s="20"/>
      <c r="D189" s="21"/>
      <c r="E189" s="20"/>
      <c r="F189" s="20"/>
      <c r="G189" s="20"/>
      <c r="H189" s="20"/>
      <c r="I189" s="20"/>
      <c r="J189" s="20"/>
      <c r="K189" s="24"/>
      <c r="L189" s="20"/>
      <c r="M189" s="20"/>
      <c r="N189" s="20"/>
      <c r="O189" s="20"/>
    </row>
    <row r="190" spans="1:15" x14ac:dyDescent="0.3">
      <c r="A190" s="19"/>
      <c r="B190" s="20"/>
      <c r="C190" s="20"/>
      <c r="D190" s="21"/>
      <c r="E190" s="20"/>
      <c r="F190" s="20"/>
      <c r="G190" s="20"/>
      <c r="H190" s="20"/>
      <c r="I190" s="20"/>
      <c r="J190" s="20"/>
      <c r="K190" s="24"/>
      <c r="L190" s="20"/>
      <c r="M190" s="20"/>
      <c r="N190" s="20"/>
      <c r="O190" s="20"/>
    </row>
    <row r="191" spans="1:15" x14ac:dyDescent="0.3">
      <c r="A191" s="19"/>
      <c r="B191" s="20"/>
      <c r="C191" s="20"/>
      <c r="D191" s="21"/>
      <c r="E191" s="20"/>
      <c r="F191" s="20"/>
      <c r="G191" s="20"/>
      <c r="H191" s="20"/>
      <c r="I191" s="20"/>
      <c r="J191" s="20"/>
      <c r="K191" s="24"/>
      <c r="L191" s="20"/>
      <c r="M191" s="20"/>
      <c r="N191" s="20"/>
      <c r="O191" s="20"/>
    </row>
    <row r="192" spans="1:15" x14ac:dyDescent="0.3">
      <c r="A192" s="19"/>
      <c r="B192" s="20"/>
      <c r="C192" s="20"/>
      <c r="D192" s="21"/>
      <c r="E192" s="20"/>
      <c r="F192" s="20"/>
      <c r="G192" s="20"/>
      <c r="H192" s="20"/>
      <c r="I192" s="20"/>
      <c r="J192" s="20"/>
      <c r="K192" s="24"/>
      <c r="L192" s="20"/>
      <c r="M192" s="20"/>
      <c r="N192" s="20"/>
      <c r="O192" s="20"/>
    </row>
    <row r="193" spans="1:15" x14ac:dyDescent="0.3">
      <c r="A193" s="19"/>
      <c r="B193" s="20"/>
      <c r="C193" s="20"/>
      <c r="D193" s="21"/>
      <c r="E193" s="20"/>
      <c r="F193" s="20"/>
      <c r="G193" s="20"/>
      <c r="H193" s="20"/>
      <c r="I193" s="20"/>
      <c r="J193" s="20"/>
      <c r="K193" s="24"/>
      <c r="L193" s="20"/>
      <c r="M193" s="20"/>
      <c r="N193" s="20"/>
      <c r="O193" s="20"/>
    </row>
    <row r="194" spans="1:15" x14ac:dyDescent="0.3">
      <c r="A194" s="19"/>
      <c r="B194" s="20"/>
      <c r="C194" s="20"/>
      <c r="D194" s="21"/>
      <c r="E194" s="20"/>
      <c r="F194" s="20"/>
      <c r="G194" s="20"/>
      <c r="H194" s="20"/>
      <c r="I194" s="20"/>
      <c r="J194" s="20"/>
      <c r="K194" s="24"/>
      <c r="L194" s="20"/>
      <c r="M194" s="20"/>
      <c r="N194" s="20"/>
      <c r="O194" s="20"/>
    </row>
    <row r="195" spans="1:15" x14ac:dyDescent="0.3">
      <c r="A195" s="19"/>
      <c r="B195" s="20"/>
      <c r="C195" s="20"/>
      <c r="D195" s="21"/>
      <c r="E195" s="20"/>
      <c r="F195" s="20"/>
      <c r="G195" s="20"/>
      <c r="H195" s="20"/>
      <c r="I195" s="20"/>
      <c r="J195" s="20"/>
      <c r="K195" s="24"/>
      <c r="L195" s="20"/>
      <c r="M195" s="20"/>
      <c r="N195" s="20"/>
      <c r="O195" s="20"/>
    </row>
    <row r="196" spans="1:15" x14ac:dyDescent="0.3">
      <c r="A196" s="19"/>
      <c r="B196" s="20"/>
      <c r="C196" s="20"/>
      <c r="D196" s="21"/>
      <c r="E196" s="20"/>
      <c r="F196" s="20"/>
      <c r="G196" s="20"/>
      <c r="H196" s="20"/>
      <c r="I196" s="20"/>
      <c r="J196" s="20"/>
      <c r="K196" s="24"/>
      <c r="L196" s="20"/>
      <c r="M196" s="20"/>
      <c r="N196" s="20"/>
      <c r="O196" s="20"/>
    </row>
    <row r="197" spans="1:15" x14ac:dyDescent="0.3">
      <c r="A197" s="19"/>
      <c r="B197" s="20"/>
      <c r="C197" s="20"/>
      <c r="D197" s="21"/>
      <c r="E197" s="20"/>
      <c r="F197" s="20"/>
      <c r="G197" s="20"/>
      <c r="H197" s="20"/>
      <c r="I197" s="20"/>
      <c r="J197" s="20"/>
      <c r="K197" s="24"/>
      <c r="L197" s="20"/>
      <c r="M197" s="20"/>
      <c r="N197" s="20"/>
      <c r="O197" s="20"/>
    </row>
    <row r="198" spans="1:15" x14ac:dyDescent="0.3">
      <c r="A198" s="19"/>
      <c r="B198" s="20"/>
      <c r="C198" s="20"/>
      <c r="D198" s="21"/>
      <c r="E198" s="20"/>
      <c r="F198" s="20"/>
      <c r="G198" s="20"/>
      <c r="H198" s="20"/>
      <c r="I198" s="20"/>
      <c r="J198" s="20"/>
      <c r="K198" s="24"/>
      <c r="L198" s="20"/>
      <c r="M198" s="20"/>
      <c r="N198" s="20"/>
      <c r="O198" s="20"/>
    </row>
    <row r="199" spans="1:15" x14ac:dyDescent="0.3">
      <c r="A199" s="19"/>
      <c r="B199" s="20"/>
      <c r="C199" s="20"/>
      <c r="D199" s="21"/>
      <c r="E199" s="20"/>
      <c r="F199" s="20"/>
      <c r="G199" s="20"/>
      <c r="H199" s="20"/>
      <c r="I199" s="20"/>
      <c r="J199" s="20"/>
      <c r="K199" s="24"/>
      <c r="L199" s="20"/>
      <c r="M199" s="20"/>
      <c r="N199" s="20"/>
      <c r="O199" s="20"/>
    </row>
    <row r="200" spans="1:15" x14ac:dyDescent="0.3">
      <c r="A200" s="19"/>
      <c r="B200" s="20"/>
      <c r="C200" s="20"/>
      <c r="D200" s="21"/>
      <c r="E200" s="20"/>
      <c r="F200" s="20"/>
      <c r="G200" s="20"/>
      <c r="H200" s="20"/>
      <c r="I200" s="20"/>
      <c r="J200" s="20"/>
      <c r="K200" s="24"/>
      <c r="L200" s="20"/>
      <c r="M200" s="20"/>
      <c r="N200" s="20"/>
      <c r="O200" s="20"/>
    </row>
    <row r="201" spans="1:15" x14ac:dyDescent="0.3">
      <c r="A201" s="19"/>
      <c r="B201" s="20"/>
      <c r="C201" s="20"/>
      <c r="D201" s="21"/>
      <c r="E201" s="20"/>
      <c r="F201" s="20"/>
      <c r="G201" s="20"/>
      <c r="H201" s="20"/>
      <c r="I201" s="20"/>
      <c r="J201" s="20"/>
      <c r="K201" s="24"/>
      <c r="L201" s="20"/>
      <c r="M201" s="20"/>
      <c r="N201" s="20"/>
      <c r="O201" s="20"/>
    </row>
    <row r="202" spans="1:15" x14ac:dyDescent="0.3">
      <c r="A202" s="19"/>
      <c r="B202" s="20"/>
      <c r="C202" s="20"/>
      <c r="D202" s="21"/>
      <c r="E202" s="20"/>
      <c r="F202" s="20"/>
      <c r="G202" s="20"/>
      <c r="H202" s="20"/>
      <c r="I202" s="20"/>
      <c r="J202" s="20"/>
      <c r="K202" s="24"/>
      <c r="L202" s="20"/>
      <c r="M202" s="20"/>
      <c r="N202" s="20"/>
      <c r="O202" s="20"/>
    </row>
    <row r="203" spans="1:15" x14ac:dyDescent="0.3">
      <c r="A203" s="19"/>
      <c r="B203" s="20"/>
      <c r="C203" s="20"/>
      <c r="D203" s="21"/>
      <c r="E203" s="20"/>
      <c r="F203" s="20"/>
      <c r="G203" s="20"/>
      <c r="H203" s="20"/>
      <c r="I203" s="20"/>
      <c r="J203" s="20"/>
      <c r="K203" s="24"/>
      <c r="L203" s="20"/>
      <c r="M203" s="20"/>
      <c r="N203" s="20"/>
      <c r="O203" s="20"/>
    </row>
    <row r="204" spans="1:15" x14ac:dyDescent="0.3">
      <c r="A204" s="19"/>
      <c r="B204" s="20"/>
      <c r="C204" s="20"/>
      <c r="D204" s="21"/>
      <c r="E204" s="20"/>
      <c r="F204" s="20"/>
      <c r="G204" s="20"/>
      <c r="H204" s="20"/>
      <c r="I204" s="20"/>
      <c r="J204" s="20"/>
      <c r="K204" s="24"/>
      <c r="L204" s="20"/>
      <c r="M204" s="20"/>
      <c r="N204" s="20"/>
      <c r="O204" s="20"/>
    </row>
    <row r="205" spans="1:15" x14ac:dyDescent="0.3">
      <c r="A205" s="19"/>
      <c r="B205" s="20"/>
      <c r="C205" s="20"/>
      <c r="D205" s="21"/>
      <c r="E205" s="20"/>
      <c r="F205" s="20"/>
      <c r="G205" s="20"/>
      <c r="H205" s="20"/>
      <c r="I205" s="20"/>
      <c r="J205" s="20"/>
      <c r="K205" s="24"/>
      <c r="L205" s="20"/>
      <c r="M205" s="20"/>
      <c r="N205" s="20"/>
      <c r="O205" s="20"/>
    </row>
    <row r="206" spans="1:15" x14ac:dyDescent="0.3">
      <c r="A206" s="19"/>
      <c r="B206" s="20"/>
      <c r="C206" s="20"/>
      <c r="D206" s="21"/>
      <c r="E206" s="20"/>
      <c r="F206" s="20"/>
      <c r="G206" s="20"/>
      <c r="H206" s="20"/>
      <c r="I206" s="20"/>
      <c r="J206" s="20"/>
      <c r="K206" s="24"/>
      <c r="L206" s="20"/>
      <c r="M206" s="20"/>
      <c r="N206" s="20"/>
      <c r="O206" s="20"/>
    </row>
    <row r="207" spans="1:15" x14ac:dyDescent="0.3">
      <c r="A207" s="19"/>
      <c r="B207" s="20"/>
      <c r="C207" s="20"/>
      <c r="D207" s="21"/>
      <c r="E207" s="20"/>
      <c r="F207" s="20"/>
      <c r="G207" s="20"/>
      <c r="H207" s="20"/>
      <c r="I207" s="20"/>
      <c r="J207" s="20"/>
      <c r="K207" s="24"/>
      <c r="L207" s="20"/>
      <c r="M207" s="20"/>
      <c r="N207" s="20"/>
      <c r="O207" s="20"/>
    </row>
    <row r="208" spans="1:15" x14ac:dyDescent="0.3">
      <c r="A208" s="19"/>
      <c r="B208" s="20"/>
      <c r="C208" s="20"/>
      <c r="D208" s="21"/>
      <c r="E208" s="20"/>
      <c r="F208" s="20"/>
      <c r="G208" s="20"/>
      <c r="H208" s="20"/>
      <c r="I208" s="20"/>
      <c r="J208" s="20"/>
      <c r="K208" s="24"/>
      <c r="L208" s="20"/>
      <c r="M208" s="20"/>
      <c r="N208" s="20"/>
      <c r="O208" s="20"/>
    </row>
    <row r="209" spans="1:15" x14ac:dyDescent="0.3">
      <c r="A209" s="19"/>
      <c r="B209" s="20"/>
      <c r="C209" s="20"/>
      <c r="D209" s="21"/>
      <c r="E209" s="20"/>
      <c r="F209" s="20"/>
      <c r="G209" s="20"/>
      <c r="H209" s="20"/>
      <c r="I209" s="20"/>
      <c r="J209" s="20"/>
      <c r="K209" s="24"/>
      <c r="L209" s="20"/>
      <c r="M209" s="20"/>
      <c r="N209" s="20"/>
      <c r="O209" s="20"/>
    </row>
    <row r="210" spans="1:15" x14ac:dyDescent="0.3">
      <c r="A210" s="19"/>
      <c r="B210" s="20"/>
      <c r="C210" s="20"/>
      <c r="D210" s="21"/>
      <c r="E210" s="20"/>
      <c r="F210" s="20"/>
      <c r="G210" s="20"/>
      <c r="H210" s="20"/>
      <c r="I210" s="20"/>
      <c r="J210" s="20"/>
      <c r="K210" s="24"/>
      <c r="L210" s="20"/>
      <c r="M210" s="20"/>
      <c r="N210" s="20"/>
      <c r="O210" s="20"/>
    </row>
    <row r="211" spans="1:15" x14ac:dyDescent="0.3">
      <c r="A211" s="19"/>
      <c r="B211" s="20"/>
      <c r="C211" s="20"/>
      <c r="D211" s="21"/>
      <c r="E211" s="20"/>
      <c r="F211" s="20"/>
      <c r="G211" s="20"/>
      <c r="H211" s="20"/>
      <c r="I211" s="20"/>
      <c r="J211" s="20"/>
      <c r="K211" s="24"/>
      <c r="L211" s="20"/>
      <c r="M211" s="20"/>
      <c r="N211" s="20"/>
      <c r="O211" s="20"/>
    </row>
    <row r="212" spans="1:15" x14ac:dyDescent="0.3">
      <c r="A212" s="19"/>
      <c r="B212" s="20"/>
      <c r="C212" s="20"/>
      <c r="D212" s="21"/>
      <c r="E212" s="20"/>
      <c r="F212" s="20"/>
      <c r="G212" s="20"/>
      <c r="H212" s="20"/>
      <c r="I212" s="20"/>
      <c r="J212" s="20"/>
      <c r="K212" s="24"/>
      <c r="L212" s="20"/>
      <c r="M212" s="20"/>
      <c r="N212" s="20"/>
      <c r="O212" s="20"/>
    </row>
    <row r="213" spans="1:15" x14ac:dyDescent="0.3">
      <c r="A213" s="19"/>
      <c r="B213" s="20"/>
      <c r="C213" s="20"/>
      <c r="D213" s="21"/>
      <c r="E213" s="20"/>
      <c r="F213" s="20"/>
      <c r="G213" s="20"/>
      <c r="H213" s="20"/>
      <c r="I213" s="20"/>
      <c r="J213" s="20"/>
      <c r="K213" s="24"/>
      <c r="L213" s="20"/>
      <c r="M213" s="20"/>
      <c r="N213" s="20"/>
      <c r="O213" s="20"/>
    </row>
    <row r="214" spans="1:15" x14ac:dyDescent="0.3">
      <c r="A214" s="19"/>
      <c r="B214" s="20"/>
      <c r="C214" s="20"/>
      <c r="D214" s="21"/>
      <c r="E214" s="20"/>
      <c r="F214" s="20"/>
      <c r="G214" s="20"/>
      <c r="H214" s="20"/>
      <c r="I214" s="20"/>
      <c r="J214" s="20"/>
      <c r="K214" s="24"/>
      <c r="L214" s="20"/>
      <c r="M214" s="20"/>
      <c r="N214" s="20"/>
      <c r="O214" s="20"/>
    </row>
    <row r="215" spans="1:15" x14ac:dyDescent="0.3">
      <c r="A215" s="19"/>
      <c r="B215" s="20"/>
      <c r="C215" s="20"/>
      <c r="D215" s="21"/>
      <c r="E215" s="20"/>
      <c r="F215" s="20"/>
      <c r="G215" s="20"/>
      <c r="H215" s="20"/>
      <c r="I215" s="20"/>
      <c r="J215" s="20"/>
      <c r="K215" s="24"/>
      <c r="L215" s="20"/>
      <c r="M215" s="20"/>
      <c r="N215" s="20"/>
      <c r="O215" s="20"/>
    </row>
    <row r="216" spans="1:15" x14ac:dyDescent="0.3">
      <c r="A216" s="19"/>
      <c r="B216" s="20"/>
      <c r="C216" s="20"/>
      <c r="D216" s="21"/>
      <c r="E216" s="20"/>
      <c r="F216" s="20"/>
      <c r="G216" s="20"/>
      <c r="H216" s="20"/>
      <c r="I216" s="20"/>
      <c r="J216" s="20"/>
      <c r="K216" s="24"/>
      <c r="L216" s="20"/>
      <c r="M216" s="20"/>
      <c r="N216" s="20"/>
      <c r="O216" s="20"/>
    </row>
    <row r="217" spans="1:15" x14ac:dyDescent="0.3">
      <c r="A217" s="19"/>
      <c r="B217" s="20"/>
      <c r="C217" s="20"/>
      <c r="D217" s="21"/>
      <c r="E217" s="20"/>
      <c r="F217" s="20"/>
      <c r="G217" s="20"/>
      <c r="H217" s="20"/>
      <c r="I217" s="20"/>
      <c r="J217" s="20"/>
      <c r="K217" s="24"/>
      <c r="L217" s="20"/>
      <c r="M217" s="20"/>
      <c r="N217" s="20"/>
      <c r="O217" s="20"/>
    </row>
    <row r="218" spans="1:15" x14ac:dyDescent="0.3">
      <c r="A218" s="19" t="str">
        <f t="shared" ref="A218:A281" si="1">IF($B218="","",ROW()-1)</f>
        <v/>
      </c>
      <c r="B218" s="20"/>
      <c r="C218" s="20"/>
      <c r="D218" s="21" t="str">
        <f>IF($C218="","",IFERROR(VLOOKUP($C218,Map_Register!$A$2:$C$5,3,FALSE()),""))</f>
        <v/>
      </c>
      <c r="E218" s="20"/>
      <c r="F218" s="20"/>
      <c r="G218" s="20"/>
      <c r="H218" s="20"/>
      <c r="I218" s="20"/>
      <c r="J218" s="20"/>
      <c r="K218" s="24"/>
      <c r="L218" s="20"/>
      <c r="M218" s="20"/>
      <c r="N218" s="20"/>
      <c r="O218" s="20"/>
    </row>
    <row r="219" spans="1:15" x14ac:dyDescent="0.3">
      <c r="A219" s="19" t="str">
        <f t="shared" si="1"/>
        <v/>
      </c>
      <c r="B219" s="20"/>
      <c r="C219" s="20"/>
      <c r="D219" s="21" t="str">
        <f>IF($C219="","",IFERROR(VLOOKUP($C219,Map_Register!$A$2:$C$5,3,FALSE()),""))</f>
        <v/>
      </c>
      <c r="E219" s="20"/>
      <c r="F219" s="20"/>
      <c r="G219" s="20"/>
      <c r="H219" s="20"/>
      <c r="I219" s="20"/>
      <c r="J219" s="20"/>
      <c r="K219" s="24"/>
      <c r="L219" s="20"/>
      <c r="M219" s="20"/>
      <c r="N219" s="20"/>
      <c r="O219" s="20"/>
    </row>
    <row r="220" spans="1:15" x14ac:dyDescent="0.3">
      <c r="A220" s="19" t="str">
        <f t="shared" si="1"/>
        <v/>
      </c>
      <c r="B220" s="20"/>
      <c r="C220" s="20"/>
      <c r="D220" s="21" t="str">
        <f>IF($C220="","",IFERROR(VLOOKUP($C220,Map_Register!$A$2:$C$5,3,FALSE()),""))</f>
        <v/>
      </c>
      <c r="E220" s="20"/>
      <c r="F220" s="20"/>
      <c r="G220" s="20"/>
      <c r="H220" s="20"/>
      <c r="I220" s="20"/>
      <c r="J220" s="20"/>
      <c r="K220" s="24"/>
      <c r="L220" s="20"/>
      <c r="M220" s="20"/>
      <c r="N220" s="20"/>
      <c r="O220" s="20"/>
    </row>
    <row r="221" spans="1:15" x14ac:dyDescent="0.3">
      <c r="A221" s="19" t="str">
        <f t="shared" si="1"/>
        <v/>
      </c>
      <c r="B221" s="20"/>
      <c r="C221" s="20"/>
      <c r="D221" s="21" t="str">
        <f>IF($C221="","",IFERROR(VLOOKUP($C221,Map_Register!$A$2:$C$5,3,FALSE()),""))</f>
        <v/>
      </c>
      <c r="E221" s="20"/>
      <c r="F221" s="20"/>
      <c r="G221" s="20"/>
      <c r="H221" s="20"/>
      <c r="I221" s="20"/>
      <c r="J221" s="20"/>
      <c r="K221" s="24"/>
      <c r="L221" s="20"/>
      <c r="M221" s="20"/>
      <c r="N221" s="20"/>
      <c r="O221" s="20"/>
    </row>
    <row r="222" spans="1:15" x14ac:dyDescent="0.3">
      <c r="A222" s="19" t="str">
        <f t="shared" si="1"/>
        <v/>
      </c>
      <c r="B222" s="20"/>
      <c r="C222" s="20"/>
      <c r="D222" s="21" t="str">
        <f>IF($C222="","",IFERROR(VLOOKUP($C222,Map_Register!$A$2:$C$5,3,FALSE()),""))</f>
        <v/>
      </c>
      <c r="E222" s="20"/>
      <c r="F222" s="20"/>
      <c r="G222" s="20"/>
      <c r="H222" s="20"/>
      <c r="I222" s="20"/>
      <c r="J222" s="20"/>
      <c r="K222" s="24"/>
      <c r="L222" s="20"/>
      <c r="M222" s="20"/>
      <c r="N222" s="20"/>
      <c r="O222" s="20"/>
    </row>
    <row r="223" spans="1:15" x14ac:dyDescent="0.3">
      <c r="A223" s="19" t="str">
        <f t="shared" si="1"/>
        <v/>
      </c>
      <c r="B223" s="20"/>
      <c r="C223" s="20"/>
      <c r="D223" s="21" t="str">
        <f>IF($C223="","",IFERROR(VLOOKUP($C223,Map_Register!$A$2:$C$5,3,FALSE()),""))</f>
        <v/>
      </c>
      <c r="E223" s="20"/>
      <c r="F223" s="20"/>
      <c r="G223" s="20"/>
      <c r="H223" s="20"/>
      <c r="I223" s="20"/>
      <c r="J223" s="20"/>
      <c r="K223" s="24"/>
      <c r="L223" s="20"/>
      <c r="M223" s="20"/>
      <c r="N223" s="20"/>
      <c r="O223" s="20"/>
    </row>
    <row r="224" spans="1:15" x14ac:dyDescent="0.3">
      <c r="A224" s="19" t="str">
        <f t="shared" si="1"/>
        <v/>
      </c>
      <c r="B224" s="20"/>
      <c r="C224" s="20"/>
      <c r="D224" s="21" t="str">
        <f>IF($C224="","",IFERROR(VLOOKUP($C224,Map_Register!$A$2:$C$5,3,FALSE()),""))</f>
        <v/>
      </c>
      <c r="E224" s="20"/>
      <c r="F224" s="20"/>
      <c r="G224" s="20"/>
      <c r="H224" s="20"/>
      <c r="I224" s="20"/>
      <c r="J224" s="20"/>
      <c r="K224" s="24"/>
      <c r="L224" s="20"/>
      <c r="M224" s="20"/>
      <c r="N224" s="20"/>
      <c r="O224" s="20"/>
    </row>
    <row r="225" spans="1:15" x14ac:dyDescent="0.3">
      <c r="A225" s="19" t="str">
        <f t="shared" si="1"/>
        <v/>
      </c>
      <c r="B225" s="20"/>
      <c r="C225" s="20"/>
      <c r="D225" s="21" t="str">
        <f>IF($C225="","",IFERROR(VLOOKUP($C225,Map_Register!$A$2:$C$5,3,FALSE()),""))</f>
        <v/>
      </c>
      <c r="E225" s="20"/>
      <c r="F225" s="20"/>
      <c r="G225" s="20"/>
      <c r="H225" s="20"/>
      <c r="I225" s="20"/>
      <c r="J225" s="20"/>
      <c r="K225" s="24"/>
      <c r="L225" s="20"/>
      <c r="M225" s="20"/>
      <c r="N225" s="20"/>
      <c r="O225" s="20"/>
    </row>
    <row r="226" spans="1:15" x14ac:dyDescent="0.3">
      <c r="A226" s="19" t="str">
        <f t="shared" si="1"/>
        <v/>
      </c>
      <c r="B226" s="20"/>
      <c r="C226" s="20"/>
      <c r="D226" s="21" t="str">
        <f>IF($C226="","",IFERROR(VLOOKUP($C226,Map_Register!$A$2:$C$5,3,FALSE()),""))</f>
        <v/>
      </c>
      <c r="E226" s="20"/>
      <c r="F226" s="20"/>
      <c r="G226" s="20"/>
      <c r="H226" s="20"/>
      <c r="I226" s="20"/>
      <c r="J226" s="20"/>
      <c r="K226" s="24"/>
      <c r="L226" s="20"/>
      <c r="M226" s="20"/>
      <c r="N226" s="20"/>
      <c r="O226" s="20"/>
    </row>
    <row r="227" spans="1:15" x14ac:dyDescent="0.3">
      <c r="A227" s="19" t="str">
        <f t="shared" si="1"/>
        <v/>
      </c>
      <c r="B227" s="20"/>
      <c r="C227" s="20"/>
      <c r="D227" s="21" t="str">
        <f>IF($C227="","",IFERROR(VLOOKUP($C227,Map_Register!$A$2:$C$5,3,FALSE()),""))</f>
        <v/>
      </c>
      <c r="E227" s="20"/>
      <c r="F227" s="20"/>
      <c r="G227" s="20"/>
      <c r="H227" s="20"/>
      <c r="I227" s="20"/>
      <c r="J227" s="20"/>
      <c r="K227" s="24"/>
      <c r="L227" s="20"/>
      <c r="M227" s="20"/>
      <c r="N227" s="20"/>
      <c r="O227" s="20"/>
    </row>
    <row r="228" spans="1:15" x14ac:dyDescent="0.3">
      <c r="A228" s="19" t="str">
        <f t="shared" si="1"/>
        <v/>
      </c>
      <c r="B228" s="20"/>
      <c r="C228" s="20"/>
      <c r="D228" s="21" t="str">
        <f>IF($C228="","",IFERROR(VLOOKUP($C228,Map_Register!$A$2:$C$5,3,FALSE()),""))</f>
        <v/>
      </c>
      <c r="E228" s="20"/>
      <c r="F228" s="20"/>
      <c r="G228" s="20"/>
      <c r="H228" s="20"/>
      <c r="I228" s="20"/>
      <c r="J228" s="20"/>
      <c r="K228" s="24"/>
      <c r="L228" s="20"/>
      <c r="M228" s="20"/>
      <c r="N228" s="20"/>
      <c r="O228" s="20"/>
    </row>
    <row r="229" spans="1:15" x14ac:dyDescent="0.3">
      <c r="A229" s="19" t="str">
        <f t="shared" si="1"/>
        <v/>
      </c>
      <c r="B229" s="20"/>
      <c r="C229" s="20"/>
      <c r="D229" s="21" t="str">
        <f>IF($C229="","",IFERROR(VLOOKUP($C229,Map_Register!$A$2:$C$5,3,FALSE()),""))</f>
        <v/>
      </c>
      <c r="E229" s="20"/>
      <c r="F229" s="20"/>
      <c r="G229" s="20"/>
      <c r="H229" s="20"/>
      <c r="I229" s="20"/>
      <c r="J229" s="20"/>
      <c r="K229" s="24"/>
      <c r="L229" s="20"/>
      <c r="M229" s="20"/>
      <c r="N229" s="20"/>
      <c r="O229" s="20"/>
    </row>
    <row r="230" spans="1:15" x14ac:dyDescent="0.3">
      <c r="A230" s="19" t="str">
        <f t="shared" si="1"/>
        <v/>
      </c>
      <c r="B230" s="20"/>
      <c r="C230" s="20"/>
      <c r="D230" s="21" t="str">
        <f>IF($C230="","",IFERROR(VLOOKUP($C230,Map_Register!$A$2:$C$5,3,FALSE()),""))</f>
        <v/>
      </c>
      <c r="E230" s="20"/>
      <c r="F230" s="20"/>
      <c r="G230" s="20"/>
      <c r="H230" s="20"/>
      <c r="I230" s="20"/>
      <c r="J230" s="20"/>
      <c r="K230" s="24"/>
      <c r="L230" s="20"/>
      <c r="M230" s="20"/>
      <c r="N230" s="20"/>
      <c r="O230" s="20"/>
    </row>
    <row r="231" spans="1:15" x14ac:dyDescent="0.3">
      <c r="A231" s="19" t="str">
        <f t="shared" si="1"/>
        <v/>
      </c>
      <c r="B231" s="20"/>
      <c r="C231" s="20"/>
      <c r="D231" s="21" t="str">
        <f>IF($C231="","",IFERROR(VLOOKUP($C231,Map_Register!$A$2:$C$5,3,FALSE()),""))</f>
        <v/>
      </c>
      <c r="E231" s="20"/>
      <c r="F231" s="20"/>
      <c r="G231" s="20"/>
      <c r="H231" s="20"/>
      <c r="I231" s="20"/>
      <c r="J231" s="20"/>
      <c r="K231" s="24"/>
      <c r="L231" s="20"/>
      <c r="M231" s="20"/>
      <c r="N231" s="20"/>
      <c r="O231" s="20"/>
    </row>
    <row r="232" spans="1:15" x14ac:dyDescent="0.3">
      <c r="A232" s="19" t="str">
        <f t="shared" si="1"/>
        <v/>
      </c>
      <c r="B232" s="20"/>
      <c r="C232" s="20"/>
      <c r="D232" s="21" t="str">
        <f>IF($C232="","",IFERROR(VLOOKUP($C232,Map_Register!$A$2:$C$5,3,FALSE()),""))</f>
        <v/>
      </c>
      <c r="E232" s="20"/>
      <c r="F232" s="20"/>
      <c r="G232" s="20"/>
      <c r="H232" s="20"/>
      <c r="I232" s="20"/>
      <c r="J232" s="20"/>
      <c r="K232" s="24"/>
      <c r="L232" s="20"/>
      <c r="M232" s="20"/>
      <c r="N232" s="20"/>
      <c r="O232" s="20"/>
    </row>
    <row r="233" spans="1:15" x14ac:dyDescent="0.3">
      <c r="A233" s="19" t="str">
        <f t="shared" si="1"/>
        <v/>
      </c>
      <c r="B233" s="20"/>
      <c r="C233" s="20"/>
      <c r="D233" s="21" t="str">
        <f>IF($C233="","",IFERROR(VLOOKUP($C233,Map_Register!$A$2:$C$5,3,FALSE()),""))</f>
        <v/>
      </c>
      <c r="E233" s="20"/>
      <c r="F233" s="20"/>
      <c r="G233" s="20"/>
      <c r="H233" s="20"/>
      <c r="I233" s="20"/>
      <c r="J233" s="20"/>
      <c r="K233" s="24"/>
      <c r="L233" s="20"/>
      <c r="M233" s="20"/>
      <c r="N233" s="20"/>
      <c r="O233" s="20"/>
    </row>
    <row r="234" spans="1:15" x14ac:dyDescent="0.3">
      <c r="A234" s="19" t="str">
        <f t="shared" si="1"/>
        <v/>
      </c>
      <c r="B234" s="20"/>
      <c r="C234" s="20"/>
      <c r="D234" s="21" t="str">
        <f>IF($C234="","",IFERROR(VLOOKUP($C234,Map_Register!$A$2:$C$5,3,FALSE()),""))</f>
        <v/>
      </c>
      <c r="E234" s="20"/>
      <c r="F234" s="20"/>
      <c r="G234" s="20"/>
      <c r="H234" s="20"/>
      <c r="I234" s="20"/>
      <c r="J234" s="20"/>
      <c r="K234" s="24"/>
      <c r="L234" s="20"/>
      <c r="M234" s="20"/>
      <c r="N234" s="20"/>
      <c r="O234" s="20"/>
    </row>
    <row r="235" spans="1:15" x14ac:dyDescent="0.3">
      <c r="A235" s="19" t="str">
        <f t="shared" si="1"/>
        <v/>
      </c>
      <c r="B235" s="20"/>
      <c r="C235" s="20"/>
      <c r="D235" s="21" t="str">
        <f>IF($C235="","",IFERROR(VLOOKUP($C235,Map_Register!$A$2:$C$5,3,FALSE()),""))</f>
        <v/>
      </c>
      <c r="E235" s="20"/>
      <c r="F235" s="20"/>
      <c r="G235" s="20"/>
      <c r="H235" s="20"/>
      <c r="I235" s="20"/>
      <c r="J235" s="20"/>
      <c r="K235" s="24"/>
      <c r="L235" s="20"/>
      <c r="M235" s="20"/>
      <c r="N235" s="20"/>
      <c r="O235" s="20"/>
    </row>
    <row r="236" spans="1:15" x14ac:dyDescent="0.3">
      <c r="A236" s="19" t="str">
        <f t="shared" si="1"/>
        <v/>
      </c>
      <c r="B236" s="20"/>
      <c r="C236" s="20"/>
      <c r="D236" s="21" t="str">
        <f>IF($C236="","",IFERROR(VLOOKUP($C236,Map_Register!$A$2:$C$5,3,FALSE()),""))</f>
        <v/>
      </c>
      <c r="E236" s="20"/>
      <c r="F236" s="20"/>
      <c r="G236" s="20"/>
      <c r="H236" s="20"/>
      <c r="I236" s="20"/>
      <c r="J236" s="20"/>
      <c r="K236" s="24"/>
      <c r="L236" s="20"/>
      <c r="M236" s="20"/>
      <c r="N236" s="20"/>
      <c r="O236" s="20"/>
    </row>
    <row r="237" spans="1:15" x14ac:dyDescent="0.3">
      <c r="A237" s="19" t="str">
        <f t="shared" si="1"/>
        <v/>
      </c>
      <c r="B237" s="20"/>
      <c r="C237" s="20"/>
      <c r="D237" s="21" t="str">
        <f>IF($C237="","",IFERROR(VLOOKUP($C237,Map_Register!$A$2:$C$5,3,FALSE()),""))</f>
        <v/>
      </c>
      <c r="E237" s="20"/>
      <c r="F237" s="20"/>
      <c r="G237" s="20"/>
      <c r="H237" s="20"/>
      <c r="I237" s="20"/>
      <c r="J237" s="20"/>
      <c r="K237" s="24"/>
      <c r="L237" s="20"/>
      <c r="M237" s="20"/>
      <c r="N237" s="20"/>
      <c r="O237" s="20"/>
    </row>
    <row r="238" spans="1:15" x14ac:dyDescent="0.3">
      <c r="A238" s="19" t="str">
        <f t="shared" si="1"/>
        <v/>
      </c>
      <c r="B238" s="20"/>
      <c r="C238" s="20"/>
      <c r="D238" s="21" t="str">
        <f>IF($C238="","",IFERROR(VLOOKUP($C238,Map_Register!$A$2:$C$5,3,FALSE()),""))</f>
        <v/>
      </c>
      <c r="E238" s="20"/>
      <c r="F238" s="20"/>
      <c r="G238" s="20"/>
      <c r="H238" s="20"/>
      <c r="I238" s="20"/>
      <c r="J238" s="20"/>
      <c r="K238" s="24"/>
      <c r="L238" s="20"/>
      <c r="M238" s="20"/>
      <c r="N238" s="20"/>
      <c r="O238" s="20"/>
    </row>
    <row r="239" spans="1:15" x14ac:dyDescent="0.3">
      <c r="A239" s="19" t="str">
        <f t="shared" si="1"/>
        <v/>
      </c>
      <c r="B239" s="20"/>
      <c r="C239" s="20"/>
      <c r="D239" s="21" t="str">
        <f>IF($C239="","",IFERROR(VLOOKUP($C239,Map_Register!$A$2:$C$5,3,FALSE()),""))</f>
        <v/>
      </c>
      <c r="E239" s="20"/>
      <c r="F239" s="20"/>
      <c r="G239" s="20"/>
      <c r="H239" s="20"/>
      <c r="I239" s="20"/>
      <c r="J239" s="20"/>
      <c r="K239" s="24"/>
      <c r="L239" s="20"/>
      <c r="M239" s="20"/>
      <c r="N239" s="20"/>
      <c r="O239" s="20"/>
    </row>
    <row r="240" spans="1:15" x14ac:dyDescent="0.3">
      <c r="A240" s="19" t="str">
        <f t="shared" si="1"/>
        <v/>
      </c>
      <c r="B240" s="20"/>
      <c r="C240" s="20"/>
      <c r="D240" s="21" t="str">
        <f>IF($C240="","",IFERROR(VLOOKUP($C240,Map_Register!$A$2:$C$5,3,FALSE()),""))</f>
        <v/>
      </c>
      <c r="E240" s="20"/>
      <c r="F240" s="20"/>
      <c r="G240" s="20"/>
      <c r="H240" s="20"/>
      <c r="I240" s="20"/>
      <c r="J240" s="20"/>
      <c r="K240" s="24"/>
      <c r="L240" s="20"/>
      <c r="M240" s="20"/>
      <c r="N240" s="20"/>
      <c r="O240" s="20"/>
    </row>
    <row r="241" spans="1:15" x14ac:dyDescent="0.3">
      <c r="A241" s="19" t="str">
        <f t="shared" si="1"/>
        <v/>
      </c>
      <c r="B241" s="20"/>
      <c r="C241" s="20"/>
      <c r="D241" s="21" t="str">
        <f>IF($C241="","",IFERROR(VLOOKUP($C241,Map_Register!$A$2:$C$5,3,FALSE()),""))</f>
        <v/>
      </c>
      <c r="E241" s="20"/>
      <c r="F241" s="20"/>
      <c r="G241" s="20"/>
      <c r="H241" s="20"/>
      <c r="I241" s="20"/>
      <c r="J241" s="20"/>
      <c r="K241" s="24"/>
      <c r="L241" s="20"/>
      <c r="M241" s="20"/>
      <c r="N241" s="20"/>
      <c r="O241" s="20"/>
    </row>
    <row r="242" spans="1:15" x14ac:dyDescent="0.3">
      <c r="A242" s="19" t="str">
        <f t="shared" si="1"/>
        <v/>
      </c>
      <c r="B242" s="20"/>
      <c r="C242" s="20"/>
      <c r="D242" s="21" t="str">
        <f>IF($C242="","",IFERROR(VLOOKUP($C242,Map_Register!$A$2:$C$5,3,FALSE()),""))</f>
        <v/>
      </c>
      <c r="E242" s="20"/>
      <c r="F242" s="20"/>
      <c r="G242" s="20"/>
      <c r="H242" s="20"/>
      <c r="I242" s="20"/>
      <c r="J242" s="20"/>
      <c r="K242" s="24"/>
      <c r="L242" s="20"/>
      <c r="M242" s="20"/>
      <c r="N242" s="20"/>
      <c r="O242" s="20"/>
    </row>
    <row r="243" spans="1:15" x14ac:dyDescent="0.3">
      <c r="A243" s="19" t="str">
        <f t="shared" si="1"/>
        <v/>
      </c>
      <c r="B243" s="20"/>
      <c r="C243" s="20"/>
      <c r="D243" s="21" t="str">
        <f>IF($C243="","",IFERROR(VLOOKUP($C243,Map_Register!$A$2:$C$5,3,FALSE()),""))</f>
        <v/>
      </c>
      <c r="E243" s="20"/>
      <c r="F243" s="20"/>
      <c r="G243" s="20"/>
      <c r="H243" s="20"/>
      <c r="I243" s="20"/>
      <c r="J243" s="20"/>
      <c r="K243" s="24"/>
      <c r="L243" s="20"/>
      <c r="M243" s="20"/>
      <c r="N243" s="20"/>
      <c r="O243" s="20"/>
    </row>
    <row r="244" spans="1:15" x14ac:dyDescent="0.3">
      <c r="A244" s="19" t="str">
        <f t="shared" si="1"/>
        <v/>
      </c>
      <c r="B244" s="20"/>
      <c r="C244" s="20"/>
      <c r="D244" s="21" t="str">
        <f>IF($C244="","",IFERROR(VLOOKUP($C244,Map_Register!$A$2:$C$5,3,FALSE()),""))</f>
        <v/>
      </c>
      <c r="E244" s="20"/>
      <c r="F244" s="20"/>
      <c r="G244" s="20"/>
      <c r="H244" s="20"/>
      <c r="I244" s="20"/>
      <c r="J244" s="20"/>
      <c r="K244" s="24"/>
      <c r="L244" s="20"/>
      <c r="M244" s="20"/>
      <c r="N244" s="20"/>
      <c r="O244" s="20"/>
    </row>
    <row r="245" spans="1:15" x14ac:dyDescent="0.3">
      <c r="A245" s="19" t="str">
        <f t="shared" si="1"/>
        <v/>
      </c>
      <c r="B245" s="20"/>
      <c r="C245" s="20"/>
      <c r="D245" s="21" t="str">
        <f>IF($C245="","",IFERROR(VLOOKUP($C245,Map_Register!$A$2:$C$5,3,FALSE()),""))</f>
        <v/>
      </c>
      <c r="E245" s="20"/>
      <c r="F245" s="20"/>
      <c r="G245" s="20"/>
      <c r="H245" s="20"/>
      <c r="I245" s="20"/>
      <c r="J245" s="20"/>
      <c r="K245" s="24"/>
      <c r="L245" s="20"/>
      <c r="M245" s="20"/>
      <c r="N245" s="20"/>
      <c r="O245" s="20"/>
    </row>
    <row r="246" spans="1:15" x14ac:dyDescent="0.3">
      <c r="A246" s="19" t="str">
        <f t="shared" si="1"/>
        <v/>
      </c>
      <c r="B246" s="20"/>
      <c r="C246" s="20"/>
      <c r="D246" s="21" t="str">
        <f>IF($C246="","",IFERROR(VLOOKUP($C246,Map_Register!$A$2:$C$5,3,FALSE()),""))</f>
        <v/>
      </c>
      <c r="E246" s="20"/>
      <c r="F246" s="20"/>
      <c r="G246" s="20"/>
      <c r="H246" s="20"/>
      <c r="I246" s="20"/>
      <c r="J246" s="20"/>
      <c r="K246" s="24"/>
      <c r="L246" s="20"/>
      <c r="M246" s="20"/>
      <c r="N246" s="20"/>
      <c r="O246" s="20"/>
    </row>
    <row r="247" spans="1:15" x14ac:dyDescent="0.3">
      <c r="A247" s="19" t="str">
        <f t="shared" si="1"/>
        <v/>
      </c>
      <c r="B247" s="20"/>
      <c r="C247" s="20"/>
      <c r="D247" s="21" t="str">
        <f>IF($C247="","",IFERROR(VLOOKUP($C247,Map_Register!$A$2:$C$5,3,FALSE()),""))</f>
        <v/>
      </c>
      <c r="E247" s="20"/>
      <c r="F247" s="20"/>
      <c r="G247" s="20"/>
      <c r="H247" s="20"/>
      <c r="I247" s="20"/>
      <c r="J247" s="20"/>
      <c r="K247" s="24"/>
      <c r="L247" s="20"/>
      <c r="M247" s="20"/>
      <c r="N247" s="20"/>
      <c r="O247" s="20"/>
    </row>
    <row r="248" spans="1:15" x14ac:dyDescent="0.3">
      <c r="A248" s="19" t="str">
        <f t="shared" si="1"/>
        <v/>
      </c>
      <c r="B248" s="20"/>
      <c r="C248" s="20"/>
      <c r="D248" s="21" t="str">
        <f>IF($C248="","",IFERROR(VLOOKUP($C248,Map_Register!$A$2:$C$5,3,FALSE()),""))</f>
        <v/>
      </c>
      <c r="E248" s="20"/>
      <c r="F248" s="20"/>
      <c r="G248" s="20"/>
      <c r="H248" s="20"/>
      <c r="I248" s="20"/>
      <c r="J248" s="20"/>
      <c r="K248" s="24"/>
      <c r="L248" s="20"/>
      <c r="M248" s="20"/>
      <c r="N248" s="20"/>
      <c r="O248" s="20"/>
    </row>
    <row r="249" spans="1:15" x14ac:dyDescent="0.3">
      <c r="A249" s="19" t="str">
        <f t="shared" si="1"/>
        <v/>
      </c>
      <c r="B249" s="20"/>
      <c r="C249" s="20"/>
      <c r="D249" s="21" t="str">
        <f>IF($C249="","",IFERROR(VLOOKUP($C249,Map_Register!$A$2:$C$5,3,FALSE()),""))</f>
        <v/>
      </c>
      <c r="E249" s="20"/>
      <c r="F249" s="20"/>
      <c r="G249" s="20"/>
      <c r="H249" s="20"/>
      <c r="I249" s="20"/>
      <c r="J249" s="20"/>
      <c r="K249" s="24"/>
      <c r="L249" s="20"/>
      <c r="M249" s="20"/>
      <c r="N249" s="20"/>
      <c r="O249" s="20"/>
    </row>
    <row r="250" spans="1:15" x14ac:dyDescent="0.3">
      <c r="A250" s="19" t="str">
        <f t="shared" si="1"/>
        <v/>
      </c>
      <c r="B250" s="20"/>
      <c r="C250" s="20"/>
      <c r="D250" s="21" t="str">
        <f>IF($C250="","",IFERROR(VLOOKUP($C250,Map_Register!$A$2:$C$5,3,FALSE()),""))</f>
        <v/>
      </c>
      <c r="E250" s="20"/>
      <c r="F250" s="20"/>
      <c r="G250" s="20"/>
      <c r="H250" s="20"/>
      <c r="I250" s="20"/>
      <c r="J250" s="20"/>
      <c r="K250" s="24"/>
      <c r="L250" s="20"/>
      <c r="M250" s="20"/>
      <c r="N250" s="20"/>
      <c r="O250" s="20"/>
    </row>
    <row r="251" spans="1:15" x14ac:dyDescent="0.3">
      <c r="A251" s="19" t="str">
        <f t="shared" si="1"/>
        <v/>
      </c>
      <c r="B251" s="20"/>
      <c r="C251" s="20"/>
      <c r="D251" s="21" t="str">
        <f>IF($C251="","",IFERROR(VLOOKUP($C251,Map_Register!$A$2:$C$5,3,FALSE()),""))</f>
        <v/>
      </c>
      <c r="E251" s="20"/>
      <c r="F251" s="20"/>
      <c r="G251" s="20"/>
      <c r="H251" s="20"/>
      <c r="I251" s="20"/>
      <c r="J251" s="20"/>
      <c r="K251" s="24"/>
      <c r="L251" s="20"/>
      <c r="M251" s="20"/>
      <c r="N251" s="20"/>
      <c r="O251" s="20"/>
    </row>
    <row r="252" spans="1:15" x14ac:dyDescent="0.3">
      <c r="A252" s="19" t="str">
        <f t="shared" si="1"/>
        <v/>
      </c>
      <c r="B252" s="20"/>
      <c r="C252" s="20"/>
      <c r="D252" s="21" t="str">
        <f>IF($C252="","",IFERROR(VLOOKUP($C252,Map_Register!$A$2:$C$5,3,FALSE()),""))</f>
        <v/>
      </c>
      <c r="E252" s="20"/>
      <c r="F252" s="20"/>
      <c r="G252" s="20"/>
      <c r="H252" s="20"/>
      <c r="I252" s="20"/>
      <c r="J252" s="20"/>
      <c r="K252" s="24"/>
      <c r="L252" s="20"/>
      <c r="M252" s="20"/>
      <c r="N252" s="20"/>
      <c r="O252" s="20"/>
    </row>
    <row r="253" spans="1:15" x14ac:dyDescent="0.3">
      <c r="A253" s="19" t="str">
        <f t="shared" si="1"/>
        <v/>
      </c>
      <c r="B253" s="20"/>
      <c r="C253" s="20"/>
      <c r="D253" s="21" t="str">
        <f>IF($C253="","",IFERROR(VLOOKUP($C253,Map_Register!$A$2:$C$5,3,FALSE()),""))</f>
        <v/>
      </c>
      <c r="E253" s="20"/>
      <c r="F253" s="20"/>
      <c r="G253" s="20"/>
      <c r="H253" s="20"/>
      <c r="I253" s="20"/>
      <c r="J253" s="20"/>
      <c r="K253" s="24"/>
      <c r="L253" s="20"/>
      <c r="M253" s="20"/>
      <c r="N253" s="20"/>
      <c r="O253" s="20"/>
    </row>
    <row r="254" spans="1:15" x14ac:dyDescent="0.3">
      <c r="A254" s="19" t="str">
        <f t="shared" si="1"/>
        <v/>
      </c>
      <c r="B254" s="20"/>
      <c r="C254" s="20"/>
      <c r="D254" s="21" t="str">
        <f>IF($C254="","",IFERROR(VLOOKUP($C254,Map_Register!$A$2:$C$5,3,FALSE()),""))</f>
        <v/>
      </c>
      <c r="E254" s="20"/>
      <c r="F254" s="20"/>
      <c r="G254" s="20"/>
      <c r="H254" s="20"/>
      <c r="I254" s="20"/>
      <c r="J254" s="20"/>
      <c r="K254" s="24"/>
      <c r="L254" s="20"/>
      <c r="M254" s="20"/>
      <c r="N254" s="20"/>
      <c r="O254" s="20"/>
    </row>
    <row r="255" spans="1:15" x14ac:dyDescent="0.3">
      <c r="A255" s="19" t="str">
        <f t="shared" si="1"/>
        <v/>
      </c>
      <c r="B255" s="20"/>
      <c r="C255" s="20"/>
      <c r="D255" s="21" t="str">
        <f>IF($C255="","",IFERROR(VLOOKUP($C255,Map_Register!$A$2:$C$5,3,FALSE()),""))</f>
        <v/>
      </c>
      <c r="E255" s="20"/>
      <c r="F255" s="20"/>
      <c r="G255" s="20"/>
      <c r="H255" s="20"/>
      <c r="I255" s="20"/>
      <c r="J255" s="20"/>
      <c r="K255" s="24"/>
      <c r="L255" s="20"/>
      <c r="M255" s="20"/>
      <c r="N255" s="20"/>
      <c r="O255" s="20"/>
    </row>
    <row r="256" spans="1:15" x14ac:dyDescent="0.3">
      <c r="A256" s="19" t="str">
        <f t="shared" si="1"/>
        <v/>
      </c>
      <c r="B256" s="20"/>
      <c r="C256" s="20"/>
      <c r="D256" s="21" t="str">
        <f>IF($C256="","",IFERROR(VLOOKUP($C256,Map_Register!$A$2:$C$5,3,FALSE()),""))</f>
        <v/>
      </c>
      <c r="E256" s="20"/>
      <c r="F256" s="20"/>
      <c r="G256" s="20"/>
      <c r="H256" s="20"/>
      <c r="I256" s="20"/>
      <c r="J256" s="20"/>
      <c r="K256" s="24"/>
      <c r="L256" s="20"/>
      <c r="M256" s="20"/>
      <c r="N256" s="20"/>
      <c r="O256" s="20"/>
    </row>
    <row r="257" spans="1:15" x14ac:dyDescent="0.3">
      <c r="A257" s="19" t="str">
        <f t="shared" si="1"/>
        <v/>
      </c>
      <c r="B257" s="20"/>
      <c r="C257" s="20"/>
      <c r="D257" s="21" t="str">
        <f>IF($C257="","",IFERROR(VLOOKUP($C257,Map_Register!$A$2:$C$5,3,FALSE()),""))</f>
        <v/>
      </c>
      <c r="E257" s="20"/>
      <c r="F257" s="20"/>
      <c r="G257" s="20"/>
      <c r="H257" s="20"/>
      <c r="I257" s="20"/>
      <c r="J257" s="20"/>
      <c r="K257" s="24"/>
      <c r="L257" s="20"/>
      <c r="M257" s="20"/>
      <c r="N257" s="20"/>
      <c r="O257" s="20"/>
    </row>
    <row r="258" spans="1:15" x14ac:dyDescent="0.3">
      <c r="A258" s="19" t="str">
        <f t="shared" si="1"/>
        <v/>
      </c>
      <c r="B258" s="20"/>
      <c r="C258" s="20"/>
      <c r="D258" s="21" t="str">
        <f>IF($C258="","",IFERROR(VLOOKUP($C258,Map_Register!$A$2:$C$5,3,FALSE()),""))</f>
        <v/>
      </c>
      <c r="E258" s="20"/>
      <c r="F258" s="20"/>
      <c r="G258" s="20"/>
      <c r="H258" s="20"/>
      <c r="I258" s="20"/>
      <c r="J258" s="20"/>
      <c r="K258" s="24"/>
      <c r="L258" s="20"/>
      <c r="M258" s="20"/>
      <c r="N258" s="20"/>
      <c r="O258" s="20"/>
    </row>
    <row r="259" spans="1:15" x14ac:dyDescent="0.3">
      <c r="A259" s="19" t="str">
        <f t="shared" si="1"/>
        <v/>
      </c>
      <c r="B259" s="20"/>
      <c r="C259" s="20"/>
      <c r="D259" s="21" t="str">
        <f>IF($C259="","",IFERROR(VLOOKUP($C259,Map_Register!$A$2:$C$5,3,FALSE()),""))</f>
        <v/>
      </c>
      <c r="E259" s="20"/>
      <c r="F259" s="20"/>
      <c r="G259" s="20"/>
      <c r="H259" s="20"/>
      <c r="I259" s="20"/>
      <c r="J259" s="20"/>
      <c r="K259" s="24"/>
      <c r="L259" s="20"/>
      <c r="M259" s="20"/>
      <c r="N259" s="20"/>
      <c r="O259" s="20"/>
    </row>
    <row r="260" spans="1:15" x14ac:dyDescent="0.3">
      <c r="A260" s="19" t="str">
        <f t="shared" si="1"/>
        <v/>
      </c>
      <c r="B260" s="20"/>
      <c r="C260" s="20"/>
      <c r="D260" s="21" t="str">
        <f>IF($C260="","",IFERROR(VLOOKUP($C260,Map_Register!$A$2:$C$5,3,FALSE()),""))</f>
        <v/>
      </c>
      <c r="E260" s="20"/>
      <c r="F260" s="20"/>
      <c r="G260" s="20"/>
      <c r="H260" s="20"/>
      <c r="I260" s="20"/>
      <c r="J260" s="20"/>
      <c r="K260" s="24"/>
      <c r="L260" s="20"/>
      <c r="M260" s="20"/>
      <c r="N260" s="20"/>
      <c r="O260" s="20"/>
    </row>
    <row r="261" spans="1:15" x14ac:dyDescent="0.3">
      <c r="A261" s="19" t="str">
        <f t="shared" si="1"/>
        <v/>
      </c>
      <c r="B261" s="20"/>
      <c r="C261" s="20"/>
      <c r="D261" s="21" t="str">
        <f>IF($C261="","",IFERROR(VLOOKUP($C261,Map_Register!$A$2:$C$5,3,FALSE()),""))</f>
        <v/>
      </c>
      <c r="E261" s="20"/>
      <c r="F261" s="20"/>
      <c r="G261" s="20"/>
      <c r="H261" s="20"/>
      <c r="I261" s="20"/>
      <c r="J261" s="20"/>
      <c r="K261" s="24"/>
      <c r="L261" s="20"/>
      <c r="M261" s="20"/>
      <c r="N261" s="20"/>
      <c r="O261" s="20"/>
    </row>
    <row r="262" spans="1:15" x14ac:dyDescent="0.3">
      <c r="A262" s="19" t="str">
        <f t="shared" si="1"/>
        <v/>
      </c>
      <c r="B262" s="20"/>
      <c r="C262" s="20"/>
      <c r="D262" s="21" t="str">
        <f>IF($C262="","",IFERROR(VLOOKUP($C262,Map_Register!$A$2:$C$5,3,FALSE()),""))</f>
        <v/>
      </c>
      <c r="E262" s="20"/>
      <c r="F262" s="20"/>
      <c r="G262" s="20"/>
      <c r="H262" s="20"/>
      <c r="I262" s="20"/>
      <c r="J262" s="20"/>
      <c r="K262" s="24"/>
      <c r="L262" s="20"/>
      <c r="M262" s="20"/>
      <c r="N262" s="20"/>
      <c r="O262" s="20"/>
    </row>
    <row r="263" spans="1:15" x14ac:dyDescent="0.3">
      <c r="A263" s="19" t="str">
        <f t="shared" si="1"/>
        <v/>
      </c>
      <c r="B263" s="20"/>
      <c r="C263" s="20"/>
      <c r="D263" s="21" t="str">
        <f>IF($C263="","",IFERROR(VLOOKUP($C263,Map_Register!$A$2:$C$5,3,FALSE()),""))</f>
        <v/>
      </c>
      <c r="E263" s="20"/>
      <c r="F263" s="20"/>
      <c r="G263" s="20"/>
      <c r="H263" s="20"/>
      <c r="I263" s="20"/>
      <c r="J263" s="20"/>
      <c r="K263" s="24"/>
      <c r="L263" s="20"/>
      <c r="M263" s="20"/>
      <c r="N263" s="20"/>
      <c r="O263" s="20"/>
    </row>
    <row r="264" spans="1:15" x14ac:dyDescent="0.3">
      <c r="A264" s="19" t="str">
        <f t="shared" si="1"/>
        <v/>
      </c>
      <c r="B264" s="20"/>
      <c r="C264" s="20"/>
      <c r="D264" s="21" t="str">
        <f>IF($C264="","",IFERROR(VLOOKUP($C264,Map_Register!$A$2:$C$5,3,FALSE()),""))</f>
        <v/>
      </c>
      <c r="E264" s="20"/>
      <c r="F264" s="20"/>
      <c r="G264" s="20"/>
      <c r="H264" s="20"/>
      <c r="I264" s="20"/>
      <c r="J264" s="20"/>
      <c r="K264" s="24"/>
      <c r="L264" s="20"/>
      <c r="M264" s="20"/>
      <c r="N264" s="20"/>
      <c r="O264" s="20"/>
    </row>
    <row r="265" spans="1:15" x14ac:dyDescent="0.3">
      <c r="A265" s="19" t="str">
        <f t="shared" si="1"/>
        <v/>
      </c>
      <c r="B265" s="20"/>
      <c r="C265" s="20"/>
      <c r="D265" s="21" t="str">
        <f>IF($C265="","",IFERROR(VLOOKUP($C265,Map_Register!$A$2:$C$5,3,FALSE()),""))</f>
        <v/>
      </c>
      <c r="E265" s="20"/>
      <c r="F265" s="20"/>
      <c r="G265" s="20"/>
      <c r="H265" s="20"/>
      <c r="I265" s="20"/>
      <c r="J265" s="20"/>
      <c r="K265" s="24"/>
      <c r="L265" s="20"/>
      <c r="M265" s="20"/>
      <c r="N265" s="20"/>
      <c r="O265" s="20"/>
    </row>
    <row r="266" spans="1:15" x14ac:dyDescent="0.3">
      <c r="A266" s="19" t="str">
        <f t="shared" si="1"/>
        <v/>
      </c>
      <c r="B266" s="20"/>
      <c r="C266" s="20"/>
      <c r="D266" s="21" t="str">
        <f>IF($C266="","",IFERROR(VLOOKUP($C266,Map_Register!$A$2:$C$5,3,FALSE()),""))</f>
        <v/>
      </c>
      <c r="E266" s="20"/>
      <c r="F266" s="20"/>
      <c r="G266" s="20"/>
      <c r="H266" s="20"/>
      <c r="I266" s="20"/>
      <c r="J266" s="20"/>
      <c r="K266" s="24"/>
      <c r="L266" s="20"/>
      <c r="M266" s="20"/>
      <c r="N266" s="20"/>
      <c r="O266" s="20"/>
    </row>
    <row r="267" spans="1:15" x14ac:dyDescent="0.3">
      <c r="A267" s="19" t="str">
        <f t="shared" si="1"/>
        <v/>
      </c>
      <c r="B267" s="20"/>
      <c r="C267" s="20"/>
      <c r="D267" s="21" t="str">
        <f>IF($C267="","",IFERROR(VLOOKUP($C267,Map_Register!$A$2:$C$5,3,FALSE()),""))</f>
        <v/>
      </c>
      <c r="E267" s="20"/>
      <c r="F267" s="20"/>
      <c r="G267" s="20"/>
      <c r="H267" s="20"/>
      <c r="I267" s="20"/>
      <c r="J267" s="20"/>
      <c r="K267" s="24"/>
      <c r="L267" s="20"/>
      <c r="M267" s="20"/>
      <c r="N267" s="20"/>
      <c r="O267" s="20"/>
    </row>
    <row r="268" spans="1:15" x14ac:dyDescent="0.3">
      <c r="A268" s="19" t="str">
        <f t="shared" si="1"/>
        <v/>
      </c>
      <c r="B268" s="20"/>
      <c r="C268" s="20"/>
      <c r="D268" s="21" t="str">
        <f>IF($C268="","",IFERROR(VLOOKUP($C268,Map_Register!$A$2:$C$5,3,FALSE()),""))</f>
        <v/>
      </c>
      <c r="E268" s="20"/>
      <c r="F268" s="20"/>
      <c r="G268" s="20"/>
      <c r="H268" s="20"/>
      <c r="I268" s="20"/>
      <c r="J268" s="20"/>
      <c r="K268" s="24"/>
      <c r="L268" s="20"/>
      <c r="M268" s="20"/>
      <c r="N268" s="20"/>
      <c r="O268" s="20"/>
    </row>
    <row r="269" spans="1:15" x14ac:dyDescent="0.3">
      <c r="A269" s="19" t="str">
        <f t="shared" si="1"/>
        <v/>
      </c>
      <c r="B269" s="20"/>
      <c r="C269" s="20"/>
      <c r="D269" s="21" t="str">
        <f>IF($C269="","",IFERROR(VLOOKUP($C269,Map_Register!$A$2:$C$5,3,FALSE()),""))</f>
        <v/>
      </c>
      <c r="E269" s="20"/>
      <c r="F269" s="20"/>
      <c r="G269" s="20"/>
      <c r="H269" s="20"/>
      <c r="I269" s="20"/>
      <c r="J269" s="20"/>
      <c r="K269" s="24"/>
      <c r="L269" s="20"/>
      <c r="M269" s="20"/>
      <c r="N269" s="20"/>
      <c r="O269" s="20"/>
    </row>
    <row r="270" spans="1:15" x14ac:dyDescent="0.3">
      <c r="A270" s="19" t="str">
        <f t="shared" si="1"/>
        <v/>
      </c>
      <c r="B270" s="20"/>
      <c r="C270" s="20"/>
      <c r="D270" s="21" t="str">
        <f>IF($C270="","",IFERROR(VLOOKUP($C270,Map_Register!$A$2:$C$5,3,FALSE()),""))</f>
        <v/>
      </c>
      <c r="E270" s="20"/>
      <c r="F270" s="20"/>
      <c r="G270" s="20"/>
      <c r="H270" s="20"/>
      <c r="I270" s="20"/>
      <c r="J270" s="20"/>
      <c r="K270" s="24"/>
      <c r="L270" s="20"/>
      <c r="M270" s="20"/>
      <c r="N270" s="20"/>
      <c r="O270" s="20"/>
    </row>
    <row r="271" spans="1:15" x14ac:dyDescent="0.3">
      <c r="A271" s="19" t="str">
        <f t="shared" si="1"/>
        <v/>
      </c>
      <c r="B271" s="20"/>
      <c r="C271" s="20"/>
      <c r="D271" s="21" t="str">
        <f>IF($C271="","",IFERROR(VLOOKUP($C271,Map_Register!$A$2:$C$5,3,FALSE()),""))</f>
        <v/>
      </c>
      <c r="E271" s="20"/>
      <c r="F271" s="20"/>
      <c r="G271" s="20"/>
      <c r="H271" s="20"/>
      <c r="I271" s="20"/>
      <c r="J271" s="20"/>
      <c r="K271" s="24"/>
      <c r="L271" s="20"/>
      <c r="M271" s="20"/>
      <c r="N271" s="20"/>
      <c r="O271" s="20"/>
    </row>
    <row r="272" spans="1:15" x14ac:dyDescent="0.3">
      <c r="A272" s="19" t="str">
        <f t="shared" si="1"/>
        <v/>
      </c>
      <c r="B272" s="20"/>
      <c r="C272" s="20"/>
      <c r="D272" s="21" t="str">
        <f>IF($C272="","",IFERROR(VLOOKUP($C272,Map_Register!$A$2:$C$5,3,FALSE()),""))</f>
        <v/>
      </c>
      <c r="E272" s="20"/>
      <c r="F272" s="20"/>
      <c r="G272" s="20"/>
      <c r="H272" s="20"/>
      <c r="I272" s="20"/>
      <c r="J272" s="20"/>
      <c r="K272" s="24"/>
      <c r="L272" s="20"/>
      <c r="M272" s="20"/>
      <c r="N272" s="20"/>
      <c r="O272" s="20"/>
    </row>
    <row r="273" spans="1:15" x14ac:dyDescent="0.3">
      <c r="A273" s="19" t="str">
        <f t="shared" si="1"/>
        <v/>
      </c>
      <c r="B273" s="20"/>
      <c r="C273" s="20"/>
      <c r="D273" s="21" t="str">
        <f>IF($C273="","",IFERROR(VLOOKUP($C273,Map_Register!$A$2:$C$5,3,FALSE()),""))</f>
        <v/>
      </c>
      <c r="E273" s="20"/>
      <c r="F273" s="20"/>
      <c r="G273" s="20"/>
      <c r="H273" s="20"/>
      <c r="I273" s="20"/>
      <c r="J273" s="20"/>
      <c r="K273" s="24"/>
      <c r="L273" s="20"/>
      <c r="M273" s="20"/>
      <c r="N273" s="20"/>
      <c r="O273" s="20"/>
    </row>
    <row r="274" spans="1:15" x14ac:dyDescent="0.3">
      <c r="A274" s="19" t="str">
        <f t="shared" si="1"/>
        <v/>
      </c>
      <c r="B274" s="20"/>
      <c r="C274" s="20"/>
      <c r="D274" s="21" t="str">
        <f>IF($C274="","",IFERROR(VLOOKUP($C274,Map_Register!$A$2:$C$5,3,FALSE()),""))</f>
        <v/>
      </c>
      <c r="E274" s="20"/>
      <c r="F274" s="20"/>
      <c r="G274" s="20"/>
      <c r="H274" s="20"/>
      <c r="I274" s="20"/>
      <c r="J274" s="20"/>
      <c r="K274" s="24"/>
      <c r="L274" s="20"/>
      <c r="M274" s="20"/>
      <c r="N274" s="20"/>
      <c r="O274" s="20"/>
    </row>
    <row r="275" spans="1:15" x14ac:dyDescent="0.3">
      <c r="A275" s="19" t="str">
        <f t="shared" si="1"/>
        <v/>
      </c>
      <c r="B275" s="20"/>
      <c r="C275" s="20"/>
      <c r="D275" s="21" t="str">
        <f>IF($C275="","",IFERROR(VLOOKUP($C275,Map_Register!$A$2:$C$5,3,FALSE()),""))</f>
        <v/>
      </c>
      <c r="E275" s="20"/>
      <c r="F275" s="20"/>
      <c r="G275" s="20"/>
      <c r="H275" s="20"/>
      <c r="I275" s="20"/>
      <c r="J275" s="20"/>
      <c r="K275" s="24"/>
      <c r="L275" s="20"/>
      <c r="M275" s="20"/>
      <c r="N275" s="20"/>
      <c r="O275" s="20"/>
    </row>
    <row r="276" spans="1:15" x14ac:dyDescent="0.3">
      <c r="A276" s="19" t="str">
        <f t="shared" si="1"/>
        <v/>
      </c>
      <c r="B276" s="20"/>
      <c r="C276" s="20"/>
      <c r="D276" s="21" t="str">
        <f>IF($C276="","",IFERROR(VLOOKUP($C276,Map_Register!$A$2:$C$5,3,FALSE()),""))</f>
        <v/>
      </c>
      <c r="E276" s="20"/>
      <c r="F276" s="20"/>
      <c r="G276" s="20"/>
      <c r="H276" s="20"/>
      <c r="I276" s="20"/>
      <c r="J276" s="20"/>
      <c r="K276" s="24"/>
      <c r="L276" s="20"/>
      <c r="M276" s="20"/>
      <c r="N276" s="20"/>
      <c r="O276" s="20"/>
    </row>
    <row r="277" spans="1:15" x14ac:dyDescent="0.3">
      <c r="A277" s="19" t="str">
        <f t="shared" si="1"/>
        <v/>
      </c>
      <c r="B277" s="20"/>
      <c r="C277" s="20"/>
      <c r="D277" s="21" t="str">
        <f>IF($C277="","",IFERROR(VLOOKUP($C277,Map_Register!$A$2:$C$5,3,FALSE()),""))</f>
        <v/>
      </c>
      <c r="E277" s="20"/>
      <c r="F277" s="20"/>
      <c r="G277" s="20"/>
      <c r="H277" s="20"/>
      <c r="I277" s="20"/>
      <c r="J277" s="20"/>
      <c r="K277" s="24"/>
      <c r="L277" s="20"/>
      <c r="M277" s="20"/>
      <c r="N277" s="20"/>
      <c r="O277" s="20"/>
    </row>
    <row r="278" spans="1:15" x14ac:dyDescent="0.3">
      <c r="A278" s="19" t="str">
        <f t="shared" si="1"/>
        <v/>
      </c>
      <c r="B278" s="20"/>
      <c r="C278" s="20"/>
      <c r="D278" s="21" t="str">
        <f>IF($C278="","",IFERROR(VLOOKUP($C278,Map_Register!$A$2:$C$5,3,FALSE()),""))</f>
        <v/>
      </c>
      <c r="E278" s="20"/>
      <c r="F278" s="20"/>
      <c r="G278" s="20"/>
      <c r="H278" s="20"/>
      <c r="I278" s="20"/>
      <c r="J278" s="20"/>
      <c r="K278" s="24"/>
      <c r="L278" s="20"/>
      <c r="M278" s="20"/>
      <c r="N278" s="20"/>
      <c r="O278" s="20"/>
    </row>
    <row r="279" spans="1:15" x14ac:dyDescent="0.3">
      <c r="A279" s="19" t="str">
        <f t="shared" si="1"/>
        <v/>
      </c>
      <c r="B279" s="20"/>
      <c r="C279" s="20"/>
      <c r="D279" s="21" t="str">
        <f>IF($C279="","",IFERROR(VLOOKUP($C279,Map_Register!$A$2:$C$5,3,FALSE()),""))</f>
        <v/>
      </c>
      <c r="E279" s="20"/>
      <c r="F279" s="20"/>
      <c r="G279" s="20"/>
      <c r="H279" s="20"/>
      <c r="I279" s="20"/>
      <c r="J279" s="20"/>
      <c r="K279" s="24"/>
      <c r="L279" s="20"/>
      <c r="M279" s="20"/>
      <c r="N279" s="20"/>
      <c r="O279" s="20"/>
    </row>
    <row r="280" spans="1:15" x14ac:dyDescent="0.3">
      <c r="A280" s="19" t="str">
        <f t="shared" si="1"/>
        <v/>
      </c>
      <c r="B280" s="20"/>
      <c r="C280" s="20"/>
      <c r="D280" s="21" t="str">
        <f>IF($C280="","",IFERROR(VLOOKUP($C280,Map_Register!$A$2:$C$5,3,FALSE()),""))</f>
        <v/>
      </c>
      <c r="E280" s="20"/>
      <c r="F280" s="20"/>
      <c r="G280" s="20"/>
      <c r="H280" s="20"/>
      <c r="I280" s="20"/>
      <c r="J280" s="20"/>
      <c r="K280" s="24"/>
      <c r="L280" s="20"/>
      <c r="M280" s="20"/>
      <c r="N280" s="20"/>
      <c r="O280" s="20"/>
    </row>
    <row r="281" spans="1:15" x14ac:dyDescent="0.3">
      <c r="A281" s="19" t="str">
        <f t="shared" si="1"/>
        <v/>
      </c>
      <c r="B281" s="20"/>
      <c r="C281" s="20"/>
      <c r="D281" s="21" t="str">
        <f>IF($C281="","",IFERROR(VLOOKUP($C281,Map_Register!$A$2:$C$5,3,FALSE()),""))</f>
        <v/>
      </c>
      <c r="E281" s="20"/>
      <c r="F281" s="20"/>
      <c r="G281" s="20"/>
      <c r="H281" s="20"/>
      <c r="I281" s="20"/>
      <c r="J281" s="20"/>
      <c r="K281" s="24"/>
      <c r="L281" s="20"/>
      <c r="M281" s="20"/>
      <c r="N281" s="20"/>
      <c r="O281" s="20"/>
    </row>
    <row r="282" spans="1:15" x14ac:dyDescent="0.3">
      <c r="A282" s="19" t="str">
        <f t="shared" ref="A282:A345" si="2">IF($B282="","",ROW()-1)</f>
        <v/>
      </c>
      <c r="B282" s="20"/>
      <c r="C282" s="20"/>
      <c r="D282" s="21" t="str">
        <f>IF($C282="","",IFERROR(VLOOKUP($C282,Map_Register!$A$2:$C$5,3,FALSE()),""))</f>
        <v/>
      </c>
      <c r="E282" s="20"/>
      <c r="F282" s="20"/>
      <c r="G282" s="20"/>
      <c r="H282" s="20"/>
      <c r="I282" s="20"/>
      <c r="J282" s="20"/>
      <c r="K282" s="24"/>
      <c r="L282" s="20"/>
      <c r="M282" s="20"/>
      <c r="N282" s="20"/>
      <c r="O282" s="20"/>
    </row>
    <row r="283" spans="1:15" x14ac:dyDescent="0.3">
      <c r="A283" s="19" t="str">
        <f t="shared" si="2"/>
        <v/>
      </c>
      <c r="B283" s="20"/>
      <c r="C283" s="20"/>
      <c r="D283" s="21" t="str">
        <f>IF($C283="","",IFERROR(VLOOKUP($C283,Map_Register!$A$2:$C$5,3,FALSE()),""))</f>
        <v/>
      </c>
      <c r="E283" s="20"/>
      <c r="F283" s="20"/>
      <c r="G283" s="20"/>
      <c r="H283" s="20"/>
      <c r="I283" s="20"/>
      <c r="J283" s="20"/>
      <c r="K283" s="24"/>
      <c r="L283" s="20"/>
      <c r="M283" s="20"/>
      <c r="N283" s="20"/>
      <c r="O283" s="20"/>
    </row>
    <row r="284" spans="1:15" x14ac:dyDescent="0.3">
      <c r="A284" s="19" t="str">
        <f t="shared" si="2"/>
        <v/>
      </c>
      <c r="B284" s="20"/>
      <c r="C284" s="20"/>
      <c r="D284" s="21" t="str">
        <f>IF($C284="","",IFERROR(VLOOKUP($C284,Map_Register!$A$2:$C$5,3,FALSE()),""))</f>
        <v/>
      </c>
      <c r="E284" s="20"/>
      <c r="F284" s="20"/>
      <c r="G284" s="20"/>
      <c r="H284" s="20"/>
      <c r="I284" s="20"/>
      <c r="J284" s="20"/>
      <c r="K284" s="24"/>
      <c r="L284" s="20"/>
      <c r="M284" s="20"/>
      <c r="N284" s="20"/>
      <c r="O284" s="20"/>
    </row>
    <row r="285" spans="1:15" x14ac:dyDescent="0.3">
      <c r="A285" s="19" t="str">
        <f t="shared" si="2"/>
        <v/>
      </c>
      <c r="B285" s="20"/>
      <c r="C285" s="20"/>
      <c r="D285" s="21" t="str">
        <f>IF($C285="","",IFERROR(VLOOKUP($C285,Map_Register!$A$2:$C$5,3,FALSE()),""))</f>
        <v/>
      </c>
      <c r="E285" s="20"/>
      <c r="F285" s="20"/>
      <c r="G285" s="20"/>
      <c r="H285" s="20"/>
      <c r="I285" s="20"/>
      <c r="J285" s="20"/>
      <c r="K285" s="24"/>
      <c r="L285" s="20"/>
      <c r="M285" s="20"/>
      <c r="N285" s="20"/>
      <c r="O285" s="20"/>
    </row>
    <row r="286" spans="1:15" x14ac:dyDescent="0.3">
      <c r="A286" s="19" t="str">
        <f t="shared" si="2"/>
        <v/>
      </c>
      <c r="B286" s="20"/>
      <c r="C286" s="20"/>
      <c r="D286" s="21" t="str">
        <f>IF($C286="","",IFERROR(VLOOKUP($C286,Map_Register!$A$2:$C$5,3,FALSE()),""))</f>
        <v/>
      </c>
      <c r="E286" s="20"/>
      <c r="F286" s="20"/>
      <c r="G286" s="20"/>
      <c r="H286" s="20"/>
      <c r="I286" s="20"/>
      <c r="J286" s="20"/>
      <c r="K286" s="24"/>
      <c r="L286" s="20"/>
      <c r="M286" s="20"/>
      <c r="N286" s="20"/>
      <c r="O286" s="20"/>
    </row>
    <row r="287" spans="1:15" x14ac:dyDescent="0.3">
      <c r="A287" s="19" t="str">
        <f t="shared" si="2"/>
        <v/>
      </c>
      <c r="B287" s="20"/>
      <c r="C287" s="20"/>
      <c r="D287" s="21" t="str">
        <f>IF($C287="","",IFERROR(VLOOKUP($C287,Map_Register!$A$2:$C$5,3,FALSE()),""))</f>
        <v/>
      </c>
      <c r="E287" s="20"/>
      <c r="F287" s="20"/>
      <c r="G287" s="20"/>
      <c r="H287" s="20"/>
      <c r="I287" s="20"/>
      <c r="J287" s="20"/>
      <c r="K287" s="24"/>
      <c r="L287" s="20"/>
      <c r="M287" s="20"/>
      <c r="N287" s="20"/>
      <c r="O287" s="20"/>
    </row>
    <row r="288" spans="1:15" x14ac:dyDescent="0.3">
      <c r="A288" s="19" t="str">
        <f t="shared" si="2"/>
        <v/>
      </c>
      <c r="B288" s="20"/>
      <c r="C288" s="20"/>
      <c r="D288" s="21" t="str">
        <f>IF($C288="","",IFERROR(VLOOKUP($C288,Map_Register!$A$2:$C$5,3,FALSE()),""))</f>
        <v/>
      </c>
      <c r="E288" s="20"/>
      <c r="F288" s="20"/>
      <c r="G288" s="20"/>
      <c r="H288" s="20"/>
      <c r="I288" s="20"/>
      <c r="J288" s="20"/>
      <c r="K288" s="24"/>
      <c r="L288" s="20"/>
      <c r="M288" s="20"/>
      <c r="N288" s="20"/>
      <c r="O288" s="20"/>
    </row>
    <row r="289" spans="1:15" x14ac:dyDescent="0.3">
      <c r="A289" s="19" t="str">
        <f t="shared" si="2"/>
        <v/>
      </c>
      <c r="B289" s="20"/>
      <c r="C289" s="20"/>
      <c r="D289" s="21" t="str">
        <f>IF($C289="","",IFERROR(VLOOKUP($C289,Map_Register!$A$2:$C$5,3,FALSE()),""))</f>
        <v/>
      </c>
      <c r="E289" s="20"/>
      <c r="F289" s="20"/>
      <c r="G289" s="20"/>
      <c r="H289" s="20"/>
      <c r="I289" s="20"/>
      <c r="J289" s="20"/>
      <c r="K289" s="24"/>
      <c r="L289" s="20"/>
      <c r="M289" s="20"/>
      <c r="N289" s="20"/>
      <c r="O289" s="20"/>
    </row>
    <row r="290" spans="1:15" x14ac:dyDescent="0.3">
      <c r="A290" s="19" t="str">
        <f t="shared" si="2"/>
        <v/>
      </c>
      <c r="B290" s="20"/>
      <c r="C290" s="20"/>
      <c r="D290" s="21" t="str">
        <f>IF($C290="","",IFERROR(VLOOKUP($C290,Map_Register!$A$2:$C$5,3,FALSE()),""))</f>
        <v/>
      </c>
      <c r="E290" s="20"/>
      <c r="F290" s="20"/>
      <c r="G290" s="20"/>
      <c r="H290" s="20"/>
      <c r="I290" s="20"/>
      <c r="J290" s="20"/>
      <c r="K290" s="24"/>
      <c r="L290" s="20"/>
      <c r="M290" s="20"/>
      <c r="N290" s="20"/>
      <c r="O290" s="20"/>
    </row>
    <row r="291" spans="1:15" x14ac:dyDescent="0.3">
      <c r="A291" s="19" t="str">
        <f t="shared" si="2"/>
        <v/>
      </c>
      <c r="B291" s="20"/>
      <c r="C291" s="20"/>
      <c r="D291" s="21" t="str">
        <f>IF($C291="","",IFERROR(VLOOKUP($C291,Map_Register!$A$2:$C$5,3,FALSE()),""))</f>
        <v/>
      </c>
      <c r="E291" s="20"/>
      <c r="F291" s="20"/>
      <c r="G291" s="20"/>
      <c r="H291" s="20"/>
      <c r="I291" s="20"/>
      <c r="J291" s="20"/>
      <c r="K291" s="24"/>
      <c r="L291" s="20"/>
      <c r="M291" s="20"/>
      <c r="N291" s="20"/>
      <c r="O291" s="20"/>
    </row>
    <row r="292" spans="1:15" x14ac:dyDescent="0.3">
      <c r="A292" s="19" t="str">
        <f t="shared" si="2"/>
        <v/>
      </c>
      <c r="B292" s="20"/>
      <c r="C292" s="20"/>
      <c r="D292" s="21" t="str">
        <f>IF($C292="","",IFERROR(VLOOKUP($C292,Map_Register!$A$2:$C$5,3,FALSE()),""))</f>
        <v/>
      </c>
      <c r="E292" s="20"/>
      <c r="F292" s="20"/>
      <c r="G292" s="20"/>
      <c r="H292" s="20"/>
      <c r="I292" s="20"/>
      <c r="J292" s="20"/>
      <c r="K292" s="24"/>
      <c r="L292" s="20"/>
      <c r="M292" s="20"/>
      <c r="N292" s="20"/>
      <c r="O292" s="20"/>
    </row>
    <row r="293" spans="1:15" x14ac:dyDescent="0.3">
      <c r="A293" s="19" t="str">
        <f t="shared" si="2"/>
        <v/>
      </c>
      <c r="B293" s="20"/>
      <c r="C293" s="20"/>
      <c r="D293" s="21" t="str">
        <f>IF($C293="","",IFERROR(VLOOKUP($C293,Map_Register!$A$2:$C$5,3,FALSE()),""))</f>
        <v/>
      </c>
      <c r="E293" s="20"/>
      <c r="F293" s="20"/>
      <c r="G293" s="20"/>
      <c r="H293" s="20"/>
      <c r="I293" s="20"/>
      <c r="J293" s="20"/>
      <c r="K293" s="24"/>
      <c r="L293" s="20"/>
      <c r="M293" s="20"/>
      <c r="N293" s="20"/>
      <c r="O293" s="20"/>
    </row>
    <row r="294" spans="1:15" x14ac:dyDescent="0.3">
      <c r="A294" s="19" t="str">
        <f t="shared" si="2"/>
        <v/>
      </c>
      <c r="B294" s="20"/>
      <c r="C294" s="20"/>
      <c r="D294" s="21" t="str">
        <f>IF($C294="","",IFERROR(VLOOKUP($C294,Map_Register!$A$2:$C$5,3,FALSE()),""))</f>
        <v/>
      </c>
      <c r="E294" s="20"/>
      <c r="F294" s="20"/>
      <c r="G294" s="20"/>
      <c r="H294" s="20"/>
      <c r="I294" s="20"/>
      <c r="J294" s="20"/>
      <c r="K294" s="24"/>
      <c r="L294" s="20"/>
      <c r="M294" s="20"/>
      <c r="N294" s="20"/>
      <c r="O294" s="20"/>
    </row>
    <row r="295" spans="1:15" x14ac:dyDescent="0.3">
      <c r="A295" s="19" t="str">
        <f t="shared" si="2"/>
        <v/>
      </c>
      <c r="B295" s="20"/>
      <c r="C295" s="20"/>
      <c r="D295" s="21" t="str">
        <f>IF($C295="","",IFERROR(VLOOKUP($C295,Map_Register!$A$2:$C$5,3,FALSE()),""))</f>
        <v/>
      </c>
      <c r="E295" s="20"/>
      <c r="F295" s="20"/>
      <c r="G295" s="20"/>
      <c r="H295" s="20"/>
      <c r="I295" s="20"/>
      <c r="J295" s="20"/>
      <c r="K295" s="24"/>
      <c r="L295" s="20"/>
      <c r="M295" s="20"/>
      <c r="N295" s="20"/>
      <c r="O295" s="20"/>
    </row>
    <row r="296" spans="1:15" x14ac:dyDescent="0.3">
      <c r="A296" s="19" t="str">
        <f t="shared" si="2"/>
        <v/>
      </c>
      <c r="B296" s="20"/>
      <c r="C296" s="20"/>
      <c r="D296" s="21" t="str">
        <f>IF($C296="","",IFERROR(VLOOKUP($C296,Map_Register!$A$2:$C$5,3,FALSE()),""))</f>
        <v/>
      </c>
      <c r="E296" s="20"/>
      <c r="F296" s="20"/>
      <c r="G296" s="20"/>
      <c r="H296" s="20"/>
      <c r="I296" s="20"/>
      <c r="J296" s="20"/>
      <c r="K296" s="24"/>
      <c r="L296" s="20"/>
      <c r="M296" s="20"/>
      <c r="N296" s="20"/>
      <c r="O296" s="20"/>
    </row>
    <row r="297" spans="1:15" x14ac:dyDescent="0.3">
      <c r="A297" s="19" t="str">
        <f t="shared" si="2"/>
        <v/>
      </c>
      <c r="B297" s="20"/>
      <c r="C297" s="20"/>
      <c r="D297" s="21" t="str">
        <f>IF($C297="","",IFERROR(VLOOKUP($C297,Map_Register!$A$2:$C$5,3,FALSE()),""))</f>
        <v/>
      </c>
      <c r="E297" s="20"/>
      <c r="F297" s="20"/>
      <c r="G297" s="20"/>
      <c r="H297" s="20"/>
      <c r="I297" s="20"/>
      <c r="J297" s="20"/>
      <c r="K297" s="24"/>
      <c r="L297" s="20"/>
      <c r="M297" s="20"/>
      <c r="N297" s="20"/>
      <c r="O297" s="20"/>
    </row>
    <row r="298" spans="1:15" x14ac:dyDescent="0.3">
      <c r="A298" s="19" t="str">
        <f t="shared" si="2"/>
        <v/>
      </c>
      <c r="B298" s="20"/>
      <c r="C298" s="20"/>
      <c r="D298" s="21" t="str">
        <f>IF($C298="","",IFERROR(VLOOKUP($C298,Map_Register!$A$2:$C$5,3,FALSE()),""))</f>
        <v/>
      </c>
      <c r="E298" s="20"/>
      <c r="F298" s="20"/>
      <c r="G298" s="20"/>
      <c r="H298" s="20"/>
      <c r="I298" s="20"/>
      <c r="J298" s="20"/>
      <c r="K298" s="24"/>
      <c r="L298" s="20"/>
      <c r="M298" s="20"/>
      <c r="N298" s="20"/>
      <c r="O298" s="20"/>
    </row>
    <row r="299" spans="1:15" x14ac:dyDescent="0.3">
      <c r="A299" s="19" t="str">
        <f t="shared" si="2"/>
        <v/>
      </c>
      <c r="B299" s="20"/>
      <c r="C299" s="20"/>
      <c r="D299" s="21" t="str">
        <f>IF($C299="","",IFERROR(VLOOKUP($C299,Map_Register!$A$2:$C$5,3,FALSE()),""))</f>
        <v/>
      </c>
      <c r="E299" s="20"/>
      <c r="F299" s="20"/>
      <c r="G299" s="20"/>
      <c r="H299" s="20"/>
      <c r="I299" s="20"/>
      <c r="J299" s="20"/>
      <c r="K299" s="24"/>
      <c r="L299" s="20"/>
      <c r="M299" s="20"/>
      <c r="N299" s="20"/>
      <c r="O299" s="20"/>
    </row>
    <row r="300" spans="1:15" x14ac:dyDescent="0.3">
      <c r="A300" s="19" t="str">
        <f t="shared" si="2"/>
        <v/>
      </c>
      <c r="B300" s="20"/>
      <c r="C300" s="20"/>
      <c r="D300" s="21" t="str">
        <f>IF($C300="","",IFERROR(VLOOKUP($C300,Map_Register!$A$2:$C$5,3,FALSE()),""))</f>
        <v/>
      </c>
      <c r="E300" s="20"/>
      <c r="F300" s="20"/>
      <c r="G300" s="20"/>
      <c r="H300" s="20"/>
      <c r="I300" s="20"/>
      <c r="J300" s="20"/>
      <c r="K300" s="24"/>
      <c r="L300" s="20"/>
      <c r="M300" s="20"/>
      <c r="N300" s="20"/>
      <c r="O300" s="20"/>
    </row>
    <row r="301" spans="1:15" x14ac:dyDescent="0.3">
      <c r="A301" s="19" t="str">
        <f t="shared" si="2"/>
        <v/>
      </c>
      <c r="B301" s="20"/>
      <c r="C301" s="20"/>
      <c r="D301" s="21" t="str">
        <f>IF($C301="","",IFERROR(VLOOKUP($C301,Map_Register!$A$2:$C$5,3,FALSE()),""))</f>
        <v/>
      </c>
      <c r="E301" s="20"/>
      <c r="F301" s="20"/>
      <c r="G301" s="20"/>
      <c r="H301" s="20"/>
      <c r="I301" s="20"/>
      <c r="J301" s="20"/>
      <c r="K301" s="24"/>
      <c r="L301" s="20"/>
      <c r="M301" s="20"/>
      <c r="N301" s="20"/>
      <c r="O301" s="20"/>
    </row>
    <row r="302" spans="1:15" x14ac:dyDescent="0.3">
      <c r="A302" s="19" t="str">
        <f t="shared" si="2"/>
        <v/>
      </c>
      <c r="B302" s="20"/>
      <c r="C302" s="20"/>
      <c r="D302" s="21" t="str">
        <f>IF($C302="","",IFERROR(VLOOKUP($C302,Map_Register!$A$2:$C$5,3,FALSE()),""))</f>
        <v/>
      </c>
      <c r="E302" s="20"/>
      <c r="F302" s="20"/>
      <c r="G302" s="20"/>
      <c r="H302" s="20"/>
      <c r="I302" s="20"/>
      <c r="J302" s="20"/>
      <c r="K302" s="24"/>
      <c r="L302" s="20"/>
      <c r="M302" s="20"/>
      <c r="N302" s="20"/>
      <c r="O302" s="20"/>
    </row>
    <row r="303" spans="1:15" x14ac:dyDescent="0.3">
      <c r="A303" s="19" t="str">
        <f t="shared" si="2"/>
        <v/>
      </c>
      <c r="B303" s="20"/>
      <c r="C303" s="20"/>
      <c r="D303" s="21" t="str">
        <f>IF($C303="","",IFERROR(VLOOKUP($C303,Map_Register!$A$2:$C$5,3,FALSE()),""))</f>
        <v/>
      </c>
      <c r="E303" s="20"/>
      <c r="F303" s="20"/>
      <c r="G303" s="20"/>
      <c r="H303" s="20"/>
      <c r="I303" s="20"/>
      <c r="J303" s="20"/>
      <c r="K303" s="24"/>
      <c r="L303" s="20"/>
      <c r="M303" s="20"/>
      <c r="N303" s="20"/>
      <c r="O303" s="20"/>
    </row>
    <row r="304" spans="1:15" x14ac:dyDescent="0.3">
      <c r="A304" s="19" t="str">
        <f t="shared" si="2"/>
        <v/>
      </c>
      <c r="B304" s="20"/>
      <c r="C304" s="20"/>
      <c r="D304" s="21" t="str">
        <f>IF($C304="","",IFERROR(VLOOKUP($C304,Map_Register!$A$2:$C$5,3,FALSE()),""))</f>
        <v/>
      </c>
      <c r="E304" s="20"/>
      <c r="F304" s="20"/>
      <c r="G304" s="20"/>
      <c r="H304" s="20"/>
      <c r="I304" s="20"/>
      <c r="J304" s="20"/>
      <c r="K304" s="24"/>
      <c r="L304" s="20"/>
      <c r="M304" s="20"/>
      <c r="N304" s="20"/>
      <c r="O304" s="20"/>
    </row>
    <row r="305" spans="1:15" x14ac:dyDescent="0.3">
      <c r="A305" s="19" t="str">
        <f t="shared" si="2"/>
        <v/>
      </c>
      <c r="B305" s="20"/>
      <c r="C305" s="20"/>
      <c r="D305" s="21" t="str">
        <f>IF($C305="","",IFERROR(VLOOKUP($C305,Map_Register!$A$2:$C$5,3,FALSE()),""))</f>
        <v/>
      </c>
      <c r="E305" s="20"/>
      <c r="F305" s="20"/>
      <c r="G305" s="20"/>
      <c r="H305" s="20"/>
      <c r="I305" s="20"/>
      <c r="J305" s="20"/>
      <c r="K305" s="24"/>
      <c r="L305" s="20"/>
      <c r="M305" s="20"/>
      <c r="N305" s="20"/>
      <c r="O305" s="20"/>
    </row>
    <row r="306" spans="1:15" x14ac:dyDescent="0.3">
      <c r="A306" s="19" t="str">
        <f t="shared" si="2"/>
        <v/>
      </c>
      <c r="B306" s="20"/>
      <c r="C306" s="20"/>
      <c r="D306" s="21" t="str">
        <f>IF($C306="","",IFERROR(VLOOKUP($C306,Map_Register!$A$2:$C$5,3,FALSE()),""))</f>
        <v/>
      </c>
      <c r="E306" s="20"/>
      <c r="F306" s="20"/>
      <c r="G306" s="20"/>
      <c r="H306" s="20"/>
      <c r="I306" s="20"/>
      <c r="J306" s="20"/>
      <c r="K306" s="24"/>
      <c r="L306" s="20"/>
      <c r="M306" s="20"/>
      <c r="N306" s="20"/>
      <c r="O306" s="20"/>
    </row>
    <row r="307" spans="1:15" x14ac:dyDescent="0.3">
      <c r="A307" s="19" t="str">
        <f t="shared" si="2"/>
        <v/>
      </c>
      <c r="B307" s="20"/>
      <c r="C307" s="20"/>
      <c r="D307" s="21" t="str">
        <f>IF($C307="","",IFERROR(VLOOKUP($C307,Map_Register!$A$2:$C$5,3,FALSE()),""))</f>
        <v/>
      </c>
      <c r="E307" s="20"/>
      <c r="F307" s="20"/>
      <c r="G307" s="20"/>
      <c r="H307" s="20"/>
      <c r="I307" s="20"/>
      <c r="J307" s="20"/>
      <c r="K307" s="24"/>
      <c r="L307" s="20"/>
      <c r="M307" s="20"/>
      <c r="N307" s="20"/>
      <c r="O307" s="20"/>
    </row>
    <row r="308" spans="1:15" x14ac:dyDescent="0.3">
      <c r="A308" s="19" t="str">
        <f t="shared" si="2"/>
        <v/>
      </c>
      <c r="B308" s="20"/>
      <c r="C308" s="20"/>
      <c r="D308" s="21" t="str">
        <f>IF($C308="","",IFERROR(VLOOKUP($C308,Map_Register!$A$2:$C$5,3,FALSE()),""))</f>
        <v/>
      </c>
      <c r="E308" s="20"/>
      <c r="F308" s="20"/>
      <c r="G308" s="20"/>
      <c r="H308" s="20"/>
      <c r="I308" s="20"/>
      <c r="J308" s="20"/>
      <c r="K308" s="24"/>
      <c r="L308" s="20"/>
      <c r="M308" s="20"/>
      <c r="N308" s="20"/>
      <c r="O308" s="20"/>
    </row>
    <row r="309" spans="1:15" x14ac:dyDescent="0.3">
      <c r="A309" s="19" t="str">
        <f t="shared" si="2"/>
        <v/>
      </c>
      <c r="B309" s="20"/>
      <c r="C309" s="20"/>
      <c r="D309" s="21" t="str">
        <f>IF($C309="","",IFERROR(VLOOKUP($C309,Map_Register!$A$2:$C$5,3,FALSE()),""))</f>
        <v/>
      </c>
      <c r="E309" s="20"/>
      <c r="F309" s="20"/>
      <c r="G309" s="20"/>
      <c r="H309" s="20"/>
      <c r="I309" s="20"/>
      <c r="J309" s="20"/>
      <c r="K309" s="24"/>
      <c r="L309" s="20"/>
      <c r="M309" s="20"/>
      <c r="N309" s="20"/>
      <c r="O309" s="20"/>
    </row>
    <row r="310" spans="1:15" x14ac:dyDescent="0.3">
      <c r="A310" s="19" t="str">
        <f t="shared" si="2"/>
        <v/>
      </c>
      <c r="B310" s="20"/>
      <c r="C310" s="20"/>
      <c r="D310" s="21" t="str">
        <f>IF($C310="","",IFERROR(VLOOKUP($C310,Map_Register!$A$2:$C$5,3,FALSE()),""))</f>
        <v/>
      </c>
      <c r="E310" s="20"/>
      <c r="F310" s="20"/>
      <c r="G310" s="20"/>
      <c r="H310" s="20"/>
      <c r="I310" s="20"/>
      <c r="J310" s="20"/>
      <c r="K310" s="24"/>
      <c r="L310" s="20"/>
      <c r="M310" s="20"/>
      <c r="N310" s="20"/>
      <c r="O310" s="20"/>
    </row>
    <row r="311" spans="1:15" x14ac:dyDescent="0.3">
      <c r="A311" s="19" t="str">
        <f t="shared" si="2"/>
        <v/>
      </c>
      <c r="B311" s="20"/>
      <c r="C311" s="20"/>
      <c r="D311" s="21" t="str">
        <f>IF($C311="","",IFERROR(VLOOKUP($C311,Map_Register!$A$2:$C$5,3,FALSE()),""))</f>
        <v/>
      </c>
      <c r="E311" s="20"/>
      <c r="F311" s="20"/>
      <c r="G311" s="20"/>
      <c r="H311" s="20"/>
      <c r="I311" s="20"/>
      <c r="J311" s="20"/>
      <c r="K311" s="24"/>
      <c r="L311" s="20"/>
      <c r="M311" s="20"/>
      <c r="N311" s="20"/>
      <c r="O311" s="20"/>
    </row>
    <row r="312" spans="1:15" x14ac:dyDescent="0.3">
      <c r="A312" s="19" t="str">
        <f t="shared" si="2"/>
        <v/>
      </c>
      <c r="B312" s="20"/>
      <c r="C312" s="20"/>
      <c r="D312" s="21" t="str">
        <f>IF($C312="","",IFERROR(VLOOKUP($C312,Map_Register!$A$2:$C$5,3,FALSE()),""))</f>
        <v/>
      </c>
      <c r="E312" s="20"/>
      <c r="F312" s="20"/>
      <c r="G312" s="20"/>
      <c r="H312" s="20"/>
      <c r="I312" s="20"/>
      <c r="J312" s="20"/>
      <c r="K312" s="24"/>
      <c r="L312" s="20"/>
      <c r="M312" s="20"/>
      <c r="N312" s="20"/>
      <c r="O312" s="20"/>
    </row>
    <row r="313" spans="1:15" x14ac:dyDescent="0.3">
      <c r="A313" s="19" t="str">
        <f t="shared" si="2"/>
        <v/>
      </c>
      <c r="B313" s="20"/>
      <c r="C313" s="20"/>
      <c r="D313" s="21" t="str">
        <f>IF($C313="","",IFERROR(VLOOKUP($C313,Map_Register!$A$2:$C$5,3,FALSE()),""))</f>
        <v/>
      </c>
      <c r="E313" s="20"/>
      <c r="F313" s="20"/>
      <c r="G313" s="20"/>
      <c r="H313" s="20"/>
      <c r="I313" s="20"/>
      <c r="J313" s="20"/>
      <c r="K313" s="24"/>
      <c r="L313" s="20"/>
      <c r="M313" s="20"/>
      <c r="N313" s="20"/>
      <c r="O313" s="20"/>
    </row>
    <row r="314" spans="1:15" x14ac:dyDescent="0.3">
      <c r="A314" s="19" t="str">
        <f t="shared" si="2"/>
        <v/>
      </c>
      <c r="B314" s="20"/>
      <c r="C314" s="20"/>
      <c r="D314" s="21" t="str">
        <f>IF($C314="","",IFERROR(VLOOKUP($C314,Map_Register!$A$2:$C$5,3,FALSE()),""))</f>
        <v/>
      </c>
      <c r="E314" s="20"/>
      <c r="F314" s="20"/>
      <c r="G314" s="20"/>
      <c r="H314" s="20"/>
      <c r="I314" s="20"/>
      <c r="J314" s="20"/>
      <c r="K314" s="24"/>
      <c r="L314" s="20"/>
      <c r="M314" s="20"/>
      <c r="N314" s="20"/>
      <c r="O314" s="20"/>
    </row>
    <row r="315" spans="1:15" x14ac:dyDescent="0.3">
      <c r="A315" s="19" t="str">
        <f t="shared" si="2"/>
        <v/>
      </c>
      <c r="B315" s="20"/>
      <c r="C315" s="20"/>
      <c r="D315" s="21" t="str">
        <f>IF($C315="","",IFERROR(VLOOKUP($C315,Map_Register!$A$2:$C$5,3,FALSE()),""))</f>
        <v/>
      </c>
      <c r="E315" s="20"/>
      <c r="F315" s="20"/>
      <c r="G315" s="20"/>
      <c r="H315" s="20"/>
      <c r="I315" s="20"/>
      <c r="J315" s="20"/>
      <c r="K315" s="24"/>
      <c r="L315" s="20"/>
      <c r="M315" s="20"/>
      <c r="N315" s="20"/>
      <c r="O315" s="20"/>
    </row>
    <row r="316" spans="1:15" x14ac:dyDescent="0.3">
      <c r="A316" s="19" t="str">
        <f t="shared" si="2"/>
        <v/>
      </c>
      <c r="B316" s="20"/>
      <c r="C316" s="20"/>
      <c r="D316" s="21" t="str">
        <f>IF($C316="","",IFERROR(VLOOKUP($C316,Map_Register!$A$2:$C$5,3,FALSE()),""))</f>
        <v/>
      </c>
      <c r="E316" s="20"/>
      <c r="F316" s="20"/>
      <c r="G316" s="20"/>
      <c r="H316" s="20"/>
      <c r="I316" s="20"/>
      <c r="J316" s="20"/>
      <c r="K316" s="24"/>
      <c r="L316" s="20"/>
      <c r="M316" s="20"/>
      <c r="N316" s="20"/>
      <c r="O316" s="20"/>
    </row>
    <row r="317" spans="1:15" x14ac:dyDescent="0.3">
      <c r="A317" s="19" t="str">
        <f t="shared" si="2"/>
        <v/>
      </c>
      <c r="B317" s="20"/>
      <c r="C317" s="20"/>
      <c r="D317" s="21" t="str">
        <f>IF($C317="","",IFERROR(VLOOKUP($C317,Map_Register!$A$2:$C$5,3,FALSE()),""))</f>
        <v/>
      </c>
      <c r="E317" s="20"/>
      <c r="F317" s="20"/>
      <c r="G317" s="20"/>
      <c r="H317" s="20"/>
      <c r="I317" s="20"/>
      <c r="J317" s="20"/>
      <c r="K317" s="24"/>
      <c r="L317" s="20"/>
      <c r="M317" s="20"/>
      <c r="N317" s="20"/>
      <c r="O317" s="20"/>
    </row>
    <row r="318" spans="1:15" x14ac:dyDescent="0.3">
      <c r="A318" s="19" t="str">
        <f t="shared" si="2"/>
        <v/>
      </c>
      <c r="B318" s="20"/>
      <c r="C318" s="20"/>
      <c r="D318" s="21" t="str">
        <f>IF($C318="","",IFERROR(VLOOKUP($C318,Map_Register!$A$2:$C$5,3,FALSE()),""))</f>
        <v/>
      </c>
      <c r="E318" s="20"/>
      <c r="F318" s="20"/>
      <c r="G318" s="20"/>
      <c r="H318" s="20"/>
      <c r="I318" s="20"/>
      <c r="J318" s="20"/>
      <c r="K318" s="24"/>
      <c r="L318" s="20"/>
      <c r="M318" s="20"/>
      <c r="N318" s="20"/>
      <c r="O318" s="20"/>
    </row>
    <row r="319" spans="1:15" x14ac:dyDescent="0.3">
      <c r="A319" s="19" t="str">
        <f t="shared" si="2"/>
        <v/>
      </c>
      <c r="B319" s="20"/>
      <c r="C319" s="20"/>
      <c r="D319" s="21" t="str">
        <f>IF($C319="","",IFERROR(VLOOKUP($C319,Map_Register!$A$2:$C$5,3,FALSE()),""))</f>
        <v/>
      </c>
      <c r="E319" s="20"/>
      <c r="F319" s="20"/>
      <c r="G319" s="20"/>
      <c r="H319" s="20"/>
      <c r="I319" s="20"/>
      <c r="J319" s="20"/>
      <c r="K319" s="24"/>
      <c r="L319" s="20"/>
      <c r="M319" s="20"/>
      <c r="N319" s="20"/>
      <c r="O319" s="20"/>
    </row>
    <row r="320" spans="1:15" x14ac:dyDescent="0.3">
      <c r="A320" s="19" t="str">
        <f t="shared" si="2"/>
        <v/>
      </c>
      <c r="B320" s="20"/>
      <c r="C320" s="20"/>
      <c r="D320" s="21" t="str">
        <f>IF($C320="","",IFERROR(VLOOKUP($C320,Map_Register!$A$2:$C$5,3,FALSE()),""))</f>
        <v/>
      </c>
      <c r="E320" s="20"/>
      <c r="F320" s="20"/>
      <c r="G320" s="20"/>
      <c r="H320" s="20"/>
      <c r="I320" s="20"/>
      <c r="J320" s="20"/>
      <c r="K320" s="24"/>
      <c r="L320" s="20"/>
      <c r="M320" s="20"/>
      <c r="N320" s="20"/>
      <c r="O320" s="20"/>
    </row>
    <row r="321" spans="1:15" x14ac:dyDescent="0.3">
      <c r="A321" s="19" t="str">
        <f t="shared" si="2"/>
        <v/>
      </c>
      <c r="B321" s="20"/>
      <c r="C321" s="20"/>
      <c r="D321" s="21" t="str">
        <f>IF($C321="","",IFERROR(VLOOKUP($C321,Map_Register!$A$2:$C$5,3,FALSE()),""))</f>
        <v/>
      </c>
      <c r="E321" s="20"/>
      <c r="F321" s="20"/>
      <c r="G321" s="20"/>
      <c r="H321" s="20"/>
      <c r="I321" s="20"/>
      <c r="J321" s="20"/>
      <c r="K321" s="24"/>
      <c r="L321" s="20"/>
      <c r="M321" s="20"/>
      <c r="N321" s="20"/>
      <c r="O321" s="20"/>
    </row>
    <row r="322" spans="1:15" x14ac:dyDescent="0.3">
      <c r="A322" s="19" t="str">
        <f t="shared" si="2"/>
        <v/>
      </c>
      <c r="B322" s="20"/>
      <c r="C322" s="20"/>
      <c r="D322" s="21" t="str">
        <f>IF($C322="","",IFERROR(VLOOKUP($C322,Map_Register!$A$2:$C$5,3,FALSE()),""))</f>
        <v/>
      </c>
      <c r="E322" s="20"/>
      <c r="F322" s="20"/>
      <c r="G322" s="20"/>
      <c r="H322" s="20"/>
      <c r="I322" s="20"/>
      <c r="J322" s="20"/>
      <c r="K322" s="24"/>
      <c r="L322" s="20"/>
      <c r="M322" s="20"/>
      <c r="N322" s="20"/>
      <c r="O322" s="20"/>
    </row>
    <row r="323" spans="1:15" x14ac:dyDescent="0.3">
      <c r="A323" s="19" t="str">
        <f t="shared" si="2"/>
        <v/>
      </c>
      <c r="B323" s="20"/>
      <c r="C323" s="20"/>
      <c r="D323" s="21" t="str">
        <f>IF($C323="","",IFERROR(VLOOKUP($C323,Map_Register!$A$2:$C$5,3,FALSE()),""))</f>
        <v/>
      </c>
      <c r="E323" s="20"/>
      <c r="F323" s="20"/>
      <c r="G323" s="20"/>
      <c r="H323" s="20"/>
      <c r="I323" s="20"/>
      <c r="J323" s="20"/>
      <c r="K323" s="24"/>
      <c r="L323" s="20"/>
      <c r="M323" s="20"/>
      <c r="N323" s="20"/>
      <c r="O323" s="20"/>
    </row>
    <row r="324" spans="1:15" x14ac:dyDescent="0.3">
      <c r="A324" s="19" t="str">
        <f t="shared" si="2"/>
        <v/>
      </c>
      <c r="B324" s="20"/>
      <c r="C324" s="20"/>
      <c r="D324" s="21" t="str">
        <f>IF($C324="","",IFERROR(VLOOKUP($C324,Map_Register!$A$2:$C$5,3,FALSE()),""))</f>
        <v/>
      </c>
      <c r="E324" s="20"/>
      <c r="F324" s="20"/>
      <c r="G324" s="20"/>
      <c r="H324" s="20"/>
      <c r="I324" s="20"/>
      <c r="J324" s="20"/>
      <c r="K324" s="24"/>
      <c r="L324" s="20"/>
      <c r="M324" s="20"/>
      <c r="N324" s="20"/>
      <c r="O324" s="20"/>
    </row>
    <row r="325" spans="1:15" x14ac:dyDescent="0.3">
      <c r="A325" s="19" t="str">
        <f t="shared" si="2"/>
        <v/>
      </c>
      <c r="B325" s="20"/>
      <c r="C325" s="20"/>
      <c r="D325" s="21" t="str">
        <f>IF($C325="","",IFERROR(VLOOKUP($C325,Map_Register!$A$2:$C$5,3,FALSE()),""))</f>
        <v/>
      </c>
      <c r="E325" s="20"/>
      <c r="F325" s="20"/>
      <c r="G325" s="20"/>
      <c r="H325" s="20"/>
      <c r="I325" s="20"/>
      <c r="J325" s="20"/>
      <c r="K325" s="24"/>
      <c r="L325" s="20"/>
      <c r="M325" s="20"/>
      <c r="N325" s="20"/>
      <c r="O325" s="20"/>
    </row>
    <row r="326" spans="1:15" x14ac:dyDescent="0.3">
      <c r="A326" s="19" t="str">
        <f t="shared" si="2"/>
        <v/>
      </c>
      <c r="B326" s="20"/>
      <c r="C326" s="20"/>
      <c r="D326" s="21" t="str">
        <f>IF($C326="","",IFERROR(VLOOKUP($C326,Map_Register!$A$2:$C$5,3,FALSE()),""))</f>
        <v/>
      </c>
      <c r="E326" s="20"/>
      <c r="F326" s="20"/>
      <c r="G326" s="20"/>
      <c r="H326" s="20"/>
      <c r="I326" s="20"/>
      <c r="J326" s="20"/>
      <c r="K326" s="24"/>
      <c r="L326" s="20"/>
      <c r="M326" s="20"/>
      <c r="N326" s="20"/>
      <c r="O326" s="20"/>
    </row>
    <row r="327" spans="1:15" x14ac:dyDescent="0.3">
      <c r="A327" s="19" t="str">
        <f t="shared" si="2"/>
        <v/>
      </c>
      <c r="B327" s="20"/>
      <c r="C327" s="20"/>
      <c r="D327" s="21" t="str">
        <f>IF($C327="","",IFERROR(VLOOKUP($C327,Map_Register!$A$2:$C$5,3,FALSE()),""))</f>
        <v/>
      </c>
      <c r="E327" s="20"/>
      <c r="F327" s="20"/>
      <c r="G327" s="20"/>
      <c r="H327" s="20"/>
      <c r="I327" s="20"/>
      <c r="J327" s="20"/>
      <c r="K327" s="24"/>
      <c r="L327" s="20"/>
      <c r="M327" s="20"/>
      <c r="N327" s="20"/>
      <c r="O327" s="20"/>
    </row>
    <row r="328" spans="1:15" x14ac:dyDescent="0.3">
      <c r="A328" s="19" t="str">
        <f t="shared" si="2"/>
        <v/>
      </c>
      <c r="B328" s="20"/>
      <c r="C328" s="20"/>
      <c r="D328" s="21" t="str">
        <f>IF($C328="","",IFERROR(VLOOKUP($C328,Map_Register!$A$2:$C$5,3,FALSE()),""))</f>
        <v/>
      </c>
      <c r="E328" s="20"/>
      <c r="F328" s="20"/>
      <c r="G328" s="20"/>
      <c r="H328" s="20"/>
      <c r="I328" s="20"/>
      <c r="J328" s="20"/>
      <c r="K328" s="24"/>
      <c r="L328" s="20"/>
      <c r="M328" s="20"/>
      <c r="N328" s="20"/>
      <c r="O328" s="20"/>
    </row>
    <row r="329" spans="1:15" x14ac:dyDescent="0.3">
      <c r="A329" s="19" t="str">
        <f t="shared" si="2"/>
        <v/>
      </c>
      <c r="B329" s="20"/>
      <c r="C329" s="20"/>
      <c r="D329" s="21" t="str">
        <f>IF($C329="","",IFERROR(VLOOKUP($C329,Map_Register!$A$2:$C$5,3,FALSE()),""))</f>
        <v/>
      </c>
      <c r="E329" s="20"/>
      <c r="F329" s="20"/>
      <c r="G329" s="20"/>
      <c r="H329" s="20"/>
      <c r="I329" s="20"/>
      <c r="J329" s="20"/>
      <c r="K329" s="24"/>
      <c r="L329" s="20"/>
      <c r="M329" s="20"/>
      <c r="N329" s="20"/>
      <c r="O329" s="20"/>
    </row>
    <row r="330" spans="1:15" x14ac:dyDescent="0.3">
      <c r="A330" s="19" t="str">
        <f t="shared" si="2"/>
        <v/>
      </c>
      <c r="B330" s="20"/>
      <c r="C330" s="20"/>
      <c r="D330" s="21" t="str">
        <f>IF($C330="","",IFERROR(VLOOKUP($C330,Map_Register!$A$2:$C$5,3,FALSE()),""))</f>
        <v/>
      </c>
      <c r="E330" s="20"/>
      <c r="F330" s="20"/>
      <c r="G330" s="20"/>
      <c r="H330" s="20"/>
      <c r="I330" s="20"/>
      <c r="J330" s="20"/>
      <c r="K330" s="24"/>
      <c r="L330" s="20"/>
      <c r="M330" s="20"/>
      <c r="N330" s="20"/>
      <c r="O330" s="20"/>
    </row>
    <row r="331" spans="1:15" x14ac:dyDescent="0.3">
      <c r="A331" s="19" t="str">
        <f t="shared" si="2"/>
        <v/>
      </c>
      <c r="B331" s="20"/>
      <c r="C331" s="20"/>
      <c r="D331" s="21" t="str">
        <f>IF($C331="","",IFERROR(VLOOKUP($C331,Map_Register!$A$2:$C$5,3,FALSE()),""))</f>
        <v/>
      </c>
      <c r="E331" s="20"/>
      <c r="F331" s="20"/>
      <c r="G331" s="20"/>
      <c r="H331" s="20"/>
      <c r="I331" s="20"/>
      <c r="J331" s="20"/>
      <c r="K331" s="24"/>
      <c r="L331" s="20"/>
      <c r="M331" s="20"/>
      <c r="N331" s="20"/>
      <c r="O331" s="20"/>
    </row>
    <row r="332" spans="1:15" x14ac:dyDescent="0.3">
      <c r="A332" s="19" t="str">
        <f t="shared" si="2"/>
        <v/>
      </c>
      <c r="B332" s="20"/>
      <c r="C332" s="20"/>
      <c r="D332" s="21" t="str">
        <f>IF($C332="","",IFERROR(VLOOKUP($C332,Map_Register!$A$2:$C$5,3,FALSE()),""))</f>
        <v/>
      </c>
      <c r="E332" s="20"/>
      <c r="F332" s="20"/>
      <c r="G332" s="20"/>
      <c r="H332" s="20"/>
      <c r="I332" s="20"/>
      <c r="J332" s="20"/>
      <c r="K332" s="24"/>
      <c r="L332" s="20"/>
      <c r="M332" s="20"/>
      <c r="N332" s="20"/>
      <c r="O332" s="20"/>
    </row>
    <row r="333" spans="1:15" x14ac:dyDescent="0.3">
      <c r="A333" s="19" t="str">
        <f t="shared" si="2"/>
        <v/>
      </c>
      <c r="B333" s="20"/>
      <c r="C333" s="20"/>
      <c r="D333" s="21" t="str">
        <f>IF($C333="","",IFERROR(VLOOKUP($C333,Map_Register!$A$2:$C$5,3,FALSE()),""))</f>
        <v/>
      </c>
      <c r="E333" s="20"/>
      <c r="F333" s="20"/>
      <c r="G333" s="20"/>
      <c r="H333" s="20"/>
      <c r="I333" s="20"/>
      <c r="J333" s="20"/>
      <c r="K333" s="24"/>
      <c r="L333" s="20"/>
      <c r="M333" s="20"/>
      <c r="N333" s="20"/>
      <c r="O333" s="20"/>
    </row>
    <row r="334" spans="1:15" x14ac:dyDescent="0.3">
      <c r="A334" s="19" t="str">
        <f t="shared" si="2"/>
        <v/>
      </c>
      <c r="B334" s="20"/>
      <c r="C334" s="20"/>
      <c r="D334" s="21" t="str">
        <f>IF($C334="","",IFERROR(VLOOKUP($C334,Map_Register!$A$2:$C$5,3,FALSE()),""))</f>
        <v/>
      </c>
      <c r="E334" s="20"/>
      <c r="F334" s="20"/>
      <c r="G334" s="20"/>
      <c r="H334" s="20"/>
      <c r="I334" s="20"/>
      <c r="J334" s="20"/>
      <c r="K334" s="24"/>
      <c r="L334" s="20"/>
      <c r="M334" s="20"/>
      <c r="N334" s="20"/>
      <c r="O334" s="20"/>
    </row>
    <row r="335" spans="1:15" x14ac:dyDescent="0.3">
      <c r="A335" s="19" t="str">
        <f t="shared" si="2"/>
        <v/>
      </c>
      <c r="B335" s="20"/>
      <c r="C335" s="20"/>
      <c r="D335" s="21" t="str">
        <f>IF($C335="","",IFERROR(VLOOKUP($C335,Map_Register!$A$2:$C$5,3,FALSE()),""))</f>
        <v/>
      </c>
      <c r="E335" s="20"/>
      <c r="F335" s="20"/>
      <c r="G335" s="20"/>
      <c r="H335" s="20"/>
      <c r="I335" s="20"/>
      <c r="J335" s="20"/>
      <c r="K335" s="24"/>
      <c r="L335" s="20"/>
      <c r="M335" s="20"/>
      <c r="N335" s="20"/>
      <c r="O335" s="20"/>
    </row>
    <row r="336" spans="1:15" x14ac:dyDescent="0.3">
      <c r="A336" s="19" t="str">
        <f t="shared" si="2"/>
        <v/>
      </c>
      <c r="B336" s="20"/>
      <c r="C336" s="20"/>
      <c r="D336" s="21" t="str">
        <f>IF($C336="","",IFERROR(VLOOKUP($C336,Map_Register!$A$2:$C$5,3,FALSE()),""))</f>
        <v/>
      </c>
      <c r="E336" s="20"/>
      <c r="F336" s="20"/>
      <c r="G336" s="20"/>
      <c r="H336" s="20"/>
      <c r="I336" s="20"/>
      <c r="J336" s="20"/>
      <c r="K336" s="24"/>
      <c r="L336" s="20"/>
      <c r="M336" s="20"/>
      <c r="N336" s="20"/>
      <c r="O336" s="20"/>
    </row>
    <row r="337" spans="1:15" x14ac:dyDescent="0.3">
      <c r="A337" s="19" t="str">
        <f t="shared" si="2"/>
        <v/>
      </c>
      <c r="B337" s="20"/>
      <c r="C337" s="20"/>
      <c r="D337" s="21" t="str">
        <f>IF($C337="","",IFERROR(VLOOKUP($C337,Map_Register!$A$2:$C$5,3,FALSE()),""))</f>
        <v/>
      </c>
      <c r="E337" s="20"/>
      <c r="F337" s="20"/>
      <c r="G337" s="20"/>
      <c r="H337" s="20"/>
      <c r="I337" s="20"/>
      <c r="J337" s="20"/>
      <c r="K337" s="24"/>
      <c r="L337" s="20"/>
      <c r="M337" s="20"/>
      <c r="N337" s="20"/>
      <c r="O337" s="20"/>
    </row>
    <row r="338" spans="1:15" x14ac:dyDescent="0.3">
      <c r="A338" s="19" t="str">
        <f t="shared" si="2"/>
        <v/>
      </c>
      <c r="B338" s="20"/>
      <c r="C338" s="20"/>
      <c r="D338" s="21" t="str">
        <f>IF($C338="","",IFERROR(VLOOKUP($C338,Map_Register!$A$2:$C$5,3,FALSE()),""))</f>
        <v/>
      </c>
      <c r="E338" s="20"/>
      <c r="F338" s="20"/>
      <c r="G338" s="20"/>
      <c r="H338" s="20"/>
      <c r="I338" s="20"/>
      <c r="J338" s="20"/>
      <c r="K338" s="24"/>
      <c r="L338" s="20"/>
      <c r="M338" s="20"/>
      <c r="N338" s="20"/>
      <c r="O338" s="20"/>
    </row>
    <row r="339" spans="1:15" x14ac:dyDescent="0.3">
      <c r="A339" s="19" t="str">
        <f t="shared" si="2"/>
        <v/>
      </c>
      <c r="B339" s="20"/>
      <c r="C339" s="20"/>
      <c r="D339" s="21" t="str">
        <f>IF($C339="","",IFERROR(VLOOKUP($C339,Map_Register!$A$2:$C$5,3,FALSE()),""))</f>
        <v/>
      </c>
      <c r="E339" s="20"/>
      <c r="F339" s="20"/>
      <c r="G339" s="20"/>
      <c r="H339" s="20"/>
      <c r="I339" s="20"/>
      <c r="J339" s="20"/>
      <c r="K339" s="24"/>
      <c r="L339" s="20"/>
      <c r="M339" s="20"/>
      <c r="N339" s="20"/>
      <c r="O339" s="20"/>
    </row>
    <row r="340" spans="1:15" x14ac:dyDescent="0.3">
      <c r="A340" s="19" t="str">
        <f t="shared" si="2"/>
        <v/>
      </c>
      <c r="B340" s="20"/>
      <c r="C340" s="20"/>
      <c r="D340" s="21" t="str">
        <f>IF($C340="","",IFERROR(VLOOKUP($C340,Map_Register!$A$2:$C$5,3,FALSE()),""))</f>
        <v/>
      </c>
      <c r="E340" s="20"/>
      <c r="F340" s="20"/>
      <c r="G340" s="20"/>
      <c r="H340" s="20"/>
      <c r="I340" s="20"/>
      <c r="J340" s="20"/>
      <c r="K340" s="24"/>
      <c r="L340" s="20"/>
      <c r="M340" s="20"/>
      <c r="N340" s="20"/>
      <c r="O340" s="20"/>
    </row>
    <row r="341" spans="1:15" x14ac:dyDescent="0.3">
      <c r="A341" s="19" t="str">
        <f t="shared" si="2"/>
        <v/>
      </c>
      <c r="B341" s="20"/>
      <c r="C341" s="20"/>
      <c r="D341" s="21" t="str">
        <f>IF($C341="","",IFERROR(VLOOKUP($C341,Map_Register!$A$2:$C$5,3,FALSE()),""))</f>
        <v/>
      </c>
      <c r="E341" s="20"/>
      <c r="F341" s="20"/>
      <c r="G341" s="20"/>
      <c r="H341" s="20"/>
      <c r="I341" s="20"/>
      <c r="J341" s="20"/>
      <c r="K341" s="24"/>
      <c r="L341" s="20"/>
      <c r="M341" s="20"/>
      <c r="N341" s="20"/>
      <c r="O341" s="20"/>
    </row>
    <row r="342" spans="1:15" x14ac:dyDescent="0.3">
      <c r="A342" s="19" t="str">
        <f t="shared" si="2"/>
        <v/>
      </c>
      <c r="B342" s="20"/>
      <c r="C342" s="20"/>
      <c r="D342" s="21" t="str">
        <f>IF($C342="","",IFERROR(VLOOKUP($C342,Map_Register!$A$2:$C$5,3,FALSE()),""))</f>
        <v/>
      </c>
      <c r="E342" s="20"/>
      <c r="F342" s="20"/>
      <c r="G342" s="20"/>
      <c r="H342" s="20"/>
      <c r="I342" s="20"/>
      <c r="J342" s="20"/>
      <c r="K342" s="24"/>
      <c r="L342" s="20"/>
      <c r="M342" s="20"/>
      <c r="N342" s="20"/>
      <c r="O342" s="20"/>
    </row>
    <row r="343" spans="1:15" x14ac:dyDescent="0.3">
      <c r="A343" s="19" t="str">
        <f t="shared" si="2"/>
        <v/>
      </c>
      <c r="B343" s="20"/>
      <c r="C343" s="20"/>
      <c r="D343" s="21" t="str">
        <f>IF($C343="","",IFERROR(VLOOKUP($C343,Map_Register!$A$2:$C$5,3,FALSE()),""))</f>
        <v/>
      </c>
      <c r="E343" s="20"/>
      <c r="F343" s="20"/>
      <c r="G343" s="20"/>
      <c r="H343" s="20"/>
      <c r="I343" s="20"/>
      <c r="J343" s="20"/>
      <c r="K343" s="24"/>
      <c r="L343" s="20"/>
      <c r="M343" s="20"/>
      <c r="N343" s="20"/>
      <c r="O343" s="20"/>
    </row>
    <row r="344" spans="1:15" x14ac:dyDescent="0.3">
      <c r="A344" s="19" t="str">
        <f t="shared" si="2"/>
        <v/>
      </c>
      <c r="B344" s="20"/>
      <c r="C344" s="20"/>
      <c r="D344" s="21" t="str">
        <f>IF($C344="","",IFERROR(VLOOKUP($C344,Map_Register!$A$2:$C$5,3,FALSE()),""))</f>
        <v/>
      </c>
      <c r="E344" s="20"/>
      <c r="F344" s="20"/>
      <c r="G344" s="20"/>
      <c r="H344" s="20"/>
      <c r="I344" s="20"/>
      <c r="J344" s="20"/>
      <c r="K344" s="24"/>
      <c r="L344" s="20"/>
      <c r="M344" s="20"/>
      <c r="N344" s="20"/>
      <c r="O344" s="20"/>
    </row>
    <row r="345" spans="1:15" x14ac:dyDescent="0.3">
      <c r="A345" s="19" t="str">
        <f t="shared" si="2"/>
        <v/>
      </c>
      <c r="B345" s="20"/>
      <c r="C345" s="20"/>
      <c r="D345" s="21" t="str">
        <f>IF($C345="","",IFERROR(VLOOKUP($C345,Map_Register!$A$2:$C$5,3,FALSE()),""))</f>
        <v/>
      </c>
      <c r="E345" s="20"/>
      <c r="F345" s="20"/>
      <c r="G345" s="20"/>
      <c r="H345" s="20"/>
      <c r="I345" s="20"/>
      <c r="J345" s="20"/>
      <c r="K345" s="24"/>
      <c r="L345" s="20"/>
      <c r="M345" s="20"/>
      <c r="N345" s="20"/>
      <c r="O345" s="20"/>
    </row>
    <row r="346" spans="1:15" x14ac:dyDescent="0.3">
      <c r="A346" s="19" t="str">
        <f t="shared" ref="A346:A409" si="3">IF($B346="","",ROW()-1)</f>
        <v/>
      </c>
      <c r="B346" s="20"/>
      <c r="C346" s="20"/>
      <c r="D346" s="21" t="str">
        <f>IF($C346="","",IFERROR(VLOOKUP($C346,Map_Register!$A$2:$C$5,3,FALSE()),""))</f>
        <v/>
      </c>
      <c r="E346" s="20"/>
      <c r="F346" s="20"/>
      <c r="G346" s="20"/>
      <c r="H346" s="20"/>
      <c r="I346" s="20"/>
      <c r="J346" s="20"/>
      <c r="K346" s="24"/>
      <c r="L346" s="20"/>
      <c r="M346" s="20"/>
      <c r="N346" s="20"/>
      <c r="O346" s="20"/>
    </row>
    <row r="347" spans="1:15" x14ac:dyDescent="0.3">
      <c r="A347" s="19" t="str">
        <f t="shared" si="3"/>
        <v/>
      </c>
      <c r="B347" s="20"/>
      <c r="C347" s="20"/>
      <c r="D347" s="21" t="str">
        <f>IF($C347="","",IFERROR(VLOOKUP($C347,Map_Register!$A$2:$C$5,3,FALSE()),""))</f>
        <v/>
      </c>
      <c r="E347" s="20"/>
      <c r="F347" s="20"/>
      <c r="G347" s="20"/>
      <c r="H347" s="20"/>
      <c r="I347" s="20"/>
      <c r="J347" s="20"/>
      <c r="K347" s="24"/>
      <c r="L347" s="20"/>
      <c r="M347" s="20"/>
      <c r="N347" s="20"/>
      <c r="O347" s="20"/>
    </row>
    <row r="348" spans="1:15" x14ac:dyDescent="0.3">
      <c r="A348" s="19" t="str">
        <f t="shared" si="3"/>
        <v/>
      </c>
      <c r="B348" s="20"/>
      <c r="C348" s="20"/>
      <c r="D348" s="21" t="str">
        <f>IF($C348="","",IFERROR(VLOOKUP($C348,Map_Register!$A$2:$C$5,3,FALSE()),""))</f>
        <v/>
      </c>
      <c r="E348" s="20"/>
      <c r="F348" s="20"/>
      <c r="G348" s="20"/>
      <c r="H348" s="20"/>
      <c r="I348" s="20"/>
      <c r="J348" s="20"/>
      <c r="K348" s="24"/>
      <c r="L348" s="20"/>
      <c r="M348" s="20"/>
      <c r="N348" s="20"/>
      <c r="O348" s="20"/>
    </row>
    <row r="349" spans="1:15" x14ac:dyDescent="0.3">
      <c r="A349" s="19" t="str">
        <f t="shared" si="3"/>
        <v/>
      </c>
      <c r="B349" s="20"/>
      <c r="C349" s="20"/>
      <c r="D349" s="21" t="str">
        <f>IF($C349="","",IFERROR(VLOOKUP($C349,Map_Register!$A$2:$C$5,3,FALSE()),""))</f>
        <v/>
      </c>
      <c r="E349" s="20"/>
      <c r="F349" s="20"/>
      <c r="G349" s="20"/>
      <c r="H349" s="20"/>
      <c r="I349" s="20"/>
      <c r="J349" s="20"/>
      <c r="K349" s="24"/>
      <c r="L349" s="20"/>
      <c r="M349" s="20"/>
      <c r="N349" s="20"/>
      <c r="O349" s="20"/>
    </row>
    <row r="350" spans="1:15" x14ac:dyDescent="0.3">
      <c r="A350" s="19" t="str">
        <f t="shared" si="3"/>
        <v/>
      </c>
      <c r="B350" s="20"/>
      <c r="C350" s="20"/>
      <c r="D350" s="21" t="str">
        <f>IF($C350="","",IFERROR(VLOOKUP($C350,Map_Register!$A$2:$C$5,3,FALSE()),""))</f>
        <v/>
      </c>
      <c r="E350" s="20"/>
      <c r="F350" s="20"/>
      <c r="G350" s="20"/>
      <c r="H350" s="20"/>
      <c r="I350" s="20"/>
      <c r="J350" s="20"/>
      <c r="K350" s="24"/>
      <c r="L350" s="20"/>
      <c r="M350" s="20"/>
      <c r="N350" s="20"/>
      <c r="O350" s="20"/>
    </row>
    <row r="351" spans="1:15" x14ac:dyDescent="0.3">
      <c r="A351" s="19" t="str">
        <f t="shared" si="3"/>
        <v/>
      </c>
      <c r="B351" s="20"/>
      <c r="C351" s="20"/>
      <c r="D351" s="21" t="str">
        <f>IF($C351="","",IFERROR(VLOOKUP($C351,Map_Register!$A$2:$C$5,3,FALSE()),""))</f>
        <v/>
      </c>
      <c r="E351" s="20"/>
      <c r="F351" s="20"/>
      <c r="G351" s="20"/>
      <c r="H351" s="20"/>
      <c r="I351" s="20"/>
      <c r="J351" s="20"/>
      <c r="K351" s="24"/>
      <c r="L351" s="20"/>
      <c r="M351" s="20"/>
      <c r="N351" s="20"/>
      <c r="O351" s="20"/>
    </row>
    <row r="352" spans="1:15" x14ac:dyDescent="0.3">
      <c r="A352" s="19" t="str">
        <f t="shared" si="3"/>
        <v/>
      </c>
      <c r="B352" s="20"/>
      <c r="C352" s="20"/>
      <c r="D352" s="21" t="str">
        <f>IF($C352="","",IFERROR(VLOOKUP($C352,Map_Register!$A$2:$C$5,3,FALSE()),""))</f>
        <v/>
      </c>
      <c r="E352" s="20"/>
      <c r="F352" s="20"/>
      <c r="G352" s="20"/>
      <c r="H352" s="20"/>
      <c r="I352" s="20"/>
      <c r="J352" s="20"/>
      <c r="K352" s="24"/>
      <c r="L352" s="20"/>
      <c r="M352" s="20"/>
      <c r="N352" s="20"/>
      <c r="O352" s="20"/>
    </row>
    <row r="353" spans="1:15" x14ac:dyDescent="0.3">
      <c r="A353" s="19" t="str">
        <f t="shared" si="3"/>
        <v/>
      </c>
      <c r="B353" s="20"/>
      <c r="C353" s="20"/>
      <c r="D353" s="21" t="str">
        <f>IF($C353="","",IFERROR(VLOOKUP($C353,Map_Register!$A$2:$C$5,3,FALSE()),""))</f>
        <v/>
      </c>
      <c r="E353" s="20"/>
      <c r="F353" s="20"/>
      <c r="G353" s="20"/>
      <c r="H353" s="20"/>
      <c r="I353" s="20"/>
      <c r="J353" s="20"/>
      <c r="K353" s="24"/>
      <c r="L353" s="20"/>
      <c r="M353" s="20"/>
      <c r="N353" s="20"/>
      <c r="O353" s="20"/>
    </row>
    <row r="354" spans="1:15" x14ac:dyDescent="0.3">
      <c r="A354" s="19" t="str">
        <f t="shared" si="3"/>
        <v/>
      </c>
      <c r="B354" s="20"/>
      <c r="C354" s="20"/>
      <c r="D354" s="21" t="str">
        <f>IF($C354="","",IFERROR(VLOOKUP($C354,Map_Register!$A$2:$C$5,3,FALSE()),""))</f>
        <v/>
      </c>
      <c r="E354" s="20"/>
      <c r="F354" s="20"/>
      <c r="G354" s="20"/>
      <c r="H354" s="20"/>
      <c r="I354" s="20"/>
      <c r="J354" s="20"/>
      <c r="K354" s="24"/>
      <c r="L354" s="20"/>
      <c r="M354" s="20"/>
      <c r="N354" s="20"/>
      <c r="O354" s="20"/>
    </row>
    <row r="355" spans="1:15" x14ac:dyDescent="0.3">
      <c r="A355" s="19" t="str">
        <f t="shared" si="3"/>
        <v/>
      </c>
      <c r="B355" s="20"/>
      <c r="C355" s="20"/>
      <c r="D355" s="21" t="str">
        <f>IF($C355="","",IFERROR(VLOOKUP($C355,Map_Register!$A$2:$C$5,3,FALSE()),""))</f>
        <v/>
      </c>
      <c r="E355" s="20"/>
      <c r="F355" s="20"/>
      <c r="G355" s="20"/>
      <c r="H355" s="20"/>
      <c r="I355" s="20"/>
      <c r="J355" s="20"/>
      <c r="K355" s="24"/>
      <c r="L355" s="20"/>
      <c r="M355" s="20"/>
      <c r="N355" s="20"/>
      <c r="O355" s="20"/>
    </row>
    <row r="356" spans="1:15" x14ac:dyDescent="0.3">
      <c r="A356" s="19" t="str">
        <f t="shared" si="3"/>
        <v/>
      </c>
      <c r="B356" s="20"/>
      <c r="C356" s="20"/>
      <c r="D356" s="21" t="str">
        <f>IF($C356="","",IFERROR(VLOOKUP($C356,Map_Register!$A$2:$C$5,3,FALSE()),""))</f>
        <v/>
      </c>
      <c r="E356" s="20"/>
      <c r="F356" s="20"/>
      <c r="G356" s="20"/>
      <c r="H356" s="20"/>
      <c r="I356" s="20"/>
      <c r="J356" s="20"/>
      <c r="K356" s="24"/>
      <c r="L356" s="20"/>
      <c r="M356" s="20"/>
      <c r="N356" s="20"/>
      <c r="O356" s="20"/>
    </row>
    <row r="357" spans="1:15" x14ac:dyDescent="0.3">
      <c r="A357" s="19" t="str">
        <f t="shared" si="3"/>
        <v/>
      </c>
      <c r="B357" s="20"/>
      <c r="C357" s="20"/>
      <c r="D357" s="21" t="str">
        <f>IF($C357="","",IFERROR(VLOOKUP($C357,Map_Register!$A$2:$C$5,3,FALSE()),""))</f>
        <v/>
      </c>
      <c r="E357" s="20"/>
      <c r="F357" s="20"/>
      <c r="G357" s="20"/>
      <c r="H357" s="20"/>
      <c r="I357" s="20"/>
      <c r="J357" s="20"/>
      <c r="K357" s="24"/>
      <c r="L357" s="20"/>
      <c r="M357" s="20"/>
      <c r="N357" s="20"/>
      <c r="O357" s="20"/>
    </row>
    <row r="358" spans="1:15" x14ac:dyDescent="0.3">
      <c r="A358" s="19" t="str">
        <f t="shared" si="3"/>
        <v/>
      </c>
      <c r="B358" s="20"/>
      <c r="C358" s="20"/>
      <c r="D358" s="21" t="str">
        <f>IF($C358="","",IFERROR(VLOOKUP($C358,Map_Register!$A$2:$C$5,3,FALSE()),""))</f>
        <v/>
      </c>
      <c r="E358" s="20"/>
      <c r="F358" s="20"/>
      <c r="G358" s="20"/>
      <c r="H358" s="20"/>
      <c r="I358" s="20"/>
      <c r="J358" s="20"/>
      <c r="K358" s="24"/>
      <c r="L358" s="20"/>
      <c r="M358" s="20"/>
      <c r="N358" s="20"/>
      <c r="O358" s="20"/>
    </row>
    <row r="359" spans="1:15" x14ac:dyDescent="0.3">
      <c r="A359" s="19" t="str">
        <f t="shared" si="3"/>
        <v/>
      </c>
      <c r="B359" s="20"/>
      <c r="C359" s="20"/>
      <c r="D359" s="21" t="str">
        <f>IF($C359="","",IFERROR(VLOOKUP($C359,Map_Register!$A$2:$C$5,3,FALSE()),""))</f>
        <v/>
      </c>
      <c r="E359" s="20"/>
      <c r="F359" s="20"/>
      <c r="G359" s="20"/>
      <c r="H359" s="20"/>
      <c r="I359" s="20"/>
      <c r="J359" s="20"/>
      <c r="K359" s="24"/>
      <c r="L359" s="20"/>
      <c r="M359" s="20"/>
      <c r="N359" s="20"/>
      <c r="O359" s="20"/>
    </row>
    <row r="360" spans="1:15" x14ac:dyDescent="0.3">
      <c r="A360" s="19" t="str">
        <f t="shared" si="3"/>
        <v/>
      </c>
      <c r="B360" s="20"/>
      <c r="C360" s="20"/>
      <c r="D360" s="21" t="str">
        <f>IF($C360="","",IFERROR(VLOOKUP($C360,Map_Register!$A$2:$C$5,3,FALSE()),""))</f>
        <v/>
      </c>
      <c r="E360" s="20"/>
      <c r="F360" s="20"/>
      <c r="G360" s="20"/>
      <c r="H360" s="20"/>
      <c r="I360" s="20"/>
      <c r="J360" s="20"/>
      <c r="K360" s="24"/>
      <c r="L360" s="20"/>
      <c r="M360" s="20"/>
      <c r="N360" s="20"/>
      <c r="O360" s="20"/>
    </row>
    <row r="361" spans="1:15" x14ac:dyDescent="0.3">
      <c r="A361" s="19" t="str">
        <f t="shared" si="3"/>
        <v/>
      </c>
      <c r="B361" s="20"/>
      <c r="C361" s="20"/>
      <c r="D361" s="21" t="str">
        <f>IF($C361="","",IFERROR(VLOOKUP($C361,Map_Register!$A$2:$C$5,3,FALSE()),""))</f>
        <v/>
      </c>
      <c r="E361" s="20"/>
      <c r="F361" s="20"/>
      <c r="G361" s="20"/>
      <c r="H361" s="20"/>
      <c r="I361" s="20"/>
      <c r="J361" s="20"/>
      <c r="K361" s="24"/>
      <c r="L361" s="20"/>
      <c r="M361" s="20"/>
      <c r="N361" s="20"/>
      <c r="O361" s="20"/>
    </row>
    <row r="362" spans="1:15" x14ac:dyDescent="0.3">
      <c r="A362" s="19" t="str">
        <f t="shared" si="3"/>
        <v/>
      </c>
      <c r="B362" s="20"/>
      <c r="C362" s="20"/>
      <c r="D362" s="21" t="str">
        <f>IF($C362="","",IFERROR(VLOOKUP($C362,Map_Register!$A$2:$C$5,3,FALSE()),""))</f>
        <v/>
      </c>
      <c r="E362" s="20"/>
      <c r="F362" s="20"/>
      <c r="G362" s="20"/>
      <c r="H362" s="20"/>
      <c r="I362" s="20"/>
      <c r="J362" s="20"/>
      <c r="K362" s="24"/>
      <c r="L362" s="20"/>
      <c r="M362" s="20"/>
      <c r="N362" s="20"/>
      <c r="O362" s="20"/>
    </row>
    <row r="363" spans="1:15" x14ac:dyDescent="0.3">
      <c r="A363" s="19" t="str">
        <f t="shared" si="3"/>
        <v/>
      </c>
      <c r="B363" s="20"/>
      <c r="C363" s="20"/>
      <c r="D363" s="21" t="str">
        <f>IF($C363="","",IFERROR(VLOOKUP($C363,Map_Register!$A$2:$C$5,3,FALSE()),""))</f>
        <v/>
      </c>
      <c r="E363" s="20"/>
      <c r="F363" s="20"/>
      <c r="G363" s="20"/>
      <c r="H363" s="20"/>
      <c r="I363" s="20"/>
      <c r="J363" s="20"/>
      <c r="K363" s="24"/>
      <c r="L363" s="20"/>
      <c r="M363" s="20"/>
      <c r="N363" s="20"/>
      <c r="O363" s="20"/>
    </row>
    <row r="364" spans="1:15" x14ac:dyDescent="0.3">
      <c r="A364" s="19" t="str">
        <f t="shared" si="3"/>
        <v/>
      </c>
      <c r="B364" s="20"/>
      <c r="C364" s="20"/>
      <c r="D364" s="21" t="str">
        <f>IF($C364="","",IFERROR(VLOOKUP($C364,Map_Register!$A$2:$C$5,3,FALSE()),""))</f>
        <v/>
      </c>
      <c r="E364" s="20"/>
      <c r="F364" s="20"/>
      <c r="G364" s="20"/>
      <c r="H364" s="20"/>
      <c r="I364" s="20"/>
      <c r="J364" s="20"/>
      <c r="K364" s="24"/>
      <c r="L364" s="20"/>
      <c r="M364" s="20"/>
      <c r="N364" s="20"/>
      <c r="O364" s="20"/>
    </row>
    <row r="365" spans="1:15" x14ac:dyDescent="0.3">
      <c r="A365" s="19" t="str">
        <f t="shared" si="3"/>
        <v/>
      </c>
      <c r="B365" s="20"/>
      <c r="C365" s="20"/>
      <c r="D365" s="21" t="str">
        <f>IF($C365="","",IFERROR(VLOOKUP($C365,Map_Register!$A$2:$C$5,3,FALSE()),""))</f>
        <v/>
      </c>
      <c r="E365" s="20"/>
      <c r="F365" s="20"/>
      <c r="G365" s="20"/>
      <c r="H365" s="20"/>
      <c r="I365" s="20"/>
      <c r="J365" s="20"/>
      <c r="K365" s="24"/>
      <c r="L365" s="20"/>
      <c r="M365" s="20"/>
      <c r="N365" s="20"/>
      <c r="O365" s="20"/>
    </row>
    <row r="366" spans="1:15" x14ac:dyDescent="0.3">
      <c r="A366" s="19" t="str">
        <f t="shared" si="3"/>
        <v/>
      </c>
      <c r="B366" s="20"/>
      <c r="C366" s="20"/>
      <c r="D366" s="21" t="str">
        <f>IF($C366="","",IFERROR(VLOOKUP($C366,Map_Register!$A$2:$C$5,3,FALSE()),""))</f>
        <v/>
      </c>
      <c r="E366" s="20"/>
      <c r="F366" s="20"/>
      <c r="G366" s="20"/>
      <c r="H366" s="20"/>
      <c r="I366" s="20"/>
      <c r="J366" s="20"/>
      <c r="K366" s="24"/>
      <c r="L366" s="20"/>
      <c r="M366" s="20"/>
      <c r="N366" s="20"/>
      <c r="O366" s="20"/>
    </row>
    <row r="367" spans="1:15" x14ac:dyDescent="0.3">
      <c r="A367" s="19" t="str">
        <f t="shared" si="3"/>
        <v/>
      </c>
      <c r="B367" s="20"/>
      <c r="C367" s="20"/>
      <c r="D367" s="21" t="str">
        <f>IF($C367="","",IFERROR(VLOOKUP($C367,Map_Register!$A$2:$C$5,3,FALSE()),""))</f>
        <v/>
      </c>
      <c r="E367" s="20"/>
      <c r="F367" s="20"/>
      <c r="G367" s="20"/>
      <c r="H367" s="20"/>
      <c r="I367" s="20"/>
      <c r="J367" s="20"/>
      <c r="K367" s="24"/>
      <c r="L367" s="20"/>
      <c r="M367" s="20"/>
      <c r="N367" s="20"/>
      <c r="O367" s="20"/>
    </row>
    <row r="368" spans="1:15" x14ac:dyDescent="0.3">
      <c r="A368" s="19" t="str">
        <f t="shared" si="3"/>
        <v/>
      </c>
      <c r="B368" s="20"/>
      <c r="C368" s="20"/>
      <c r="D368" s="21" t="str">
        <f>IF($C368="","",IFERROR(VLOOKUP($C368,Map_Register!$A$2:$C$5,3,FALSE()),""))</f>
        <v/>
      </c>
      <c r="E368" s="20"/>
      <c r="F368" s="20"/>
      <c r="G368" s="20"/>
      <c r="H368" s="20"/>
      <c r="I368" s="20"/>
      <c r="J368" s="20"/>
      <c r="K368" s="24"/>
      <c r="L368" s="20"/>
      <c r="M368" s="20"/>
      <c r="N368" s="20"/>
      <c r="O368" s="20"/>
    </row>
    <row r="369" spans="1:15" x14ac:dyDescent="0.3">
      <c r="A369" s="19" t="str">
        <f t="shared" si="3"/>
        <v/>
      </c>
      <c r="B369" s="20"/>
      <c r="C369" s="20"/>
      <c r="D369" s="21" t="str">
        <f>IF($C369="","",IFERROR(VLOOKUP($C369,Map_Register!$A$2:$C$5,3,FALSE()),""))</f>
        <v/>
      </c>
      <c r="E369" s="20"/>
      <c r="F369" s="20"/>
      <c r="G369" s="20"/>
      <c r="H369" s="20"/>
      <c r="I369" s="20"/>
      <c r="J369" s="20"/>
      <c r="K369" s="24"/>
      <c r="L369" s="20"/>
      <c r="M369" s="20"/>
      <c r="N369" s="20"/>
      <c r="O369" s="20"/>
    </row>
    <row r="370" spans="1:15" x14ac:dyDescent="0.3">
      <c r="A370" s="19" t="str">
        <f t="shared" si="3"/>
        <v/>
      </c>
      <c r="B370" s="20"/>
      <c r="C370" s="20"/>
      <c r="D370" s="21" t="str">
        <f>IF($C370="","",IFERROR(VLOOKUP($C370,Map_Register!$A$2:$C$5,3,FALSE()),""))</f>
        <v/>
      </c>
      <c r="E370" s="20"/>
      <c r="F370" s="20"/>
      <c r="G370" s="20"/>
      <c r="H370" s="20"/>
      <c r="I370" s="20"/>
      <c r="J370" s="20"/>
      <c r="K370" s="24"/>
      <c r="L370" s="20"/>
      <c r="M370" s="20"/>
      <c r="N370" s="20"/>
      <c r="O370" s="20"/>
    </row>
    <row r="371" spans="1:15" x14ac:dyDescent="0.3">
      <c r="A371" s="19" t="str">
        <f t="shared" si="3"/>
        <v/>
      </c>
      <c r="B371" s="20"/>
      <c r="C371" s="20"/>
      <c r="D371" s="21" t="str">
        <f>IF($C371="","",IFERROR(VLOOKUP($C371,Map_Register!$A$2:$C$5,3,FALSE()),""))</f>
        <v/>
      </c>
      <c r="E371" s="20"/>
      <c r="F371" s="20"/>
      <c r="G371" s="20"/>
      <c r="H371" s="20"/>
      <c r="I371" s="20"/>
      <c r="J371" s="20"/>
      <c r="K371" s="24"/>
      <c r="L371" s="20"/>
      <c r="M371" s="20"/>
      <c r="N371" s="20"/>
      <c r="O371" s="20"/>
    </row>
    <row r="372" spans="1:15" x14ac:dyDescent="0.3">
      <c r="A372" s="19" t="str">
        <f t="shared" si="3"/>
        <v/>
      </c>
      <c r="B372" s="20"/>
      <c r="C372" s="20"/>
      <c r="D372" s="21" t="str">
        <f>IF($C372="","",IFERROR(VLOOKUP($C372,Map_Register!$A$2:$C$5,3,FALSE()),""))</f>
        <v/>
      </c>
      <c r="E372" s="20"/>
      <c r="F372" s="20"/>
      <c r="G372" s="20"/>
      <c r="H372" s="20"/>
      <c r="I372" s="20"/>
      <c r="J372" s="20"/>
      <c r="K372" s="24"/>
      <c r="L372" s="20"/>
      <c r="M372" s="20"/>
      <c r="N372" s="20"/>
      <c r="O372" s="20"/>
    </row>
    <row r="373" spans="1:15" x14ac:dyDescent="0.3">
      <c r="A373" s="19" t="str">
        <f t="shared" si="3"/>
        <v/>
      </c>
      <c r="B373" s="20"/>
      <c r="C373" s="20"/>
      <c r="D373" s="21" t="str">
        <f>IF($C373="","",IFERROR(VLOOKUP($C373,Map_Register!$A$2:$C$5,3,FALSE()),""))</f>
        <v/>
      </c>
      <c r="E373" s="20"/>
      <c r="F373" s="20"/>
      <c r="G373" s="20"/>
      <c r="H373" s="20"/>
      <c r="I373" s="20"/>
      <c r="J373" s="20"/>
      <c r="K373" s="24"/>
      <c r="L373" s="20"/>
      <c r="M373" s="20"/>
      <c r="N373" s="20"/>
      <c r="O373" s="20"/>
    </row>
    <row r="374" spans="1:15" x14ac:dyDescent="0.3">
      <c r="A374" s="19" t="str">
        <f t="shared" si="3"/>
        <v/>
      </c>
      <c r="B374" s="20"/>
      <c r="C374" s="20"/>
      <c r="D374" s="21" t="str">
        <f>IF($C374="","",IFERROR(VLOOKUP($C374,Map_Register!$A$2:$C$5,3,FALSE()),""))</f>
        <v/>
      </c>
      <c r="E374" s="20"/>
      <c r="F374" s="20"/>
      <c r="G374" s="20"/>
      <c r="H374" s="20"/>
      <c r="I374" s="20"/>
      <c r="J374" s="20"/>
      <c r="K374" s="24"/>
      <c r="L374" s="20"/>
      <c r="M374" s="20"/>
      <c r="N374" s="20"/>
      <c r="O374" s="20"/>
    </row>
    <row r="375" spans="1:15" x14ac:dyDescent="0.3">
      <c r="A375" s="19" t="str">
        <f t="shared" si="3"/>
        <v/>
      </c>
      <c r="B375" s="20"/>
      <c r="C375" s="20"/>
      <c r="D375" s="21" t="str">
        <f>IF($C375="","",IFERROR(VLOOKUP($C375,Map_Register!$A$2:$C$5,3,FALSE()),""))</f>
        <v/>
      </c>
      <c r="E375" s="20"/>
      <c r="F375" s="20"/>
      <c r="G375" s="20"/>
      <c r="H375" s="20"/>
      <c r="I375" s="20"/>
      <c r="J375" s="20"/>
      <c r="K375" s="24"/>
      <c r="L375" s="20"/>
      <c r="M375" s="20"/>
      <c r="N375" s="20"/>
      <c r="O375" s="20"/>
    </row>
    <row r="376" spans="1:15" x14ac:dyDescent="0.3">
      <c r="A376" s="19" t="str">
        <f t="shared" si="3"/>
        <v/>
      </c>
      <c r="B376" s="20"/>
      <c r="C376" s="20"/>
      <c r="D376" s="21" t="str">
        <f>IF($C376="","",IFERROR(VLOOKUP($C376,Map_Register!$A$2:$C$5,3,FALSE()),""))</f>
        <v/>
      </c>
      <c r="E376" s="20"/>
      <c r="F376" s="20"/>
      <c r="G376" s="20"/>
      <c r="H376" s="20"/>
      <c r="I376" s="20"/>
      <c r="J376" s="20"/>
      <c r="K376" s="24"/>
      <c r="L376" s="20"/>
      <c r="M376" s="20"/>
      <c r="N376" s="20"/>
      <c r="O376" s="20"/>
    </row>
    <row r="377" spans="1:15" x14ac:dyDescent="0.3">
      <c r="A377" s="19" t="str">
        <f t="shared" si="3"/>
        <v/>
      </c>
      <c r="B377" s="20"/>
      <c r="C377" s="20"/>
      <c r="D377" s="21" t="str">
        <f>IF($C377="","",IFERROR(VLOOKUP($C377,Map_Register!$A$2:$C$5,3,FALSE()),""))</f>
        <v/>
      </c>
      <c r="E377" s="20"/>
      <c r="F377" s="20"/>
      <c r="G377" s="20"/>
      <c r="H377" s="20"/>
      <c r="I377" s="20"/>
      <c r="J377" s="20"/>
      <c r="K377" s="24"/>
      <c r="L377" s="20"/>
      <c r="M377" s="20"/>
      <c r="N377" s="20"/>
      <c r="O377" s="20"/>
    </row>
    <row r="378" spans="1:15" x14ac:dyDescent="0.3">
      <c r="A378" s="19" t="str">
        <f t="shared" si="3"/>
        <v/>
      </c>
      <c r="B378" s="20"/>
      <c r="C378" s="20"/>
      <c r="D378" s="21" t="str">
        <f>IF($C378="","",IFERROR(VLOOKUP($C378,Map_Register!$A$2:$C$5,3,FALSE()),""))</f>
        <v/>
      </c>
      <c r="E378" s="20"/>
      <c r="F378" s="20"/>
      <c r="G378" s="20"/>
      <c r="H378" s="20"/>
      <c r="I378" s="20"/>
      <c r="J378" s="20"/>
      <c r="K378" s="24"/>
      <c r="L378" s="20"/>
      <c r="M378" s="20"/>
      <c r="N378" s="20"/>
      <c r="O378" s="20"/>
    </row>
    <row r="379" spans="1:15" x14ac:dyDescent="0.3">
      <c r="A379" s="19" t="str">
        <f t="shared" si="3"/>
        <v/>
      </c>
      <c r="B379" s="20"/>
      <c r="C379" s="20"/>
      <c r="D379" s="21" t="str">
        <f>IF($C379="","",IFERROR(VLOOKUP($C379,Map_Register!$A$2:$C$5,3,FALSE()),""))</f>
        <v/>
      </c>
      <c r="E379" s="20"/>
      <c r="F379" s="20"/>
      <c r="G379" s="20"/>
      <c r="H379" s="20"/>
      <c r="I379" s="20"/>
      <c r="J379" s="20"/>
      <c r="K379" s="24"/>
      <c r="L379" s="20"/>
      <c r="M379" s="20"/>
      <c r="N379" s="20"/>
      <c r="O379" s="20"/>
    </row>
    <row r="380" spans="1:15" x14ac:dyDescent="0.3">
      <c r="A380" s="19" t="str">
        <f t="shared" si="3"/>
        <v/>
      </c>
      <c r="B380" s="20"/>
      <c r="C380" s="20"/>
      <c r="D380" s="21" t="str">
        <f>IF($C380="","",IFERROR(VLOOKUP($C380,Map_Register!$A$2:$C$5,3,FALSE()),""))</f>
        <v/>
      </c>
      <c r="E380" s="20"/>
      <c r="F380" s="20"/>
      <c r="G380" s="20"/>
      <c r="H380" s="20"/>
      <c r="I380" s="20"/>
      <c r="J380" s="20"/>
      <c r="K380" s="24"/>
      <c r="L380" s="20"/>
      <c r="M380" s="20"/>
      <c r="N380" s="20"/>
      <c r="O380" s="20"/>
    </row>
    <row r="381" spans="1:15" x14ac:dyDescent="0.3">
      <c r="A381" s="19" t="str">
        <f t="shared" si="3"/>
        <v/>
      </c>
      <c r="B381" s="20"/>
      <c r="C381" s="20"/>
      <c r="D381" s="21" t="str">
        <f>IF($C381="","",IFERROR(VLOOKUP($C381,Map_Register!$A$2:$C$5,3,FALSE()),""))</f>
        <v/>
      </c>
      <c r="E381" s="20"/>
      <c r="F381" s="20"/>
      <c r="G381" s="20"/>
      <c r="H381" s="20"/>
      <c r="I381" s="20"/>
      <c r="J381" s="20"/>
      <c r="K381" s="24"/>
      <c r="L381" s="20"/>
      <c r="M381" s="20"/>
      <c r="N381" s="20"/>
      <c r="O381" s="20"/>
    </row>
    <row r="382" spans="1:15" x14ac:dyDescent="0.3">
      <c r="A382" s="19" t="str">
        <f t="shared" si="3"/>
        <v/>
      </c>
      <c r="B382" s="20"/>
      <c r="C382" s="20"/>
      <c r="D382" s="21" t="str">
        <f>IF($C382="","",IFERROR(VLOOKUP($C382,Map_Register!$A$2:$C$5,3,FALSE()),""))</f>
        <v/>
      </c>
      <c r="E382" s="20"/>
      <c r="F382" s="20"/>
      <c r="G382" s="20"/>
      <c r="H382" s="20"/>
      <c r="I382" s="20"/>
      <c r="J382" s="20"/>
      <c r="K382" s="24"/>
      <c r="L382" s="20"/>
      <c r="M382" s="20"/>
      <c r="N382" s="20"/>
      <c r="O382" s="20"/>
    </row>
    <row r="383" spans="1:15" x14ac:dyDescent="0.3">
      <c r="A383" s="19" t="str">
        <f t="shared" si="3"/>
        <v/>
      </c>
      <c r="B383" s="20"/>
      <c r="C383" s="20"/>
      <c r="D383" s="21" t="str">
        <f>IF($C383="","",IFERROR(VLOOKUP($C383,Map_Register!$A$2:$C$5,3,FALSE()),""))</f>
        <v/>
      </c>
      <c r="E383" s="20"/>
      <c r="F383" s="20"/>
      <c r="G383" s="20"/>
      <c r="H383" s="20"/>
      <c r="I383" s="20"/>
      <c r="J383" s="20"/>
      <c r="K383" s="24"/>
      <c r="L383" s="20"/>
      <c r="M383" s="20"/>
      <c r="N383" s="20"/>
      <c r="O383" s="20"/>
    </row>
    <row r="384" spans="1:15" x14ac:dyDescent="0.3">
      <c r="A384" s="19" t="str">
        <f t="shared" si="3"/>
        <v/>
      </c>
      <c r="B384" s="20"/>
      <c r="C384" s="20"/>
      <c r="D384" s="21" t="str">
        <f>IF($C384="","",IFERROR(VLOOKUP($C384,Map_Register!$A$2:$C$5,3,FALSE()),""))</f>
        <v/>
      </c>
      <c r="E384" s="20"/>
      <c r="F384" s="20"/>
      <c r="G384" s="20"/>
      <c r="H384" s="20"/>
      <c r="I384" s="20"/>
      <c r="J384" s="20"/>
      <c r="K384" s="24"/>
      <c r="L384" s="20"/>
      <c r="M384" s="20"/>
      <c r="N384" s="20"/>
      <c r="O384" s="20"/>
    </row>
    <row r="385" spans="1:15" x14ac:dyDescent="0.3">
      <c r="A385" s="19" t="str">
        <f t="shared" si="3"/>
        <v/>
      </c>
      <c r="B385" s="20"/>
      <c r="C385" s="20"/>
      <c r="D385" s="21" t="str">
        <f>IF($C385="","",IFERROR(VLOOKUP($C385,Map_Register!$A$2:$C$5,3,FALSE()),""))</f>
        <v/>
      </c>
      <c r="E385" s="20"/>
      <c r="F385" s="20"/>
      <c r="G385" s="20"/>
      <c r="H385" s="20"/>
      <c r="I385" s="20"/>
      <c r="J385" s="20"/>
      <c r="K385" s="24"/>
      <c r="L385" s="20"/>
      <c r="M385" s="20"/>
      <c r="N385" s="20"/>
      <c r="O385" s="20"/>
    </row>
    <row r="386" spans="1:15" x14ac:dyDescent="0.3">
      <c r="A386" s="19" t="str">
        <f t="shared" si="3"/>
        <v/>
      </c>
      <c r="B386" s="20"/>
      <c r="C386" s="20"/>
      <c r="D386" s="21" t="str">
        <f>IF($C386="","",IFERROR(VLOOKUP($C386,Map_Register!$A$2:$C$5,3,FALSE()),""))</f>
        <v/>
      </c>
      <c r="E386" s="20"/>
      <c r="F386" s="20"/>
      <c r="G386" s="20"/>
      <c r="H386" s="20"/>
      <c r="I386" s="20"/>
      <c r="J386" s="20"/>
      <c r="K386" s="24"/>
      <c r="L386" s="20"/>
      <c r="M386" s="20"/>
      <c r="N386" s="20"/>
      <c r="O386" s="20"/>
    </row>
    <row r="387" spans="1:15" x14ac:dyDescent="0.3">
      <c r="A387" s="19" t="str">
        <f t="shared" si="3"/>
        <v/>
      </c>
      <c r="B387" s="20"/>
      <c r="C387" s="20"/>
      <c r="D387" s="21" t="str">
        <f>IF($C387="","",IFERROR(VLOOKUP($C387,Map_Register!$A$2:$C$5,3,FALSE()),""))</f>
        <v/>
      </c>
      <c r="E387" s="20"/>
      <c r="F387" s="20"/>
      <c r="G387" s="20"/>
      <c r="H387" s="20"/>
      <c r="I387" s="20"/>
      <c r="J387" s="20"/>
      <c r="K387" s="24"/>
      <c r="L387" s="20"/>
      <c r="M387" s="20"/>
      <c r="N387" s="20"/>
      <c r="O387" s="20"/>
    </row>
    <row r="388" spans="1:15" x14ac:dyDescent="0.3">
      <c r="A388" s="19" t="str">
        <f t="shared" si="3"/>
        <v/>
      </c>
      <c r="B388" s="20"/>
      <c r="C388" s="20"/>
      <c r="D388" s="21" t="str">
        <f>IF($C388="","",IFERROR(VLOOKUP($C388,Map_Register!$A$2:$C$5,3,FALSE()),""))</f>
        <v/>
      </c>
      <c r="E388" s="20"/>
      <c r="F388" s="20"/>
      <c r="G388" s="20"/>
      <c r="H388" s="20"/>
      <c r="I388" s="20"/>
      <c r="J388" s="20"/>
      <c r="K388" s="24"/>
      <c r="L388" s="20"/>
      <c r="M388" s="20"/>
      <c r="N388" s="20"/>
      <c r="O388" s="20"/>
    </row>
    <row r="389" spans="1:15" x14ac:dyDescent="0.3">
      <c r="A389" s="19" t="str">
        <f t="shared" si="3"/>
        <v/>
      </c>
      <c r="B389" s="20"/>
      <c r="C389" s="20"/>
      <c r="D389" s="21" t="str">
        <f>IF($C389="","",IFERROR(VLOOKUP($C389,Map_Register!$A$2:$C$5,3,FALSE()),""))</f>
        <v/>
      </c>
      <c r="E389" s="20"/>
      <c r="F389" s="20"/>
      <c r="G389" s="20"/>
      <c r="H389" s="20"/>
      <c r="I389" s="20"/>
      <c r="J389" s="20"/>
      <c r="K389" s="24"/>
      <c r="L389" s="20"/>
      <c r="M389" s="20"/>
      <c r="N389" s="20"/>
      <c r="O389" s="20"/>
    </row>
    <row r="390" spans="1:15" x14ac:dyDescent="0.3">
      <c r="A390" s="19" t="str">
        <f t="shared" si="3"/>
        <v/>
      </c>
      <c r="B390" s="20"/>
      <c r="C390" s="20"/>
      <c r="D390" s="21" t="str">
        <f>IF($C390="","",IFERROR(VLOOKUP($C390,Map_Register!$A$2:$C$5,3,FALSE()),""))</f>
        <v/>
      </c>
      <c r="E390" s="20"/>
      <c r="F390" s="20"/>
      <c r="G390" s="20"/>
      <c r="H390" s="20"/>
      <c r="I390" s="20"/>
      <c r="J390" s="20"/>
      <c r="K390" s="24"/>
      <c r="L390" s="20"/>
      <c r="M390" s="20"/>
      <c r="N390" s="20"/>
      <c r="O390" s="20"/>
    </row>
    <row r="391" spans="1:15" x14ac:dyDescent="0.3">
      <c r="A391" s="19" t="str">
        <f t="shared" si="3"/>
        <v/>
      </c>
      <c r="B391" s="20"/>
      <c r="C391" s="20"/>
      <c r="D391" s="21" t="str">
        <f>IF($C391="","",IFERROR(VLOOKUP($C391,Map_Register!$A$2:$C$5,3,FALSE()),""))</f>
        <v/>
      </c>
      <c r="E391" s="20"/>
      <c r="F391" s="20"/>
      <c r="G391" s="20"/>
      <c r="H391" s="20"/>
      <c r="I391" s="20"/>
      <c r="J391" s="20"/>
      <c r="K391" s="24"/>
      <c r="L391" s="20"/>
      <c r="M391" s="20"/>
      <c r="N391" s="20"/>
      <c r="O391" s="20"/>
    </row>
    <row r="392" spans="1:15" x14ac:dyDescent="0.3">
      <c r="A392" s="19" t="str">
        <f t="shared" si="3"/>
        <v/>
      </c>
      <c r="B392" s="20"/>
      <c r="C392" s="20"/>
      <c r="D392" s="21" t="str">
        <f>IF($C392="","",IFERROR(VLOOKUP($C392,Map_Register!$A$2:$C$5,3,FALSE()),""))</f>
        <v/>
      </c>
      <c r="E392" s="20"/>
      <c r="F392" s="20"/>
      <c r="G392" s="20"/>
      <c r="H392" s="20"/>
      <c r="I392" s="20"/>
      <c r="J392" s="20"/>
      <c r="K392" s="24"/>
      <c r="L392" s="20"/>
      <c r="M392" s="20"/>
      <c r="N392" s="20"/>
      <c r="O392" s="20"/>
    </row>
    <row r="393" spans="1:15" x14ac:dyDescent="0.3">
      <c r="A393" s="19" t="str">
        <f t="shared" si="3"/>
        <v/>
      </c>
      <c r="B393" s="20"/>
      <c r="C393" s="20"/>
      <c r="D393" s="21" t="str">
        <f>IF($C393="","",IFERROR(VLOOKUP($C393,Map_Register!$A$2:$C$5,3,FALSE()),""))</f>
        <v/>
      </c>
      <c r="E393" s="20"/>
      <c r="F393" s="20"/>
      <c r="G393" s="20"/>
      <c r="H393" s="20"/>
      <c r="I393" s="20"/>
      <c r="J393" s="20"/>
      <c r="K393" s="24"/>
      <c r="L393" s="20"/>
      <c r="M393" s="20"/>
      <c r="N393" s="20"/>
      <c r="O393" s="20"/>
    </row>
    <row r="394" spans="1:15" x14ac:dyDescent="0.3">
      <c r="A394" s="19" t="str">
        <f t="shared" si="3"/>
        <v/>
      </c>
      <c r="B394" s="20"/>
      <c r="C394" s="20"/>
      <c r="D394" s="21" t="str">
        <f>IF($C394="","",IFERROR(VLOOKUP($C394,Map_Register!$A$2:$C$5,3,FALSE()),""))</f>
        <v/>
      </c>
      <c r="E394" s="20"/>
      <c r="F394" s="20"/>
      <c r="G394" s="20"/>
      <c r="H394" s="20"/>
      <c r="I394" s="20"/>
      <c r="J394" s="20"/>
      <c r="K394" s="24"/>
      <c r="L394" s="20"/>
      <c r="M394" s="20"/>
      <c r="N394" s="20"/>
      <c r="O394" s="20"/>
    </row>
    <row r="395" spans="1:15" x14ac:dyDescent="0.3">
      <c r="A395" s="19" t="str">
        <f t="shared" si="3"/>
        <v/>
      </c>
      <c r="B395" s="20"/>
      <c r="C395" s="20"/>
      <c r="D395" s="21" t="str">
        <f>IF($C395="","",IFERROR(VLOOKUP($C395,Map_Register!$A$2:$C$5,3,FALSE()),""))</f>
        <v/>
      </c>
      <c r="E395" s="20"/>
      <c r="F395" s="20"/>
      <c r="G395" s="20"/>
      <c r="H395" s="20"/>
      <c r="I395" s="20"/>
      <c r="J395" s="20"/>
      <c r="K395" s="24"/>
      <c r="L395" s="20"/>
      <c r="M395" s="20"/>
      <c r="N395" s="20"/>
      <c r="O395" s="20"/>
    </row>
    <row r="396" spans="1:15" x14ac:dyDescent="0.3">
      <c r="A396" s="19" t="str">
        <f t="shared" si="3"/>
        <v/>
      </c>
      <c r="B396" s="20"/>
      <c r="C396" s="20"/>
      <c r="D396" s="21" t="str">
        <f>IF($C396="","",IFERROR(VLOOKUP($C396,Map_Register!$A$2:$C$5,3,FALSE()),""))</f>
        <v/>
      </c>
      <c r="E396" s="20"/>
      <c r="F396" s="20"/>
      <c r="G396" s="20"/>
      <c r="H396" s="20"/>
      <c r="I396" s="20"/>
      <c r="J396" s="20"/>
      <c r="K396" s="24"/>
      <c r="L396" s="20"/>
      <c r="M396" s="20"/>
      <c r="N396" s="20"/>
      <c r="O396" s="20"/>
    </row>
    <row r="397" spans="1:15" x14ac:dyDescent="0.3">
      <c r="A397" s="19" t="str">
        <f t="shared" si="3"/>
        <v/>
      </c>
      <c r="B397" s="20"/>
      <c r="C397" s="20"/>
      <c r="D397" s="21" t="str">
        <f>IF($C397="","",IFERROR(VLOOKUP($C397,Map_Register!$A$2:$C$5,3,FALSE()),""))</f>
        <v/>
      </c>
      <c r="E397" s="20"/>
      <c r="F397" s="20"/>
      <c r="G397" s="20"/>
      <c r="H397" s="20"/>
      <c r="I397" s="20"/>
      <c r="J397" s="20"/>
      <c r="K397" s="24"/>
      <c r="L397" s="20"/>
      <c r="M397" s="20"/>
      <c r="N397" s="20"/>
      <c r="O397" s="20"/>
    </row>
    <row r="398" spans="1:15" x14ac:dyDescent="0.3">
      <c r="A398" s="19" t="str">
        <f t="shared" si="3"/>
        <v/>
      </c>
      <c r="B398" s="20"/>
      <c r="C398" s="20"/>
      <c r="D398" s="21" t="str">
        <f>IF($C398="","",IFERROR(VLOOKUP($C398,Map_Register!$A$2:$C$5,3,FALSE()),""))</f>
        <v/>
      </c>
      <c r="E398" s="20"/>
      <c r="F398" s="20"/>
      <c r="G398" s="20"/>
      <c r="H398" s="20"/>
      <c r="I398" s="20"/>
      <c r="J398" s="20"/>
      <c r="K398" s="24"/>
      <c r="L398" s="20"/>
      <c r="M398" s="20"/>
      <c r="N398" s="20"/>
      <c r="O398" s="20"/>
    </row>
    <row r="399" spans="1:15" x14ac:dyDescent="0.3">
      <c r="A399" s="19" t="str">
        <f t="shared" si="3"/>
        <v/>
      </c>
      <c r="B399" s="20"/>
      <c r="C399" s="20"/>
      <c r="D399" s="21" t="str">
        <f>IF($C399="","",IFERROR(VLOOKUP($C399,Map_Register!$A$2:$C$5,3,FALSE()),""))</f>
        <v/>
      </c>
      <c r="E399" s="20"/>
      <c r="F399" s="20"/>
      <c r="G399" s="20"/>
      <c r="H399" s="20"/>
      <c r="I399" s="20"/>
      <c r="J399" s="20"/>
      <c r="K399" s="24"/>
      <c r="L399" s="20"/>
      <c r="M399" s="20"/>
      <c r="N399" s="20"/>
      <c r="O399" s="20"/>
    </row>
    <row r="400" spans="1:15" x14ac:dyDescent="0.3">
      <c r="A400" s="19" t="str">
        <f t="shared" si="3"/>
        <v/>
      </c>
      <c r="B400" s="20"/>
      <c r="C400" s="20"/>
      <c r="D400" s="21" t="str">
        <f>IF($C400="","",IFERROR(VLOOKUP($C400,Map_Register!$A$2:$C$5,3,FALSE()),""))</f>
        <v/>
      </c>
      <c r="E400" s="20"/>
      <c r="F400" s="20"/>
      <c r="G400" s="20"/>
      <c r="H400" s="20"/>
      <c r="I400" s="20"/>
      <c r="J400" s="20"/>
      <c r="K400" s="24"/>
      <c r="L400" s="20"/>
      <c r="M400" s="20"/>
      <c r="N400" s="20"/>
      <c r="O400" s="20"/>
    </row>
    <row r="401" spans="1:15" x14ac:dyDescent="0.3">
      <c r="A401" s="19" t="str">
        <f t="shared" si="3"/>
        <v/>
      </c>
      <c r="B401" s="20"/>
      <c r="C401" s="20"/>
      <c r="D401" s="21" t="str">
        <f>IF($C401="","",IFERROR(VLOOKUP($C401,Map_Register!$A$2:$C$5,3,FALSE()),""))</f>
        <v/>
      </c>
      <c r="E401" s="20"/>
      <c r="F401" s="20"/>
      <c r="G401" s="20"/>
      <c r="H401" s="20"/>
      <c r="I401" s="20"/>
      <c r="J401" s="20"/>
      <c r="K401" s="24"/>
      <c r="L401" s="20"/>
      <c r="M401" s="20"/>
      <c r="N401" s="20"/>
      <c r="O401" s="20"/>
    </row>
    <row r="402" spans="1:15" x14ac:dyDescent="0.3">
      <c r="A402" s="19" t="str">
        <f t="shared" si="3"/>
        <v/>
      </c>
      <c r="B402" s="20"/>
      <c r="C402" s="20"/>
      <c r="D402" s="21" t="str">
        <f>IF($C402="","",IFERROR(VLOOKUP($C402,Map_Register!$A$2:$C$5,3,FALSE()),""))</f>
        <v/>
      </c>
      <c r="E402" s="20"/>
      <c r="F402" s="20"/>
      <c r="G402" s="20"/>
      <c r="H402" s="20"/>
      <c r="I402" s="20"/>
      <c r="J402" s="20"/>
      <c r="K402" s="24"/>
      <c r="L402" s="20"/>
      <c r="M402" s="20"/>
      <c r="N402" s="20"/>
      <c r="O402" s="20"/>
    </row>
    <row r="403" spans="1:15" x14ac:dyDescent="0.3">
      <c r="A403" s="19" t="str">
        <f t="shared" si="3"/>
        <v/>
      </c>
      <c r="B403" s="20"/>
      <c r="C403" s="20"/>
      <c r="D403" s="21" t="str">
        <f>IF($C403="","",IFERROR(VLOOKUP($C403,Map_Register!$A$2:$C$5,3,FALSE()),""))</f>
        <v/>
      </c>
      <c r="E403" s="20"/>
      <c r="F403" s="20"/>
      <c r="G403" s="20"/>
      <c r="H403" s="20"/>
      <c r="I403" s="20"/>
      <c r="J403" s="20"/>
      <c r="K403" s="24"/>
      <c r="L403" s="20"/>
      <c r="M403" s="20"/>
      <c r="N403" s="20"/>
      <c r="O403" s="20"/>
    </row>
    <row r="404" spans="1:15" x14ac:dyDescent="0.3">
      <c r="A404" s="19" t="str">
        <f t="shared" si="3"/>
        <v/>
      </c>
      <c r="B404" s="20"/>
      <c r="C404" s="20"/>
      <c r="D404" s="21" t="str">
        <f>IF($C404="","",IFERROR(VLOOKUP($C404,Map_Register!$A$2:$C$5,3,FALSE()),""))</f>
        <v/>
      </c>
      <c r="E404" s="20"/>
      <c r="F404" s="20"/>
      <c r="G404" s="20"/>
      <c r="H404" s="20"/>
      <c r="I404" s="20"/>
      <c r="J404" s="20"/>
      <c r="K404" s="24"/>
      <c r="L404" s="20"/>
      <c r="M404" s="20"/>
      <c r="N404" s="20"/>
      <c r="O404" s="20"/>
    </row>
    <row r="405" spans="1:15" x14ac:dyDescent="0.3">
      <c r="A405" s="19" t="str">
        <f t="shared" si="3"/>
        <v/>
      </c>
      <c r="B405" s="20"/>
      <c r="C405" s="20"/>
      <c r="D405" s="21" t="str">
        <f>IF($C405="","",IFERROR(VLOOKUP($C405,Map_Register!$A$2:$C$5,3,FALSE()),""))</f>
        <v/>
      </c>
      <c r="E405" s="20"/>
      <c r="F405" s="20"/>
      <c r="G405" s="20"/>
      <c r="H405" s="20"/>
      <c r="I405" s="20"/>
      <c r="J405" s="20"/>
      <c r="K405" s="24"/>
      <c r="L405" s="20"/>
      <c r="M405" s="20"/>
      <c r="N405" s="20"/>
      <c r="O405" s="20"/>
    </row>
    <row r="406" spans="1:15" x14ac:dyDescent="0.3">
      <c r="A406" s="19" t="str">
        <f t="shared" si="3"/>
        <v/>
      </c>
      <c r="B406" s="20"/>
      <c r="C406" s="20"/>
      <c r="D406" s="21" t="str">
        <f>IF($C406="","",IFERROR(VLOOKUP($C406,Map_Register!$A$2:$C$5,3,FALSE()),""))</f>
        <v/>
      </c>
      <c r="E406" s="20"/>
      <c r="F406" s="20"/>
      <c r="G406" s="20"/>
      <c r="H406" s="20"/>
      <c r="I406" s="20"/>
      <c r="J406" s="20"/>
      <c r="K406" s="24"/>
      <c r="L406" s="20"/>
      <c r="M406" s="20"/>
      <c r="N406" s="20"/>
      <c r="O406" s="20"/>
    </row>
    <row r="407" spans="1:15" x14ac:dyDescent="0.3">
      <c r="A407" s="19" t="str">
        <f t="shared" si="3"/>
        <v/>
      </c>
      <c r="B407" s="20"/>
      <c r="C407" s="20"/>
      <c r="D407" s="21" t="str">
        <f>IF($C407="","",IFERROR(VLOOKUP($C407,Map_Register!$A$2:$C$5,3,FALSE()),""))</f>
        <v/>
      </c>
      <c r="E407" s="20"/>
      <c r="F407" s="20"/>
      <c r="G407" s="20"/>
      <c r="H407" s="20"/>
      <c r="I407" s="20"/>
      <c r="J407" s="20"/>
      <c r="K407" s="24"/>
      <c r="L407" s="20"/>
      <c r="M407" s="20"/>
      <c r="N407" s="20"/>
      <c r="O407" s="20"/>
    </row>
    <row r="408" spans="1:15" x14ac:dyDescent="0.3">
      <c r="A408" s="19" t="str">
        <f t="shared" si="3"/>
        <v/>
      </c>
      <c r="B408" s="20"/>
      <c r="C408" s="20"/>
      <c r="D408" s="21" t="str">
        <f>IF($C408="","",IFERROR(VLOOKUP($C408,Map_Register!$A$2:$C$5,3,FALSE()),""))</f>
        <v/>
      </c>
      <c r="E408" s="20"/>
      <c r="F408" s="20"/>
      <c r="G408" s="20"/>
      <c r="H408" s="20"/>
      <c r="I408" s="20"/>
      <c r="J408" s="20"/>
      <c r="K408" s="24"/>
      <c r="L408" s="20"/>
      <c r="M408" s="20"/>
      <c r="N408" s="20"/>
      <c r="O408" s="20"/>
    </row>
    <row r="409" spans="1:15" x14ac:dyDescent="0.3">
      <c r="A409" s="19" t="str">
        <f t="shared" si="3"/>
        <v/>
      </c>
      <c r="B409" s="20"/>
      <c r="C409" s="20"/>
      <c r="D409" s="21" t="str">
        <f>IF($C409="","",IFERROR(VLOOKUP($C409,Map_Register!$A$2:$C$5,3,FALSE()),""))</f>
        <v/>
      </c>
      <c r="E409" s="20"/>
      <c r="F409" s="20"/>
      <c r="G409" s="20"/>
      <c r="H409" s="20"/>
      <c r="I409" s="20"/>
      <c r="J409" s="20"/>
      <c r="K409" s="24"/>
      <c r="L409" s="20"/>
      <c r="M409" s="20"/>
      <c r="N409" s="20"/>
      <c r="O409" s="20"/>
    </row>
    <row r="410" spans="1:15" x14ac:dyDescent="0.3">
      <c r="A410" s="19" t="str">
        <f t="shared" ref="A410:A473" si="4">IF($B410="","",ROW()-1)</f>
        <v/>
      </c>
      <c r="B410" s="20"/>
      <c r="C410" s="20"/>
      <c r="D410" s="21" t="str">
        <f>IF($C410="","",IFERROR(VLOOKUP($C410,Map_Register!$A$2:$C$5,3,FALSE()),""))</f>
        <v/>
      </c>
      <c r="E410" s="20"/>
      <c r="F410" s="20"/>
      <c r="G410" s="20"/>
      <c r="H410" s="20"/>
      <c r="I410" s="20"/>
      <c r="J410" s="20"/>
      <c r="K410" s="24"/>
      <c r="L410" s="20"/>
      <c r="M410" s="20"/>
      <c r="N410" s="20"/>
      <c r="O410" s="20"/>
    </row>
    <row r="411" spans="1:15" x14ac:dyDescent="0.3">
      <c r="A411" s="19" t="str">
        <f t="shared" si="4"/>
        <v/>
      </c>
      <c r="B411" s="20"/>
      <c r="C411" s="20"/>
      <c r="D411" s="21" t="str">
        <f>IF($C411="","",IFERROR(VLOOKUP($C411,Map_Register!$A$2:$C$5,3,FALSE()),""))</f>
        <v/>
      </c>
      <c r="E411" s="20"/>
      <c r="F411" s="20"/>
      <c r="G411" s="20"/>
      <c r="H411" s="20"/>
      <c r="I411" s="20"/>
      <c r="J411" s="20"/>
      <c r="K411" s="24"/>
      <c r="L411" s="20"/>
      <c r="M411" s="20"/>
      <c r="N411" s="20"/>
      <c r="O411" s="20"/>
    </row>
    <row r="412" spans="1:15" x14ac:dyDescent="0.3">
      <c r="A412" s="19" t="str">
        <f t="shared" si="4"/>
        <v/>
      </c>
      <c r="B412" s="20"/>
      <c r="C412" s="20"/>
      <c r="D412" s="21" t="str">
        <f>IF($C412="","",IFERROR(VLOOKUP($C412,Map_Register!$A$2:$C$5,3,FALSE()),""))</f>
        <v/>
      </c>
      <c r="E412" s="20"/>
      <c r="F412" s="20"/>
      <c r="G412" s="20"/>
      <c r="H412" s="20"/>
      <c r="I412" s="20"/>
      <c r="J412" s="20"/>
      <c r="K412" s="24"/>
      <c r="L412" s="20"/>
      <c r="M412" s="20"/>
      <c r="N412" s="20"/>
      <c r="O412" s="20"/>
    </row>
    <row r="413" spans="1:15" x14ac:dyDescent="0.3">
      <c r="A413" s="19" t="str">
        <f t="shared" si="4"/>
        <v/>
      </c>
      <c r="B413" s="20"/>
      <c r="C413" s="20"/>
      <c r="D413" s="21" t="str">
        <f>IF($C413="","",IFERROR(VLOOKUP($C413,Map_Register!$A$2:$C$5,3,FALSE()),""))</f>
        <v/>
      </c>
      <c r="E413" s="20"/>
      <c r="F413" s="20"/>
      <c r="G413" s="20"/>
      <c r="H413" s="20"/>
      <c r="I413" s="20"/>
      <c r="J413" s="20"/>
      <c r="K413" s="24"/>
      <c r="L413" s="20"/>
      <c r="M413" s="20"/>
      <c r="N413" s="20"/>
      <c r="O413" s="20"/>
    </row>
    <row r="414" spans="1:15" x14ac:dyDescent="0.3">
      <c r="A414" s="19" t="str">
        <f t="shared" si="4"/>
        <v/>
      </c>
      <c r="B414" s="20"/>
      <c r="C414" s="20"/>
      <c r="D414" s="21" t="str">
        <f>IF($C414="","",IFERROR(VLOOKUP($C414,Map_Register!$A$2:$C$5,3,FALSE()),""))</f>
        <v/>
      </c>
      <c r="E414" s="20"/>
      <c r="F414" s="20"/>
      <c r="G414" s="20"/>
      <c r="H414" s="20"/>
      <c r="I414" s="20"/>
      <c r="J414" s="20"/>
      <c r="K414" s="24"/>
      <c r="L414" s="20"/>
      <c r="M414" s="20"/>
      <c r="N414" s="20"/>
      <c r="O414" s="20"/>
    </row>
    <row r="415" spans="1:15" x14ac:dyDescent="0.3">
      <c r="A415" s="19" t="str">
        <f t="shared" si="4"/>
        <v/>
      </c>
      <c r="B415" s="20"/>
      <c r="C415" s="20"/>
      <c r="D415" s="21" t="str">
        <f>IF($C415="","",IFERROR(VLOOKUP($C415,Map_Register!$A$2:$C$5,3,FALSE()),""))</f>
        <v/>
      </c>
      <c r="E415" s="20"/>
      <c r="F415" s="20"/>
      <c r="G415" s="20"/>
      <c r="H415" s="20"/>
      <c r="I415" s="20"/>
      <c r="J415" s="20"/>
      <c r="K415" s="24"/>
      <c r="L415" s="20"/>
      <c r="M415" s="20"/>
      <c r="N415" s="20"/>
      <c r="O415" s="20"/>
    </row>
    <row r="416" spans="1:15" x14ac:dyDescent="0.3">
      <c r="A416" s="19" t="str">
        <f t="shared" si="4"/>
        <v/>
      </c>
      <c r="B416" s="20"/>
      <c r="C416" s="20"/>
      <c r="D416" s="21" t="str">
        <f>IF($C416="","",IFERROR(VLOOKUP($C416,Map_Register!$A$2:$C$5,3,FALSE()),""))</f>
        <v/>
      </c>
      <c r="E416" s="20"/>
      <c r="F416" s="20"/>
      <c r="G416" s="20"/>
      <c r="H416" s="20"/>
      <c r="I416" s="20"/>
      <c r="J416" s="20"/>
      <c r="K416" s="24"/>
      <c r="L416" s="20"/>
      <c r="M416" s="20"/>
      <c r="N416" s="20"/>
      <c r="O416" s="20"/>
    </row>
    <row r="417" spans="1:15" x14ac:dyDescent="0.3">
      <c r="A417" s="19" t="str">
        <f t="shared" si="4"/>
        <v/>
      </c>
      <c r="B417" s="20"/>
      <c r="C417" s="20"/>
      <c r="D417" s="21" t="str">
        <f>IF($C417="","",IFERROR(VLOOKUP($C417,Map_Register!$A$2:$C$5,3,FALSE()),""))</f>
        <v/>
      </c>
      <c r="E417" s="20"/>
      <c r="F417" s="20"/>
      <c r="G417" s="20"/>
      <c r="H417" s="20"/>
      <c r="I417" s="20"/>
      <c r="J417" s="20"/>
      <c r="K417" s="24"/>
      <c r="L417" s="20"/>
      <c r="M417" s="20"/>
      <c r="N417" s="20"/>
      <c r="O417" s="20"/>
    </row>
    <row r="418" spans="1:15" x14ac:dyDescent="0.3">
      <c r="A418" s="19" t="str">
        <f t="shared" si="4"/>
        <v/>
      </c>
      <c r="B418" s="20"/>
      <c r="C418" s="20"/>
      <c r="D418" s="21" t="str">
        <f>IF($C418="","",IFERROR(VLOOKUP($C418,Map_Register!$A$2:$C$5,3,FALSE()),""))</f>
        <v/>
      </c>
      <c r="E418" s="20"/>
      <c r="F418" s="20"/>
      <c r="G418" s="20"/>
      <c r="H418" s="20"/>
      <c r="I418" s="20"/>
      <c r="J418" s="20"/>
      <c r="K418" s="24"/>
      <c r="L418" s="20"/>
      <c r="M418" s="20"/>
      <c r="N418" s="20"/>
      <c r="O418" s="20"/>
    </row>
    <row r="419" spans="1:15" x14ac:dyDescent="0.3">
      <c r="A419" s="19" t="str">
        <f t="shared" si="4"/>
        <v/>
      </c>
      <c r="B419" s="20"/>
      <c r="C419" s="20"/>
      <c r="D419" s="21" t="str">
        <f>IF($C419="","",IFERROR(VLOOKUP($C419,Map_Register!$A$2:$C$5,3,FALSE()),""))</f>
        <v/>
      </c>
      <c r="E419" s="20"/>
      <c r="F419" s="20"/>
      <c r="G419" s="20"/>
      <c r="H419" s="20"/>
      <c r="I419" s="20"/>
      <c r="J419" s="20"/>
      <c r="K419" s="24"/>
      <c r="L419" s="20"/>
      <c r="M419" s="20"/>
      <c r="N419" s="20"/>
      <c r="O419" s="20"/>
    </row>
    <row r="420" spans="1:15" x14ac:dyDescent="0.3">
      <c r="A420" s="19" t="str">
        <f t="shared" si="4"/>
        <v/>
      </c>
      <c r="B420" s="20"/>
      <c r="C420" s="20"/>
      <c r="D420" s="21" t="str">
        <f>IF($C420="","",IFERROR(VLOOKUP($C420,Map_Register!$A$2:$C$5,3,FALSE()),""))</f>
        <v/>
      </c>
      <c r="E420" s="20"/>
      <c r="F420" s="20"/>
      <c r="G420" s="20"/>
      <c r="H420" s="20"/>
      <c r="I420" s="20"/>
      <c r="J420" s="20"/>
      <c r="K420" s="24"/>
      <c r="L420" s="20"/>
      <c r="M420" s="20"/>
      <c r="N420" s="20"/>
      <c r="O420" s="20"/>
    </row>
    <row r="421" spans="1:15" x14ac:dyDescent="0.3">
      <c r="A421" s="19" t="str">
        <f t="shared" si="4"/>
        <v/>
      </c>
      <c r="B421" s="20"/>
      <c r="C421" s="20"/>
      <c r="D421" s="21" t="str">
        <f>IF($C421="","",IFERROR(VLOOKUP($C421,Map_Register!$A$2:$C$5,3,FALSE()),""))</f>
        <v/>
      </c>
      <c r="E421" s="20"/>
      <c r="F421" s="20"/>
      <c r="G421" s="20"/>
      <c r="H421" s="20"/>
      <c r="I421" s="20"/>
      <c r="J421" s="20"/>
      <c r="K421" s="24"/>
      <c r="L421" s="20"/>
      <c r="M421" s="20"/>
      <c r="N421" s="20"/>
      <c r="O421" s="20"/>
    </row>
    <row r="422" spans="1:15" x14ac:dyDescent="0.3">
      <c r="A422" s="19" t="str">
        <f t="shared" si="4"/>
        <v/>
      </c>
      <c r="B422" s="20"/>
      <c r="C422" s="20"/>
      <c r="D422" s="21" t="str">
        <f>IF($C422="","",IFERROR(VLOOKUP($C422,Map_Register!$A$2:$C$5,3,FALSE()),""))</f>
        <v/>
      </c>
      <c r="E422" s="20"/>
      <c r="F422" s="20"/>
      <c r="G422" s="20"/>
      <c r="H422" s="20"/>
      <c r="I422" s="20"/>
      <c r="J422" s="20"/>
      <c r="K422" s="24"/>
      <c r="L422" s="20"/>
      <c r="M422" s="20"/>
      <c r="N422" s="20"/>
      <c r="O422" s="20"/>
    </row>
    <row r="423" spans="1:15" x14ac:dyDescent="0.3">
      <c r="A423" s="19" t="str">
        <f t="shared" si="4"/>
        <v/>
      </c>
      <c r="B423" s="20"/>
      <c r="C423" s="20"/>
      <c r="D423" s="21" t="str">
        <f>IF($C423="","",IFERROR(VLOOKUP($C423,Map_Register!$A$2:$C$5,3,FALSE()),""))</f>
        <v/>
      </c>
      <c r="E423" s="20"/>
      <c r="F423" s="20"/>
      <c r="G423" s="20"/>
      <c r="H423" s="20"/>
      <c r="I423" s="20"/>
      <c r="J423" s="20"/>
      <c r="K423" s="24"/>
      <c r="L423" s="20"/>
      <c r="M423" s="20"/>
      <c r="N423" s="20"/>
      <c r="O423" s="20"/>
    </row>
    <row r="424" spans="1:15" x14ac:dyDescent="0.3">
      <c r="A424" s="19" t="str">
        <f t="shared" si="4"/>
        <v/>
      </c>
      <c r="B424" s="20"/>
      <c r="C424" s="20"/>
      <c r="D424" s="21" t="str">
        <f>IF($C424="","",IFERROR(VLOOKUP($C424,Map_Register!$A$2:$C$5,3,FALSE()),""))</f>
        <v/>
      </c>
      <c r="E424" s="20"/>
      <c r="F424" s="20"/>
      <c r="G424" s="20"/>
      <c r="H424" s="20"/>
      <c r="I424" s="20"/>
      <c r="J424" s="20"/>
      <c r="K424" s="24"/>
      <c r="L424" s="20"/>
      <c r="M424" s="20"/>
      <c r="N424" s="20"/>
      <c r="O424" s="20"/>
    </row>
    <row r="425" spans="1:15" x14ac:dyDescent="0.3">
      <c r="A425" s="19" t="str">
        <f t="shared" si="4"/>
        <v/>
      </c>
      <c r="B425" s="20"/>
      <c r="C425" s="20"/>
      <c r="D425" s="21" t="str">
        <f>IF($C425="","",IFERROR(VLOOKUP($C425,Map_Register!$A$2:$C$5,3,FALSE()),""))</f>
        <v/>
      </c>
      <c r="E425" s="20"/>
      <c r="F425" s="20"/>
      <c r="G425" s="20"/>
      <c r="H425" s="20"/>
      <c r="I425" s="20"/>
      <c r="J425" s="20"/>
      <c r="K425" s="24"/>
      <c r="L425" s="20"/>
      <c r="M425" s="20"/>
      <c r="N425" s="20"/>
      <c r="O425" s="20"/>
    </row>
    <row r="426" spans="1:15" x14ac:dyDescent="0.3">
      <c r="A426" s="19" t="str">
        <f t="shared" si="4"/>
        <v/>
      </c>
      <c r="B426" s="20"/>
      <c r="C426" s="20"/>
      <c r="D426" s="21" t="str">
        <f>IF($C426="","",IFERROR(VLOOKUP($C426,Map_Register!$A$2:$C$5,3,FALSE()),""))</f>
        <v/>
      </c>
      <c r="E426" s="20"/>
      <c r="F426" s="20"/>
      <c r="G426" s="20"/>
      <c r="H426" s="20"/>
      <c r="I426" s="20"/>
      <c r="J426" s="20"/>
      <c r="K426" s="24"/>
      <c r="L426" s="20"/>
      <c r="M426" s="20"/>
      <c r="N426" s="20"/>
      <c r="O426" s="20"/>
    </row>
    <row r="427" spans="1:15" x14ac:dyDescent="0.3">
      <c r="A427" s="19" t="str">
        <f t="shared" si="4"/>
        <v/>
      </c>
      <c r="B427" s="20"/>
      <c r="C427" s="20"/>
      <c r="D427" s="21" t="str">
        <f>IF($C427="","",IFERROR(VLOOKUP($C427,Map_Register!$A$2:$C$5,3,FALSE()),""))</f>
        <v/>
      </c>
      <c r="E427" s="20"/>
      <c r="F427" s="20"/>
      <c r="G427" s="20"/>
      <c r="H427" s="20"/>
      <c r="I427" s="20"/>
      <c r="J427" s="20"/>
      <c r="K427" s="24"/>
      <c r="L427" s="20"/>
      <c r="M427" s="20"/>
      <c r="N427" s="20"/>
      <c r="O427" s="20"/>
    </row>
    <row r="428" spans="1:15" x14ac:dyDescent="0.3">
      <c r="A428" s="19" t="str">
        <f t="shared" si="4"/>
        <v/>
      </c>
      <c r="B428" s="20"/>
      <c r="C428" s="20"/>
      <c r="D428" s="21" t="str">
        <f>IF($C428="","",IFERROR(VLOOKUP($C428,Map_Register!$A$2:$C$5,3,FALSE()),""))</f>
        <v/>
      </c>
      <c r="E428" s="20"/>
      <c r="F428" s="20"/>
      <c r="G428" s="20"/>
      <c r="H428" s="20"/>
      <c r="I428" s="20"/>
      <c r="J428" s="20"/>
      <c r="K428" s="24"/>
      <c r="L428" s="20"/>
      <c r="M428" s="20"/>
      <c r="N428" s="20"/>
      <c r="O428" s="20"/>
    </row>
    <row r="429" spans="1:15" x14ac:dyDescent="0.3">
      <c r="A429" s="19" t="str">
        <f t="shared" si="4"/>
        <v/>
      </c>
      <c r="B429" s="20"/>
      <c r="C429" s="20"/>
      <c r="D429" s="21" t="str">
        <f>IF($C429="","",IFERROR(VLOOKUP($C429,Map_Register!$A$2:$C$5,3,FALSE()),""))</f>
        <v/>
      </c>
      <c r="E429" s="20"/>
      <c r="F429" s="20"/>
      <c r="G429" s="20"/>
      <c r="H429" s="20"/>
      <c r="I429" s="20"/>
      <c r="J429" s="20"/>
      <c r="K429" s="24"/>
      <c r="L429" s="20"/>
      <c r="M429" s="20"/>
      <c r="N429" s="20"/>
      <c r="O429" s="20"/>
    </row>
    <row r="430" spans="1:15" x14ac:dyDescent="0.3">
      <c r="A430" s="19" t="str">
        <f t="shared" si="4"/>
        <v/>
      </c>
      <c r="B430" s="20"/>
      <c r="C430" s="20"/>
      <c r="D430" s="21" t="str">
        <f>IF($C430="","",IFERROR(VLOOKUP($C430,Map_Register!$A$2:$C$5,3,FALSE()),""))</f>
        <v/>
      </c>
      <c r="E430" s="20"/>
      <c r="F430" s="20"/>
      <c r="G430" s="20"/>
      <c r="H430" s="20"/>
      <c r="I430" s="20"/>
      <c r="J430" s="20"/>
      <c r="K430" s="24"/>
      <c r="L430" s="20"/>
      <c r="M430" s="20"/>
      <c r="N430" s="20"/>
      <c r="O430" s="20"/>
    </row>
    <row r="431" spans="1:15" x14ac:dyDescent="0.3">
      <c r="A431" s="19" t="str">
        <f t="shared" si="4"/>
        <v/>
      </c>
      <c r="B431" s="20"/>
      <c r="C431" s="20"/>
      <c r="D431" s="21" t="str">
        <f>IF($C431="","",IFERROR(VLOOKUP($C431,Map_Register!$A$2:$C$5,3,FALSE()),""))</f>
        <v/>
      </c>
      <c r="E431" s="20"/>
      <c r="F431" s="20"/>
      <c r="G431" s="20"/>
      <c r="H431" s="20"/>
      <c r="I431" s="20"/>
      <c r="J431" s="20"/>
      <c r="K431" s="24"/>
      <c r="L431" s="20"/>
      <c r="M431" s="20"/>
      <c r="N431" s="20"/>
      <c r="O431" s="20"/>
    </row>
    <row r="432" spans="1:15" x14ac:dyDescent="0.3">
      <c r="A432" s="19" t="str">
        <f t="shared" si="4"/>
        <v/>
      </c>
      <c r="B432" s="20"/>
      <c r="C432" s="20"/>
      <c r="D432" s="21" t="str">
        <f>IF($C432="","",IFERROR(VLOOKUP($C432,Map_Register!$A$2:$C$5,3,FALSE()),""))</f>
        <v/>
      </c>
      <c r="E432" s="20"/>
      <c r="F432" s="20"/>
      <c r="G432" s="20"/>
      <c r="H432" s="20"/>
      <c r="I432" s="20"/>
      <c r="J432" s="20"/>
      <c r="K432" s="24"/>
      <c r="L432" s="20"/>
      <c r="M432" s="20"/>
      <c r="N432" s="20"/>
      <c r="O432" s="20"/>
    </row>
    <row r="433" spans="1:15" x14ac:dyDescent="0.3">
      <c r="A433" s="19" t="str">
        <f t="shared" si="4"/>
        <v/>
      </c>
      <c r="B433" s="20"/>
      <c r="C433" s="20"/>
      <c r="D433" s="21" t="str">
        <f>IF($C433="","",IFERROR(VLOOKUP($C433,Map_Register!$A$2:$C$5,3,FALSE()),""))</f>
        <v/>
      </c>
      <c r="E433" s="20"/>
      <c r="F433" s="20"/>
      <c r="G433" s="20"/>
      <c r="H433" s="20"/>
      <c r="I433" s="20"/>
      <c r="J433" s="20"/>
      <c r="K433" s="24"/>
      <c r="L433" s="20"/>
      <c r="M433" s="20"/>
      <c r="N433" s="20"/>
      <c r="O433" s="20"/>
    </row>
    <row r="434" spans="1:15" x14ac:dyDescent="0.3">
      <c r="A434" s="19" t="str">
        <f t="shared" si="4"/>
        <v/>
      </c>
      <c r="B434" s="20"/>
      <c r="C434" s="20"/>
      <c r="D434" s="21" t="str">
        <f>IF($C434="","",IFERROR(VLOOKUP($C434,Map_Register!$A$2:$C$5,3,FALSE()),""))</f>
        <v/>
      </c>
      <c r="E434" s="20"/>
      <c r="F434" s="20"/>
      <c r="G434" s="20"/>
      <c r="H434" s="20"/>
      <c r="I434" s="20"/>
      <c r="J434" s="20"/>
      <c r="K434" s="24"/>
      <c r="L434" s="20"/>
      <c r="M434" s="20"/>
      <c r="N434" s="20"/>
      <c r="O434" s="20"/>
    </row>
    <row r="435" spans="1:15" x14ac:dyDescent="0.3">
      <c r="A435" s="19" t="str">
        <f t="shared" si="4"/>
        <v/>
      </c>
      <c r="B435" s="20"/>
      <c r="C435" s="20"/>
      <c r="D435" s="21" t="str">
        <f>IF($C435="","",IFERROR(VLOOKUP($C435,Map_Register!$A$2:$C$5,3,FALSE()),""))</f>
        <v/>
      </c>
      <c r="E435" s="20"/>
      <c r="F435" s="20"/>
      <c r="G435" s="20"/>
      <c r="H435" s="20"/>
      <c r="I435" s="20"/>
      <c r="J435" s="20"/>
      <c r="K435" s="24"/>
      <c r="L435" s="20"/>
      <c r="M435" s="20"/>
      <c r="N435" s="20"/>
      <c r="O435" s="20"/>
    </row>
    <row r="436" spans="1:15" x14ac:dyDescent="0.3">
      <c r="A436" s="19" t="str">
        <f t="shared" si="4"/>
        <v/>
      </c>
      <c r="B436" s="20"/>
      <c r="C436" s="20"/>
      <c r="D436" s="21" t="str">
        <f>IF($C436="","",IFERROR(VLOOKUP($C436,Map_Register!$A$2:$C$5,3,FALSE()),""))</f>
        <v/>
      </c>
      <c r="E436" s="20"/>
      <c r="F436" s="20"/>
      <c r="G436" s="20"/>
      <c r="H436" s="20"/>
      <c r="I436" s="20"/>
      <c r="J436" s="20"/>
      <c r="K436" s="24"/>
      <c r="L436" s="20"/>
      <c r="M436" s="20"/>
      <c r="N436" s="20"/>
      <c r="O436" s="20"/>
    </row>
    <row r="437" spans="1:15" x14ac:dyDescent="0.3">
      <c r="A437" s="19" t="str">
        <f t="shared" si="4"/>
        <v/>
      </c>
      <c r="B437" s="20"/>
      <c r="C437" s="20"/>
      <c r="D437" s="21" t="str">
        <f>IF($C437="","",IFERROR(VLOOKUP($C437,Map_Register!$A$2:$C$5,3,FALSE()),""))</f>
        <v/>
      </c>
      <c r="E437" s="20"/>
      <c r="F437" s="20"/>
      <c r="G437" s="20"/>
      <c r="H437" s="20"/>
      <c r="I437" s="20"/>
      <c r="J437" s="20"/>
      <c r="K437" s="24"/>
      <c r="L437" s="20"/>
      <c r="M437" s="20"/>
      <c r="N437" s="20"/>
      <c r="O437" s="20"/>
    </row>
    <row r="438" spans="1:15" x14ac:dyDescent="0.3">
      <c r="A438" s="19" t="str">
        <f t="shared" si="4"/>
        <v/>
      </c>
      <c r="B438" s="20"/>
      <c r="C438" s="20"/>
      <c r="D438" s="21" t="str">
        <f>IF($C438="","",IFERROR(VLOOKUP($C438,Map_Register!$A$2:$C$5,3,FALSE()),""))</f>
        <v/>
      </c>
      <c r="E438" s="20"/>
      <c r="F438" s="20"/>
      <c r="G438" s="20"/>
      <c r="H438" s="20"/>
      <c r="I438" s="20"/>
      <c r="J438" s="20"/>
      <c r="K438" s="24"/>
      <c r="L438" s="20"/>
      <c r="M438" s="20"/>
      <c r="N438" s="20"/>
      <c r="O438" s="20"/>
    </row>
    <row r="439" spans="1:15" x14ac:dyDescent="0.3">
      <c r="A439" s="19" t="str">
        <f t="shared" si="4"/>
        <v/>
      </c>
      <c r="B439" s="20"/>
      <c r="C439" s="20"/>
      <c r="D439" s="21" t="str">
        <f>IF($C439="","",IFERROR(VLOOKUP($C439,Map_Register!$A$2:$C$5,3,FALSE()),""))</f>
        <v/>
      </c>
      <c r="E439" s="20"/>
      <c r="F439" s="20"/>
      <c r="G439" s="20"/>
      <c r="H439" s="20"/>
      <c r="I439" s="20"/>
      <c r="J439" s="20"/>
      <c r="K439" s="24"/>
      <c r="L439" s="20"/>
      <c r="M439" s="20"/>
      <c r="N439" s="20"/>
      <c r="O439" s="20"/>
    </row>
    <row r="440" spans="1:15" x14ac:dyDescent="0.3">
      <c r="A440" s="19" t="str">
        <f t="shared" si="4"/>
        <v/>
      </c>
      <c r="B440" s="20"/>
      <c r="C440" s="20"/>
      <c r="D440" s="21" t="str">
        <f>IF($C440="","",IFERROR(VLOOKUP($C440,Map_Register!$A$2:$C$5,3,FALSE()),""))</f>
        <v/>
      </c>
      <c r="E440" s="20"/>
      <c r="F440" s="20"/>
      <c r="G440" s="20"/>
      <c r="H440" s="20"/>
      <c r="I440" s="20"/>
      <c r="J440" s="20"/>
      <c r="K440" s="24"/>
      <c r="L440" s="20"/>
      <c r="M440" s="20"/>
      <c r="N440" s="20"/>
      <c r="O440" s="20"/>
    </row>
    <row r="441" spans="1:15" x14ac:dyDescent="0.3">
      <c r="A441" s="19" t="str">
        <f t="shared" si="4"/>
        <v/>
      </c>
      <c r="B441" s="20"/>
      <c r="C441" s="20"/>
      <c r="D441" s="21" t="str">
        <f>IF($C441="","",IFERROR(VLOOKUP($C441,Map_Register!$A$2:$C$5,3,FALSE()),""))</f>
        <v/>
      </c>
      <c r="E441" s="20"/>
      <c r="F441" s="20"/>
      <c r="G441" s="20"/>
      <c r="H441" s="20"/>
      <c r="I441" s="20"/>
      <c r="J441" s="20"/>
      <c r="K441" s="24"/>
      <c r="L441" s="20"/>
      <c r="M441" s="20"/>
      <c r="N441" s="20"/>
      <c r="O441" s="20"/>
    </row>
    <row r="442" spans="1:15" x14ac:dyDescent="0.3">
      <c r="A442" s="19" t="str">
        <f t="shared" si="4"/>
        <v/>
      </c>
      <c r="B442" s="20"/>
      <c r="C442" s="20"/>
      <c r="D442" s="21" t="str">
        <f>IF($C442="","",IFERROR(VLOOKUP($C442,Map_Register!$A$2:$C$5,3,FALSE()),""))</f>
        <v/>
      </c>
      <c r="E442" s="20"/>
      <c r="F442" s="20"/>
      <c r="G442" s="20"/>
      <c r="H442" s="20"/>
      <c r="I442" s="20"/>
      <c r="J442" s="20"/>
      <c r="K442" s="24"/>
      <c r="L442" s="20"/>
      <c r="M442" s="20"/>
      <c r="N442" s="20"/>
      <c r="O442" s="20"/>
    </row>
    <row r="443" spans="1:15" x14ac:dyDescent="0.3">
      <c r="A443" s="19" t="str">
        <f t="shared" si="4"/>
        <v/>
      </c>
      <c r="B443" s="20"/>
      <c r="C443" s="20"/>
      <c r="D443" s="21" t="str">
        <f>IF($C443="","",IFERROR(VLOOKUP($C443,Map_Register!$A$2:$C$5,3,FALSE()),""))</f>
        <v/>
      </c>
      <c r="E443" s="20"/>
      <c r="F443" s="20"/>
      <c r="G443" s="20"/>
      <c r="H443" s="20"/>
      <c r="I443" s="20"/>
      <c r="J443" s="20"/>
      <c r="K443" s="24"/>
      <c r="L443" s="20"/>
      <c r="M443" s="20"/>
      <c r="N443" s="20"/>
      <c r="O443" s="20"/>
    </row>
    <row r="444" spans="1:15" x14ac:dyDescent="0.3">
      <c r="A444" s="19" t="str">
        <f t="shared" si="4"/>
        <v/>
      </c>
      <c r="B444" s="20"/>
      <c r="C444" s="20"/>
      <c r="D444" s="21" t="str">
        <f>IF($C444="","",IFERROR(VLOOKUP($C444,Map_Register!$A$2:$C$5,3,FALSE()),""))</f>
        <v/>
      </c>
      <c r="E444" s="20"/>
      <c r="F444" s="20"/>
      <c r="G444" s="20"/>
      <c r="H444" s="20"/>
      <c r="I444" s="20"/>
      <c r="J444" s="20"/>
      <c r="K444" s="24"/>
      <c r="L444" s="20"/>
      <c r="M444" s="20"/>
      <c r="N444" s="20"/>
      <c r="O444" s="20"/>
    </row>
    <row r="445" spans="1:15" x14ac:dyDescent="0.3">
      <c r="A445" s="19" t="str">
        <f t="shared" si="4"/>
        <v/>
      </c>
      <c r="B445" s="20"/>
      <c r="C445" s="20"/>
      <c r="D445" s="21" t="str">
        <f>IF($C445="","",IFERROR(VLOOKUP($C445,Map_Register!$A$2:$C$5,3,FALSE()),""))</f>
        <v/>
      </c>
      <c r="E445" s="20"/>
      <c r="F445" s="20"/>
      <c r="G445" s="20"/>
      <c r="H445" s="20"/>
      <c r="I445" s="20"/>
      <c r="J445" s="20"/>
      <c r="K445" s="24"/>
      <c r="L445" s="20"/>
      <c r="M445" s="20"/>
      <c r="N445" s="20"/>
      <c r="O445" s="20"/>
    </row>
    <row r="446" spans="1:15" x14ac:dyDescent="0.3">
      <c r="A446" s="19" t="str">
        <f t="shared" si="4"/>
        <v/>
      </c>
      <c r="B446" s="20"/>
      <c r="C446" s="20"/>
      <c r="D446" s="21" t="str">
        <f>IF($C446="","",IFERROR(VLOOKUP($C446,Map_Register!$A$2:$C$5,3,FALSE()),""))</f>
        <v/>
      </c>
      <c r="E446" s="20"/>
      <c r="F446" s="20"/>
      <c r="G446" s="20"/>
      <c r="H446" s="20"/>
      <c r="I446" s="20"/>
      <c r="J446" s="20"/>
      <c r="K446" s="24"/>
      <c r="L446" s="20"/>
      <c r="M446" s="20"/>
      <c r="N446" s="20"/>
      <c r="O446" s="20"/>
    </row>
    <row r="447" spans="1:15" x14ac:dyDescent="0.3">
      <c r="A447" s="19" t="str">
        <f t="shared" si="4"/>
        <v/>
      </c>
      <c r="B447" s="20"/>
      <c r="C447" s="20"/>
      <c r="D447" s="21" t="str">
        <f>IF($C447="","",IFERROR(VLOOKUP($C447,Map_Register!$A$2:$C$5,3,FALSE()),""))</f>
        <v/>
      </c>
      <c r="E447" s="20"/>
      <c r="F447" s="20"/>
      <c r="G447" s="20"/>
      <c r="H447" s="20"/>
      <c r="I447" s="20"/>
      <c r="J447" s="20"/>
      <c r="K447" s="24"/>
      <c r="L447" s="20"/>
      <c r="M447" s="20"/>
      <c r="N447" s="20"/>
      <c r="O447" s="20"/>
    </row>
    <row r="448" spans="1:15" x14ac:dyDescent="0.3">
      <c r="A448" s="19" t="str">
        <f t="shared" si="4"/>
        <v/>
      </c>
      <c r="B448" s="20"/>
      <c r="C448" s="20"/>
      <c r="D448" s="21" t="str">
        <f>IF($C448="","",IFERROR(VLOOKUP($C448,Map_Register!$A$2:$C$5,3,FALSE()),""))</f>
        <v/>
      </c>
      <c r="E448" s="20"/>
      <c r="F448" s="20"/>
      <c r="G448" s="20"/>
      <c r="H448" s="20"/>
      <c r="I448" s="20"/>
      <c r="J448" s="20"/>
      <c r="K448" s="24"/>
      <c r="L448" s="20"/>
      <c r="M448" s="20"/>
      <c r="N448" s="20"/>
      <c r="O448" s="20"/>
    </row>
    <row r="449" spans="1:15" x14ac:dyDescent="0.3">
      <c r="A449" s="19" t="str">
        <f t="shared" si="4"/>
        <v/>
      </c>
      <c r="B449" s="20"/>
      <c r="C449" s="20"/>
      <c r="D449" s="21" t="str">
        <f>IF($C449="","",IFERROR(VLOOKUP($C449,Map_Register!$A$2:$C$5,3,FALSE()),""))</f>
        <v/>
      </c>
      <c r="E449" s="20"/>
      <c r="F449" s="20"/>
      <c r="G449" s="20"/>
      <c r="H449" s="20"/>
      <c r="I449" s="20"/>
      <c r="J449" s="20"/>
      <c r="K449" s="24"/>
      <c r="L449" s="20"/>
      <c r="M449" s="20"/>
      <c r="N449" s="20"/>
      <c r="O449" s="20"/>
    </row>
    <row r="450" spans="1:15" x14ac:dyDescent="0.3">
      <c r="A450" s="19" t="str">
        <f t="shared" si="4"/>
        <v/>
      </c>
      <c r="B450" s="20"/>
      <c r="C450" s="20"/>
      <c r="D450" s="21" t="str">
        <f>IF($C450="","",IFERROR(VLOOKUP($C450,Map_Register!$A$2:$C$5,3,FALSE()),""))</f>
        <v/>
      </c>
      <c r="E450" s="20"/>
      <c r="F450" s="20"/>
      <c r="G450" s="20"/>
      <c r="H450" s="20"/>
      <c r="I450" s="20"/>
      <c r="J450" s="20"/>
      <c r="K450" s="24"/>
      <c r="L450" s="20"/>
      <c r="M450" s="20"/>
      <c r="N450" s="20"/>
      <c r="O450" s="20"/>
    </row>
    <row r="451" spans="1:15" x14ac:dyDescent="0.3">
      <c r="A451" s="19" t="str">
        <f t="shared" si="4"/>
        <v/>
      </c>
      <c r="B451" s="20"/>
      <c r="C451" s="20"/>
      <c r="D451" s="21" t="str">
        <f>IF($C451="","",IFERROR(VLOOKUP($C451,Map_Register!$A$2:$C$5,3,FALSE()),""))</f>
        <v/>
      </c>
      <c r="E451" s="20"/>
      <c r="F451" s="20"/>
      <c r="G451" s="20"/>
      <c r="H451" s="20"/>
      <c r="I451" s="20"/>
      <c r="J451" s="20"/>
      <c r="K451" s="24"/>
      <c r="L451" s="20"/>
      <c r="M451" s="20"/>
      <c r="N451" s="20"/>
      <c r="O451" s="20"/>
    </row>
    <row r="452" spans="1:15" x14ac:dyDescent="0.3">
      <c r="A452" s="19" t="str">
        <f t="shared" si="4"/>
        <v/>
      </c>
      <c r="B452" s="20"/>
      <c r="C452" s="20"/>
      <c r="D452" s="21" t="str">
        <f>IF($C452="","",IFERROR(VLOOKUP($C452,Map_Register!$A$2:$C$5,3,FALSE()),""))</f>
        <v/>
      </c>
      <c r="E452" s="20"/>
      <c r="F452" s="20"/>
      <c r="G452" s="20"/>
      <c r="H452" s="20"/>
      <c r="I452" s="20"/>
      <c r="J452" s="20"/>
      <c r="K452" s="24"/>
      <c r="L452" s="20"/>
      <c r="M452" s="20"/>
      <c r="N452" s="20"/>
      <c r="O452" s="20"/>
    </row>
    <row r="453" spans="1:15" x14ac:dyDescent="0.3">
      <c r="A453" s="19" t="str">
        <f t="shared" si="4"/>
        <v/>
      </c>
      <c r="B453" s="20"/>
      <c r="C453" s="20"/>
      <c r="D453" s="21" t="str">
        <f>IF($C453="","",IFERROR(VLOOKUP($C453,Map_Register!$A$2:$C$5,3,FALSE()),""))</f>
        <v/>
      </c>
      <c r="E453" s="20"/>
      <c r="F453" s="20"/>
      <c r="G453" s="20"/>
      <c r="H453" s="20"/>
      <c r="I453" s="20"/>
      <c r="J453" s="20"/>
      <c r="K453" s="24"/>
      <c r="L453" s="20"/>
      <c r="M453" s="20"/>
      <c r="N453" s="20"/>
      <c r="O453" s="20"/>
    </row>
    <row r="454" spans="1:15" x14ac:dyDescent="0.3">
      <c r="A454" s="19" t="str">
        <f t="shared" si="4"/>
        <v/>
      </c>
      <c r="B454" s="20"/>
      <c r="C454" s="20"/>
      <c r="D454" s="21" t="str">
        <f>IF($C454="","",IFERROR(VLOOKUP($C454,Map_Register!$A$2:$C$5,3,FALSE()),""))</f>
        <v/>
      </c>
      <c r="E454" s="20"/>
      <c r="F454" s="20"/>
      <c r="G454" s="20"/>
      <c r="H454" s="20"/>
      <c r="I454" s="20"/>
      <c r="J454" s="20"/>
      <c r="K454" s="24"/>
      <c r="L454" s="20"/>
      <c r="M454" s="20"/>
      <c r="N454" s="20"/>
      <c r="O454" s="20"/>
    </row>
    <row r="455" spans="1:15" x14ac:dyDescent="0.3">
      <c r="A455" s="19" t="str">
        <f t="shared" si="4"/>
        <v/>
      </c>
      <c r="B455" s="20"/>
      <c r="C455" s="20"/>
      <c r="D455" s="21" t="str">
        <f>IF($C455="","",IFERROR(VLOOKUP($C455,Map_Register!$A$2:$C$5,3,FALSE()),""))</f>
        <v/>
      </c>
      <c r="E455" s="20"/>
      <c r="F455" s="20"/>
      <c r="G455" s="20"/>
      <c r="H455" s="20"/>
      <c r="I455" s="20"/>
      <c r="J455" s="20"/>
      <c r="K455" s="24"/>
      <c r="L455" s="20"/>
      <c r="M455" s="20"/>
      <c r="N455" s="20"/>
      <c r="O455" s="20"/>
    </row>
    <row r="456" spans="1:15" x14ac:dyDescent="0.3">
      <c r="A456" s="19" t="str">
        <f t="shared" si="4"/>
        <v/>
      </c>
      <c r="B456" s="20"/>
      <c r="C456" s="20"/>
      <c r="D456" s="21" t="str">
        <f>IF($C456="","",IFERROR(VLOOKUP($C456,Map_Register!$A$2:$C$5,3,FALSE()),""))</f>
        <v/>
      </c>
      <c r="E456" s="20"/>
      <c r="F456" s="20"/>
      <c r="G456" s="20"/>
      <c r="H456" s="20"/>
      <c r="I456" s="20"/>
      <c r="J456" s="20"/>
      <c r="K456" s="24"/>
      <c r="L456" s="20"/>
      <c r="M456" s="20"/>
      <c r="N456" s="20"/>
      <c r="O456" s="20"/>
    </row>
    <row r="457" spans="1:15" x14ac:dyDescent="0.3">
      <c r="A457" s="19" t="str">
        <f t="shared" si="4"/>
        <v/>
      </c>
      <c r="B457" s="20"/>
      <c r="C457" s="20"/>
      <c r="D457" s="21" t="str">
        <f>IF($C457="","",IFERROR(VLOOKUP($C457,Map_Register!$A$2:$C$5,3,FALSE()),""))</f>
        <v/>
      </c>
      <c r="E457" s="20"/>
      <c r="F457" s="20"/>
      <c r="G457" s="20"/>
      <c r="H457" s="20"/>
      <c r="I457" s="20"/>
      <c r="J457" s="20"/>
      <c r="K457" s="24"/>
      <c r="L457" s="20"/>
      <c r="M457" s="20"/>
      <c r="N457" s="20"/>
      <c r="O457" s="20"/>
    </row>
    <row r="458" spans="1:15" x14ac:dyDescent="0.3">
      <c r="A458" s="19" t="str">
        <f t="shared" si="4"/>
        <v/>
      </c>
      <c r="B458" s="20"/>
      <c r="C458" s="20"/>
      <c r="D458" s="21" t="str">
        <f>IF($C458="","",IFERROR(VLOOKUP($C458,Map_Register!$A$2:$C$5,3,FALSE()),""))</f>
        <v/>
      </c>
      <c r="E458" s="20"/>
      <c r="F458" s="20"/>
      <c r="G458" s="20"/>
      <c r="H458" s="20"/>
      <c r="I458" s="20"/>
      <c r="J458" s="20"/>
      <c r="K458" s="24"/>
      <c r="L458" s="20"/>
      <c r="M458" s="20"/>
      <c r="N458" s="20"/>
      <c r="O458" s="20"/>
    </row>
    <row r="459" spans="1:15" x14ac:dyDescent="0.3">
      <c r="A459" s="19" t="str">
        <f t="shared" si="4"/>
        <v/>
      </c>
      <c r="B459" s="20"/>
      <c r="C459" s="20"/>
      <c r="D459" s="21" t="str">
        <f>IF($C459="","",IFERROR(VLOOKUP($C459,Map_Register!$A$2:$C$5,3,FALSE()),""))</f>
        <v/>
      </c>
      <c r="E459" s="20"/>
      <c r="F459" s="20"/>
      <c r="G459" s="20"/>
      <c r="H459" s="20"/>
      <c r="I459" s="20"/>
      <c r="J459" s="20"/>
      <c r="K459" s="24"/>
      <c r="L459" s="20"/>
      <c r="M459" s="20"/>
      <c r="N459" s="20"/>
      <c r="O459" s="20"/>
    </row>
    <row r="460" spans="1:15" x14ac:dyDescent="0.3">
      <c r="A460" s="19" t="str">
        <f t="shared" si="4"/>
        <v/>
      </c>
      <c r="B460" s="20"/>
      <c r="C460" s="20"/>
      <c r="D460" s="21" t="str">
        <f>IF($C460="","",IFERROR(VLOOKUP($C460,Map_Register!$A$2:$C$5,3,FALSE()),""))</f>
        <v/>
      </c>
      <c r="E460" s="20"/>
      <c r="F460" s="20"/>
      <c r="G460" s="20"/>
      <c r="H460" s="20"/>
      <c r="I460" s="20"/>
      <c r="J460" s="20"/>
      <c r="K460" s="24"/>
      <c r="L460" s="20"/>
      <c r="M460" s="20"/>
      <c r="N460" s="20"/>
      <c r="O460" s="20"/>
    </row>
    <row r="461" spans="1:15" x14ac:dyDescent="0.3">
      <c r="A461" s="19" t="str">
        <f t="shared" si="4"/>
        <v/>
      </c>
      <c r="B461" s="20"/>
      <c r="C461" s="20"/>
      <c r="D461" s="21" t="str">
        <f>IF($C461="","",IFERROR(VLOOKUP($C461,Map_Register!$A$2:$C$5,3,FALSE()),""))</f>
        <v/>
      </c>
      <c r="E461" s="20"/>
      <c r="F461" s="20"/>
      <c r="G461" s="20"/>
      <c r="H461" s="20"/>
      <c r="I461" s="20"/>
      <c r="J461" s="20"/>
      <c r="K461" s="24"/>
      <c r="L461" s="20"/>
      <c r="M461" s="20"/>
      <c r="N461" s="20"/>
      <c r="O461" s="20"/>
    </row>
    <row r="462" spans="1:15" x14ac:dyDescent="0.3">
      <c r="A462" s="19" t="str">
        <f t="shared" si="4"/>
        <v/>
      </c>
      <c r="B462" s="20"/>
      <c r="C462" s="20"/>
      <c r="D462" s="21" t="str">
        <f>IF($C462="","",IFERROR(VLOOKUP($C462,Map_Register!$A$2:$C$5,3,FALSE()),""))</f>
        <v/>
      </c>
      <c r="E462" s="20"/>
      <c r="F462" s="20"/>
      <c r="G462" s="20"/>
      <c r="H462" s="20"/>
      <c r="I462" s="20"/>
      <c r="J462" s="20"/>
      <c r="K462" s="24"/>
      <c r="L462" s="20"/>
      <c r="M462" s="20"/>
      <c r="N462" s="20"/>
      <c r="O462" s="20"/>
    </row>
    <row r="463" spans="1:15" x14ac:dyDescent="0.3">
      <c r="A463" s="19" t="str">
        <f t="shared" si="4"/>
        <v/>
      </c>
      <c r="B463" s="20"/>
      <c r="C463" s="20"/>
      <c r="D463" s="21" t="str">
        <f>IF($C463="","",IFERROR(VLOOKUP($C463,Map_Register!$A$2:$C$5,3,FALSE()),""))</f>
        <v/>
      </c>
      <c r="E463" s="20"/>
      <c r="F463" s="20"/>
      <c r="G463" s="20"/>
      <c r="H463" s="20"/>
      <c r="I463" s="20"/>
      <c r="J463" s="20"/>
      <c r="K463" s="24"/>
      <c r="L463" s="20"/>
      <c r="M463" s="20"/>
      <c r="N463" s="20"/>
      <c r="O463" s="20"/>
    </row>
    <row r="464" spans="1:15" x14ac:dyDescent="0.3">
      <c r="A464" s="19" t="str">
        <f t="shared" si="4"/>
        <v/>
      </c>
      <c r="B464" s="20"/>
      <c r="C464" s="20"/>
      <c r="D464" s="21" t="str">
        <f>IF($C464="","",IFERROR(VLOOKUP($C464,Map_Register!$A$2:$C$5,3,FALSE()),""))</f>
        <v/>
      </c>
      <c r="E464" s="20"/>
      <c r="F464" s="20"/>
      <c r="G464" s="20"/>
      <c r="H464" s="20"/>
      <c r="I464" s="20"/>
      <c r="J464" s="20"/>
      <c r="K464" s="24"/>
      <c r="L464" s="20"/>
      <c r="M464" s="20"/>
      <c r="N464" s="20"/>
      <c r="O464" s="20"/>
    </row>
    <row r="465" spans="1:15" x14ac:dyDescent="0.3">
      <c r="A465" s="19" t="str">
        <f t="shared" si="4"/>
        <v/>
      </c>
      <c r="B465" s="20"/>
      <c r="C465" s="20"/>
      <c r="D465" s="21" t="str">
        <f>IF($C465="","",IFERROR(VLOOKUP($C465,Map_Register!$A$2:$C$5,3,FALSE()),""))</f>
        <v/>
      </c>
      <c r="E465" s="20"/>
      <c r="F465" s="20"/>
      <c r="G465" s="20"/>
      <c r="H465" s="20"/>
      <c r="I465" s="20"/>
      <c r="J465" s="20"/>
      <c r="K465" s="24"/>
      <c r="L465" s="20"/>
      <c r="M465" s="20"/>
      <c r="N465" s="20"/>
      <c r="O465" s="20"/>
    </row>
    <row r="466" spans="1:15" x14ac:dyDescent="0.3">
      <c r="A466" s="19" t="str">
        <f t="shared" si="4"/>
        <v/>
      </c>
      <c r="B466" s="20"/>
      <c r="C466" s="20"/>
      <c r="D466" s="21" t="str">
        <f>IF($C466="","",IFERROR(VLOOKUP($C466,Map_Register!$A$2:$C$5,3,FALSE()),""))</f>
        <v/>
      </c>
      <c r="E466" s="20"/>
      <c r="F466" s="20"/>
      <c r="G466" s="20"/>
      <c r="H466" s="20"/>
      <c r="I466" s="20"/>
      <c r="J466" s="20"/>
      <c r="K466" s="24"/>
      <c r="L466" s="20"/>
      <c r="M466" s="20"/>
      <c r="N466" s="20"/>
      <c r="O466" s="20"/>
    </row>
    <row r="467" spans="1:15" x14ac:dyDescent="0.3">
      <c r="A467" s="19" t="str">
        <f t="shared" si="4"/>
        <v/>
      </c>
      <c r="B467" s="20"/>
      <c r="C467" s="20"/>
      <c r="D467" s="21" t="str">
        <f>IF($C467="","",IFERROR(VLOOKUP($C467,Map_Register!$A$2:$C$5,3,FALSE()),""))</f>
        <v/>
      </c>
      <c r="E467" s="20"/>
      <c r="F467" s="20"/>
      <c r="G467" s="20"/>
      <c r="H467" s="20"/>
      <c r="I467" s="20"/>
      <c r="J467" s="20"/>
      <c r="K467" s="24"/>
      <c r="L467" s="20"/>
      <c r="M467" s="20"/>
      <c r="N467" s="20"/>
      <c r="O467" s="20"/>
    </row>
    <row r="468" spans="1:15" x14ac:dyDescent="0.3">
      <c r="A468" s="19" t="str">
        <f t="shared" si="4"/>
        <v/>
      </c>
      <c r="B468" s="20"/>
      <c r="C468" s="20"/>
      <c r="D468" s="21" t="str">
        <f>IF($C468="","",IFERROR(VLOOKUP($C468,Map_Register!$A$2:$C$5,3,FALSE()),""))</f>
        <v/>
      </c>
      <c r="E468" s="20"/>
      <c r="F468" s="20"/>
      <c r="G468" s="20"/>
      <c r="H468" s="20"/>
      <c r="I468" s="20"/>
      <c r="J468" s="20"/>
      <c r="K468" s="24"/>
      <c r="L468" s="20"/>
      <c r="M468" s="20"/>
      <c r="N468" s="20"/>
      <c r="O468" s="20"/>
    </row>
    <row r="469" spans="1:15" x14ac:dyDescent="0.3">
      <c r="A469" s="19" t="str">
        <f t="shared" si="4"/>
        <v/>
      </c>
      <c r="B469" s="20"/>
      <c r="C469" s="20"/>
      <c r="D469" s="21" t="str">
        <f>IF($C469="","",IFERROR(VLOOKUP($C469,Map_Register!$A$2:$C$5,3,FALSE()),""))</f>
        <v/>
      </c>
      <c r="E469" s="20"/>
      <c r="F469" s="20"/>
      <c r="G469" s="20"/>
      <c r="H469" s="20"/>
      <c r="I469" s="20"/>
      <c r="J469" s="20"/>
      <c r="K469" s="24"/>
      <c r="L469" s="20"/>
      <c r="M469" s="20"/>
      <c r="N469" s="20"/>
      <c r="O469" s="20"/>
    </row>
    <row r="470" spans="1:15" x14ac:dyDescent="0.3">
      <c r="A470" s="19" t="str">
        <f t="shared" si="4"/>
        <v/>
      </c>
      <c r="B470" s="20"/>
      <c r="C470" s="20"/>
      <c r="D470" s="21" t="str">
        <f>IF($C470="","",IFERROR(VLOOKUP($C470,Map_Register!$A$2:$C$5,3,FALSE()),""))</f>
        <v/>
      </c>
      <c r="E470" s="20"/>
      <c r="F470" s="20"/>
      <c r="G470" s="20"/>
      <c r="H470" s="20"/>
      <c r="I470" s="20"/>
      <c r="J470" s="20"/>
      <c r="K470" s="24"/>
      <c r="L470" s="20"/>
      <c r="M470" s="20"/>
      <c r="N470" s="20"/>
      <c r="O470" s="20"/>
    </row>
    <row r="471" spans="1:15" x14ac:dyDescent="0.3">
      <c r="A471" s="19" t="str">
        <f t="shared" si="4"/>
        <v/>
      </c>
      <c r="B471" s="20"/>
      <c r="C471" s="20"/>
      <c r="D471" s="21" t="str">
        <f>IF($C471="","",IFERROR(VLOOKUP($C471,Map_Register!$A$2:$C$5,3,FALSE()),""))</f>
        <v/>
      </c>
      <c r="E471" s="20"/>
      <c r="F471" s="20"/>
      <c r="G471" s="20"/>
      <c r="H471" s="20"/>
      <c r="I471" s="20"/>
      <c r="J471" s="20"/>
      <c r="K471" s="24"/>
      <c r="L471" s="20"/>
      <c r="M471" s="20"/>
      <c r="N471" s="20"/>
      <c r="O471" s="20"/>
    </row>
    <row r="472" spans="1:15" x14ac:dyDescent="0.3">
      <c r="A472" s="19" t="str">
        <f t="shared" si="4"/>
        <v/>
      </c>
      <c r="B472" s="20"/>
      <c r="C472" s="20"/>
      <c r="D472" s="21" t="str">
        <f>IF($C472="","",IFERROR(VLOOKUP($C472,Map_Register!$A$2:$C$5,3,FALSE()),""))</f>
        <v/>
      </c>
      <c r="E472" s="20"/>
      <c r="F472" s="20"/>
      <c r="G472" s="20"/>
      <c r="H472" s="20"/>
      <c r="I472" s="20"/>
      <c r="J472" s="20"/>
      <c r="K472" s="24"/>
      <c r="L472" s="20"/>
      <c r="M472" s="20"/>
      <c r="N472" s="20"/>
      <c r="O472" s="20"/>
    </row>
    <row r="473" spans="1:15" x14ac:dyDescent="0.3">
      <c r="A473" s="19" t="str">
        <f t="shared" si="4"/>
        <v/>
      </c>
      <c r="B473" s="20"/>
      <c r="C473" s="20"/>
      <c r="D473" s="21" t="str">
        <f>IF($C473="","",IFERROR(VLOOKUP($C473,Map_Register!$A$2:$C$5,3,FALSE()),""))</f>
        <v/>
      </c>
      <c r="E473" s="20"/>
      <c r="F473" s="20"/>
      <c r="G473" s="20"/>
      <c r="H473" s="20"/>
      <c r="I473" s="20"/>
      <c r="J473" s="20"/>
      <c r="K473" s="24"/>
      <c r="L473" s="20"/>
      <c r="M473" s="20"/>
      <c r="N473" s="20"/>
      <c r="O473" s="20"/>
    </row>
    <row r="474" spans="1:15" x14ac:dyDescent="0.3">
      <c r="A474" s="19" t="str">
        <f t="shared" ref="A474:A514" si="5">IF($B474="","",ROW()-1)</f>
        <v/>
      </c>
      <c r="B474" s="20"/>
      <c r="C474" s="20"/>
      <c r="D474" s="21" t="str">
        <f>IF($C474="","",IFERROR(VLOOKUP($C474,Map_Register!$A$2:$C$5,3,FALSE()),""))</f>
        <v/>
      </c>
      <c r="E474" s="20"/>
      <c r="F474" s="20"/>
      <c r="G474" s="20"/>
      <c r="H474" s="20"/>
      <c r="I474" s="20"/>
      <c r="J474" s="20"/>
      <c r="K474" s="24"/>
      <c r="L474" s="20"/>
      <c r="M474" s="20"/>
      <c r="N474" s="20"/>
      <c r="O474" s="20"/>
    </row>
    <row r="475" spans="1:15" x14ac:dyDescent="0.3">
      <c r="A475" s="19" t="str">
        <f t="shared" si="5"/>
        <v/>
      </c>
      <c r="B475" s="20"/>
      <c r="C475" s="20"/>
      <c r="D475" s="21" t="str">
        <f>IF($C475="","",IFERROR(VLOOKUP($C475,Map_Register!$A$2:$C$5,3,FALSE()),""))</f>
        <v/>
      </c>
      <c r="E475" s="20"/>
      <c r="F475" s="20"/>
      <c r="G475" s="20"/>
      <c r="H475" s="20"/>
      <c r="I475" s="20"/>
      <c r="J475" s="20"/>
      <c r="K475" s="24"/>
      <c r="L475" s="20"/>
      <c r="M475" s="20"/>
      <c r="N475" s="20"/>
      <c r="O475" s="20"/>
    </row>
    <row r="476" spans="1:15" x14ac:dyDescent="0.3">
      <c r="A476" s="19" t="str">
        <f t="shared" si="5"/>
        <v/>
      </c>
      <c r="B476" s="20"/>
      <c r="C476" s="20"/>
      <c r="D476" s="21" t="str">
        <f>IF($C476="","",IFERROR(VLOOKUP($C476,Map_Register!$A$2:$C$5,3,FALSE()),""))</f>
        <v/>
      </c>
      <c r="E476" s="20"/>
      <c r="F476" s="20"/>
      <c r="G476" s="20"/>
      <c r="H476" s="20"/>
      <c r="I476" s="20"/>
      <c r="J476" s="20"/>
      <c r="K476" s="24"/>
      <c r="L476" s="20"/>
      <c r="M476" s="20"/>
      <c r="N476" s="20"/>
      <c r="O476" s="20"/>
    </row>
    <row r="477" spans="1:15" x14ac:dyDescent="0.3">
      <c r="A477" s="19" t="str">
        <f t="shared" si="5"/>
        <v/>
      </c>
      <c r="B477" s="20"/>
      <c r="C477" s="20"/>
      <c r="D477" s="21" t="str">
        <f>IF($C477="","",IFERROR(VLOOKUP($C477,Map_Register!$A$2:$C$5,3,FALSE()),""))</f>
        <v/>
      </c>
      <c r="E477" s="20"/>
      <c r="F477" s="20"/>
      <c r="G477" s="20"/>
      <c r="H477" s="20"/>
      <c r="I477" s="20"/>
      <c r="J477" s="20"/>
      <c r="K477" s="24"/>
      <c r="L477" s="20"/>
      <c r="M477" s="20"/>
      <c r="N477" s="20"/>
      <c r="O477" s="20"/>
    </row>
    <row r="478" spans="1:15" x14ac:dyDescent="0.3">
      <c r="A478" s="19" t="str">
        <f t="shared" si="5"/>
        <v/>
      </c>
      <c r="B478" s="20"/>
      <c r="C478" s="20"/>
      <c r="D478" s="21" t="str">
        <f>IF($C478="","",IFERROR(VLOOKUP($C478,Map_Register!$A$2:$C$5,3,FALSE()),""))</f>
        <v/>
      </c>
      <c r="E478" s="20"/>
      <c r="F478" s="20"/>
      <c r="G478" s="20"/>
      <c r="H478" s="20"/>
      <c r="I478" s="20"/>
      <c r="J478" s="20"/>
      <c r="K478" s="24"/>
      <c r="L478" s="20"/>
      <c r="M478" s="20"/>
      <c r="N478" s="20"/>
      <c r="O478" s="20"/>
    </row>
    <row r="479" spans="1:15" x14ac:dyDescent="0.3">
      <c r="A479" s="19" t="str">
        <f t="shared" si="5"/>
        <v/>
      </c>
      <c r="B479" s="20"/>
      <c r="C479" s="20"/>
      <c r="D479" s="21" t="str">
        <f>IF($C479="","",IFERROR(VLOOKUP($C479,Map_Register!$A$2:$C$5,3,FALSE()),""))</f>
        <v/>
      </c>
      <c r="E479" s="20"/>
      <c r="F479" s="20"/>
      <c r="G479" s="20"/>
      <c r="H479" s="20"/>
      <c r="I479" s="20"/>
      <c r="J479" s="20"/>
      <c r="K479" s="24"/>
      <c r="L479" s="20"/>
      <c r="M479" s="20"/>
      <c r="N479" s="20"/>
      <c r="O479" s="20"/>
    </row>
    <row r="480" spans="1:15" x14ac:dyDescent="0.3">
      <c r="A480" s="19" t="str">
        <f t="shared" si="5"/>
        <v/>
      </c>
      <c r="B480" s="20"/>
      <c r="C480" s="20"/>
      <c r="D480" s="21" t="str">
        <f>IF($C480="","",IFERROR(VLOOKUP($C480,Map_Register!$A$2:$C$5,3,FALSE()),""))</f>
        <v/>
      </c>
      <c r="E480" s="20"/>
      <c r="F480" s="20"/>
      <c r="G480" s="20"/>
      <c r="H480" s="20"/>
      <c r="I480" s="20"/>
      <c r="J480" s="20"/>
      <c r="K480" s="24"/>
      <c r="L480" s="20"/>
      <c r="M480" s="20"/>
      <c r="N480" s="20"/>
      <c r="O480" s="20"/>
    </row>
    <row r="481" spans="1:15" x14ac:dyDescent="0.3">
      <c r="A481" s="19" t="str">
        <f t="shared" si="5"/>
        <v/>
      </c>
      <c r="B481" s="20"/>
      <c r="C481" s="20"/>
      <c r="D481" s="21" t="str">
        <f>IF($C481="","",IFERROR(VLOOKUP($C481,Map_Register!$A$2:$C$5,3,FALSE()),""))</f>
        <v/>
      </c>
      <c r="E481" s="20"/>
      <c r="F481" s="20"/>
      <c r="G481" s="20"/>
      <c r="H481" s="20"/>
      <c r="I481" s="20"/>
      <c r="J481" s="20"/>
      <c r="K481" s="24"/>
      <c r="L481" s="20"/>
      <c r="M481" s="20"/>
      <c r="N481" s="20"/>
      <c r="O481" s="20"/>
    </row>
    <row r="482" spans="1:15" x14ac:dyDescent="0.3">
      <c r="A482" s="19" t="str">
        <f t="shared" si="5"/>
        <v/>
      </c>
      <c r="B482" s="20"/>
      <c r="C482" s="20"/>
      <c r="D482" s="21" t="str">
        <f>IF($C482="","",IFERROR(VLOOKUP($C482,Map_Register!$A$2:$C$5,3,FALSE()),""))</f>
        <v/>
      </c>
      <c r="E482" s="20"/>
      <c r="F482" s="20"/>
      <c r="G482" s="20"/>
      <c r="H482" s="20"/>
      <c r="I482" s="20"/>
      <c r="J482" s="20"/>
      <c r="K482" s="24"/>
      <c r="L482" s="20"/>
      <c r="M482" s="20"/>
      <c r="N482" s="20"/>
      <c r="O482" s="20"/>
    </row>
    <row r="483" spans="1:15" x14ac:dyDescent="0.3">
      <c r="A483" s="19" t="str">
        <f t="shared" si="5"/>
        <v/>
      </c>
      <c r="B483" s="20"/>
      <c r="C483" s="20"/>
      <c r="D483" s="21" t="str">
        <f>IF($C483="","",IFERROR(VLOOKUP($C483,Map_Register!$A$2:$C$5,3,FALSE()),""))</f>
        <v/>
      </c>
      <c r="E483" s="20"/>
      <c r="F483" s="20"/>
      <c r="G483" s="20"/>
      <c r="H483" s="20"/>
      <c r="I483" s="20"/>
      <c r="J483" s="20"/>
      <c r="K483" s="24"/>
      <c r="L483" s="20"/>
      <c r="M483" s="20"/>
      <c r="N483" s="20"/>
      <c r="O483" s="20"/>
    </row>
    <row r="484" spans="1:15" x14ac:dyDescent="0.3">
      <c r="A484" s="19" t="str">
        <f t="shared" si="5"/>
        <v/>
      </c>
      <c r="B484" s="20"/>
      <c r="C484" s="20"/>
      <c r="D484" s="21" t="str">
        <f>IF($C484="","",IFERROR(VLOOKUP($C484,Map_Register!$A$2:$C$5,3,FALSE()),""))</f>
        <v/>
      </c>
      <c r="E484" s="20"/>
      <c r="F484" s="20"/>
      <c r="G484" s="20"/>
      <c r="H484" s="20"/>
      <c r="I484" s="20"/>
      <c r="J484" s="20"/>
      <c r="K484" s="24"/>
      <c r="L484" s="20"/>
      <c r="M484" s="20"/>
      <c r="N484" s="20"/>
      <c r="O484" s="20"/>
    </row>
    <row r="485" spans="1:15" x14ac:dyDescent="0.3">
      <c r="A485" s="19" t="str">
        <f t="shared" si="5"/>
        <v/>
      </c>
      <c r="B485" s="20"/>
      <c r="C485" s="20"/>
      <c r="D485" s="21" t="str">
        <f>IF($C485="","",IFERROR(VLOOKUP($C485,Map_Register!$A$2:$C$5,3,FALSE()),""))</f>
        <v/>
      </c>
      <c r="E485" s="20"/>
      <c r="F485" s="20"/>
      <c r="G485" s="20"/>
      <c r="H485" s="20"/>
      <c r="I485" s="20"/>
      <c r="J485" s="20"/>
      <c r="K485" s="24"/>
      <c r="L485" s="20"/>
      <c r="M485" s="20"/>
      <c r="N485" s="20"/>
      <c r="O485" s="20"/>
    </row>
    <row r="486" spans="1:15" x14ac:dyDescent="0.3">
      <c r="A486" s="19" t="str">
        <f t="shared" si="5"/>
        <v/>
      </c>
      <c r="B486" s="20"/>
      <c r="C486" s="20"/>
      <c r="D486" s="21" t="str">
        <f>IF($C486="","",IFERROR(VLOOKUP($C486,Map_Register!$A$2:$C$5,3,FALSE()),""))</f>
        <v/>
      </c>
      <c r="E486" s="20"/>
      <c r="F486" s="20"/>
      <c r="G486" s="20"/>
      <c r="H486" s="20"/>
      <c r="I486" s="20"/>
      <c r="J486" s="20"/>
      <c r="K486" s="24"/>
      <c r="L486" s="20"/>
      <c r="M486" s="20"/>
      <c r="N486" s="20"/>
      <c r="O486" s="20"/>
    </row>
    <row r="487" spans="1:15" x14ac:dyDescent="0.3">
      <c r="A487" s="19" t="str">
        <f t="shared" si="5"/>
        <v/>
      </c>
      <c r="B487" s="20"/>
      <c r="C487" s="20"/>
      <c r="D487" s="21" t="str">
        <f>IF($C487="","",IFERROR(VLOOKUP($C487,Map_Register!$A$2:$C$5,3,FALSE()),""))</f>
        <v/>
      </c>
      <c r="E487" s="20"/>
      <c r="F487" s="20"/>
      <c r="G487" s="20"/>
      <c r="H487" s="20"/>
      <c r="I487" s="20"/>
      <c r="J487" s="20"/>
      <c r="K487" s="24"/>
      <c r="L487" s="20"/>
      <c r="M487" s="20"/>
      <c r="N487" s="20"/>
      <c r="O487" s="20"/>
    </row>
    <row r="488" spans="1:15" x14ac:dyDescent="0.3">
      <c r="A488" s="19" t="str">
        <f t="shared" si="5"/>
        <v/>
      </c>
      <c r="B488" s="20"/>
      <c r="C488" s="20"/>
      <c r="D488" s="21" t="str">
        <f>IF($C488="","",IFERROR(VLOOKUP($C488,Map_Register!$A$2:$C$5,3,FALSE()),""))</f>
        <v/>
      </c>
      <c r="E488" s="20"/>
      <c r="F488" s="20"/>
      <c r="G488" s="20"/>
      <c r="H488" s="20"/>
      <c r="I488" s="20"/>
      <c r="J488" s="20"/>
      <c r="K488" s="24"/>
      <c r="L488" s="20"/>
      <c r="M488" s="20"/>
      <c r="N488" s="20"/>
      <c r="O488" s="20"/>
    </row>
    <row r="489" spans="1:15" x14ac:dyDescent="0.3">
      <c r="A489" s="19" t="str">
        <f t="shared" si="5"/>
        <v/>
      </c>
      <c r="B489" s="20"/>
      <c r="C489" s="20"/>
      <c r="D489" s="21" t="str">
        <f>IF($C489="","",IFERROR(VLOOKUP($C489,Map_Register!$A$2:$C$5,3,FALSE()),""))</f>
        <v/>
      </c>
      <c r="E489" s="20"/>
      <c r="F489" s="20"/>
      <c r="G489" s="20"/>
      <c r="H489" s="20"/>
      <c r="I489" s="20"/>
      <c r="J489" s="20"/>
      <c r="K489" s="24"/>
      <c r="L489" s="20"/>
      <c r="M489" s="20"/>
      <c r="N489" s="20"/>
      <c r="O489" s="20"/>
    </row>
    <row r="490" spans="1:15" x14ac:dyDescent="0.3">
      <c r="A490" s="19" t="str">
        <f t="shared" si="5"/>
        <v/>
      </c>
      <c r="B490" s="20"/>
      <c r="C490" s="20"/>
      <c r="D490" s="21" t="str">
        <f>IF($C490="","",IFERROR(VLOOKUP($C490,Map_Register!$A$2:$C$5,3,FALSE()),""))</f>
        <v/>
      </c>
      <c r="E490" s="20"/>
      <c r="F490" s="20"/>
      <c r="G490" s="20"/>
      <c r="H490" s="20"/>
      <c r="I490" s="20"/>
      <c r="J490" s="20"/>
      <c r="K490" s="24"/>
      <c r="L490" s="20"/>
      <c r="M490" s="20"/>
      <c r="N490" s="20"/>
      <c r="O490" s="20"/>
    </row>
    <row r="491" spans="1:15" x14ac:dyDescent="0.3">
      <c r="A491" s="19" t="str">
        <f t="shared" si="5"/>
        <v/>
      </c>
      <c r="B491" s="20"/>
      <c r="C491" s="20"/>
      <c r="D491" s="21" t="str">
        <f>IF($C491="","",IFERROR(VLOOKUP($C491,Map_Register!$A$2:$C$5,3,FALSE()),""))</f>
        <v/>
      </c>
      <c r="E491" s="20"/>
      <c r="F491" s="20"/>
      <c r="G491" s="20"/>
      <c r="H491" s="20"/>
      <c r="I491" s="20"/>
      <c r="J491" s="20"/>
      <c r="K491" s="24"/>
      <c r="L491" s="20"/>
      <c r="M491" s="20"/>
      <c r="N491" s="20"/>
      <c r="O491" s="20"/>
    </row>
    <row r="492" spans="1:15" x14ac:dyDescent="0.3">
      <c r="A492" s="19" t="str">
        <f t="shared" si="5"/>
        <v/>
      </c>
      <c r="B492" s="20"/>
      <c r="C492" s="20"/>
      <c r="D492" s="21" t="str">
        <f>IF($C492="","",IFERROR(VLOOKUP($C492,Map_Register!$A$2:$C$5,3,FALSE()),""))</f>
        <v/>
      </c>
      <c r="E492" s="20"/>
      <c r="F492" s="20"/>
      <c r="G492" s="20"/>
      <c r="H492" s="20"/>
      <c r="I492" s="20"/>
      <c r="J492" s="20"/>
      <c r="K492" s="24"/>
      <c r="L492" s="20"/>
      <c r="M492" s="20"/>
      <c r="N492" s="20"/>
      <c r="O492" s="20"/>
    </row>
    <row r="493" spans="1:15" x14ac:dyDescent="0.3">
      <c r="A493" s="19" t="str">
        <f t="shared" si="5"/>
        <v/>
      </c>
      <c r="B493" s="20"/>
      <c r="C493" s="20"/>
      <c r="D493" s="21" t="str">
        <f>IF($C493="","",IFERROR(VLOOKUP($C493,Map_Register!$A$2:$C$5,3,FALSE()),""))</f>
        <v/>
      </c>
      <c r="E493" s="20"/>
      <c r="F493" s="20"/>
      <c r="G493" s="20"/>
      <c r="H493" s="20"/>
      <c r="I493" s="20"/>
      <c r="J493" s="20"/>
      <c r="K493" s="24"/>
      <c r="L493" s="20"/>
      <c r="M493" s="20"/>
      <c r="N493" s="20"/>
      <c r="O493" s="20"/>
    </row>
    <row r="494" spans="1:15" x14ac:dyDescent="0.3">
      <c r="A494" s="19" t="str">
        <f t="shared" si="5"/>
        <v/>
      </c>
      <c r="B494" s="20"/>
      <c r="C494" s="20"/>
      <c r="D494" s="21" t="str">
        <f>IF($C494="","",IFERROR(VLOOKUP($C494,Map_Register!$A$2:$C$5,3,FALSE()),""))</f>
        <v/>
      </c>
      <c r="E494" s="20"/>
      <c r="F494" s="20"/>
      <c r="G494" s="20"/>
      <c r="H494" s="20"/>
      <c r="I494" s="20"/>
      <c r="J494" s="20"/>
      <c r="K494" s="24"/>
      <c r="L494" s="20"/>
      <c r="M494" s="20"/>
      <c r="N494" s="20"/>
      <c r="O494" s="20"/>
    </row>
    <row r="495" spans="1:15" x14ac:dyDescent="0.3">
      <c r="A495" s="19" t="str">
        <f t="shared" si="5"/>
        <v/>
      </c>
      <c r="B495" s="20"/>
      <c r="C495" s="20"/>
      <c r="D495" s="21" t="str">
        <f>IF($C495="","",IFERROR(VLOOKUP($C495,Map_Register!$A$2:$C$5,3,FALSE()),""))</f>
        <v/>
      </c>
      <c r="E495" s="20"/>
      <c r="F495" s="20"/>
      <c r="G495" s="20"/>
      <c r="H495" s="20"/>
      <c r="I495" s="20"/>
      <c r="J495" s="20"/>
      <c r="K495" s="24"/>
      <c r="L495" s="20"/>
      <c r="M495" s="20"/>
      <c r="N495" s="20"/>
      <c r="O495" s="20"/>
    </row>
    <row r="496" spans="1:15" x14ac:dyDescent="0.3">
      <c r="A496" s="19" t="str">
        <f t="shared" si="5"/>
        <v/>
      </c>
      <c r="B496" s="20"/>
      <c r="C496" s="20"/>
      <c r="D496" s="21" t="str">
        <f>IF($C496="","",IFERROR(VLOOKUP($C496,Map_Register!$A$2:$C$5,3,FALSE()),""))</f>
        <v/>
      </c>
      <c r="E496" s="20"/>
      <c r="F496" s="20"/>
      <c r="G496" s="20"/>
      <c r="H496" s="20"/>
      <c r="I496" s="20"/>
      <c r="J496" s="20"/>
      <c r="K496" s="24"/>
      <c r="L496" s="20"/>
      <c r="M496" s="20"/>
      <c r="N496" s="20"/>
      <c r="O496" s="20"/>
    </row>
    <row r="497" spans="1:15" x14ac:dyDescent="0.3">
      <c r="A497" s="19" t="str">
        <f t="shared" si="5"/>
        <v/>
      </c>
      <c r="B497" s="20"/>
      <c r="C497" s="20"/>
      <c r="D497" s="21" t="str">
        <f>IF($C497="","",IFERROR(VLOOKUP($C497,Map_Register!$A$2:$C$5,3,FALSE()),""))</f>
        <v/>
      </c>
      <c r="E497" s="20"/>
      <c r="F497" s="20"/>
      <c r="G497" s="20"/>
      <c r="H497" s="20"/>
      <c r="I497" s="20"/>
      <c r="J497" s="20"/>
      <c r="K497" s="24"/>
      <c r="L497" s="20"/>
      <c r="M497" s="20"/>
      <c r="N497" s="20"/>
      <c r="O497" s="20"/>
    </row>
    <row r="498" spans="1:15" x14ac:dyDescent="0.3">
      <c r="A498" s="19" t="str">
        <f t="shared" si="5"/>
        <v/>
      </c>
      <c r="B498" s="20"/>
      <c r="C498" s="20"/>
      <c r="D498" s="21" t="str">
        <f>IF($C498="","",IFERROR(VLOOKUP($C498,Map_Register!$A$2:$C$5,3,FALSE()),""))</f>
        <v/>
      </c>
      <c r="E498" s="20"/>
      <c r="F498" s="20"/>
      <c r="G498" s="20"/>
      <c r="H498" s="20"/>
      <c r="I498" s="20"/>
      <c r="J498" s="20"/>
      <c r="K498" s="24"/>
      <c r="L498" s="20"/>
      <c r="M498" s="20"/>
      <c r="N498" s="20"/>
      <c r="O498" s="20"/>
    </row>
    <row r="499" spans="1:15" x14ac:dyDescent="0.3">
      <c r="A499" s="19" t="str">
        <f t="shared" si="5"/>
        <v/>
      </c>
      <c r="B499" s="20"/>
      <c r="C499" s="20"/>
      <c r="D499" s="21" t="str">
        <f>IF($C499="","",IFERROR(VLOOKUP($C499,Map_Register!$A$2:$C$5,3,FALSE()),""))</f>
        <v/>
      </c>
      <c r="E499" s="20"/>
      <c r="F499" s="20"/>
      <c r="G499" s="20"/>
      <c r="H499" s="20"/>
      <c r="I499" s="20"/>
      <c r="J499" s="20"/>
      <c r="K499" s="24"/>
      <c r="L499" s="20"/>
      <c r="M499" s="20"/>
      <c r="N499" s="20"/>
      <c r="O499" s="20"/>
    </row>
    <row r="500" spans="1:15" x14ac:dyDescent="0.3">
      <c r="A500" s="19" t="str">
        <f t="shared" si="5"/>
        <v/>
      </c>
      <c r="B500" s="20"/>
      <c r="C500" s="20"/>
      <c r="D500" s="21" t="str">
        <f>IF($C500="","",IFERROR(VLOOKUP($C500,Map_Register!$A$2:$C$5,3,FALSE()),""))</f>
        <v/>
      </c>
      <c r="E500" s="20"/>
      <c r="F500" s="20"/>
      <c r="G500" s="20"/>
      <c r="H500" s="20"/>
      <c r="I500" s="20"/>
      <c r="J500" s="20"/>
      <c r="K500" s="24"/>
      <c r="L500" s="20"/>
      <c r="M500" s="20"/>
      <c r="N500" s="20"/>
      <c r="O500" s="20"/>
    </row>
    <row r="501" spans="1:15" x14ac:dyDescent="0.3">
      <c r="A501" s="19" t="str">
        <f t="shared" si="5"/>
        <v/>
      </c>
      <c r="B501" s="20"/>
      <c r="C501" s="20"/>
      <c r="D501" s="21" t="str">
        <f>IF($C501="","",IFERROR(VLOOKUP($C501,Map_Register!$A$2:$C$5,3,FALSE()),""))</f>
        <v/>
      </c>
      <c r="E501" s="20"/>
      <c r="F501" s="20"/>
      <c r="G501" s="20"/>
      <c r="H501" s="20"/>
      <c r="I501" s="20"/>
      <c r="J501" s="20"/>
      <c r="K501" s="24"/>
      <c r="L501" s="20"/>
      <c r="M501" s="20"/>
      <c r="N501" s="20"/>
      <c r="O501" s="20"/>
    </row>
    <row r="502" spans="1:15" x14ac:dyDescent="0.3">
      <c r="A502" s="19" t="str">
        <f t="shared" si="5"/>
        <v/>
      </c>
      <c r="B502" s="20"/>
      <c r="C502" s="20"/>
      <c r="D502" s="21" t="str">
        <f>IF($C502="","",IFERROR(VLOOKUP($C502,Map_Register!$A$2:$C$5,3,FALSE()),""))</f>
        <v/>
      </c>
      <c r="E502" s="20"/>
      <c r="F502" s="20"/>
      <c r="G502" s="20"/>
      <c r="H502" s="20"/>
      <c r="I502" s="20"/>
      <c r="J502" s="20"/>
      <c r="K502" s="24"/>
      <c r="L502" s="20"/>
      <c r="M502" s="20"/>
      <c r="N502" s="20"/>
      <c r="O502" s="20"/>
    </row>
    <row r="503" spans="1:15" x14ac:dyDescent="0.3">
      <c r="A503" s="19" t="str">
        <f t="shared" si="5"/>
        <v/>
      </c>
      <c r="B503" s="20"/>
      <c r="C503" s="20"/>
      <c r="D503" s="21" t="str">
        <f>IF($C503="","",IFERROR(VLOOKUP($C503,Map_Register!$A$2:$C$5,3,FALSE()),""))</f>
        <v/>
      </c>
      <c r="E503" s="20"/>
      <c r="F503" s="20"/>
      <c r="G503" s="20"/>
      <c r="H503" s="20"/>
      <c r="I503" s="20"/>
      <c r="J503" s="20"/>
      <c r="K503" s="24"/>
      <c r="L503" s="20"/>
      <c r="M503" s="20"/>
      <c r="N503" s="20"/>
      <c r="O503" s="20"/>
    </row>
    <row r="504" spans="1:15" x14ac:dyDescent="0.3">
      <c r="A504" s="19" t="str">
        <f t="shared" si="5"/>
        <v/>
      </c>
      <c r="B504" s="20"/>
      <c r="C504" s="20"/>
      <c r="D504" s="21" t="str">
        <f>IF($C504="","",IFERROR(VLOOKUP($C504,Map_Register!$A$2:$C$5,3,FALSE()),""))</f>
        <v/>
      </c>
      <c r="E504" s="20"/>
      <c r="F504" s="20"/>
      <c r="G504" s="20"/>
      <c r="H504" s="20"/>
      <c r="I504" s="20"/>
      <c r="J504" s="20"/>
      <c r="K504" s="24"/>
      <c r="L504" s="20"/>
      <c r="M504" s="20"/>
      <c r="N504" s="20"/>
      <c r="O504" s="20"/>
    </row>
    <row r="505" spans="1:15" x14ac:dyDescent="0.3">
      <c r="A505" s="19" t="str">
        <f t="shared" si="5"/>
        <v/>
      </c>
      <c r="B505" s="20"/>
      <c r="C505" s="20"/>
      <c r="D505" s="21" t="str">
        <f>IF($C505="","",IFERROR(VLOOKUP($C505,Map_Register!$A$2:$C$5,3,FALSE()),""))</f>
        <v/>
      </c>
      <c r="E505" s="20"/>
      <c r="F505" s="20"/>
      <c r="G505" s="20"/>
      <c r="H505" s="20"/>
      <c r="I505" s="20"/>
      <c r="J505" s="20"/>
      <c r="K505" s="24"/>
      <c r="L505" s="20"/>
      <c r="M505" s="20"/>
      <c r="N505" s="20"/>
      <c r="O505" s="20"/>
    </row>
    <row r="506" spans="1:15" x14ac:dyDescent="0.3">
      <c r="A506" s="19" t="str">
        <f t="shared" si="5"/>
        <v/>
      </c>
      <c r="B506" s="20"/>
      <c r="C506" s="20"/>
      <c r="D506" s="21" t="str">
        <f>IF($C506="","",IFERROR(VLOOKUP($C506,Map_Register!$A$2:$C$5,3,FALSE()),""))</f>
        <v/>
      </c>
      <c r="E506" s="20"/>
      <c r="F506" s="20"/>
      <c r="G506" s="20"/>
      <c r="H506" s="20"/>
      <c r="I506" s="20"/>
      <c r="J506" s="20"/>
      <c r="K506" s="24"/>
      <c r="L506" s="20"/>
      <c r="M506" s="20"/>
      <c r="N506" s="20"/>
      <c r="O506" s="20"/>
    </row>
    <row r="507" spans="1:15" x14ac:dyDescent="0.3">
      <c r="A507" s="19" t="str">
        <f t="shared" si="5"/>
        <v/>
      </c>
      <c r="B507" s="20"/>
      <c r="C507" s="20"/>
      <c r="D507" s="21" t="str">
        <f>IF($C507="","",IFERROR(VLOOKUP($C507,Map_Register!$A$2:$C$5,3,FALSE()),""))</f>
        <v/>
      </c>
      <c r="E507" s="20"/>
      <c r="F507" s="20"/>
      <c r="G507" s="20"/>
      <c r="H507" s="20"/>
      <c r="I507" s="20"/>
      <c r="J507" s="20"/>
      <c r="K507" s="24"/>
      <c r="L507" s="20"/>
      <c r="M507" s="20"/>
      <c r="N507" s="20"/>
      <c r="O507" s="20"/>
    </row>
    <row r="508" spans="1:15" x14ac:dyDescent="0.3">
      <c r="A508" s="19" t="str">
        <f t="shared" si="5"/>
        <v/>
      </c>
      <c r="B508" s="20"/>
      <c r="C508" s="20"/>
      <c r="D508" s="21" t="str">
        <f>IF($C508="","",IFERROR(VLOOKUP($C508,Map_Register!$A$2:$C$5,3,FALSE()),""))</f>
        <v/>
      </c>
      <c r="E508" s="20"/>
      <c r="F508" s="20"/>
      <c r="G508" s="20"/>
      <c r="H508" s="20"/>
      <c r="I508" s="20"/>
      <c r="J508" s="20"/>
      <c r="K508" s="24"/>
      <c r="L508" s="20"/>
      <c r="M508" s="20"/>
      <c r="N508" s="20"/>
      <c r="O508" s="20"/>
    </row>
    <row r="509" spans="1:15" x14ac:dyDescent="0.3">
      <c r="A509" s="19" t="str">
        <f t="shared" si="5"/>
        <v/>
      </c>
      <c r="B509" s="20"/>
      <c r="C509" s="20"/>
      <c r="D509" s="21" t="str">
        <f>IF($C509="","",IFERROR(VLOOKUP($C509,Map_Register!$A$2:$C$5,3,FALSE()),""))</f>
        <v/>
      </c>
      <c r="E509" s="20"/>
      <c r="F509" s="20"/>
      <c r="G509" s="20"/>
      <c r="H509" s="20"/>
      <c r="I509" s="20"/>
      <c r="J509" s="20"/>
      <c r="K509" s="24"/>
      <c r="L509" s="20"/>
      <c r="M509" s="20"/>
      <c r="N509" s="20"/>
      <c r="O509" s="20"/>
    </row>
    <row r="510" spans="1:15" x14ac:dyDescent="0.3">
      <c r="A510" s="19" t="str">
        <f t="shared" si="5"/>
        <v/>
      </c>
      <c r="B510" s="20"/>
      <c r="C510" s="20"/>
      <c r="D510" s="21" t="str">
        <f>IF($C510="","",IFERROR(VLOOKUP($C510,Map_Register!$A$2:$C$5,3,FALSE()),""))</f>
        <v/>
      </c>
      <c r="E510" s="20"/>
      <c r="F510" s="20"/>
      <c r="G510" s="20"/>
      <c r="H510" s="20"/>
      <c r="I510" s="20"/>
      <c r="J510" s="20"/>
      <c r="K510" s="24"/>
      <c r="L510" s="20"/>
      <c r="M510" s="20"/>
      <c r="N510" s="20"/>
      <c r="O510" s="20"/>
    </row>
    <row r="511" spans="1:15" x14ac:dyDescent="0.3">
      <c r="A511" s="19" t="str">
        <f t="shared" si="5"/>
        <v/>
      </c>
      <c r="B511" s="20"/>
      <c r="C511" s="20"/>
      <c r="D511" s="21" t="str">
        <f>IF($C511="","",IFERROR(VLOOKUP($C511,Map_Register!$A$2:$C$5,3,FALSE()),""))</f>
        <v/>
      </c>
      <c r="E511" s="20"/>
      <c r="F511" s="20"/>
      <c r="G511" s="20"/>
      <c r="H511" s="20"/>
      <c r="I511" s="20"/>
      <c r="J511" s="20"/>
      <c r="K511" s="24"/>
      <c r="L511" s="20"/>
      <c r="M511" s="20"/>
      <c r="N511" s="20"/>
      <c r="O511" s="20"/>
    </row>
    <row r="512" spans="1:15" x14ac:dyDescent="0.3">
      <c r="A512" s="19" t="str">
        <f t="shared" si="5"/>
        <v/>
      </c>
      <c r="B512" s="20"/>
      <c r="C512" s="20"/>
      <c r="D512" s="21" t="str">
        <f>IF($C512="","",IFERROR(VLOOKUP($C512,Map_Register!$A$2:$C$5,3,FALSE()),""))</f>
        <v/>
      </c>
      <c r="E512" s="20"/>
      <c r="F512" s="20"/>
      <c r="G512" s="20"/>
      <c r="H512" s="20"/>
      <c r="I512" s="20"/>
      <c r="J512" s="20"/>
      <c r="K512" s="24"/>
      <c r="L512" s="20"/>
      <c r="M512" s="20"/>
      <c r="N512" s="20"/>
      <c r="O512" s="20"/>
    </row>
    <row r="513" spans="1:15" x14ac:dyDescent="0.3">
      <c r="A513" s="19" t="str">
        <f t="shared" si="5"/>
        <v/>
      </c>
      <c r="B513" s="20"/>
      <c r="C513" s="20"/>
      <c r="D513" s="21" t="str">
        <f>IF($C513="","",IFERROR(VLOOKUP($C513,Map_Register!$A$2:$C$5,3,FALSE()),""))</f>
        <v/>
      </c>
      <c r="E513" s="20"/>
      <c r="F513" s="20"/>
      <c r="G513" s="20"/>
      <c r="H513" s="20"/>
      <c r="I513" s="20"/>
      <c r="J513" s="20"/>
      <c r="K513" s="24"/>
      <c r="L513" s="20"/>
      <c r="M513" s="20"/>
      <c r="N513" s="20"/>
      <c r="O513" s="20"/>
    </row>
    <row r="514" spans="1:15" x14ac:dyDescent="0.3">
      <c r="A514" s="19" t="str">
        <f t="shared" si="5"/>
        <v/>
      </c>
      <c r="B514" s="20"/>
      <c r="C514" s="20"/>
      <c r="D514" s="21" t="str">
        <f>IF($C514="","",IFERROR(VLOOKUP($C514,Map_Register!$A$2:$C$5,3,FALSE()),""))</f>
        <v/>
      </c>
      <c r="E514" s="20"/>
      <c r="F514" s="20"/>
      <c r="G514" s="20"/>
      <c r="H514" s="20"/>
      <c r="I514" s="20"/>
      <c r="J514" s="20"/>
      <c r="K514" s="24"/>
      <c r="L514" s="20"/>
      <c r="M514" s="20"/>
      <c r="N514" s="20"/>
      <c r="O514" s="20"/>
    </row>
  </sheetData>
  <autoFilter ref="A1:O28" xr:uid="{00000000-0009-0000-0000-000004000000}"/>
  <conditionalFormatting sqref="H2:H514">
    <cfRule type="expression" dxfId="3" priority="2">
      <formula>$H2="Absent"</formula>
    </cfRule>
    <cfRule type="expression" dxfId="2" priority="3">
      <formula>$H2="Present (Emphasized)"</formula>
    </cfRule>
    <cfRule type="expression" dxfId="1" priority="4">
      <formula>$H2="Present (De-emphasized)"</formula>
    </cfRule>
    <cfRule type="expression" dxfId="0" priority="5">
      <formula>$H2="Present (Differentiated)"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6" customWidth="1"/>
    <col min="3" max="3" width="12" customWidth="1"/>
    <col min="4" max="4" width="20" customWidth="1"/>
    <col min="5" max="5" width="12" customWidth="1"/>
    <col min="6" max="6" width="14" customWidth="1"/>
    <col min="7" max="8" width="12" customWidth="1"/>
    <col min="9" max="10" width="22" customWidth="1"/>
  </cols>
  <sheetData>
    <row r="1" spans="1:8" ht="25.5" customHeight="1" x14ac:dyDescent="0.3">
      <c r="A1" s="33" t="s">
        <v>0</v>
      </c>
      <c r="B1" s="33"/>
      <c r="C1" s="33"/>
      <c r="D1" s="33"/>
      <c r="E1" s="33"/>
      <c r="F1" s="33"/>
      <c r="G1" s="33"/>
      <c r="H1" s="33"/>
    </row>
    <row r="2" spans="1:8" x14ac:dyDescent="0.3">
      <c r="A2" s="34" t="s">
        <v>1</v>
      </c>
      <c r="B2" s="34"/>
      <c r="C2" s="34"/>
      <c r="D2" s="34"/>
      <c r="E2" s="34"/>
      <c r="F2" s="34"/>
      <c r="G2" s="34"/>
      <c r="H2" s="34"/>
    </row>
    <row r="3" spans="1:8" x14ac:dyDescent="0.3">
      <c r="A3" s="34" t="s">
        <v>2</v>
      </c>
      <c r="B3" s="34"/>
      <c r="C3" s="34"/>
      <c r="D3" s="34"/>
      <c r="E3" s="34"/>
      <c r="F3" s="34"/>
      <c r="G3" s="34"/>
      <c r="H3" s="34"/>
    </row>
    <row r="5" spans="1:8" ht="15.6" x14ac:dyDescent="0.3">
      <c r="A5" s="35" t="s">
        <v>3</v>
      </c>
      <c r="B5" s="35"/>
      <c r="C5" s="35"/>
      <c r="D5" s="35"/>
      <c r="E5" s="35"/>
      <c r="F5" s="35"/>
      <c r="G5" s="35"/>
      <c r="H5" s="35"/>
    </row>
    <row r="6" spans="1:8" ht="26.4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</row>
    <row r="7" spans="1:8" x14ac:dyDescent="0.3">
      <c r="A7" s="3" t="s">
        <v>12</v>
      </c>
      <c r="B7" s="4">
        <f>COUNTA(Finland_Culture!I2:I829)</f>
        <v>828</v>
      </c>
      <c r="C7" s="4">
        <f>COUNTIF(Finland_Culture!I2:I829,"Present*")-COUNTIF(Finland_Culture!I2:I829,"*Emphasi*")</f>
        <v>212</v>
      </c>
      <c r="D7" s="4">
        <f>COUNTIF(Finland_Culture!I2:I829,"*Emphasi*")</f>
        <v>5</v>
      </c>
      <c r="E7" s="4">
        <f>COUNTIF(Finland_Culture!I2:I829,"Absent*")</f>
        <v>606</v>
      </c>
      <c r="F7" s="4">
        <f>B7-C7-D7-E7</f>
        <v>5</v>
      </c>
      <c r="G7" s="5">
        <f>IF(B7=0,0,(C7+D7)/B7)</f>
        <v>0.26207729468599034</v>
      </c>
      <c r="H7" s="5">
        <f>IF(B7=0,0,E7/B7)</f>
        <v>0.73188405797101452</v>
      </c>
    </row>
    <row r="8" spans="1:8" x14ac:dyDescent="0.3">
      <c r="A8" s="3" t="s">
        <v>13</v>
      </c>
      <c r="B8" s="4">
        <f>COUNTA(Finland_Border!H2:H26)</f>
        <v>24</v>
      </c>
      <c r="C8" s="4">
        <f>COUNTIF(Finland_Border!H2:H26,"Present*")-COUNTIF(Finland_Border!H2:H26,"*Emphasi*")</f>
        <v>16</v>
      </c>
      <c r="D8" s="4">
        <f>COUNTIF(Finland_Border!H2:H26,"*Emphasi*")</f>
        <v>1</v>
      </c>
      <c r="E8" s="4">
        <f>COUNTIF(Finland_Border!H2:H26,"Absent*")</f>
        <v>7</v>
      </c>
      <c r="F8" s="4">
        <f>B8-C8-D8-E8</f>
        <v>0</v>
      </c>
      <c r="G8" s="5">
        <f>IF(B8=0,0,(C8+D8)/B8)</f>
        <v>0.70833333333333337</v>
      </c>
      <c r="H8" s="5">
        <f>IF(B8=0,0,E8/B8)</f>
        <v>0.29166666666666669</v>
      </c>
    </row>
    <row r="9" spans="1:8" x14ac:dyDescent="0.3">
      <c r="A9" s="3" t="s">
        <v>14</v>
      </c>
      <c r="B9" s="4">
        <f>COUNTA(Finland_Military!H2:H2)</f>
        <v>1</v>
      </c>
      <c r="C9" s="4">
        <f>COUNTIF(Finland_Military!H2:H2,"Present*")-COUNTIF(Finland_Military!H2:H2,"*Emphasi*")</f>
        <v>0</v>
      </c>
      <c r="D9" s="4">
        <f>COUNTIF(Finland_Military!H2:H2,"*Emphasi*")</f>
        <v>0</v>
      </c>
      <c r="E9" s="4">
        <f>COUNTIF(Finland_Military!H2:H2,"Absent*")</f>
        <v>1</v>
      </c>
      <c r="F9" s="4">
        <f>B9-C9-D9-E9</f>
        <v>0</v>
      </c>
      <c r="G9" s="5">
        <f>IF(B9=0,0,(C9+D9)/B9)</f>
        <v>0</v>
      </c>
      <c r="H9" s="5">
        <f>IF(B9=0,0,E9/B9)</f>
        <v>1</v>
      </c>
    </row>
    <row r="10" spans="1:8" x14ac:dyDescent="0.3">
      <c r="A10" s="3" t="s">
        <v>15</v>
      </c>
      <c r="B10" s="4">
        <f>COUNTA(Finland_Toponym!K2:K1581)</f>
        <v>1580</v>
      </c>
      <c r="C10" s="4">
        <f>COUNTIF(Finland_Toponym!K2:K1581,"Present*")-COUNTIF(Finland_Toponym!K2:K1581,"*Emphasi*")</f>
        <v>979</v>
      </c>
      <c r="D10" s="4">
        <f>COUNTIF(Finland_Toponym!K2:K1581,"*Emphasi*")</f>
        <v>12</v>
      </c>
      <c r="E10" s="4">
        <f>COUNTIF(Finland_Toponym!K2:K1581,"Absent*")</f>
        <v>589</v>
      </c>
      <c r="F10" s="4">
        <f>B10-C10-D10-E10</f>
        <v>0</v>
      </c>
      <c r="G10" s="5">
        <f>IF(B10=0,0,(C10+D10)/B10)</f>
        <v>0.62721518987341773</v>
      </c>
      <c r="H10" s="5">
        <f>IF(B10=0,0,E10/B10)</f>
        <v>0.37278481012658227</v>
      </c>
    </row>
    <row r="11" spans="1:8" x14ac:dyDescent="0.3">
      <c r="A11" s="1" t="s">
        <v>16</v>
      </c>
      <c r="B11" s="6">
        <f>SUM(B7:B10)</f>
        <v>2433</v>
      </c>
      <c r="C11" s="6">
        <f>SUM(C7:C10)</f>
        <v>1207</v>
      </c>
      <c r="D11" s="6">
        <f>SUM(D7:D10)</f>
        <v>18</v>
      </c>
      <c r="E11" s="6">
        <f>SUM(E7:E10)</f>
        <v>1203</v>
      </c>
      <c r="F11" s="6"/>
      <c r="G11" s="7">
        <f>IF(B11=0,0,(C11+D11)/B11)</f>
        <v>0.50349362926428276</v>
      </c>
      <c r="H11" s="7">
        <f>IF(B11=0,0,E11/B11)</f>
        <v>0.49445129469790383</v>
      </c>
    </row>
    <row r="13" spans="1:8" ht="15.6" x14ac:dyDescent="0.3">
      <c r="A13" s="35" t="s">
        <v>17</v>
      </c>
      <c r="B13" s="35"/>
      <c r="C13" s="35"/>
      <c r="D13" s="35"/>
      <c r="E13" s="35"/>
      <c r="F13" s="35"/>
      <c r="G13" s="35"/>
      <c r="H13" s="35"/>
    </row>
    <row r="14" spans="1:8" ht="39.6" x14ac:dyDescent="0.3">
      <c r="A14" s="2" t="s">
        <v>4</v>
      </c>
      <c r="B14" s="2" t="s">
        <v>18</v>
      </c>
      <c r="C14" s="2" t="s">
        <v>7</v>
      </c>
      <c r="D14" s="2" t="s">
        <v>19</v>
      </c>
    </row>
    <row r="15" spans="1:8" x14ac:dyDescent="0.3">
      <c r="A15" s="3" t="s">
        <v>12</v>
      </c>
      <c r="B15" s="4">
        <f>C7+D7</f>
        <v>217</v>
      </c>
      <c r="C15" s="4">
        <f>D7</f>
        <v>5</v>
      </c>
      <c r="D15" s="5">
        <f>IF(B15=0,0,C15/B15)</f>
        <v>2.3041474654377881E-2</v>
      </c>
    </row>
    <row r="16" spans="1:8" x14ac:dyDescent="0.3">
      <c r="A16" s="3" t="s">
        <v>13</v>
      </c>
      <c r="B16" s="4">
        <f>C8+D8</f>
        <v>17</v>
      </c>
      <c r="C16" s="4">
        <f>D8</f>
        <v>1</v>
      </c>
      <c r="D16" s="5">
        <f>IF(B16=0,0,C16/B16)</f>
        <v>5.8823529411764705E-2</v>
      </c>
    </row>
    <row r="17" spans="1:8" x14ac:dyDescent="0.3">
      <c r="A17" s="3" t="s">
        <v>14</v>
      </c>
      <c r="B17" s="4">
        <f>C9+D9</f>
        <v>0</v>
      </c>
      <c r="C17" s="4">
        <f>D9</f>
        <v>0</v>
      </c>
      <c r="D17" s="5">
        <f>IF(B17=0,0,C17/B17)</f>
        <v>0</v>
      </c>
    </row>
    <row r="18" spans="1:8" x14ac:dyDescent="0.3">
      <c r="A18" s="3" t="s">
        <v>15</v>
      </c>
      <c r="B18" s="4">
        <f>C10+D10</f>
        <v>991</v>
      </c>
      <c r="C18" s="4">
        <f>D10</f>
        <v>12</v>
      </c>
      <c r="D18" s="5">
        <f>IF(B18=0,0,C18/B18)</f>
        <v>1.2108980827447022E-2</v>
      </c>
    </row>
    <row r="19" spans="1:8" x14ac:dyDescent="0.3">
      <c r="A19" s="1" t="s">
        <v>16</v>
      </c>
      <c r="B19" s="6">
        <f>SUM(B15:B18)</f>
        <v>1225</v>
      </c>
      <c r="C19" s="6">
        <f>SUM(C15:C18)</f>
        <v>18</v>
      </c>
      <c r="D19" s="7">
        <f>IF(B19=0,0,C19/B19)</f>
        <v>1.4693877551020407E-2</v>
      </c>
    </row>
    <row r="21" spans="1:8" ht="15.6" x14ac:dyDescent="0.3">
      <c r="A21" s="35" t="s">
        <v>20</v>
      </c>
      <c r="B21" s="35"/>
      <c r="C21" s="35"/>
      <c r="D21" s="35"/>
      <c r="E21" s="35"/>
      <c r="F21" s="35"/>
      <c r="G21" s="35"/>
      <c r="H21" s="35"/>
    </row>
    <row r="22" spans="1:8" ht="52.8" x14ac:dyDescent="0.3">
      <c r="A22" s="2" t="s">
        <v>4</v>
      </c>
      <c r="B22" s="2" t="s">
        <v>21</v>
      </c>
      <c r="C22" s="2" t="s">
        <v>22</v>
      </c>
      <c r="D22" s="2" t="s">
        <v>23</v>
      </c>
      <c r="E22" s="2" t="s">
        <v>24</v>
      </c>
    </row>
    <row r="23" spans="1:8" x14ac:dyDescent="0.3">
      <c r="A23" s="3" t="s">
        <v>12</v>
      </c>
      <c r="B23" s="4">
        <f>E7</f>
        <v>606</v>
      </c>
      <c r="C23" s="4">
        <f>COUNTIF(Finland_Culture!J2:J829,"*Yes*")</f>
        <v>606</v>
      </c>
      <c r="D23" s="4">
        <f>COUNTIF(Finland_Culture!M2:M829,"*Yes*")</f>
        <v>0</v>
      </c>
      <c r="E23" s="4">
        <f>COUNTIF(Finland_Culture!K2:K829,"*Yes*")</f>
        <v>605</v>
      </c>
    </row>
    <row r="24" spans="1:8" x14ac:dyDescent="0.3">
      <c r="A24" s="3" t="s">
        <v>13</v>
      </c>
      <c r="B24" s="4">
        <f>E8</f>
        <v>7</v>
      </c>
      <c r="C24" s="4">
        <f>COUNTIF(Finland_Border!I2:I26,"*Yes*")</f>
        <v>7</v>
      </c>
      <c r="D24" s="4">
        <f>COUNTIF(Finland_Border!L2:L26,"*Yes*")</f>
        <v>2</v>
      </c>
      <c r="E24" s="4">
        <f>COUNTIF(Finland_Border!J2:J26,"*Yes*")</f>
        <v>7</v>
      </c>
    </row>
    <row r="25" spans="1:8" x14ac:dyDescent="0.3">
      <c r="A25" s="3" t="s">
        <v>14</v>
      </c>
      <c r="B25" s="4">
        <f>E9</f>
        <v>1</v>
      </c>
      <c r="C25" s="4">
        <f>COUNTIF(Finland_Military!I2:I2,"*Yes*")</f>
        <v>0</v>
      </c>
      <c r="D25" s="4">
        <f>COUNTIF(Finland_Military!L2:L2,"*Yes*")</f>
        <v>1</v>
      </c>
      <c r="E25" s="4">
        <f>COUNTIF(Finland_Military!J2:J2,"*Yes*")</f>
        <v>0</v>
      </c>
    </row>
    <row r="26" spans="1:8" x14ac:dyDescent="0.3">
      <c r="A26" s="3" t="s">
        <v>15</v>
      </c>
      <c r="B26" s="4">
        <f>E10</f>
        <v>589</v>
      </c>
      <c r="C26" s="4">
        <f>COUNTIF(Finland_Toponym!L2:L1581,"*Yes*")</f>
        <v>589</v>
      </c>
      <c r="D26" s="4">
        <f>COUNTIF(Finland_Toponym!O2:O1581,"*Yes*")</f>
        <v>0</v>
      </c>
      <c r="E26" s="4">
        <f>COUNTIF(Finland_Toponym!M2:M1581,"*Yes*")</f>
        <v>451</v>
      </c>
    </row>
    <row r="27" spans="1:8" x14ac:dyDescent="0.3">
      <c r="A27" s="1" t="s">
        <v>16</v>
      </c>
      <c r="B27" s="6">
        <f>SUM(B23:B26)</f>
        <v>1203</v>
      </c>
      <c r="C27" s="6">
        <f>SUM(C23:C26)</f>
        <v>1202</v>
      </c>
      <c r="D27" s="6">
        <f>SUM(D23:D26)</f>
        <v>3</v>
      </c>
      <c r="E27" s="6">
        <f>SUM(E23:E26)</f>
        <v>1063</v>
      </c>
    </row>
    <row r="29" spans="1:8" x14ac:dyDescent="0.3">
      <c r="A29" s="34" t="s">
        <v>25</v>
      </c>
      <c r="B29" s="34"/>
      <c r="C29" s="34"/>
      <c r="D29" s="34"/>
      <c r="E29" s="34"/>
      <c r="F29" s="34"/>
      <c r="G29" s="34"/>
      <c r="H29" s="34"/>
    </row>
    <row r="31" spans="1:8" ht="15.6" x14ac:dyDescent="0.3">
      <c r="A31" s="35" t="s">
        <v>26</v>
      </c>
      <c r="B31" s="35"/>
      <c r="C31" s="35"/>
      <c r="D31" s="35"/>
      <c r="E31" s="35"/>
      <c r="F31" s="35"/>
      <c r="G31" s="35"/>
      <c r="H31" s="35"/>
    </row>
    <row r="32" spans="1:8" x14ac:dyDescent="0.3">
      <c r="A32" s="2" t="s">
        <v>27</v>
      </c>
      <c r="B32" s="2" t="s">
        <v>28</v>
      </c>
      <c r="C32" s="2" t="s">
        <v>29</v>
      </c>
      <c r="D32" s="2" t="s">
        <v>5</v>
      </c>
      <c r="E32" s="2" t="s">
        <v>6</v>
      </c>
      <c r="F32" s="2" t="s">
        <v>8</v>
      </c>
      <c r="G32" s="2" t="s">
        <v>11</v>
      </c>
    </row>
    <row r="33" spans="1:8" x14ac:dyDescent="0.3">
      <c r="A33" s="3" t="str">
        <f>Map_Register!A2</f>
        <v>NLS-FI-01</v>
      </c>
      <c r="B33" s="3" t="str">
        <f>Map_Register!D2</f>
        <v>Eastern Lapland (Russian border; close to ceded Karelian zone)</v>
      </c>
      <c r="C33" s="3" t="str">
        <f>Map_Register!C2</f>
        <v>Border Region</v>
      </c>
      <c r="D33" s="4">
        <f>COUNTIF(Finland_Culture!$C$2:$C$829,$A33)+COUNTIF(Finland_Border!$C$2:$C$26,$A33)+COUNTIF(Finland_Military!$C$2:$C$2,$A33)+COUNTIF(Finland_Toponym!$C$2:$C$1581,$A33)</f>
        <v>291</v>
      </c>
      <c r="E33" s="4">
        <f>COUNTIFS(Finland_Culture!$C$2:$C$829,$A33,Finland_Culture!$I$2:$I$829,"Present*")+COUNTIFS(Finland_Border!$C$2:$C$26,$A33,Finland_Border!$H$2:$H$26,"Present*")+COUNTIFS(Finland_Military!$C$2:$C$2,$A33,Finland_Military!$H$2:$H$2,"Present*")+COUNTIFS(Finland_Toponym!$C$2:$C$1581,$A33,Finland_Toponym!$K$2:$K$1581,"Present*")</f>
        <v>217</v>
      </c>
      <c r="F33" s="4">
        <f>COUNTIFS(Finland_Culture!$C$2:$C$829,$A33,Finland_Culture!$I$2:$I$829,"Absent*")+COUNTIFS(Finland_Border!$C$2:$C$26,$A33,Finland_Border!$H$2:$H$26,"Absent*")+COUNTIFS(Finland_Military!$C$2:$C$2,$A33,Finland_Military!$H$2:$H$2,"Absent*")+COUNTIFS(Finland_Toponym!$C$2:$C$1581,$A33,Finland_Toponym!$K$2:$K$1581,"Absent*")</f>
        <v>73</v>
      </c>
      <c r="G33" s="5">
        <f>IF(D33=0,0,F33/D33)</f>
        <v>0.25085910652920962</v>
      </c>
    </row>
    <row r="34" spans="1:8" x14ac:dyDescent="0.3">
      <c r="A34" s="3" t="str">
        <f>Map_Register!A3</f>
        <v>NLS-FI-02</v>
      </c>
      <c r="B34" s="3" t="str">
        <f>Map_Register!D3</f>
        <v>Old Rauma ( UNESCO WHS)</v>
      </c>
      <c r="C34" s="3" t="str">
        <f>Map_Register!C3</f>
        <v>Cultural Heritage Area</v>
      </c>
      <c r="D34" s="4">
        <f>COUNTIF(Finland_Culture!$C$2:$C$829,$A34)+COUNTIF(Finland_Border!$C$2:$C$26,$A34)+COUNTIF(Finland_Military!$C$2:$C$2,$A34)+COUNTIF(Finland_Toponym!$C$2:$C$1581,$A34)</f>
        <v>208</v>
      </c>
      <c r="E34" s="4">
        <f>COUNTIFS(Finland_Culture!$C$2:$C$829,$A34,Finland_Culture!$I$2:$I$829,"Present*")+COUNTIFS(Finland_Border!$C$2:$C$26,$A34,Finland_Border!$H$2:$H$26,"Present*")+COUNTIFS(Finland_Military!$C$2:$C$2,$A34,Finland_Military!$H$2:$H$2,"Present*")+COUNTIFS(Finland_Toponym!$C$2:$C$1581,$A34,Finland_Toponym!$K$2:$K$1581,"Present*")</f>
        <v>104</v>
      </c>
      <c r="F34" s="4">
        <f>COUNTIFS(Finland_Culture!$C$2:$C$829,$A34,Finland_Culture!$I$2:$I$829,"Absent*")+COUNTIFS(Finland_Border!$C$2:$C$26,$A34,Finland_Border!$H$2:$H$26,"Absent*")+COUNTIFS(Finland_Military!$C$2:$C$2,$A34,Finland_Military!$H$2:$H$2,"Absent*")+COUNTIFS(Finland_Toponym!$C$2:$C$1581,$A34,Finland_Toponym!$K$2:$K$1581,"Absent*")</f>
        <v>102</v>
      </c>
      <c r="G34" s="5">
        <f>IF(D34=0,0,F34/D34)</f>
        <v>0.49038461538461536</v>
      </c>
    </row>
    <row r="35" spans="1:8" x14ac:dyDescent="0.3">
      <c r="A35" s="3" t="str">
        <f>Map_Register!A4</f>
        <v>NLS-FI-03</v>
      </c>
      <c r="B35" s="3" t="str">
        <f>Map_Register!D4</f>
        <v>Upinniemi Naval Base</v>
      </c>
      <c r="C35" s="3" t="str">
        <f>Map_Register!C4</f>
        <v>Military Zone</v>
      </c>
      <c r="D35" s="4">
        <f>COUNTIF(Finland_Culture!$C$2:$C$829,$A35)+COUNTIF(Finland_Border!$C$2:$C$26,$A35)+COUNTIF(Finland_Military!$C$2:$C$2,$A35)+COUNTIF(Finland_Toponym!$C$2:$C$1581,$A35)</f>
        <v>696</v>
      </c>
      <c r="E35" s="4">
        <f>COUNTIFS(Finland_Culture!$C$2:$C$829,$A35,Finland_Culture!$I$2:$I$829,"Present*")+COUNTIFS(Finland_Border!$C$2:$C$26,$A35,Finland_Border!$H$2:$H$26,"Present*")+COUNTIFS(Finland_Military!$C$2:$C$2,$A35,Finland_Military!$H$2:$H$2,"Present*")+COUNTIFS(Finland_Toponym!$C$2:$C$1581,$A35,Finland_Toponym!$K$2:$K$1581,"Present*")</f>
        <v>272</v>
      </c>
      <c r="F35" s="4">
        <f>COUNTIFS(Finland_Culture!$C$2:$C$829,$A35,Finland_Culture!$I$2:$I$829,"Absent*")+COUNTIFS(Finland_Border!$C$2:$C$26,$A35,Finland_Border!$H$2:$H$26,"Absent*")+COUNTIFS(Finland_Military!$C$2:$C$2,$A35,Finland_Military!$H$2:$H$2,"Absent*")+COUNTIFS(Finland_Toponym!$C$2:$C$1581,$A35,Finland_Toponym!$K$2:$K$1581,"Absent*")</f>
        <v>424</v>
      </c>
      <c r="G35" s="5">
        <f>IF(D35=0,0,F35/D35)</f>
        <v>0.60919540229885061</v>
      </c>
    </row>
    <row r="36" spans="1:8" x14ac:dyDescent="0.3">
      <c r="A36" s="3" t="str">
        <f>Map_Register!A5</f>
        <v>NLS-FI-04</v>
      </c>
      <c r="B36" s="3" t="str">
        <f>Map_Register!D5</f>
        <v>Inari municipality</v>
      </c>
      <c r="C36" s="3" t="str">
        <f>Map_Register!C5</f>
        <v>Toponym Labels</v>
      </c>
      <c r="D36" s="4">
        <f>COUNTIF(Finland_Culture!$C$2:$C$829,$A36)+COUNTIF(Finland_Border!$C$2:$C$26,$A36)+COUNTIF(Finland_Military!$C$2:$C$2,$A36)+COUNTIF(Finland_Toponym!$C$2:$C$1581,$A36)</f>
        <v>1239</v>
      </c>
      <c r="E36" s="4">
        <f>COUNTIFS(Finland_Culture!$C$2:$C$829,$A36,Finland_Culture!$I$2:$I$829,"Present*")+COUNTIFS(Finland_Border!$C$2:$C$26,$A36,Finland_Border!$H$2:$H$26,"Present*")+COUNTIFS(Finland_Military!$C$2:$C$2,$A36,Finland_Military!$H$2:$H$2,"Present*")+COUNTIFS(Finland_Toponym!$C$2:$C$1581,$A36,Finland_Toponym!$K$2:$K$1581,"Present*")</f>
        <v>632</v>
      </c>
      <c r="F36" s="4">
        <f>COUNTIFS(Finland_Culture!$C$2:$C$829,$A36,Finland_Culture!$I$2:$I$829,"Absent*")+COUNTIFS(Finland_Border!$C$2:$C$26,$A36,Finland_Border!$H$2:$H$26,"Absent*")+COUNTIFS(Finland_Military!$C$2:$C$2,$A36,Finland_Military!$H$2:$H$2,"Absent*")+COUNTIFS(Finland_Toponym!$C$2:$C$1581,$A36,Finland_Toponym!$K$2:$K$1581,"Absent*")</f>
        <v>604</v>
      </c>
      <c r="G36" s="5">
        <f>IF(D36=0,0,F36/D36)</f>
        <v>0.48748991121872476</v>
      </c>
    </row>
    <row r="37" spans="1:8" x14ac:dyDescent="0.3">
      <c r="A37" s="37" t="s">
        <v>16</v>
      </c>
      <c r="B37" s="37"/>
      <c r="C37" s="37"/>
      <c r="D37" s="6">
        <f>SUM(D33:D36)</f>
        <v>2434</v>
      </c>
      <c r="E37" s="6">
        <f>SUM(E33:E36)</f>
        <v>1225</v>
      </c>
      <c r="F37" s="6">
        <f>SUM(F33:F36)</f>
        <v>1203</v>
      </c>
      <c r="G37" s="7">
        <f>IF(D37=0,0,F37/D37)</f>
        <v>0.49424815119145438</v>
      </c>
    </row>
    <row r="39" spans="1:8" ht="15.6" x14ac:dyDescent="0.3">
      <c r="A39" s="35" t="s">
        <v>30</v>
      </c>
      <c r="B39" s="35"/>
      <c r="C39" s="35"/>
      <c r="D39" s="35"/>
      <c r="E39" s="35"/>
      <c r="F39" s="35"/>
      <c r="G39" s="35"/>
      <c r="H39" s="35"/>
    </row>
    <row r="40" spans="1:8" x14ac:dyDescent="0.3">
      <c r="A40" s="36" t="s">
        <v>31</v>
      </c>
      <c r="B40" s="36"/>
      <c r="C40" s="36"/>
      <c r="D40" s="36"/>
      <c r="E40" s="36"/>
      <c r="F40" s="8">
        <f>B11</f>
        <v>2433</v>
      </c>
    </row>
    <row r="41" spans="1:8" x14ac:dyDescent="0.3">
      <c r="A41" s="36" t="s">
        <v>32</v>
      </c>
      <c r="B41" s="36"/>
      <c r="C41" s="36"/>
      <c r="D41" s="36"/>
      <c r="E41" s="36"/>
      <c r="F41" s="9">
        <f>G11</f>
        <v>0.50349362926428276</v>
      </c>
    </row>
    <row r="42" spans="1:8" x14ac:dyDescent="0.3">
      <c r="A42" s="36" t="s">
        <v>33</v>
      </c>
      <c r="B42" s="36"/>
      <c r="C42" s="36"/>
      <c r="D42" s="36"/>
      <c r="E42" s="36"/>
      <c r="F42" s="9">
        <f>H11</f>
        <v>0.49445129469790383</v>
      </c>
    </row>
    <row r="43" spans="1:8" x14ac:dyDescent="0.3">
      <c r="A43" s="36" t="s">
        <v>34</v>
      </c>
      <c r="B43" s="36"/>
      <c r="C43" s="36"/>
      <c r="D43" s="36"/>
      <c r="E43" s="36"/>
      <c r="F43" s="9">
        <f>IF((C11+D11)=0,0,D11/(C11+D11))</f>
        <v>1.4693877551020407E-2</v>
      </c>
    </row>
  </sheetData>
  <mergeCells count="14">
    <mergeCell ref="A40:E40"/>
    <mergeCell ref="A41:E41"/>
    <mergeCell ref="A42:E42"/>
    <mergeCell ref="A43:E43"/>
    <mergeCell ref="A21:H21"/>
    <mergeCell ref="A29:H29"/>
    <mergeCell ref="A31:H31"/>
    <mergeCell ref="A37:C37"/>
    <mergeCell ref="A39:H39"/>
    <mergeCell ref="A1:H1"/>
    <mergeCell ref="A2:H2"/>
    <mergeCell ref="A3:H3"/>
    <mergeCell ref="A5:H5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zoomScaleNormal="100" workbookViewId="0"/>
  </sheetViews>
  <sheetFormatPr defaultColWidth="8.6640625" defaultRowHeight="14.4" x14ac:dyDescent="0.3"/>
  <cols>
    <col min="1" max="7" width="24" customWidth="1"/>
  </cols>
  <sheetData>
    <row r="1" spans="1:7" x14ac:dyDescent="0.3">
      <c r="A1" s="11" t="s">
        <v>48</v>
      </c>
      <c r="B1" s="11" t="s">
        <v>4</v>
      </c>
      <c r="C1" s="11" t="s">
        <v>59</v>
      </c>
      <c r="D1" s="11" t="s">
        <v>62</v>
      </c>
      <c r="E1" s="11" t="s">
        <v>3552</v>
      </c>
      <c r="F1" s="11" t="s">
        <v>110</v>
      </c>
      <c r="G1" s="11" t="s">
        <v>82</v>
      </c>
    </row>
    <row r="2" spans="1:7" x14ac:dyDescent="0.3">
      <c r="A2" s="19" t="s">
        <v>3553</v>
      </c>
      <c r="B2" s="19" t="s">
        <v>14</v>
      </c>
      <c r="C2" s="19" t="s">
        <v>8</v>
      </c>
      <c r="D2" s="19" t="s">
        <v>3554</v>
      </c>
      <c r="E2" s="19" t="s">
        <v>3554</v>
      </c>
      <c r="F2" s="19" t="s">
        <v>3555</v>
      </c>
      <c r="G2" s="19" t="s">
        <v>88</v>
      </c>
    </row>
    <row r="3" spans="1:7" x14ac:dyDescent="0.3">
      <c r="A3" s="19" t="s">
        <v>87</v>
      </c>
      <c r="B3" s="19" t="s">
        <v>13</v>
      </c>
      <c r="C3" s="19" t="s">
        <v>6</v>
      </c>
      <c r="D3" s="19" t="s">
        <v>3556</v>
      </c>
      <c r="E3" s="19" t="s">
        <v>3557</v>
      </c>
      <c r="F3" s="19" t="s">
        <v>3558</v>
      </c>
      <c r="G3" s="19" t="s">
        <v>94</v>
      </c>
    </row>
    <row r="4" spans="1:7" x14ac:dyDescent="0.3">
      <c r="A4" s="19" t="s">
        <v>3559</v>
      </c>
      <c r="B4" s="19" t="s">
        <v>111</v>
      </c>
      <c r="C4" s="19" t="s">
        <v>1030</v>
      </c>
      <c r="F4" s="19" t="s">
        <v>3560</v>
      </c>
      <c r="G4" s="19" t="s">
        <v>98</v>
      </c>
    </row>
    <row r="5" spans="1:7" x14ac:dyDescent="0.3">
      <c r="B5" s="19" t="s">
        <v>15</v>
      </c>
      <c r="C5" s="19" t="s">
        <v>3561</v>
      </c>
      <c r="F5" s="19" t="s">
        <v>3562</v>
      </c>
      <c r="G5" s="19" t="s">
        <v>103</v>
      </c>
    </row>
    <row r="6" spans="1:7" x14ac:dyDescent="0.3">
      <c r="C6" s="19" t="s">
        <v>3563</v>
      </c>
      <c r="F6" s="19" t="s">
        <v>3564</v>
      </c>
      <c r="G6" s="19" t="s">
        <v>3565</v>
      </c>
    </row>
    <row r="7" spans="1:7" x14ac:dyDescent="0.3">
      <c r="F7" s="19" t="s">
        <v>3566</v>
      </c>
    </row>
    <row r="8" spans="1:7" x14ac:dyDescent="0.3">
      <c r="F8" s="19" t="s">
        <v>3556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Map_Register</vt:lpstr>
      <vt:lpstr>Finland_Culture</vt:lpstr>
      <vt:lpstr>Finland_Military</vt:lpstr>
      <vt:lpstr>Finland_Toponym</vt:lpstr>
      <vt:lpstr>Finland_Border</vt:lpstr>
      <vt:lpstr>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afigueroa@mail.sib.org.bz</dc:creator>
  <dc:description/>
  <cp:lastModifiedBy>Amilcar Figueroa</cp:lastModifiedBy>
  <cp:revision>0</cp:revision>
  <dcterms:created xsi:type="dcterms:W3CDTF">2026-06-12T23:10:22Z</dcterms:created>
  <dcterms:modified xsi:type="dcterms:W3CDTF">2026-09-07T19:18:02Z</dcterms:modified>
  <dc:language>en-US</dc:language>
</cp:coreProperties>
</file>